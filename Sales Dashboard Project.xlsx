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ibya\Desktop\"/>
    </mc:Choice>
  </mc:AlternateContent>
  <xr:revisionPtr revIDLastSave="0" documentId="13_ncr:1_{BFEFFF69-F454-4192-BC0E-9471080383C5}" xr6:coauthVersionLast="47" xr6:coauthVersionMax="47" xr10:uidLastSave="{00000000-0000-0000-0000-000000000000}"/>
  <bookViews>
    <workbookView xWindow="-108" yWindow="-108" windowWidth="23256" windowHeight="12456" activeTab="1" xr2:uid="{748F9314-7D77-4287-B9C2-E6108841881E}"/>
  </bookViews>
  <sheets>
    <sheet name="DATASET" sheetId="1" r:id="rId1"/>
    <sheet name="REPORTS" sheetId="3" r:id="rId2"/>
    <sheet name="DASHBOARD" sheetId="2" r:id="rId3"/>
  </sheets>
  <definedNames>
    <definedName name="_xlnm._FilterDatabase" localSheetId="1" hidden="1">REPORTS!$A$45:$B$58</definedName>
    <definedName name="Slicer_Categor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3" l="1"/>
  <c r="B10" i="3"/>
  <c r="A10" i="3"/>
  <c r="D6" i="3"/>
  <c r="D10" i="3" l="1"/>
</calcChain>
</file>

<file path=xl/sharedStrings.xml><?xml version="1.0" encoding="utf-8"?>
<sst xmlns="http://schemas.openxmlformats.org/spreadsheetml/2006/main" count="55049" uniqueCount="6451">
  <si>
    <t>Order_ID</t>
  </si>
  <si>
    <t>Order_Date</t>
  </si>
  <si>
    <t>Year</t>
  </si>
  <si>
    <t>Region</t>
  </si>
  <si>
    <t>State</t>
  </si>
  <si>
    <t>City</t>
  </si>
  <si>
    <t>Category</t>
  </si>
  <si>
    <t>Sub_Category</t>
  </si>
  <si>
    <t>Customer_ID</t>
  </si>
  <si>
    <t>Salesperson</t>
  </si>
  <si>
    <t>Quantity</t>
  </si>
  <si>
    <t>Unit_Price</t>
  </si>
  <si>
    <t>Revenue</t>
  </si>
  <si>
    <t>Cost</t>
  </si>
  <si>
    <t>Profit</t>
  </si>
  <si>
    <t>Payment_Mode</t>
  </si>
  <si>
    <t>ORD100002</t>
  </si>
  <si>
    <t>2025-04-24</t>
  </si>
  <si>
    <t>Apr-25</t>
  </si>
  <si>
    <t>South</t>
  </si>
  <si>
    <t>Tamil Nadu</t>
  </si>
  <si>
    <t>Chennai</t>
  </si>
  <si>
    <t>Furniture</t>
  </si>
  <si>
    <t>Chair</t>
  </si>
  <si>
    <t>CUST1946</t>
  </si>
  <si>
    <t>SP_12</t>
  </si>
  <si>
    <t>Net Banking</t>
  </si>
  <si>
    <t>ORD100003</t>
  </si>
  <si>
    <t>2025-10-10</t>
  </si>
  <si>
    <t>Oct-25</t>
  </si>
  <si>
    <t>Home Appliances</t>
  </si>
  <si>
    <t>Fan</t>
  </si>
  <si>
    <t>CUST1572</t>
  </si>
  <si>
    <t>SP_04</t>
  </si>
  <si>
    <t>Credit Card</t>
  </si>
  <si>
    <t>ORD100004</t>
  </si>
  <si>
    <t>2025-06-18</t>
  </si>
  <si>
    <t>Jun-25</t>
  </si>
  <si>
    <t>North</t>
  </si>
  <si>
    <t>Punjab</t>
  </si>
  <si>
    <t>Chandigarh</t>
  </si>
  <si>
    <t>Electronics</t>
  </si>
  <si>
    <t>Laptop</t>
  </si>
  <si>
    <t>CUST1041</t>
  </si>
  <si>
    <t>SP_11</t>
  </si>
  <si>
    <t>UPI</t>
  </si>
  <si>
    <t>ORD100005</t>
  </si>
  <si>
    <t>2025-05-19</t>
  </si>
  <si>
    <t>May-25</t>
  </si>
  <si>
    <t>Karnataka</t>
  </si>
  <si>
    <t>Bengaluru</t>
  </si>
  <si>
    <t>Office Supplies</t>
  </si>
  <si>
    <t>Pen</t>
  </si>
  <si>
    <t>CUST1680</t>
  </si>
  <si>
    <t>SP_06</t>
  </si>
  <si>
    <t>ORD100006</t>
  </si>
  <si>
    <t>2025-03-23</t>
  </si>
  <si>
    <t>Mar-25</t>
  </si>
  <si>
    <t>East</t>
  </si>
  <si>
    <t>West Bengal</t>
  </si>
  <si>
    <t>Kolkata</t>
  </si>
  <si>
    <t>Headphones</t>
  </si>
  <si>
    <t>CUST1417</t>
  </si>
  <si>
    <t>ORD100007</t>
  </si>
  <si>
    <t>2025-03-03</t>
  </si>
  <si>
    <t>Bihar</t>
  </si>
  <si>
    <t>Patna</t>
  </si>
  <si>
    <t>Microwave</t>
  </si>
  <si>
    <t>CUST1131</t>
  </si>
  <si>
    <t>Cash</t>
  </si>
  <si>
    <t>ORD100008</t>
  </si>
  <si>
    <t>2025-09-24</t>
  </si>
  <si>
    <t>Sep-25</t>
  </si>
  <si>
    <t>Mixer</t>
  </si>
  <si>
    <t>CUST1727</t>
  </si>
  <si>
    <t>ORD100009</t>
  </si>
  <si>
    <t>2025-05-15</t>
  </si>
  <si>
    <t>Printer</t>
  </si>
  <si>
    <t>CUST1061</t>
  </si>
  <si>
    <t>SP_03</t>
  </si>
  <si>
    <t>ORD100010</t>
  </si>
  <si>
    <t>2025-07-10</t>
  </si>
  <si>
    <t>Jul-25</t>
  </si>
  <si>
    <t>Sofa</t>
  </si>
  <si>
    <t>CUST1581</t>
  </si>
  <si>
    <t>SP_09</t>
  </si>
  <si>
    <t>Debit Card</t>
  </si>
  <si>
    <t>ORD100011</t>
  </si>
  <si>
    <t>2025-12-07</t>
  </si>
  <si>
    <t>Dec-25</t>
  </si>
  <si>
    <t>West</t>
  </si>
  <si>
    <t>Rajasthan</t>
  </si>
  <si>
    <t>Jaipur</t>
  </si>
  <si>
    <t>Table</t>
  </si>
  <si>
    <t>CUST1203</t>
  </si>
  <si>
    <t>ORD100012</t>
  </si>
  <si>
    <t>2025-05-14</t>
  </si>
  <si>
    <t>Gujarat</t>
  </si>
  <si>
    <t>Ahmedabad</t>
  </si>
  <si>
    <t>CUST1643</t>
  </si>
  <si>
    <t>SP_14</t>
  </si>
  <si>
    <t>ORD100013</t>
  </si>
  <si>
    <t>2025-02-10</t>
  </si>
  <si>
    <t>Feb-25</t>
  </si>
  <si>
    <t>Delhi</t>
  </si>
  <si>
    <t>CUST1221</t>
  </si>
  <si>
    <t>SP_15</t>
  </si>
  <si>
    <t>ORD100014</t>
  </si>
  <si>
    <t>2025-09-26</t>
  </si>
  <si>
    <t>Uttar Pradesh</t>
  </si>
  <si>
    <t>Lucknow</t>
  </si>
  <si>
    <t>CUST1298</t>
  </si>
  <si>
    <t>ORD100015</t>
  </si>
  <si>
    <t>2025-01-19</t>
  </si>
  <si>
    <t>Jan-25</t>
  </si>
  <si>
    <t>CUST1162</t>
  </si>
  <si>
    <t>ORD100016</t>
  </si>
  <si>
    <t>2025-11-13</t>
  </si>
  <si>
    <t>Nov-25</t>
  </si>
  <si>
    <t>Maharashtra</t>
  </si>
  <si>
    <t>Mumbai</t>
  </si>
  <si>
    <t>CUST1147</t>
  </si>
  <si>
    <t>ORD100017</t>
  </si>
  <si>
    <t>2025-04-09</t>
  </si>
  <si>
    <t>CUST1328</t>
  </si>
  <si>
    <t>ORD100018</t>
  </si>
  <si>
    <t>2025-02-14</t>
  </si>
  <si>
    <t>CUST1694</t>
  </si>
  <si>
    <t>ORD100019</t>
  </si>
  <si>
    <t>2025-06-08</t>
  </si>
  <si>
    <t>CUST1590</t>
  </si>
  <si>
    <t>SP_05</t>
  </si>
  <si>
    <t>ORD100020</t>
  </si>
  <si>
    <t>2025-04-11</t>
  </si>
  <si>
    <t>CUST1589</t>
  </si>
  <si>
    <t>ORD100021</t>
  </si>
  <si>
    <t>2025-08-22</t>
  </si>
  <si>
    <t>Aug-25</t>
  </si>
  <si>
    <t>Mobile</t>
  </si>
  <si>
    <t>CUST1905</t>
  </si>
  <si>
    <t>ORD100022</t>
  </si>
  <si>
    <t>2025-03-26</t>
  </si>
  <si>
    <t>CUST1656</t>
  </si>
  <si>
    <t>ORD100023</t>
  </si>
  <si>
    <t>2025-06-29</t>
  </si>
  <si>
    <t>Notebook</t>
  </si>
  <si>
    <t>CUST1261</t>
  </si>
  <si>
    <t>SP_10</t>
  </si>
  <si>
    <t>ORD100024</t>
  </si>
  <si>
    <t>2025-11-18</t>
  </si>
  <si>
    <t>CUST1778</t>
  </si>
  <si>
    <t>ORD100025</t>
  </si>
  <si>
    <t>2025-03-13</t>
  </si>
  <si>
    <t>CUST1489</t>
  </si>
  <si>
    <t>SP_01</t>
  </si>
  <si>
    <t>ORD100026</t>
  </si>
  <si>
    <t>2025-02-17</t>
  </si>
  <si>
    <t>CUST1083</t>
  </si>
  <si>
    <t>ORD100027</t>
  </si>
  <si>
    <t>2025-11-09</t>
  </si>
  <si>
    <t>CUST1337</t>
  </si>
  <si>
    <t>SP_07</t>
  </si>
  <si>
    <t>ORD100028</t>
  </si>
  <si>
    <t>2025-08-25</t>
  </si>
  <si>
    <t>CUST1731</t>
  </si>
  <si>
    <t>ORD100029</t>
  </si>
  <si>
    <t>2025-06-12</t>
  </si>
  <si>
    <t>CUST1834</t>
  </si>
  <si>
    <t>ORD100030</t>
  </si>
  <si>
    <t>2025-06-07</t>
  </si>
  <si>
    <t>CUST1893</t>
  </si>
  <si>
    <t>SP_02</t>
  </si>
  <si>
    <t>ORD100031</t>
  </si>
  <si>
    <t>2025-11-20</t>
  </si>
  <si>
    <t>CUST1728</t>
  </si>
  <si>
    <t>ORD100032</t>
  </si>
  <si>
    <t>Odisha</t>
  </si>
  <si>
    <t>Bhubaneswar</t>
  </si>
  <si>
    <t>CUST1486</t>
  </si>
  <si>
    <t>ORD100033</t>
  </si>
  <si>
    <t>2025-05-23</t>
  </si>
  <si>
    <t>CUST1372</t>
  </si>
  <si>
    <t>ORD100034</t>
  </si>
  <si>
    <t>2025-01-10</t>
  </si>
  <si>
    <t>CUST1424</t>
  </si>
  <si>
    <t>ORD100035</t>
  </si>
  <si>
    <t>2025-12-26</t>
  </si>
  <si>
    <t>CUST1903</t>
  </si>
  <si>
    <t>SP_08</t>
  </si>
  <si>
    <t>ORD100036</t>
  </si>
  <si>
    <t>CUST1469</t>
  </si>
  <si>
    <t>ORD100037</t>
  </si>
  <si>
    <t>2025-02-27</t>
  </si>
  <si>
    <t>CUST1142</t>
  </si>
  <si>
    <t>ORD100038</t>
  </si>
  <si>
    <t>2025-04-01</t>
  </si>
  <si>
    <t>CUST1689</t>
  </si>
  <si>
    <t>ORD100039</t>
  </si>
  <si>
    <t>2025-10-04</t>
  </si>
  <si>
    <t>Telangana</t>
  </si>
  <si>
    <t>Hyderabad</t>
  </si>
  <si>
    <t>CUST1718</t>
  </si>
  <si>
    <t>ORD100040</t>
  </si>
  <si>
    <t>2025-05-05</t>
  </si>
  <si>
    <t>CUST1982</t>
  </si>
  <si>
    <t>ORD100041</t>
  </si>
  <si>
    <t>2025-08-12</t>
  </si>
  <si>
    <t>CUST1229</t>
  </si>
  <si>
    <t>ORD100042</t>
  </si>
  <si>
    <t>2025-11-24</t>
  </si>
  <si>
    <t>CUST1177</t>
  </si>
  <si>
    <t>ORD100043</t>
  </si>
  <si>
    <t>2025-06-06</t>
  </si>
  <si>
    <t>CUST1235</t>
  </si>
  <si>
    <t>ORD100044</t>
  </si>
  <si>
    <t>2025-06-04</t>
  </si>
  <si>
    <t>CUST1275</t>
  </si>
  <si>
    <t>SP_13</t>
  </si>
  <si>
    <t>ORD100045</t>
  </si>
  <si>
    <t>2025-09-06</t>
  </si>
  <si>
    <t>CUST1735</t>
  </si>
  <si>
    <t>ORD100046</t>
  </si>
  <si>
    <t>2025-05-27</t>
  </si>
  <si>
    <t>CUST1734</t>
  </si>
  <si>
    <t>ORD100047</t>
  </si>
  <si>
    <t>2025-12-17</t>
  </si>
  <si>
    <t>CUST1576</t>
  </si>
  <si>
    <t>ORD100048</t>
  </si>
  <si>
    <t>2025-01-08</t>
  </si>
  <si>
    <t>ORD100049</t>
  </si>
  <si>
    <t>2025-11-11</t>
  </si>
  <si>
    <t>CUST1959</t>
  </si>
  <si>
    <t>ORD100050</t>
  </si>
  <si>
    <t>2025-02-25</t>
  </si>
  <si>
    <t>CUST1865</t>
  </si>
  <si>
    <t>ORD100051</t>
  </si>
  <si>
    <t>2025-04-07</t>
  </si>
  <si>
    <t>CUST1434</t>
  </si>
  <si>
    <t>ORD100052</t>
  </si>
  <si>
    <t>2025-09-07</t>
  </si>
  <si>
    <t>CUST1414</t>
  </si>
  <si>
    <t>ORD100053</t>
  </si>
  <si>
    <t>2025-08-13</t>
  </si>
  <si>
    <t>CUST1768</t>
  </si>
  <si>
    <t>ORD100054</t>
  </si>
  <si>
    <t>2025-10-08</t>
  </si>
  <si>
    <t>CUST1122</t>
  </si>
  <si>
    <t>ORD100055</t>
  </si>
  <si>
    <t>2025-07-17</t>
  </si>
  <si>
    <t>CUST1219</t>
  </si>
  <si>
    <t>ORD100056</t>
  </si>
  <si>
    <t>2025-06-28</t>
  </si>
  <si>
    <t>CUST1936</t>
  </si>
  <si>
    <t>ORD100057</t>
  </si>
  <si>
    <t>2025-07-06</t>
  </si>
  <si>
    <t>CUST1306</t>
  </si>
  <si>
    <t>ORD100058</t>
  </si>
  <si>
    <t>2025-09-20</t>
  </si>
  <si>
    <t>CUST1070</t>
  </si>
  <si>
    <t>ORD100059</t>
  </si>
  <si>
    <t>2025-06-21</t>
  </si>
  <si>
    <t>CUST1064</t>
  </si>
  <si>
    <t>ORD100060</t>
  </si>
  <si>
    <t>CUST1392</t>
  </si>
  <si>
    <t>ORD100061</t>
  </si>
  <si>
    <t>2025-06-25</t>
  </si>
  <si>
    <t>CUST1799</t>
  </si>
  <si>
    <t>ORD100062</t>
  </si>
  <si>
    <t>2025-04-17</t>
  </si>
  <si>
    <t>CUST1623</t>
  </si>
  <si>
    <t>ORD100063</t>
  </si>
  <si>
    <t>2025-07-21</t>
  </si>
  <si>
    <t>CUST1220</t>
  </si>
  <si>
    <t>ORD100064</t>
  </si>
  <si>
    <t>2025-03-14</t>
  </si>
  <si>
    <t>ORD100065</t>
  </si>
  <si>
    <t>2025-01-20</t>
  </si>
  <si>
    <t>CUST1984</t>
  </si>
  <si>
    <t>ORD100066</t>
  </si>
  <si>
    <t>2025-06-22</t>
  </si>
  <si>
    <t>CUST1509</t>
  </si>
  <si>
    <t>ORD100067</t>
  </si>
  <si>
    <t>2025-01-11</t>
  </si>
  <si>
    <t>CUST1574</t>
  </si>
  <si>
    <t>ORD100068</t>
  </si>
  <si>
    <t>2025-04-19</t>
  </si>
  <si>
    <t>CUST1894</t>
  </si>
  <si>
    <t>ORD100069</t>
  </si>
  <si>
    <t>2025-11-25</t>
  </si>
  <si>
    <t>CUST1935</t>
  </si>
  <si>
    <t>ORD100070</t>
  </si>
  <si>
    <t>2025-05-01</t>
  </si>
  <si>
    <t>CUST1394</t>
  </si>
  <si>
    <t>ORD100071</t>
  </si>
  <si>
    <t>2025-02-05</t>
  </si>
  <si>
    <t>CUST1578</t>
  </si>
  <si>
    <t>ORD100072</t>
  </si>
  <si>
    <t>CUST1378</t>
  </si>
  <si>
    <t>ORD100073</t>
  </si>
  <si>
    <t>2025-12-06</t>
  </si>
  <si>
    <t>CUST1711</t>
  </si>
  <si>
    <t>ORD100074</t>
  </si>
  <si>
    <t>2025-02-07</t>
  </si>
  <si>
    <t>CUST1180</t>
  </si>
  <si>
    <t>ORD100075</t>
  </si>
  <si>
    <t>2025-04-29</t>
  </si>
  <si>
    <t>ORD100076</t>
  </si>
  <si>
    <t>2025-02-09</t>
  </si>
  <si>
    <t>ORD100077</t>
  </si>
  <si>
    <t>ORD100078</t>
  </si>
  <si>
    <t>2025-06-30</t>
  </si>
  <si>
    <t>CUST1031</t>
  </si>
  <si>
    <t>ORD100079</t>
  </si>
  <si>
    <t>CUST1315</t>
  </si>
  <si>
    <t>ORD100080</t>
  </si>
  <si>
    <t>2025-11-30</t>
  </si>
  <si>
    <t>CUST1448</t>
  </si>
  <si>
    <t>ORD100081</t>
  </si>
  <si>
    <t>2025-06-17</t>
  </si>
  <si>
    <t>CUST1975</t>
  </si>
  <si>
    <t>ORD100082</t>
  </si>
  <si>
    <t>2025-08-18</t>
  </si>
  <si>
    <t>CUST1914</t>
  </si>
  <si>
    <t>ORD100083</t>
  </si>
  <si>
    <t>2025-10-27</t>
  </si>
  <si>
    <t>CUST1333</t>
  </si>
  <si>
    <t>ORD100084</t>
  </si>
  <si>
    <t>2025-05-31</t>
  </si>
  <si>
    <t>CUST1359</t>
  </si>
  <si>
    <t>ORD100085</t>
  </si>
  <si>
    <t>2025-04-12</t>
  </si>
  <si>
    <t>CUST1843</t>
  </si>
  <si>
    <t>ORD100086</t>
  </si>
  <si>
    <t>2025-11-19</t>
  </si>
  <si>
    <t>CUST1900</t>
  </si>
  <si>
    <t>ORD100087</t>
  </si>
  <si>
    <t>2025-10-14</t>
  </si>
  <si>
    <t>CUST1882</t>
  </si>
  <si>
    <t>ORD100088</t>
  </si>
  <si>
    <t>2025-10-15</t>
  </si>
  <si>
    <t>CUST1243</t>
  </si>
  <si>
    <t>ORD100089</t>
  </si>
  <si>
    <t>CUST1988</t>
  </si>
  <si>
    <t>ORD100090</t>
  </si>
  <si>
    <t>2025-05-22</t>
  </si>
  <si>
    <t>CUST1255</t>
  </si>
  <si>
    <t>ORD100091</t>
  </si>
  <si>
    <t>2025-03-24</t>
  </si>
  <si>
    <t>ORD100092</t>
  </si>
  <si>
    <t>2025-09-19</t>
  </si>
  <si>
    <t>ORD100093</t>
  </si>
  <si>
    <t>2025-01-05</t>
  </si>
  <si>
    <t>CUST1713</t>
  </si>
  <si>
    <t>ORD100094</t>
  </si>
  <si>
    <t>CUST1780</t>
  </si>
  <si>
    <t>ORD100095</t>
  </si>
  <si>
    <t>CUST1257</t>
  </si>
  <si>
    <t>ORD100096</t>
  </si>
  <si>
    <t>2025-09-09</t>
  </si>
  <si>
    <t>CUST1256</t>
  </si>
  <si>
    <t>ORD100097</t>
  </si>
  <si>
    <t>2025-08-23</t>
  </si>
  <si>
    <t>CUST1187</t>
  </si>
  <si>
    <t>ORD100098</t>
  </si>
  <si>
    <t>2025-08-10</t>
  </si>
  <si>
    <t>CUST1985</t>
  </si>
  <si>
    <t>ORD100099</t>
  </si>
  <si>
    <t>2025-10-06</t>
  </si>
  <si>
    <t>CUST1526</t>
  </si>
  <si>
    <t>ORD100100</t>
  </si>
  <si>
    <t>2025-08-28</t>
  </si>
  <si>
    <t>CUST1322</t>
  </si>
  <si>
    <t>ORD100101</t>
  </si>
  <si>
    <t>2025-08-01</t>
  </si>
  <si>
    <t>CUST1683</t>
  </si>
  <si>
    <t>ORD100102</t>
  </si>
  <si>
    <t>2025-06-26</t>
  </si>
  <si>
    <t>CUST1451</t>
  </si>
  <si>
    <t>ORD100103</t>
  </si>
  <si>
    <t>CUST1135</t>
  </si>
  <si>
    <t>ORD100104</t>
  </si>
  <si>
    <t>2025-04-22</t>
  </si>
  <si>
    <t>CUST1471</t>
  </si>
  <si>
    <t>ORD100105</t>
  </si>
  <si>
    <t>2025-03-08</t>
  </si>
  <si>
    <t>CUST1157</t>
  </si>
  <si>
    <t>ORD100106</t>
  </si>
  <si>
    <t>2025-07-18</t>
  </si>
  <si>
    <t>CUST1178</t>
  </si>
  <si>
    <t>ORD100107</t>
  </si>
  <si>
    <t>CUST1925</t>
  </si>
  <si>
    <t>ORD100108</t>
  </si>
  <si>
    <t>2025-02-22</t>
  </si>
  <si>
    <t>CUST1396</t>
  </si>
  <si>
    <t>ORD100109</t>
  </si>
  <si>
    <t>2025-10-09</t>
  </si>
  <si>
    <t>CUST1439</t>
  </si>
  <si>
    <t>ORD100110</t>
  </si>
  <si>
    <t>2025-03-07</t>
  </si>
  <si>
    <t>CUST1885</t>
  </si>
  <si>
    <t>ORD100111</t>
  </si>
  <si>
    <t>CUST1789</t>
  </si>
  <si>
    <t>ORD100112</t>
  </si>
  <si>
    <t>CUST1228</t>
  </si>
  <si>
    <t>ORD100113</t>
  </si>
  <si>
    <t>CUST1657</t>
  </si>
  <si>
    <t>ORD100114</t>
  </si>
  <si>
    <t>2025-05-08</t>
  </si>
  <si>
    <t>CUST1062</t>
  </si>
  <si>
    <t>ORD100115</t>
  </si>
  <si>
    <t>CUST1866</t>
  </si>
  <si>
    <t>ORD100116</t>
  </si>
  <si>
    <t>2025-05-06</t>
  </si>
  <si>
    <t>CUST1932</t>
  </si>
  <si>
    <t>ORD100117</t>
  </si>
  <si>
    <t>2025-04-28</t>
  </si>
  <si>
    <t>ORD100118</t>
  </si>
  <si>
    <t>2025-06-05</t>
  </si>
  <si>
    <t>CUST1647</t>
  </si>
  <si>
    <t>ORD100119</t>
  </si>
  <si>
    <t>2025-12-27</t>
  </si>
  <si>
    <t>ORD100120</t>
  </si>
  <si>
    <t>CUST1652</t>
  </si>
  <si>
    <t>ORD100121</t>
  </si>
  <si>
    <t>2025-09-27</t>
  </si>
  <si>
    <t>CUST1963</t>
  </si>
  <si>
    <t>ORD100122</t>
  </si>
  <si>
    <t>CUST1700</t>
  </si>
  <si>
    <t>ORD100123</t>
  </si>
  <si>
    <t>2025-08-09</t>
  </si>
  <si>
    <t>ORD100124</t>
  </si>
  <si>
    <t>CUST1382</t>
  </si>
  <si>
    <t>ORD100125</t>
  </si>
  <si>
    <t>CUST1956</t>
  </si>
  <si>
    <t>ORD100126</t>
  </si>
  <si>
    <t>2025-04-10</t>
  </si>
  <si>
    <t>CUST1633</t>
  </si>
  <si>
    <t>ORD100127</t>
  </si>
  <si>
    <t>2025-12-20</t>
  </si>
  <si>
    <t>CUST1189</t>
  </si>
  <si>
    <t>ORD100128</t>
  </si>
  <si>
    <t>CUST1201</t>
  </si>
  <si>
    <t>ORD100129</t>
  </si>
  <si>
    <t>2025-03-17</t>
  </si>
  <si>
    <t>CUST1953</t>
  </si>
  <si>
    <t>ORD100130</t>
  </si>
  <si>
    <t>2025-10-11</t>
  </si>
  <si>
    <t>CUST1190</t>
  </si>
  <si>
    <t>ORD100131</t>
  </si>
  <si>
    <t>2025-06-20</t>
  </si>
  <si>
    <t>CUST1860</t>
  </si>
  <si>
    <t>ORD100132</t>
  </si>
  <si>
    <t>2025-01-25</t>
  </si>
  <si>
    <t>CUST1848</t>
  </si>
  <si>
    <t>ORD100133</t>
  </si>
  <si>
    <t>2025-04-27</t>
  </si>
  <si>
    <t>CUST1305</t>
  </si>
  <si>
    <t>ORD100134</t>
  </si>
  <si>
    <t>2025-04-02</t>
  </si>
  <si>
    <t>CUST1347</t>
  </si>
  <si>
    <t>ORD100135</t>
  </si>
  <si>
    <t>CUST1171</t>
  </si>
  <si>
    <t>ORD100136</t>
  </si>
  <si>
    <t>2025-10-23</t>
  </si>
  <si>
    <t>CUST1516</t>
  </si>
  <si>
    <t>ORD100137</t>
  </si>
  <si>
    <t>CUST1015</t>
  </si>
  <si>
    <t>ORD100138</t>
  </si>
  <si>
    <t>2025-07-05</t>
  </si>
  <si>
    <t>CUST1931</t>
  </si>
  <si>
    <t>ORD100139</t>
  </si>
  <si>
    <t>CUST1488</t>
  </si>
  <si>
    <t>ORD100140</t>
  </si>
  <si>
    <t>CUST1474</t>
  </si>
  <si>
    <t>ORD100141</t>
  </si>
  <si>
    <t>CUST1324</t>
  </si>
  <si>
    <t>ORD100142</t>
  </si>
  <si>
    <t>ORD100143</t>
  </si>
  <si>
    <t>2025-07-22</t>
  </si>
  <si>
    <t>CUST1239</t>
  </si>
  <si>
    <t>ORD100144</t>
  </si>
  <si>
    <t>CUST1072</t>
  </si>
  <si>
    <t>ORD100145</t>
  </si>
  <si>
    <t>CUST1008</t>
  </si>
  <si>
    <t>ORD100146</t>
  </si>
  <si>
    <t>2025-01-03</t>
  </si>
  <si>
    <t>CUST1548</t>
  </si>
  <si>
    <t>ORD100147</t>
  </si>
  <si>
    <t>2025-10-03</t>
  </si>
  <si>
    <t>CUST1785</t>
  </si>
  <si>
    <t>ORD100148</t>
  </si>
  <si>
    <t>CUST1336</t>
  </si>
  <si>
    <t>ORD100149</t>
  </si>
  <si>
    <t>CUST1071</t>
  </si>
  <si>
    <t>ORD100150</t>
  </si>
  <si>
    <t>CUST1358</t>
  </si>
  <si>
    <t>ORD100151</t>
  </si>
  <si>
    <t>ORD100152</t>
  </si>
  <si>
    <t>ORD100153</t>
  </si>
  <si>
    <t>2025-02-26</t>
  </si>
  <si>
    <t>CUST1117</t>
  </si>
  <si>
    <t>ORD100154</t>
  </si>
  <si>
    <t>2025-05-26</t>
  </si>
  <si>
    <t>CUST1697</t>
  </si>
  <si>
    <t>ORD100155</t>
  </si>
  <si>
    <t>CUST1491</t>
  </si>
  <si>
    <t>ORD100156</t>
  </si>
  <si>
    <t>2025-11-07</t>
  </si>
  <si>
    <t>CUST1332</t>
  </si>
  <si>
    <t>ORD100157</t>
  </si>
  <si>
    <t>ORD100158</t>
  </si>
  <si>
    <t>2025-10-29</t>
  </si>
  <si>
    <t>CUST1186</t>
  </si>
  <si>
    <t>ORD100159</t>
  </si>
  <si>
    <t>CUST1022</t>
  </si>
  <si>
    <t>ORD100160</t>
  </si>
  <si>
    <t>CUST1470</t>
  </si>
  <si>
    <t>ORD100161</t>
  </si>
  <si>
    <t>2025-12-12</t>
  </si>
  <si>
    <t>CUST1660</t>
  </si>
  <si>
    <t>ORD100162</t>
  </si>
  <si>
    <t>2025-04-25</t>
  </si>
  <si>
    <t>CUST1813</t>
  </si>
  <si>
    <t>ORD100163</t>
  </si>
  <si>
    <t>2025-12-29</t>
  </si>
  <si>
    <t>CUST1859</t>
  </si>
  <si>
    <t>ORD100164</t>
  </si>
  <si>
    <t>2025-07-14</t>
  </si>
  <si>
    <t>ORD100165</t>
  </si>
  <si>
    <t>CUST1717</t>
  </si>
  <si>
    <t>ORD100166</t>
  </si>
  <si>
    <t>2025-08-31</t>
  </si>
  <si>
    <t>CUST1247</t>
  </si>
  <si>
    <t>ORD100167</t>
  </si>
  <si>
    <t>2025-10-26</t>
  </si>
  <si>
    <t>ORD100168</t>
  </si>
  <si>
    <t>2025-04-06</t>
  </si>
  <si>
    <t>CUST1143</t>
  </si>
  <si>
    <t>ORD100169</t>
  </si>
  <si>
    <t>2025-12-19</t>
  </si>
  <si>
    <t>CUST1005</t>
  </si>
  <si>
    <t>ORD100170</t>
  </si>
  <si>
    <t>CUST1850</t>
  </si>
  <si>
    <t>ORD100171</t>
  </si>
  <si>
    <t>CUST1029</t>
  </si>
  <si>
    <t>ORD100172</t>
  </si>
  <si>
    <t>ORD100173</t>
  </si>
  <si>
    <t>2025-12-04</t>
  </si>
  <si>
    <t>CUST1784</t>
  </si>
  <si>
    <t>ORD100174</t>
  </si>
  <si>
    <t>CUST1560</t>
  </si>
  <si>
    <t>ORD100175</t>
  </si>
  <si>
    <t>2025-12-31</t>
  </si>
  <si>
    <t>CUST1849</t>
  </si>
  <si>
    <t>ORD100176</t>
  </si>
  <si>
    <t>2025-08-06</t>
  </si>
  <si>
    <t>ORD100177</t>
  </si>
  <si>
    <t>CUST1456</t>
  </si>
  <si>
    <t>ORD100178</t>
  </si>
  <si>
    <t>2025-12-14</t>
  </si>
  <si>
    <t>CUST1441</t>
  </si>
  <si>
    <t>ORD100179</t>
  </si>
  <si>
    <t>2025-07-26</t>
  </si>
  <si>
    <t>CUST1723</t>
  </si>
  <si>
    <t>ORD100180</t>
  </si>
  <si>
    <t>2025-08-26</t>
  </si>
  <si>
    <t>CUST1325</t>
  </si>
  <si>
    <t>ORD100181</t>
  </si>
  <si>
    <t>CUST1918</t>
  </si>
  <si>
    <t>ORD100182</t>
  </si>
  <si>
    <t>2025-04-30</t>
  </si>
  <si>
    <t>ORD100183</t>
  </si>
  <si>
    <t>2025-09-18</t>
  </si>
  <si>
    <t>CUST1262</t>
  </si>
  <si>
    <t>ORD100184</t>
  </si>
  <si>
    <t>2025-08-30</t>
  </si>
  <si>
    <t>CUST1869</t>
  </si>
  <si>
    <t>ORD100185</t>
  </si>
  <si>
    <t>CUST1115</t>
  </si>
  <si>
    <t>ORD100186</t>
  </si>
  <si>
    <t>2025-03-31</t>
  </si>
  <si>
    <t>CUST1692</t>
  </si>
  <si>
    <t>ORD100187</t>
  </si>
  <si>
    <t>2025-12-21</t>
  </si>
  <si>
    <t>CUST1244</t>
  </si>
  <si>
    <t>ORD100188</t>
  </si>
  <si>
    <t>2025-03-01</t>
  </si>
  <si>
    <t>CUST1566</t>
  </si>
  <si>
    <t>ORD100189</t>
  </si>
  <si>
    <t>2025-08-04</t>
  </si>
  <si>
    <t>CUST1511</t>
  </si>
  <si>
    <t>ORD100190</t>
  </si>
  <si>
    <t>2025-02-12</t>
  </si>
  <si>
    <t>CUST1462</t>
  </si>
  <si>
    <t>ORD100191</t>
  </si>
  <si>
    <t>CUST1690</t>
  </si>
  <si>
    <t>ORD100192</t>
  </si>
  <si>
    <t>CUST1846</t>
  </si>
  <si>
    <t>ORD100193</t>
  </si>
  <si>
    <t>2025-07-13</t>
  </si>
  <si>
    <t>ORD100194</t>
  </si>
  <si>
    <t>2025-07-23</t>
  </si>
  <si>
    <t>CUST1601</t>
  </si>
  <si>
    <t>ORD100195</t>
  </si>
  <si>
    <t>2025-11-08</t>
  </si>
  <si>
    <t>CUST1013</t>
  </si>
  <si>
    <t>ORD100196</t>
  </si>
  <si>
    <t>2025-01-13</t>
  </si>
  <si>
    <t>CUST1369</t>
  </si>
  <si>
    <t>ORD100197</t>
  </si>
  <si>
    <t>CUST1128</t>
  </si>
  <si>
    <t>ORD100198</t>
  </si>
  <si>
    <t>2025-03-25</t>
  </si>
  <si>
    <t>ORD100199</t>
  </si>
  <si>
    <t>CUST1942</t>
  </si>
  <si>
    <t>ORD100200</t>
  </si>
  <si>
    <t>CUST1478</t>
  </si>
  <si>
    <t>ORD100201</t>
  </si>
  <si>
    <t>2025-09-16</t>
  </si>
  <si>
    <t>CUST1655</t>
  </si>
  <si>
    <t>ORD100202</t>
  </si>
  <si>
    <t>2025-11-06</t>
  </si>
  <si>
    <t>CUST1561</t>
  </si>
  <si>
    <t>ORD100203</t>
  </si>
  <si>
    <t>2025-04-23</t>
  </si>
  <si>
    <t>CUST1040</t>
  </si>
  <si>
    <t>ORD100204</t>
  </si>
  <si>
    <t>CUST1558</t>
  </si>
  <si>
    <t>ORD100205</t>
  </si>
  <si>
    <t>2025-10-18</t>
  </si>
  <si>
    <t>CUST1048</t>
  </si>
  <si>
    <t>ORD100206</t>
  </si>
  <si>
    <t>CUST1579</t>
  </si>
  <si>
    <t>ORD100207</t>
  </si>
  <si>
    <t>2025-10-28</t>
  </si>
  <si>
    <t>ORD100208</t>
  </si>
  <si>
    <t>2025-03-18</t>
  </si>
  <si>
    <t>CUST1888</t>
  </si>
  <si>
    <t>ORD100209</t>
  </si>
  <si>
    <t>2025-09-29</t>
  </si>
  <si>
    <t>CUST1794</t>
  </si>
  <si>
    <t>ORD100210</t>
  </si>
  <si>
    <t>2025-04-20</t>
  </si>
  <si>
    <t>CUST1618</t>
  </si>
  <si>
    <t>ORD100211</t>
  </si>
  <si>
    <t>CUST1964</t>
  </si>
  <si>
    <t>ORD100212</t>
  </si>
  <si>
    <t>CUST1129</t>
  </si>
  <si>
    <t>ORD100213</t>
  </si>
  <si>
    <t>2025-10-22</t>
  </si>
  <si>
    <t>CUST1067</t>
  </si>
  <si>
    <t>ORD100214</t>
  </si>
  <si>
    <t>CUST1121</t>
  </si>
  <si>
    <t>ORD100215</t>
  </si>
  <si>
    <t>2025-02-20</t>
  </si>
  <si>
    <t>ORD100216</t>
  </si>
  <si>
    <t>2025-12-16</t>
  </si>
  <si>
    <t>CUST1339</t>
  </si>
  <si>
    <t>ORD100217</t>
  </si>
  <si>
    <t>CUST1874</t>
  </si>
  <si>
    <t>ORD100218</t>
  </si>
  <si>
    <t>2025-01-04</t>
  </si>
  <si>
    <t>CUST1159</t>
  </si>
  <si>
    <t>ORD100219</t>
  </si>
  <si>
    <t>CUST1854</t>
  </si>
  <si>
    <t>ORD100220</t>
  </si>
  <si>
    <t>2025-06-19</t>
  </si>
  <si>
    <t>CUST1613</t>
  </si>
  <si>
    <t>ORD100221</t>
  </si>
  <si>
    <t>2025-03-05</t>
  </si>
  <si>
    <t>CUST1747</t>
  </si>
  <si>
    <t>ORD100222</t>
  </si>
  <si>
    <t>2025-11-02</t>
  </si>
  <si>
    <t>ORD100223</t>
  </si>
  <si>
    <t>ORD100224</t>
  </si>
  <si>
    <t>2025-07-20</t>
  </si>
  <si>
    <t>CUST1781</t>
  </si>
  <si>
    <t>ORD100225</t>
  </si>
  <si>
    <t>2025-08-24</t>
  </si>
  <si>
    <t>CUST1640</t>
  </si>
  <si>
    <t>ORD100226</t>
  </si>
  <si>
    <t>ORD100227</t>
  </si>
  <si>
    <t>2025-01-06</t>
  </si>
  <si>
    <t>CUST1810</t>
  </si>
  <si>
    <t>ORD100228</t>
  </si>
  <si>
    <t>2025-08-19</t>
  </si>
  <si>
    <t>CUST1316</t>
  </si>
  <si>
    <t>ORD100229</t>
  </si>
  <si>
    <t>2025-11-12</t>
  </si>
  <si>
    <t>ORD100230</t>
  </si>
  <si>
    <t>2025-07-12</t>
  </si>
  <si>
    <t>ORD100231</t>
  </si>
  <si>
    <t>CUST1724</t>
  </si>
  <si>
    <t>ORD100232</t>
  </si>
  <si>
    <t>CUST1819</t>
  </si>
  <si>
    <t>ORD100233</t>
  </si>
  <si>
    <t>2025-07-31</t>
  </si>
  <si>
    <t>CUST1766</t>
  </si>
  <si>
    <t>ORD100234</t>
  </si>
  <si>
    <t>2025-08-21</t>
  </si>
  <si>
    <t>CUST1027</t>
  </si>
  <si>
    <t>ORD100235</t>
  </si>
  <si>
    <t>2025-03-27</t>
  </si>
  <si>
    <t>CUST1737</t>
  </si>
  <si>
    <t>ORD100236</t>
  </si>
  <si>
    <t>2025-07-15</t>
  </si>
  <si>
    <t>CUST1065</t>
  </si>
  <si>
    <t>ORD100237</t>
  </si>
  <si>
    <t>CUST1703</t>
  </si>
  <si>
    <t>ORD100238</t>
  </si>
  <si>
    <t>CUST1518</t>
  </si>
  <si>
    <t>ORD100239</t>
  </si>
  <si>
    <t>2025-06-23</t>
  </si>
  <si>
    <t>CUST1263</t>
  </si>
  <si>
    <t>ORD100240</t>
  </si>
  <si>
    <t>CUST1557</t>
  </si>
  <si>
    <t>ORD100241</t>
  </si>
  <si>
    <t>2025-01-15</t>
  </si>
  <si>
    <t>CUST1533</t>
  </si>
  <si>
    <t>ORD100242</t>
  </si>
  <si>
    <t>ORD100243</t>
  </si>
  <si>
    <t>CUST1776</t>
  </si>
  <si>
    <t>ORD100244</t>
  </si>
  <si>
    <t>2025-08-17</t>
  </si>
  <si>
    <t>CUST1421</t>
  </si>
  <si>
    <t>ORD100245</t>
  </si>
  <si>
    <t>CUST1841</t>
  </si>
  <si>
    <t>ORD100246</t>
  </si>
  <si>
    <t>2025-07-03</t>
  </si>
  <si>
    <t>CUST1200</t>
  </si>
  <si>
    <t>ORD100247</t>
  </si>
  <si>
    <t>CUST1563</t>
  </si>
  <si>
    <t>ORD100248</t>
  </si>
  <si>
    <t>2025-12-09</t>
  </si>
  <si>
    <t>CUST1311</t>
  </si>
  <si>
    <t>ORD100249</t>
  </si>
  <si>
    <t>CUST1137</t>
  </si>
  <si>
    <t>ORD100250</t>
  </si>
  <si>
    <t>2025-01-30</t>
  </si>
  <si>
    <t>ORD100251</t>
  </si>
  <si>
    <t>2025-10-01</t>
  </si>
  <si>
    <t>CUST1055</t>
  </si>
  <si>
    <t>ORD100252</t>
  </si>
  <si>
    <t>2025-09-23</t>
  </si>
  <si>
    <t>CUST1715</t>
  </si>
  <si>
    <t>ORD100253</t>
  </si>
  <si>
    <t>CUST1863</t>
  </si>
  <si>
    <t>ORD100254</t>
  </si>
  <si>
    <t>CUST1034</t>
  </si>
  <si>
    <t>ORD100255</t>
  </si>
  <si>
    <t>CUST1544</t>
  </si>
  <si>
    <t>ORD100256</t>
  </si>
  <si>
    <t>2025-10-21</t>
  </si>
  <si>
    <t>CUST1419</t>
  </si>
  <si>
    <t>ORD100257</t>
  </si>
  <si>
    <t>CUST1598</t>
  </si>
  <si>
    <t>ORD100258</t>
  </si>
  <si>
    <t>2025-08-11</t>
  </si>
  <si>
    <t>CUST1371</t>
  </si>
  <si>
    <t>ORD100259</t>
  </si>
  <si>
    <t>2025-01-27</t>
  </si>
  <si>
    <t>ORD100260</t>
  </si>
  <si>
    <t>2025-08-16</t>
  </si>
  <si>
    <t>CUST1891</t>
  </si>
  <si>
    <t>ORD100261</t>
  </si>
  <si>
    <t>2025-03-30</t>
  </si>
  <si>
    <t>ORD100262</t>
  </si>
  <si>
    <t>2025-07-11</t>
  </si>
  <si>
    <t>CUST1719</t>
  </si>
  <si>
    <t>ORD100263</t>
  </si>
  <si>
    <t>2025-09-25</t>
  </si>
  <si>
    <t>CUST1771</t>
  </si>
  <si>
    <t>ORD100264</t>
  </si>
  <si>
    <t>ORD100265</t>
  </si>
  <si>
    <t>2025-07-28</t>
  </si>
  <si>
    <t>CUST1899</t>
  </si>
  <si>
    <t>ORD100266</t>
  </si>
  <si>
    <t>2025-09-17</t>
  </si>
  <si>
    <t>ORD100267</t>
  </si>
  <si>
    <t>2025-01-12</t>
  </si>
  <si>
    <t>CUST1225</t>
  </si>
  <si>
    <t>ORD100268</t>
  </si>
  <si>
    <t>2025-01-31</t>
  </si>
  <si>
    <t>CUST1619</t>
  </si>
  <si>
    <t>ORD100269</t>
  </si>
  <si>
    <t>CUST1210</t>
  </si>
  <si>
    <t>ORD100270</t>
  </si>
  <si>
    <t>2025-06-27</t>
  </si>
  <si>
    <t>CUST1188</t>
  </si>
  <si>
    <t>ORD100271</t>
  </si>
  <si>
    <t>CUST1356</t>
  </si>
  <si>
    <t>ORD100272</t>
  </si>
  <si>
    <t>2025-09-14</t>
  </si>
  <si>
    <t>CUST1044</t>
  </si>
  <si>
    <t>ORD100273</t>
  </si>
  <si>
    <t>2025-07-29</t>
  </si>
  <si>
    <t>ORD100274</t>
  </si>
  <si>
    <t>ORD100275</t>
  </si>
  <si>
    <t>2025-04-05</t>
  </si>
  <si>
    <t>ORD100276</t>
  </si>
  <si>
    <t>CUST1540</t>
  </si>
  <si>
    <t>ORD100277</t>
  </si>
  <si>
    <t>2025-11-03</t>
  </si>
  <si>
    <t>CUST1320</t>
  </si>
  <si>
    <t>ORD100278</t>
  </si>
  <si>
    <t>CUST1877</t>
  </si>
  <si>
    <t>ORD100279</t>
  </si>
  <si>
    <t>2025-09-01</t>
  </si>
  <si>
    <t>CUST1168</t>
  </si>
  <si>
    <t>ORD100280</t>
  </si>
  <si>
    <t>CUST1564</t>
  </si>
  <si>
    <t>ORD100281</t>
  </si>
  <si>
    <t>CUST1411</t>
  </si>
  <si>
    <t>ORD100282</t>
  </si>
  <si>
    <t>2025-02-28</t>
  </si>
  <si>
    <t>ORD100283</t>
  </si>
  <si>
    <t>2025-03-04</t>
  </si>
  <si>
    <t>ORD100284</t>
  </si>
  <si>
    <t>ORD100285</t>
  </si>
  <si>
    <t>2025-12-30</t>
  </si>
  <si>
    <t>CUST1156</t>
  </si>
  <si>
    <t>ORD100286</t>
  </si>
  <si>
    <t>CUST1515</t>
  </si>
  <si>
    <t>ORD100287</t>
  </si>
  <si>
    <t>CUST1437</t>
  </si>
  <si>
    <t>ORD100288</t>
  </si>
  <si>
    <t>CUST1782</t>
  </si>
  <si>
    <t>ORD100289</t>
  </si>
  <si>
    <t>2025-12-10</t>
  </si>
  <si>
    <t>CUST1770</t>
  </si>
  <si>
    <t>ORD100290</t>
  </si>
  <si>
    <t>ORD100291</t>
  </si>
  <si>
    <t>2025-09-30</t>
  </si>
  <si>
    <t>ORD100292</t>
  </si>
  <si>
    <t>2025-01-24</t>
  </si>
  <si>
    <t>CUST1001</t>
  </si>
  <si>
    <t>ORD100293</t>
  </si>
  <si>
    <t>2025-09-05</t>
  </si>
  <si>
    <t>CUST1621</t>
  </si>
  <si>
    <t>ORD100294</t>
  </si>
  <si>
    <t>2025-03-19</t>
  </si>
  <si>
    <t>CUST1844</t>
  </si>
  <si>
    <t>ORD100295</t>
  </si>
  <si>
    <t>CUST1575</t>
  </si>
  <si>
    <t>ORD100296</t>
  </si>
  <si>
    <t>CUST1237</t>
  </si>
  <si>
    <t>ORD100297</t>
  </si>
  <si>
    <t>2025-12-23</t>
  </si>
  <si>
    <t>CUST1313</t>
  </si>
  <si>
    <t>ORD100298</t>
  </si>
  <si>
    <t>CUST1138</t>
  </si>
  <si>
    <t>ORD100299</t>
  </si>
  <si>
    <t>2025-11-16</t>
  </si>
  <si>
    <t>CUST1195</t>
  </si>
  <si>
    <t>ORD100300</t>
  </si>
  <si>
    <t>ORD100301</t>
  </si>
  <si>
    <t>2025-02-24</t>
  </si>
  <si>
    <t>CUST1246</t>
  </si>
  <si>
    <t>ORD100302</t>
  </si>
  <si>
    <t>2025-05-20</t>
  </si>
  <si>
    <t>ORD100303</t>
  </si>
  <si>
    <t>2025-08-15</t>
  </si>
  <si>
    <t>CUST1699</t>
  </si>
  <si>
    <t>ORD100304</t>
  </si>
  <si>
    <t>CUST1550</t>
  </si>
  <si>
    <t>ORD100305</t>
  </si>
  <si>
    <t>2025-09-22</t>
  </si>
  <si>
    <t>CUST1815</t>
  </si>
  <si>
    <t>ORD100306</t>
  </si>
  <si>
    <t>CUST1825</t>
  </si>
  <si>
    <t>ORD100307</t>
  </si>
  <si>
    <t>2025-02-16</t>
  </si>
  <si>
    <t>CUST1949</t>
  </si>
  <si>
    <t>ORD100308</t>
  </si>
  <si>
    <t>CUST1043</t>
  </si>
  <si>
    <t>ORD100309</t>
  </si>
  <si>
    <t>ORD100310</t>
  </si>
  <si>
    <t>2025-01-09</t>
  </si>
  <si>
    <t>CUST1760</t>
  </si>
  <si>
    <t>ORD100311</t>
  </si>
  <si>
    <t>2025-01-26</t>
  </si>
  <si>
    <t>ORD100312</t>
  </si>
  <si>
    <t>ORD100313</t>
  </si>
  <si>
    <t>2025-06-03</t>
  </si>
  <si>
    <t>CUST1476</t>
  </si>
  <si>
    <t>ORD100314</t>
  </si>
  <si>
    <t>2025-05-13</t>
  </si>
  <si>
    <t>CUST1477</t>
  </si>
  <si>
    <t>ORD100315</t>
  </si>
  <si>
    <t>2025-07-24</t>
  </si>
  <si>
    <t>ORD100316</t>
  </si>
  <si>
    <t>CUST1079</t>
  </si>
  <si>
    <t>ORD100317</t>
  </si>
  <si>
    <t>2025-12-03</t>
  </si>
  <si>
    <t>CUST1309</t>
  </si>
  <si>
    <t>ORD100318</t>
  </si>
  <si>
    <t>CUST1682</t>
  </si>
  <si>
    <t>ORD100319</t>
  </si>
  <si>
    <t>CUST1602</t>
  </si>
  <si>
    <t>ORD100320</t>
  </si>
  <si>
    <t>CUST1698</t>
  </si>
  <si>
    <t>ORD100321</t>
  </si>
  <si>
    <t>ORD100322</t>
  </si>
  <si>
    <t>ORD100323</t>
  </si>
  <si>
    <t>2025-11-04</t>
  </si>
  <si>
    <t>CUST1466</t>
  </si>
  <si>
    <t>ORD100324</t>
  </si>
  <si>
    <t>ORD100325</t>
  </si>
  <si>
    <t>2025-09-03</t>
  </si>
  <si>
    <t>ORD100326</t>
  </si>
  <si>
    <t>ORD100327</t>
  </si>
  <si>
    <t>2025-09-04</t>
  </si>
  <si>
    <t>ORD100328</t>
  </si>
  <si>
    <t>2025-05-12</t>
  </si>
  <si>
    <t>CUST1348</t>
  </si>
  <si>
    <t>ORD100329</t>
  </si>
  <si>
    <t>2025-02-08</t>
  </si>
  <si>
    <t>CUST1732</t>
  </si>
  <si>
    <t>ORD100330</t>
  </si>
  <si>
    <t>CUST1817</t>
  </si>
  <si>
    <t>ORD100331</t>
  </si>
  <si>
    <t>2025-02-13</t>
  </si>
  <si>
    <t>CUST1522</t>
  </si>
  <si>
    <t>ORD100332</t>
  </si>
  <si>
    <t>2025-04-08</t>
  </si>
  <si>
    <t>CUST1604</t>
  </si>
  <si>
    <t>ORD100333</t>
  </si>
  <si>
    <t>2025-03-06</t>
  </si>
  <si>
    <t>CUST1670</t>
  </si>
  <si>
    <t>ORD100334</t>
  </si>
  <si>
    <t>2025-02-03</t>
  </si>
  <si>
    <t>CUST1297</t>
  </si>
  <si>
    <t>ORD100335</t>
  </si>
  <si>
    <t>ORD100336</t>
  </si>
  <si>
    <t>CUST1183</t>
  </si>
  <si>
    <t>ORD100337</t>
  </si>
  <si>
    <t>2025-12-05</t>
  </si>
  <si>
    <t>CUST1641</t>
  </si>
  <si>
    <t>ORD100338</t>
  </si>
  <si>
    <t>CUST1035</t>
  </si>
  <si>
    <t>ORD100339</t>
  </si>
  <si>
    <t>2025-11-14</t>
  </si>
  <si>
    <t>ORD100340</t>
  </si>
  <si>
    <t>CUST1947</t>
  </si>
  <si>
    <t>ORD100341</t>
  </si>
  <si>
    <t>CUST1630</t>
  </si>
  <si>
    <t>ORD100342</t>
  </si>
  <si>
    <t>CUST1443</t>
  </si>
  <si>
    <t>ORD100343</t>
  </si>
  <si>
    <t>2025-04-14</t>
  </si>
  <si>
    <t>CUST1403</t>
  </si>
  <si>
    <t>ORD100344</t>
  </si>
  <si>
    <t>2025-10-24</t>
  </si>
  <si>
    <t>CUST1969</t>
  </si>
  <si>
    <t>ORD100345</t>
  </si>
  <si>
    <t>ORD100346</t>
  </si>
  <si>
    <t>CUST1021</t>
  </si>
  <si>
    <t>ORD100347</t>
  </si>
  <si>
    <t>2025-11-29</t>
  </si>
  <si>
    <t>ORD100348</t>
  </si>
  <si>
    <t>2025-01-07</t>
  </si>
  <si>
    <t>CUST1606</t>
  </si>
  <si>
    <t>ORD100349</t>
  </si>
  <si>
    <t>CUST1856</t>
  </si>
  <si>
    <t>ORD100350</t>
  </si>
  <si>
    <t>CUST1102</t>
  </si>
  <si>
    <t>ORD100351</t>
  </si>
  <si>
    <t>ORD100352</t>
  </si>
  <si>
    <t>ORD100353</t>
  </si>
  <si>
    <t>ORD100354</t>
  </si>
  <si>
    <t>CUST1038</t>
  </si>
  <si>
    <t>ORD100355</t>
  </si>
  <si>
    <t>CUST1629</t>
  </si>
  <si>
    <t>ORD100356</t>
  </si>
  <si>
    <t>2025-10-05</t>
  </si>
  <si>
    <t>CUST1150</t>
  </si>
  <si>
    <t>ORD100357</t>
  </si>
  <si>
    <t>CUST1099</t>
  </si>
  <si>
    <t>ORD100358</t>
  </si>
  <si>
    <t>2025-02-21</t>
  </si>
  <si>
    <t>CUST1436</t>
  </si>
  <si>
    <t>ORD100359</t>
  </si>
  <si>
    <t>ORD100360</t>
  </si>
  <si>
    <t>CUST1748</t>
  </si>
  <si>
    <t>ORD100361</t>
  </si>
  <si>
    <t>CUST1528</t>
  </si>
  <si>
    <t>ORD100362</t>
  </si>
  <si>
    <t>2025-07-08</t>
  </si>
  <si>
    <t>ORD100363</t>
  </si>
  <si>
    <t>2025-10-19</t>
  </si>
  <si>
    <t>CUST1204</t>
  </si>
  <si>
    <t>ORD100364</t>
  </si>
  <si>
    <t>CUST1940</t>
  </si>
  <si>
    <t>ORD100365</t>
  </si>
  <si>
    <t>2025-10-02</t>
  </si>
  <si>
    <t>CUST1032</t>
  </si>
  <si>
    <t>ORD100366</t>
  </si>
  <si>
    <t>CUST1288</t>
  </si>
  <si>
    <t>ORD100367</t>
  </si>
  <si>
    <t>2025-02-06</t>
  </si>
  <si>
    <t>CUST1591</t>
  </si>
  <si>
    <t>ORD100368</t>
  </si>
  <si>
    <t>CUST1541</t>
  </si>
  <si>
    <t>ORD100369</t>
  </si>
  <si>
    <t>CUST1696</t>
  </si>
  <si>
    <t>ORD100370</t>
  </si>
  <si>
    <t>CUST1928</t>
  </si>
  <si>
    <t>ORD100371</t>
  </si>
  <si>
    <t>CUST1702</t>
  </si>
  <si>
    <t>ORD100372</t>
  </si>
  <si>
    <t>CUST1290</t>
  </si>
  <si>
    <t>ORD100373</t>
  </si>
  <si>
    <t>CUST1321</t>
  </si>
  <si>
    <t>ORD100374</t>
  </si>
  <si>
    <t>ORD100375</t>
  </si>
  <si>
    <t>CUST1025</t>
  </si>
  <si>
    <t>ORD100376</t>
  </si>
  <si>
    <t>ORD100377</t>
  </si>
  <si>
    <t>2025-06-16</t>
  </si>
  <si>
    <t>CUST1231</t>
  </si>
  <si>
    <t>ORD100378</t>
  </si>
  <si>
    <t>2025-07-01</t>
  </si>
  <si>
    <t>CUST1912</t>
  </si>
  <si>
    <t>ORD100379</t>
  </si>
  <si>
    <t>CUST1972</t>
  </si>
  <si>
    <t>ORD100380</t>
  </si>
  <si>
    <t>ORD100381</t>
  </si>
  <si>
    <t>ORD100382</t>
  </si>
  <si>
    <t>ORD100383</t>
  </si>
  <si>
    <t>CUST1213</t>
  </si>
  <si>
    <t>ORD100384</t>
  </si>
  <si>
    <t>2025-07-27</t>
  </si>
  <si>
    <t>CUST1260</t>
  </si>
  <si>
    <t>ORD100385</t>
  </si>
  <si>
    <t>ORD100386</t>
  </si>
  <si>
    <t>CUST1672</t>
  </si>
  <si>
    <t>ORD100387</t>
  </si>
  <si>
    <t>ORD100388</t>
  </si>
  <si>
    <t>CUST1391</t>
  </si>
  <si>
    <t>ORD100389</t>
  </si>
  <si>
    <t>CUST1458</t>
  </si>
  <si>
    <t>ORD100390</t>
  </si>
  <si>
    <t>2025-11-10</t>
  </si>
  <si>
    <t>CUST1592</t>
  </si>
  <si>
    <t>ORD100391</t>
  </si>
  <si>
    <t>CUST1827</t>
  </si>
  <si>
    <t>ORD100392</t>
  </si>
  <si>
    <t>CUST1521</t>
  </si>
  <si>
    <t>ORD100393</t>
  </si>
  <si>
    <t>CUST1046</t>
  </si>
  <si>
    <t>ORD100394</t>
  </si>
  <si>
    <t>CUST1134</t>
  </si>
  <si>
    <t>ORD100395</t>
  </si>
  <si>
    <t>2025-07-04</t>
  </si>
  <si>
    <t>CUST1950</t>
  </si>
  <si>
    <t>ORD100396</t>
  </si>
  <si>
    <t>ORD100397</t>
  </si>
  <si>
    <t>CUST1577</t>
  </si>
  <si>
    <t>ORD100398</t>
  </si>
  <si>
    <t>CUST1012</t>
  </si>
  <si>
    <t>ORD100399</t>
  </si>
  <si>
    <t>ORD100400</t>
  </si>
  <si>
    <t>2025-12-08</t>
  </si>
  <si>
    <t>CUST1552</t>
  </si>
  <si>
    <t>ORD100401</t>
  </si>
  <si>
    <t>ORD100402</t>
  </si>
  <si>
    <t>ORD100403</t>
  </si>
  <si>
    <t>ORD100404</t>
  </si>
  <si>
    <t>CUST1085</t>
  </si>
  <si>
    <t>ORD100405</t>
  </si>
  <si>
    <t>CUST1738</t>
  </si>
  <si>
    <t>ORD100406</t>
  </si>
  <si>
    <t>2025-04-26</t>
  </si>
  <si>
    <t>CUST1395</t>
  </si>
  <si>
    <t>ORD100407</t>
  </si>
  <si>
    <t>CUST1402</t>
  </si>
  <si>
    <t>ORD100408</t>
  </si>
  <si>
    <t>ORD100409</t>
  </si>
  <si>
    <t>CUST1245</t>
  </si>
  <si>
    <t>ORD100410</t>
  </si>
  <si>
    <t>CUST1222</t>
  </si>
  <si>
    <t>ORD100411</t>
  </si>
  <si>
    <t>2025-01-17</t>
  </si>
  <si>
    <t>CUST1554</t>
  </si>
  <si>
    <t>ORD100412</t>
  </si>
  <si>
    <t>ORD100413</t>
  </si>
  <si>
    <t>2025-06-10</t>
  </si>
  <si>
    <t>CUST1580</t>
  </si>
  <si>
    <t>ORD100414</t>
  </si>
  <si>
    <t>2025-05-28</t>
  </si>
  <si>
    <t>ORD100415</t>
  </si>
  <si>
    <t>ORD100416</t>
  </si>
  <si>
    <t>2025-02-15</t>
  </si>
  <si>
    <t>CUST1481</t>
  </si>
  <si>
    <t>ORD100417</t>
  </si>
  <si>
    <t>2025-02-04</t>
  </si>
  <si>
    <t>CUST1987</t>
  </si>
  <si>
    <t>ORD100418</t>
  </si>
  <si>
    <t>2025-03-12</t>
  </si>
  <si>
    <t>CUST1312</t>
  </si>
  <si>
    <t>ORD100419</t>
  </si>
  <si>
    <t>CUST1454</t>
  </si>
  <si>
    <t>ORD100420</t>
  </si>
  <si>
    <t>CUST1626</t>
  </si>
  <si>
    <t>ORD100421</t>
  </si>
  <si>
    <t>ORD100422</t>
  </si>
  <si>
    <t>ORD100423</t>
  </si>
  <si>
    <t>CUST1556</t>
  </si>
  <si>
    <t>ORD100424</t>
  </si>
  <si>
    <t>ORD100425</t>
  </si>
  <si>
    <t>ORD100426</t>
  </si>
  <si>
    <t>CUST1002</t>
  </si>
  <si>
    <t>ORD100427</t>
  </si>
  <si>
    <t>2025-07-16</t>
  </si>
  <si>
    <t>CUST1432</t>
  </si>
  <si>
    <t>ORD100428</t>
  </si>
  <si>
    <t>CUST1895</t>
  </si>
  <si>
    <t>ORD100429</t>
  </si>
  <si>
    <t>CUST1796</t>
  </si>
  <si>
    <t>ORD100430</t>
  </si>
  <si>
    <t>CUST1281</t>
  </si>
  <si>
    <t>ORD100431</t>
  </si>
  <si>
    <t>2025-11-26</t>
  </si>
  <si>
    <t>CUST1941</t>
  </si>
  <si>
    <t>ORD100432</t>
  </si>
  <si>
    <t>2025-03-22</t>
  </si>
  <si>
    <t>ORD100433</t>
  </si>
  <si>
    <t>CUST1308</t>
  </si>
  <si>
    <t>ORD100434</t>
  </si>
  <si>
    <t>CUST1092</t>
  </si>
  <si>
    <t>ORD100435</t>
  </si>
  <si>
    <t>CUST1845</t>
  </si>
  <si>
    <t>ORD100436</t>
  </si>
  <si>
    <t>ORD100437</t>
  </si>
  <si>
    <t>CUST1413</t>
  </si>
  <si>
    <t>ORD100438</t>
  </si>
  <si>
    <t>2025-11-27</t>
  </si>
  <si>
    <t>CUST1254</t>
  </si>
  <si>
    <t>ORD100439</t>
  </si>
  <si>
    <t>ORD100440</t>
  </si>
  <si>
    <t>2025-05-11</t>
  </si>
  <si>
    <t>ORD100441</t>
  </si>
  <si>
    <t>2025-06-11</t>
  </si>
  <si>
    <t>CUST1105</t>
  </si>
  <si>
    <t>ORD100442</t>
  </si>
  <si>
    <t>CUST1733</t>
  </si>
  <si>
    <t>ORD100443</t>
  </si>
  <si>
    <t>CUST1161</t>
  </si>
  <si>
    <t>ORD100444</t>
  </si>
  <si>
    <t>CUST1109</t>
  </si>
  <si>
    <t>ORD100445</t>
  </si>
  <si>
    <t>2025-02-18</t>
  </si>
  <si>
    <t>ORD100446</t>
  </si>
  <si>
    <t>CUST1605</t>
  </si>
  <si>
    <t>ORD100447</t>
  </si>
  <si>
    <t>2025-12-25</t>
  </si>
  <si>
    <t>ORD100448</t>
  </si>
  <si>
    <t>CUST1066</t>
  </si>
  <si>
    <t>ORD100449</t>
  </si>
  <si>
    <t>2025-10-31</t>
  </si>
  <si>
    <t>CUST1446</t>
  </si>
  <si>
    <t>ORD100450</t>
  </si>
  <si>
    <t>CUST1795</t>
  </si>
  <si>
    <t>ORD100451</t>
  </si>
  <si>
    <t>CUST1283</t>
  </si>
  <si>
    <t>ORD100452</t>
  </si>
  <si>
    <t>2025-11-17</t>
  </si>
  <si>
    <t>CUST1920</t>
  </si>
  <si>
    <t>ORD100453</t>
  </si>
  <si>
    <t>ORD100454</t>
  </si>
  <si>
    <t>CUST1011</t>
  </si>
  <si>
    <t>ORD100455</t>
  </si>
  <si>
    <t>CUST1955</t>
  </si>
  <si>
    <t>ORD100456</t>
  </si>
  <si>
    <t>ORD100457</t>
  </si>
  <si>
    <t>CUST1006</t>
  </si>
  <si>
    <t>ORD100458</t>
  </si>
  <si>
    <t>ORD100459</t>
  </si>
  <si>
    <t>CUST1631</t>
  </si>
  <si>
    <t>ORD100460</t>
  </si>
  <si>
    <t>ORD100461</t>
  </si>
  <si>
    <t>ORD100462</t>
  </si>
  <si>
    <t>2025-05-04</t>
  </si>
  <si>
    <t>ORD100463</t>
  </si>
  <si>
    <t>CUST1807</t>
  </si>
  <si>
    <t>ORD100464</t>
  </si>
  <si>
    <t>ORD100465</t>
  </si>
  <si>
    <t>2025-04-03</t>
  </si>
  <si>
    <t>ORD100466</t>
  </si>
  <si>
    <t>CUST1170</t>
  </si>
  <si>
    <t>ORD100467</t>
  </si>
  <si>
    <t>CUST1991</t>
  </si>
  <si>
    <t>ORD100468</t>
  </si>
  <si>
    <t>ORD100469</t>
  </si>
  <si>
    <t>ORD100470</t>
  </si>
  <si>
    <t>ORD100471</t>
  </si>
  <si>
    <t>ORD100472</t>
  </si>
  <si>
    <t>ORD100473</t>
  </si>
  <si>
    <t>ORD100474</t>
  </si>
  <si>
    <t>ORD100475</t>
  </si>
  <si>
    <t>CUST1410</t>
  </si>
  <si>
    <t>ORD100476</t>
  </si>
  <si>
    <t>2025-11-22</t>
  </si>
  <si>
    <t>CUST1009</t>
  </si>
  <si>
    <t>ORD100477</t>
  </si>
  <si>
    <t>2025-01-22</t>
  </si>
  <si>
    <t>CUST1758</t>
  </si>
  <si>
    <t>ORD100478</t>
  </si>
  <si>
    <t>CUST1086</t>
  </si>
  <si>
    <t>ORD100479</t>
  </si>
  <si>
    <t>CUST1791</t>
  </si>
  <si>
    <t>ORD100480</t>
  </si>
  <si>
    <t>ORD100481</t>
  </si>
  <si>
    <t>ORD100482</t>
  </si>
  <si>
    <t>CUST1042</t>
  </si>
  <si>
    <t>ORD100483</t>
  </si>
  <si>
    <t>2025-01-18</t>
  </si>
  <si>
    <t>CUST1465</t>
  </si>
  <si>
    <t>ORD100484</t>
  </si>
  <si>
    <t>ORD100485</t>
  </si>
  <si>
    <t>CUST1997</t>
  </si>
  <si>
    <t>ORD100486</t>
  </si>
  <si>
    <t>CUST1957</t>
  </si>
  <si>
    <t>ORD100487</t>
  </si>
  <si>
    <t>2025-06-14</t>
  </si>
  <si>
    <t>ORD100488</t>
  </si>
  <si>
    <t>2025-10-20</t>
  </si>
  <si>
    <t>CUST1088</t>
  </si>
  <si>
    <t>ORD100489</t>
  </si>
  <si>
    <t>CUST1494</t>
  </si>
  <si>
    <t>ORD100490</t>
  </si>
  <si>
    <t>CUST1018</t>
  </si>
  <si>
    <t>ORD100491</t>
  </si>
  <si>
    <t>CUST1445</t>
  </si>
  <si>
    <t>ORD100492</t>
  </si>
  <si>
    <t>2025-04-15</t>
  </si>
  <si>
    <t>ORD100493</t>
  </si>
  <si>
    <t>ORD100494</t>
  </si>
  <si>
    <t>2025-07-07</t>
  </si>
  <si>
    <t>ORD100495</t>
  </si>
  <si>
    <t>2025-11-15</t>
  </si>
  <si>
    <t>CUST1173</t>
  </si>
  <si>
    <t>ORD100496</t>
  </si>
  <si>
    <t>CUST1123</t>
  </si>
  <si>
    <t>ORD100497</t>
  </si>
  <si>
    <t>ORD100498</t>
  </si>
  <si>
    <t>CUST1167</t>
  </si>
  <si>
    <t>ORD100499</t>
  </si>
  <si>
    <t>ORD100500</t>
  </si>
  <si>
    <t>CUST1800</t>
  </si>
  <si>
    <t>ORD100501</t>
  </si>
  <si>
    <t>CUST1091</t>
  </si>
  <si>
    <t>ORD100502</t>
  </si>
  <si>
    <t>CUST1730</t>
  </si>
  <si>
    <t>ORD100503</t>
  </si>
  <si>
    <t>2025-09-02</t>
  </si>
  <si>
    <t>CUST1218</t>
  </si>
  <si>
    <t>ORD100504</t>
  </si>
  <si>
    <t>CUST1644</t>
  </si>
  <si>
    <t>ORD100505</t>
  </si>
  <si>
    <t>CUST1520</t>
  </si>
  <si>
    <t>ORD100506</t>
  </si>
  <si>
    <t>ORD100507</t>
  </si>
  <si>
    <t>ORD100508</t>
  </si>
  <si>
    <t>CUST1078</t>
  </si>
  <si>
    <t>ORD100509</t>
  </si>
  <si>
    <t>CUST1763</t>
  </si>
  <si>
    <t>ORD100510</t>
  </si>
  <si>
    <t>ORD100511</t>
  </si>
  <si>
    <t>2025-03-29</t>
  </si>
  <si>
    <t>CUST1461</t>
  </si>
  <si>
    <t>ORD100512</t>
  </si>
  <si>
    <t>CUST1765</t>
  </si>
  <si>
    <t>ORD100513</t>
  </si>
  <si>
    <t>ORD100514</t>
  </si>
  <si>
    <t>ORD100515</t>
  </si>
  <si>
    <t>2025-06-01</t>
  </si>
  <si>
    <t>CUST1453</t>
  </si>
  <si>
    <t>ORD100516</t>
  </si>
  <si>
    <t>CUST1622</t>
  </si>
  <si>
    <t>ORD100517</t>
  </si>
  <si>
    <t>ORD100518</t>
  </si>
  <si>
    <t>CUST1227</t>
  </si>
  <si>
    <t>ORD100519</t>
  </si>
  <si>
    <t>CUST1751</t>
  </si>
  <si>
    <t>ORD100520</t>
  </si>
  <si>
    <t>CUST1240</t>
  </si>
  <si>
    <t>ORD100521</t>
  </si>
  <si>
    <t>CUST1537</t>
  </si>
  <si>
    <t>ORD100522</t>
  </si>
  <si>
    <t>ORD100523</t>
  </si>
  <si>
    <t>ORD100524</t>
  </si>
  <si>
    <t>2025-03-20</t>
  </si>
  <si>
    <t>ORD100525</t>
  </si>
  <si>
    <t>2025-11-23</t>
  </si>
  <si>
    <t>CUST1291</t>
  </si>
  <si>
    <t>ORD100526</t>
  </si>
  <si>
    <t>ORD100527</t>
  </si>
  <si>
    <t>ORD100528</t>
  </si>
  <si>
    <t>2025-07-19</t>
  </si>
  <si>
    <t>ORD100529</t>
  </si>
  <si>
    <t>2025-04-16</t>
  </si>
  <si>
    <t>ORD100530</t>
  </si>
  <si>
    <t>CUST1192</t>
  </si>
  <si>
    <t>ORD100531</t>
  </si>
  <si>
    <t>ORD100532</t>
  </si>
  <si>
    <t>2025-03-16</t>
  </si>
  <si>
    <t>ORD100533</t>
  </si>
  <si>
    <t>2025-05-03</t>
  </si>
  <si>
    <t>ORD100534</t>
  </si>
  <si>
    <t>ORD100535</t>
  </si>
  <si>
    <t>ORD100536</t>
  </si>
  <si>
    <t>CUST1565</t>
  </si>
  <si>
    <t>ORD100537</t>
  </si>
  <si>
    <t>2025-05-17</t>
  </si>
  <si>
    <t>CUST1884</t>
  </si>
  <si>
    <t>ORD100538</t>
  </si>
  <si>
    <t>ORD100539</t>
  </si>
  <si>
    <t>CUST1271</t>
  </si>
  <si>
    <t>ORD100540</t>
  </si>
  <si>
    <t>2025-06-02</t>
  </si>
  <si>
    <t>ORD100541</t>
  </si>
  <si>
    <t>2025-09-12</t>
  </si>
  <si>
    <t>CUST1209</t>
  </si>
  <si>
    <t>ORD100542</t>
  </si>
  <si>
    <t>CUST1793</t>
  </si>
  <si>
    <t>ORD100543</t>
  </si>
  <si>
    <t>CUST1775</t>
  </si>
  <si>
    <t>ORD100544</t>
  </si>
  <si>
    <t>ORD100545</t>
  </si>
  <si>
    <t>CUST1084</t>
  </si>
  <si>
    <t>ORD100546</t>
  </si>
  <si>
    <t>ORD100547</t>
  </si>
  <si>
    <t>ORD100548</t>
  </si>
  <si>
    <t>CUST1681</t>
  </si>
  <si>
    <t>ORD100549</t>
  </si>
  <si>
    <t>ORD100550</t>
  </si>
  <si>
    <t>2025-05-10</t>
  </si>
  <si>
    <t>CUST1804</t>
  </si>
  <si>
    <t>ORD100551</t>
  </si>
  <si>
    <t>CUST1003</t>
  </si>
  <si>
    <t>ORD100552</t>
  </si>
  <si>
    <t>2025-07-02</t>
  </si>
  <si>
    <t>CUST1017</t>
  </si>
  <si>
    <t>ORD100553</t>
  </si>
  <si>
    <t>CUST1151</t>
  </si>
  <si>
    <t>ORD100554</t>
  </si>
  <si>
    <t>ORD100555</t>
  </si>
  <si>
    <t>2025-03-21</t>
  </si>
  <si>
    <t>CUST1596</t>
  </si>
  <si>
    <t>ORD100556</t>
  </si>
  <si>
    <t>CUST1457</t>
  </si>
  <si>
    <t>ORD100557</t>
  </si>
  <si>
    <t>ORD100558</t>
  </si>
  <si>
    <t>CUST1460</t>
  </si>
  <si>
    <t>ORD100559</t>
  </si>
  <si>
    <t>CUST1654</t>
  </si>
  <si>
    <t>ORD100560</t>
  </si>
  <si>
    <t>CUST1226</t>
  </si>
  <si>
    <t>ORD100561</t>
  </si>
  <si>
    <t>2025-09-10</t>
  </si>
  <si>
    <t>CUST1287</t>
  </si>
  <si>
    <t>ORD100562</t>
  </si>
  <si>
    <t>ORD100563</t>
  </si>
  <si>
    <t>ORD100564</t>
  </si>
  <si>
    <t>CUST1418</t>
  </si>
  <si>
    <t>ORD100565</t>
  </si>
  <si>
    <t>ORD100566</t>
  </si>
  <si>
    <t>CUST1808</t>
  </si>
  <si>
    <t>ORD100567</t>
  </si>
  <si>
    <t>ORD100568</t>
  </si>
  <si>
    <t>ORD100569</t>
  </si>
  <si>
    <t>CUST1119</t>
  </si>
  <si>
    <t>ORD100570</t>
  </si>
  <si>
    <t>CUST1926</t>
  </si>
  <si>
    <t>ORD100571</t>
  </si>
  <si>
    <t>CUST1870</t>
  </si>
  <si>
    <t>ORD100572</t>
  </si>
  <si>
    <t>ORD100573</t>
  </si>
  <si>
    <t>CUST1666</t>
  </si>
  <si>
    <t>ORD100574</t>
  </si>
  <si>
    <t>CUST1215</t>
  </si>
  <si>
    <t>ORD100575</t>
  </si>
  <si>
    <t>2025-04-21</t>
  </si>
  <si>
    <t>ORD100576</t>
  </si>
  <si>
    <t>2025-10-12</t>
  </si>
  <si>
    <t>ORD100577</t>
  </si>
  <si>
    <t>CUST1676</t>
  </si>
  <si>
    <t>ORD100578</t>
  </si>
  <si>
    <t>CUST1687</t>
  </si>
  <si>
    <t>ORD100579</t>
  </si>
  <si>
    <t>ORD100580</t>
  </si>
  <si>
    <t>2025-02-11</t>
  </si>
  <si>
    <t>ORD100581</t>
  </si>
  <si>
    <t>ORD100582</t>
  </si>
  <si>
    <t>CUST1483</t>
  </si>
  <si>
    <t>ORD100583</t>
  </si>
  <si>
    <t>CUST1915</t>
  </si>
  <si>
    <t>ORD100584</t>
  </si>
  <si>
    <t>CUST1373</t>
  </si>
  <si>
    <t>ORD100585</t>
  </si>
  <si>
    <t>ORD100586</t>
  </si>
  <si>
    <t>CUST1089</t>
  </si>
  <si>
    <t>ORD100587</t>
  </si>
  <si>
    <t>CUST1559</t>
  </si>
  <si>
    <t>ORD100588</t>
  </si>
  <si>
    <t>2025-08-05</t>
  </si>
  <si>
    <t>CUST1076</t>
  </si>
  <si>
    <t>ORD100589</t>
  </si>
  <si>
    <t>ORD100590</t>
  </si>
  <si>
    <t>ORD100591</t>
  </si>
  <si>
    <t>ORD100592</t>
  </si>
  <si>
    <t>ORD100593</t>
  </si>
  <si>
    <t>CUST1802</t>
  </si>
  <si>
    <t>ORD100594</t>
  </si>
  <si>
    <t>CUST1910</t>
  </si>
  <si>
    <t>ORD100595</t>
  </si>
  <si>
    <t>CUST1367</t>
  </si>
  <si>
    <t>ORD100596</t>
  </si>
  <si>
    <t>CUST1693</t>
  </si>
  <si>
    <t>ORD100597</t>
  </si>
  <si>
    <t>CUST1485</t>
  </si>
  <si>
    <t>ORD100598</t>
  </si>
  <si>
    <t>2025-06-13</t>
  </si>
  <si>
    <t>CUST1651</t>
  </si>
  <si>
    <t>ORD100599</t>
  </si>
  <si>
    <t>ORD100600</t>
  </si>
  <si>
    <t>2025-10-25</t>
  </si>
  <si>
    <t>ORD100601</t>
  </si>
  <si>
    <t>2025-12-18</t>
  </si>
  <si>
    <t>CUST1945</t>
  </si>
  <si>
    <t>ORD100602</t>
  </si>
  <si>
    <t>CUST1250</t>
  </si>
  <si>
    <t>ORD100603</t>
  </si>
  <si>
    <t>ORD100604</t>
  </si>
  <si>
    <t>2025-08-08</t>
  </si>
  <si>
    <t>CUST1669</t>
  </si>
  <si>
    <t>ORD100605</t>
  </si>
  <si>
    <t>CUST1352</t>
  </si>
  <si>
    <t>ORD100606</t>
  </si>
  <si>
    <t>CUST1087</t>
  </si>
  <si>
    <t>ORD100607</t>
  </si>
  <si>
    <t>ORD100608</t>
  </si>
  <si>
    <t>CUST1158</t>
  </si>
  <si>
    <t>ORD100609</t>
  </si>
  <si>
    <t>CUST1360</t>
  </si>
  <si>
    <t>ORD100610</t>
  </si>
  <si>
    <t>CUST1966</t>
  </si>
  <si>
    <t>ORD100611</t>
  </si>
  <si>
    <t>CUST1459</t>
  </si>
  <si>
    <t>ORD100612</t>
  </si>
  <si>
    <t>ORD100613</t>
  </si>
  <si>
    <t>CUST1366</t>
  </si>
  <si>
    <t>ORD100614</t>
  </si>
  <si>
    <t>ORD100615</t>
  </si>
  <si>
    <t>2025-02-23</t>
  </si>
  <si>
    <t>CUST1729</t>
  </si>
  <si>
    <t>ORD100616</t>
  </si>
  <si>
    <t>CUST1823</t>
  </si>
  <si>
    <t>ORD100617</t>
  </si>
  <si>
    <t>ORD100618</t>
  </si>
  <si>
    <t>2025-09-11</t>
  </si>
  <si>
    <t>CUST1455</t>
  </si>
  <si>
    <t>ORD100619</t>
  </si>
  <si>
    <t>2025-08-07</t>
  </si>
  <si>
    <t>CUST1355</t>
  </si>
  <si>
    <t>ORD100620</t>
  </si>
  <si>
    <t>ORD100621</t>
  </si>
  <si>
    <t>ORD100622</t>
  </si>
  <si>
    <t>CUST1801</t>
  </si>
  <si>
    <t>ORD100623</t>
  </si>
  <si>
    <t>2025-12-24</t>
  </si>
  <si>
    <t>CUST1081</t>
  </si>
  <si>
    <t>ORD100624</t>
  </si>
  <si>
    <t>CUST1389</t>
  </si>
  <si>
    <t>ORD100625</t>
  </si>
  <si>
    <t>CUST1248</t>
  </si>
  <si>
    <t>ORD100626</t>
  </si>
  <si>
    <t>CUST1259</t>
  </si>
  <si>
    <t>ORD100627</t>
  </si>
  <si>
    <t>ORD100628</t>
  </si>
  <si>
    <t>CUST1712</t>
  </si>
  <si>
    <t>ORD100629</t>
  </si>
  <si>
    <t>CUST1314</t>
  </si>
  <si>
    <t>ORD100630</t>
  </si>
  <si>
    <t>CUST1736</t>
  </si>
  <si>
    <t>ORD100631</t>
  </si>
  <si>
    <t>CUST1232</t>
  </si>
  <si>
    <t>ORD100632</t>
  </si>
  <si>
    <t>CUST1569</t>
  </si>
  <si>
    <t>ORD100633</t>
  </si>
  <si>
    <t>ORD100634</t>
  </si>
  <si>
    <t>ORD100635</t>
  </si>
  <si>
    <t>CUST1435</t>
  </si>
  <si>
    <t>ORD100636</t>
  </si>
  <si>
    <t>CUST1973</t>
  </si>
  <si>
    <t>ORD100637</t>
  </si>
  <si>
    <t>CUST1708</t>
  </si>
  <si>
    <t>ORD100638</t>
  </si>
  <si>
    <t>2025-02-19</t>
  </si>
  <si>
    <t>CUST1783</t>
  </si>
  <si>
    <t>ORD100639</t>
  </si>
  <si>
    <t>2025-03-15</t>
  </si>
  <si>
    <t>ORD100640</t>
  </si>
  <si>
    <t>2025-05-09</t>
  </si>
  <si>
    <t>ORD100641</t>
  </si>
  <si>
    <t>CUST1310</t>
  </si>
  <si>
    <t>ORD100642</t>
  </si>
  <si>
    <t>CUST1024</t>
  </si>
  <si>
    <t>ORD100643</t>
  </si>
  <si>
    <t>ORD100644</t>
  </si>
  <si>
    <t>ORD100645</t>
  </si>
  <si>
    <t>CUST1292</t>
  </si>
  <si>
    <t>ORD100646</t>
  </si>
  <si>
    <t>CUST1351</t>
  </si>
  <si>
    <t>ORD100647</t>
  </si>
  <si>
    <t>ORD100648</t>
  </si>
  <si>
    <t>ORD100649</t>
  </si>
  <si>
    <t>CUST1365</t>
  </si>
  <si>
    <t>ORD100650</t>
  </si>
  <si>
    <t>ORD100651</t>
  </si>
  <si>
    <t>CUST1004</t>
  </si>
  <si>
    <t>ORD100652</t>
  </si>
  <si>
    <t>CUST1638</t>
  </si>
  <si>
    <t>ORD100653</t>
  </si>
  <si>
    <t>2025-03-10</t>
  </si>
  <si>
    <t>ORD100654</t>
  </si>
  <si>
    <t>2025-01-23</t>
  </si>
  <si>
    <t>ORD100655</t>
  </si>
  <si>
    <t>ORD100656</t>
  </si>
  <si>
    <t>CUST1502</t>
  </si>
  <si>
    <t>ORD100657</t>
  </si>
  <si>
    <t>CUST1327</t>
  </si>
  <si>
    <t>ORD100658</t>
  </si>
  <si>
    <t>ORD100659</t>
  </si>
  <si>
    <t>ORD100660</t>
  </si>
  <si>
    <t>ORD100661</t>
  </si>
  <si>
    <t>CUST1280</t>
  </si>
  <si>
    <t>ORD100662</t>
  </si>
  <si>
    <t>CUST1628</t>
  </si>
  <si>
    <t>ORD100663</t>
  </si>
  <si>
    <t>ORD100664</t>
  </si>
  <si>
    <t>CUST1527</t>
  </si>
  <si>
    <t>ORD100665</t>
  </si>
  <si>
    <t>CUST1721</t>
  </si>
  <si>
    <t>ORD100666</t>
  </si>
  <si>
    <t>2025-07-25</t>
  </si>
  <si>
    <t>CUST1645</t>
  </si>
  <si>
    <t>ORD100667</t>
  </si>
  <si>
    <t>CUST1513</t>
  </si>
  <si>
    <t>ORD100668</t>
  </si>
  <si>
    <t>ORD100669</t>
  </si>
  <si>
    <t>2025-01-16</t>
  </si>
  <si>
    <t>ORD100670</t>
  </si>
  <si>
    <t>ORD100671</t>
  </si>
  <si>
    <t>CUST1826</t>
  </si>
  <si>
    <t>ORD100672</t>
  </si>
  <si>
    <t>ORD100673</t>
  </si>
  <si>
    <t>ORD100674</t>
  </si>
  <si>
    <t>ORD100675</t>
  </si>
  <si>
    <t>ORD100676</t>
  </si>
  <si>
    <t>CUST1720</t>
  </si>
  <si>
    <t>ORD100677</t>
  </si>
  <si>
    <t>CUST1492</t>
  </si>
  <si>
    <t>ORD100678</t>
  </si>
  <si>
    <t>ORD100679</t>
  </si>
  <si>
    <t>ORD100680</t>
  </si>
  <si>
    <t>2025-07-09</t>
  </si>
  <si>
    <t>ORD100681</t>
  </si>
  <si>
    <t>ORD100682</t>
  </si>
  <si>
    <t>ORD100683</t>
  </si>
  <si>
    <t>CUST1816</t>
  </si>
  <si>
    <t>ORD100684</t>
  </si>
  <si>
    <t>CUST1152</t>
  </si>
  <si>
    <t>ORD100685</t>
  </si>
  <si>
    <t>ORD100686</t>
  </si>
  <si>
    <t>CUST1529</t>
  </si>
  <si>
    <t>ORD100687</t>
  </si>
  <si>
    <t>2025-08-27</t>
  </si>
  <si>
    <t>CUST1857</t>
  </si>
  <si>
    <t>ORD100688</t>
  </si>
  <si>
    <t>ORD100689</t>
  </si>
  <si>
    <t>CUST1916</t>
  </si>
  <si>
    <t>ORD100690</t>
  </si>
  <si>
    <t>CUST1107</t>
  </si>
  <si>
    <t>ORD100691</t>
  </si>
  <si>
    <t>ORD100692</t>
  </si>
  <si>
    <t>CUST1714</t>
  </si>
  <si>
    <t>ORD100693</t>
  </si>
  <si>
    <t>ORD100694</t>
  </si>
  <si>
    <t>ORD100695</t>
  </si>
  <si>
    <t>ORD100696</t>
  </si>
  <si>
    <t>CUST1934</t>
  </si>
  <si>
    <t>ORD100697</t>
  </si>
  <si>
    <t>2025-05-18</t>
  </si>
  <si>
    <t>CUST1116</t>
  </si>
  <si>
    <t>ORD100698</t>
  </si>
  <si>
    <t>ORD100699</t>
  </si>
  <si>
    <t>CUST1917</t>
  </si>
  <si>
    <t>ORD100700</t>
  </si>
  <si>
    <t>2025-02-02</t>
  </si>
  <si>
    <t>CUST1299</t>
  </si>
  <si>
    <t>ORD100701</t>
  </si>
  <si>
    <t>CUST1054</t>
  </si>
  <si>
    <t>ORD100702</t>
  </si>
  <si>
    <t>CUST1688</t>
  </si>
  <si>
    <t>ORD100703</t>
  </si>
  <si>
    <t>CUST1145</t>
  </si>
  <si>
    <t>ORD100704</t>
  </si>
  <si>
    <t>ORD100705</t>
  </si>
  <si>
    <t>CUST1551</t>
  </si>
  <si>
    <t>ORD100706</t>
  </si>
  <si>
    <t>2025-05-02</t>
  </si>
  <si>
    <t>ORD100707</t>
  </si>
  <si>
    <t>CUST1236</t>
  </si>
  <si>
    <t>ORD100708</t>
  </si>
  <si>
    <t>CUST1568</t>
  </si>
  <si>
    <t>ORD100709</t>
  </si>
  <si>
    <t>ORD100710</t>
  </si>
  <si>
    <t>CUST1216</t>
  </si>
  <si>
    <t>ORD100711</t>
  </si>
  <si>
    <t>CUST1897</t>
  </si>
  <si>
    <t>ORD100712</t>
  </si>
  <si>
    <t>2025-10-30</t>
  </si>
  <si>
    <t>CUST1264</t>
  </si>
  <si>
    <t>ORD100713</t>
  </si>
  <si>
    <t>CUST1965</t>
  </si>
  <si>
    <t>ORD100714</t>
  </si>
  <si>
    <t>CUST1779</t>
  </si>
  <si>
    <t>ORD100715</t>
  </si>
  <si>
    <t>CUST1821</t>
  </si>
  <si>
    <t>ORD100716</t>
  </si>
  <si>
    <t>CUST1338</t>
  </si>
  <si>
    <t>ORD100717</t>
  </si>
  <si>
    <t>CUST1587</t>
  </si>
  <si>
    <t>ORD100718</t>
  </si>
  <si>
    <t>ORD100719</t>
  </si>
  <si>
    <t>CUST1056</t>
  </si>
  <si>
    <t>ORD100720</t>
  </si>
  <si>
    <t>ORD100721</t>
  </si>
  <si>
    <t>CUST1482</t>
  </si>
  <si>
    <t>ORD100722</t>
  </si>
  <si>
    <t>CUST1961</t>
  </si>
  <si>
    <t>ORD100723</t>
  </si>
  <si>
    <t>2025-11-21</t>
  </si>
  <si>
    <t>CUST1095</t>
  </si>
  <si>
    <t>ORD100724</t>
  </si>
  <si>
    <t>CUST1858</t>
  </si>
  <si>
    <t>ORD100725</t>
  </si>
  <si>
    <t>CUST1080</t>
  </si>
  <si>
    <t>ORD100726</t>
  </si>
  <si>
    <t>CUST1155</t>
  </si>
  <si>
    <t>ORD100727</t>
  </si>
  <si>
    <t>ORD100728</t>
  </si>
  <si>
    <t>ORD100729</t>
  </si>
  <si>
    <t>CUST1617</t>
  </si>
  <si>
    <t>ORD100730</t>
  </si>
  <si>
    <t>ORD100731</t>
  </si>
  <si>
    <t>CUST1753</t>
  </si>
  <si>
    <t>ORD100732</t>
  </si>
  <si>
    <t>ORD100733</t>
  </si>
  <si>
    <t>ORD100734</t>
  </si>
  <si>
    <t>CUST1393</t>
  </si>
  <si>
    <t>ORD100735</t>
  </si>
  <si>
    <t>ORD100736</t>
  </si>
  <si>
    <t>ORD100737</t>
  </si>
  <si>
    <t>ORD100738</t>
  </si>
  <si>
    <t>2025-05-30</t>
  </si>
  <si>
    <t>CUST1632</t>
  </si>
  <si>
    <t>ORD100739</t>
  </si>
  <si>
    <t>2025-01-01</t>
  </si>
  <si>
    <t>CUST1909</t>
  </si>
  <si>
    <t>ORD100740</t>
  </si>
  <si>
    <t>CUST1818</t>
  </si>
  <si>
    <t>ORD100741</t>
  </si>
  <si>
    <t>ORD100742</t>
  </si>
  <si>
    <t>ORD100743</t>
  </si>
  <si>
    <t>ORD100744</t>
  </si>
  <si>
    <t>ORD100745</t>
  </si>
  <si>
    <t>CUST1273</t>
  </si>
  <si>
    <t>ORD100746</t>
  </si>
  <si>
    <t>CUST1599</t>
  </si>
  <si>
    <t>ORD100747</t>
  </si>
  <si>
    <t>ORD100748</t>
  </si>
  <si>
    <t>ORD100749</t>
  </si>
  <si>
    <t>CUST1836</t>
  </si>
  <si>
    <t>ORD100750</t>
  </si>
  <si>
    <t>2025-04-04</t>
  </si>
  <si>
    <t>ORD100751</t>
  </si>
  <si>
    <t>ORD100752</t>
  </si>
  <si>
    <t>CUST1346</t>
  </si>
  <si>
    <t>ORD100753</t>
  </si>
  <si>
    <t>CUST1069</t>
  </si>
  <si>
    <t>ORD100754</t>
  </si>
  <si>
    <t>ORD100755</t>
  </si>
  <si>
    <t>2025-12-11</t>
  </si>
  <si>
    <t>CUST1664</t>
  </si>
  <si>
    <t>ORD100756</t>
  </si>
  <si>
    <t>2025-04-13</t>
  </si>
  <si>
    <t>ORD100757</t>
  </si>
  <si>
    <t>CUST1160</t>
  </si>
  <si>
    <t>ORD100758</t>
  </si>
  <si>
    <t>ORD100759</t>
  </si>
  <si>
    <t>ORD100760</t>
  </si>
  <si>
    <t>2025-05-16</t>
  </si>
  <si>
    <t>CUST1233</t>
  </si>
  <si>
    <t>ORD100761</t>
  </si>
  <si>
    <t>ORD100762</t>
  </si>
  <si>
    <t>ORD100763</t>
  </si>
  <si>
    <t>ORD100764</t>
  </si>
  <si>
    <t>ORD100765</t>
  </si>
  <si>
    <t>ORD100766</t>
  </si>
  <si>
    <t>ORD100767</t>
  </si>
  <si>
    <t>CUST1166</t>
  </si>
  <si>
    <t>ORD100768</t>
  </si>
  <si>
    <t>CUST1344</t>
  </si>
  <si>
    <t>ORD100769</t>
  </si>
  <si>
    <t>ORD100770</t>
  </si>
  <si>
    <t>CUST1028</t>
  </si>
  <si>
    <t>ORD100771</t>
  </si>
  <si>
    <t>ORD100772</t>
  </si>
  <si>
    <t>ORD100773</t>
  </si>
  <si>
    <t>CUST1277</t>
  </si>
  <si>
    <t>ORD100774</t>
  </si>
  <si>
    <t>2025-05-07</t>
  </si>
  <si>
    <t>ORD100775</t>
  </si>
  <si>
    <t>ORD100776</t>
  </si>
  <si>
    <t>2025-12-28</t>
  </si>
  <si>
    <t>CUST1148</t>
  </si>
  <si>
    <t>ORD100777</t>
  </si>
  <si>
    <t>ORD100778</t>
  </si>
  <si>
    <t>CUST1430</t>
  </si>
  <si>
    <t>ORD100779</t>
  </si>
  <si>
    <t>2025-08-03</t>
  </si>
  <si>
    <t>ORD100780</t>
  </si>
  <si>
    <t>ORD100781</t>
  </si>
  <si>
    <t>CUST1745</t>
  </si>
  <si>
    <t>ORD100782</t>
  </si>
  <si>
    <t>ORD100783</t>
  </si>
  <si>
    <t>CUST1197</t>
  </si>
  <si>
    <t>ORD100784</t>
  </si>
  <si>
    <t>ORD100785</t>
  </si>
  <si>
    <t>ORD100786</t>
  </si>
  <si>
    <t>ORD100787</t>
  </si>
  <si>
    <t>CUST1452</t>
  </si>
  <si>
    <t>ORD100788</t>
  </si>
  <si>
    <t>ORD100789</t>
  </si>
  <si>
    <t>CUST1887</t>
  </si>
  <si>
    <t>ORD100790</t>
  </si>
  <si>
    <t>CUST1059</t>
  </si>
  <si>
    <t>ORD100791</t>
  </si>
  <si>
    <t>ORD100792</t>
  </si>
  <si>
    <t>2025-01-28</t>
  </si>
  <si>
    <t>CUST1585</t>
  </si>
  <si>
    <t>ORD100793</t>
  </si>
  <si>
    <t>2025-03-02</t>
  </si>
  <si>
    <t>CUST1036</t>
  </si>
  <si>
    <t>ORD100794</t>
  </si>
  <si>
    <t>ORD100795</t>
  </si>
  <si>
    <t>ORD100796</t>
  </si>
  <si>
    <t>ORD100797</t>
  </si>
  <si>
    <t>2025-09-21</t>
  </si>
  <si>
    <t>ORD100798</t>
  </si>
  <si>
    <t>ORD100799</t>
  </si>
  <si>
    <t>ORD100800</t>
  </si>
  <si>
    <t>ORD100801</t>
  </si>
  <si>
    <t>2025-05-21</t>
  </si>
  <si>
    <t>CUST1479</t>
  </si>
  <si>
    <t>ORD100802</t>
  </si>
  <si>
    <t>ORD100803</t>
  </si>
  <si>
    <t>CUST1805</t>
  </si>
  <si>
    <t>ORD100804</t>
  </si>
  <si>
    <t>2025-01-29</t>
  </si>
  <si>
    <t>CUST1241</t>
  </si>
  <si>
    <t>ORD100805</t>
  </si>
  <si>
    <t>CUST1820</t>
  </si>
  <si>
    <t>ORD100806</t>
  </si>
  <si>
    <t>ORD100807</t>
  </si>
  <si>
    <t>CUST1323</t>
  </si>
  <si>
    <t>ORD100808</t>
  </si>
  <si>
    <t>2025-08-02</t>
  </si>
  <si>
    <t>ORD100809</t>
  </si>
  <si>
    <t>CUST1531</t>
  </si>
  <si>
    <t>ORD100810</t>
  </si>
  <si>
    <t>CUST1198</t>
  </si>
  <si>
    <t>ORD100811</t>
  </si>
  <si>
    <t>ORD100812</t>
  </si>
  <si>
    <t>ORD100813</t>
  </si>
  <si>
    <t>ORD100814</t>
  </si>
  <si>
    <t>ORD100815</t>
  </si>
  <si>
    <t>ORD100816</t>
  </si>
  <si>
    <t>CUST1185</t>
  </si>
  <si>
    <t>ORD100817</t>
  </si>
  <si>
    <t>CUST1962</t>
  </si>
  <si>
    <t>ORD100818</t>
  </si>
  <si>
    <t>ORD100819</t>
  </si>
  <si>
    <t>CUST1901</t>
  </si>
  <si>
    <t>ORD100820</t>
  </si>
  <si>
    <t>CUST1519</t>
  </si>
  <si>
    <t>ORD100821</t>
  </si>
  <si>
    <t>CUST1163</t>
  </si>
  <si>
    <t>ORD100822</t>
  </si>
  <si>
    <t>ORD100823</t>
  </si>
  <si>
    <t>CUST1675</t>
  </si>
  <si>
    <t>ORD100824</t>
  </si>
  <si>
    <t>ORD100825</t>
  </si>
  <si>
    <t>CUST1880</t>
  </si>
  <si>
    <t>ORD100826</t>
  </si>
  <si>
    <t>CUST1534</t>
  </si>
  <si>
    <t>ORD100827</t>
  </si>
  <si>
    <t>ORD100828</t>
  </si>
  <si>
    <t>ORD100829</t>
  </si>
  <si>
    <t>ORD100830</t>
  </si>
  <si>
    <t>ORD100831</t>
  </si>
  <si>
    <t>CUST1913</t>
  </si>
  <si>
    <t>ORD100832</t>
  </si>
  <si>
    <t>ORD100833</t>
  </si>
  <si>
    <t>CUST1293</t>
  </si>
  <si>
    <t>ORD100834</t>
  </si>
  <si>
    <t>ORD100835</t>
  </si>
  <si>
    <t>ORD100836</t>
  </si>
  <si>
    <t>CUST1996</t>
  </si>
  <si>
    <t>ORD100837</t>
  </si>
  <si>
    <t>2025-11-05</t>
  </si>
  <si>
    <t>ORD100838</t>
  </si>
  <si>
    <t>CUST1525</t>
  </si>
  <si>
    <t>ORD100839</t>
  </si>
  <si>
    <t>ORD100840</t>
  </si>
  <si>
    <t>ORD100841</t>
  </si>
  <si>
    <t>ORD100842</t>
  </si>
  <si>
    <t>CUST1238</t>
  </si>
  <si>
    <t>ORD100843</t>
  </si>
  <si>
    <t>ORD100844</t>
  </si>
  <si>
    <t>ORD100845</t>
  </si>
  <si>
    <t>CUST1267</t>
  </si>
  <si>
    <t>ORD100846</t>
  </si>
  <si>
    <t>ORD100847</t>
  </si>
  <si>
    <t>CUST1278</t>
  </si>
  <si>
    <t>ORD100848</t>
  </si>
  <si>
    <t>ORD100849</t>
  </si>
  <si>
    <t>ORD100850</t>
  </si>
  <si>
    <t>ORD100851</t>
  </si>
  <si>
    <t>ORD100852</t>
  </si>
  <si>
    <t>ORD100853</t>
  </si>
  <si>
    <t>ORD100854</t>
  </si>
  <si>
    <t>ORD100855</t>
  </si>
  <si>
    <t>ORD100856</t>
  </si>
  <si>
    <t>ORD100857</t>
  </si>
  <si>
    <t>ORD100858</t>
  </si>
  <si>
    <t>ORD100859</t>
  </si>
  <si>
    <t>ORD100860</t>
  </si>
  <si>
    <t>CUST1175</t>
  </si>
  <si>
    <t>ORD100861</t>
  </si>
  <si>
    <t>ORD100862</t>
  </si>
  <si>
    <t>ORD100863</t>
  </si>
  <si>
    <t>CUST1377</t>
  </si>
  <si>
    <t>ORD100864</t>
  </si>
  <si>
    <t>ORD100865</t>
  </si>
  <si>
    <t>2025-12-15</t>
  </si>
  <si>
    <t>CUST1194</t>
  </si>
  <si>
    <t>ORD100866</t>
  </si>
  <si>
    <t>ORD100867</t>
  </si>
  <si>
    <t>ORD100868</t>
  </si>
  <si>
    <t>CUST1176</t>
  </si>
  <si>
    <t>ORD100869</t>
  </si>
  <si>
    <t>ORD100870</t>
  </si>
  <si>
    <t>CUST1584</t>
  </si>
  <si>
    <t>ORD100871</t>
  </si>
  <si>
    <t>CUST1960</t>
  </si>
  <si>
    <t>ORD100872</t>
  </si>
  <si>
    <t>CUST1514</t>
  </si>
  <si>
    <t>ORD100873</t>
  </si>
  <si>
    <t>2025-07-30</t>
  </si>
  <si>
    <t>ORD100874</t>
  </si>
  <si>
    <t>ORD100875</t>
  </si>
  <si>
    <t>ORD100876</t>
  </si>
  <si>
    <t>ORD100877</t>
  </si>
  <si>
    <t>ORD100878</t>
  </si>
  <si>
    <t>CUST1573</t>
  </si>
  <si>
    <t>ORD100879</t>
  </si>
  <si>
    <t>ORD100880</t>
  </si>
  <si>
    <t>CUST1790</t>
  </si>
  <si>
    <t>ORD100881</t>
  </si>
  <si>
    <t>CUST1284</t>
  </si>
  <si>
    <t>ORD100882</t>
  </si>
  <si>
    <t>CUST1386</t>
  </si>
  <si>
    <t>ORD100883</t>
  </si>
  <si>
    <t>ORD100884</t>
  </si>
  <si>
    <t>CUST1665</t>
  </si>
  <si>
    <t>ORD100885</t>
  </si>
  <si>
    <t>ORD100886</t>
  </si>
  <si>
    <t>CUST1406</t>
  </si>
  <si>
    <t>ORD100887</t>
  </si>
  <si>
    <t>CUST1230</t>
  </si>
  <si>
    <t>ORD100888</t>
  </si>
  <si>
    <t>2025-05-24</t>
  </si>
  <si>
    <t>CUST1797</t>
  </si>
  <si>
    <t>ORD100889</t>
  </si>
  <si>
    <t>2025-10-07</t>
  </si>
  <si>
    <t>ORD100890</t>
  </si>
  <si>
    <t>CUST1335</t>
  </si>
  <si>
    <t>ORD100891</t>
  </si>
  <si>
    <t>ORD100892</t>
  </si>
  <si>
    <t>ORD100893</t>
  </si>
  <si>
    <t>ORD100894</t>
  </si>
  <si>
    <t>CUST1594</t>
  </si>
  <si>
    <t>ORD100895</t>
  </si>
  <si>
    <t>CUST1249</t>
  </si>
  <si>
    <t>ORD100896</t>
  </si>
  <si>
    <t>ORD100897</t>
  </si>
  <si>
    <t>2025-10-13</t>
  </si>
  <si>
    <t>ORD100898</t>
  </si>
  <si>
    <t>2025-08-20</t>
  </si>
  <si>
    <t>CUST1447</t>
  </si>
  <si>
    <t>ORD100899</t>
  </si>
  <si>
    <t>ORD100900</t>
  </si>
  <si>
    <t>CUST1878</t>
  </si>
  <si>
    <t>ORD100901</t>
  </si>
  <si>
    <t>ORD100902</t>
  </si>
  <si>
    <t>ORD100903</t>
  </si>
  <si>
    <t>CUST1490</t>
  </si>
  <si>
    <t>ORD100904</t>
  </si>
  <si>
    <t>ORD100905</t>
  </si>
  <si>
    <t>ORD100906</t>
  </si>
  <si>
    <t>CUST1653</t>
  </si>
  <si>
    <t>ORD100907</t>
  </si>
  <si>
    <t>CUST1422</t>
  </si>
  <si>
    <t>ORD100908</t>
  </si>
  <si>
    <t>ORD100909</t>
  </si>
  <si>
    <t>CUST1851</t>
  </si>
  <si>
    <t>ORD100910</t>
  </si>
  <si>
    <t>CUST1611</t>
  </si>
  <si>
    <t>ORD100911</t>
  </si>
  <si>
    <t>ORD100912</t>
  </si>
  <si>
    <t>ORD100913</t>
  </si>
  <si>
    <t>2025-09-08</t>
  </si>
  <si>
    <t>ORD100914</t>
  </si>
  <si>
    <t>ORD100915</t>
  </si>
  <si>
    <t>ORD100916</t>
  </si>
  <si>
    <t>ORD100917</t>
  </si>
  <si>
    <t>ORD100918</t>
  </si>
  <si>
    <t>CUST1385</t>
  </si>
  <si>
    <t>ORD100919</t>
  </si>
  <si>
    <t>ORD100920</t>
  </si>
  <si>
    <t>ORD100921</t>
  </si>
  <si>
    <t>ORD100922</t>
  </si>
  <si>
    <t>ORD100923</t>
  </si>
  <si>
    <t>ORD100924</t>
  </si>
  <si>
    <t>CUST1045</t>
  </si>
  <si>
    <t>ORD100925</t>
  </si>
  <si>
    <t>CUST1285</t>
  </si>
  <si>
    <t>ORD100926</t>
  </si>
  <si>
    <t>ORD100927</t>
  </si>
  <si>
    <t>ORD100928</t>
  </si>
  <si>
    <t>ORD100929</t>
  </si>
  <si>
    <t>ORD100930</t>
  </si>
  <si>
    <t>ORD100931</t>
  </si>
  <si>
    <t>CUST1679</t>
  </si>
  <si>
    <t>ORD100932</t>
  </si>
  <si>
    <t>CUST1497</t>
  </si>
  <si>
    <t>ORD100933</t>
  </si>
  <si>
    <t>CUST1832</t>
  </si>
  <si>
    <t>ORD100934</t>
  </si>
  <si>
    <t>ORD100935</t>
  </si>
  <si>
    <t>2025-03-11</t>
  </si>
  <si>
    <t>CUST1686</t>
  </si>
  <si>
    <t>ORD100936</t>
  </si>
  <si>
    <t>CUST1211</t>
  </si>
  <si>
    <t>ORD100937</t>
  </si>
  <si>
    <t>ORD100938</t>
  </si>
  <si>
    <t>CUST1487</t>
  </si>
  <si>
    <t>ORD100939</t>
  </si>
  <si>
    <t>ORD100940</t>
  </si>
  <si>
    <t>CUST1141</t>
  </si>
  <si>
    <t>ORD100941</t>
  </si>
  <si>
    <t>CUST1919</t>
  </si>
  <si>
    <t>ORD100942</t>
  </si>
  <si>
    <t>CUST1118</t>
  </si>
  <si>
    <t>ORD100943</t>
  </si>
  <si>
    <t>CUST1427</t>
  </si>
  <si>
    <t>ORD100944</t>
  </si>
  <si>
    <t>CUST1342</t>
  </si>
  <si>
    <t>ORD100945</t>
  </si>
  <si>
    <t>ORD100946</t>
  </si>
  <si>
    <t>CUST1124</t>
  </si>
  <si>
    <t>ORD100947</t>
  </si>
  <si>
    <t>CUST1426</t>
  </si>
  <si>
    <t>ORD100948</t>
  </si>
  <si>
    <t>ORD100949</t>
  </si>
  <si>
    <t>ORD100950</t>
  </si>
  <si>
    <t>ORD100951</t>
  </si>
  <si>
    <t>ORD100952</t>
  </si>
  <si>
    <t>ORD100953</t>
  </si>
  <si>
    <t>ORD100954</t>
  </si>
  <si>
    <t>ORD100955</t>
  </si>
  <si>
    <t>ORD100956</t>
  </si>
  <si>
    <t>ORD100957</t>
  </si>
  <si>
    <t>2025-01-02</t>
  </si>
  <si>
    <t>ORD100958</t>
  </si>
  <si>
    <t>2025-01-21</t>
  </si>
  <si>
    <t>ORD100959</t>
  </si>
  <si>
    <t>ORD100960</t>
  </si>
  <si>
    <t>CUST1399</t>
  </si>
  <si>
    <t>ORD100961</t>
  </si>
  <si>
    <t>CUST1368</t>
  </si>
  <si>
    <t>ORD100962</t>
  </si>
  <si>
    <t>CUST1788</t>
  </si>
  <si>
    <t>ORD100963</t>
  </si>
  <si>
    <t>ORD100964</t>
  </si>
  <si>
    <t>CUST1517</t>
  </si>
  <si>
    <t>ORD100965</t>
  </si>
  <si>
    <t>CUST1671</t>
  </si>
  <si>
    <t>ORD100966</t>
  </si>
  <si>
    <t>ORD100967</t>
  </si>
  <si>
    <t>ORD100968</t>
  </si>
  <si>
    <t>ORD100969</t>
  </si>
  <si>
    <t>ORD100970</t>
  </si>
  <si>
    <t>ORD100971</t>
  </si>
  <si>
    <t>ORD100972</t>
  </si>
  <si>
    <t>CUST1539</t>
  </si>
  <si>
    <t>ORD100973</t>
  </si>
  <si>
    <t>ORD100974</t>
  </si>
  <si>
    <t>CUST1286</t>
  </si>
  <si>
    <t>ORD100975</t>
  </si>
  <si>
    <t>ORD100976</t>
  </si>
  <si>
    <t>CUST1769</t>
  </si>
  <si>
    <t>ORD100977</t>
  </si>
  <si>
    <t>ORD100978</t>
  </si>
  <si>
    <t>2025-08-14</t>
  </si>
  <si>
    <t>ORD100979</t>
  </si>
  <si>
    <t>ORD100980</t>
  </si>
  <si>
    <t>ORD100981</t>
  </si>
  <si>
    <t>ORD100982</t>
  </si>
  <si>
    <t>ORD100983</t>
  </si>
  <si>
    <t>ORD100984</t>
  </si>
  <si>
    <t>ORD100985</t>
  </si>
  <si>
    <t>CUST1929</t>
  </si>
  <si>
    <t>ORD100986</t>
  </si>
  <si>
    <t>CUST1440</t>
  </si>
  <si>
    <t>ORD100987</t>
  </si>
  <si>
    <t>ORD100988</t>
  </si>
  <si>
    <t>2025-12-13</t>
  </si>
  <si>
    <t>ORD100989</t>
  </si>
  <si>
    <t>CUST1495</t>
  </si>
  <si>
    <t>ORD100990</t>
  </si>
  <si>
    <t>CUST1433</t>
  </si>
  <si>
    <t>ORD100991</t>
  </si>
  <si>
    <t>ORD100992</t>
  </si>
  <si>
    <t>ORD100993</t>
  </si>
  <si>
    <t>ORD100994</t>
  </si>
  <si>
    <t>ORD100995</t>
  </si>
  <si>
    <t>ORD100996</t>
  </si>
  <si>
    <t>CUST1938</t>
  </si>
  <si>
    <t>ORD100997</t>
  </si>
  <si>
    <t>ORD100998</t>
  </si>
  <si>
    <t>ORD100999</t>
  </si>
  <si>
    <t>CUST1169</t>
  </si>
  <si>
    <t>ORD101000</t>
  </si>
  <si>
    <t>ORD101001</t>
  </si>
  <si>
    <t>CUST1562</t>
  </si>
  <si>
    <t>ORD101002</t>
  </si>
  <si>
    <t>CUST1904</t>
  </si>
  <si>
    <t>ORD101003</t>
  </si>
  <si>
    <t>CUST1532</t>
  </si>
  <si>
    <t>ORD101004</t>
  </si>
  <si>
    <t>CUST1842</t>
  </si>
  <si>
    <t>ORD101005</t>
  </si>
  <si>
    <t>ORD101006</t>
  </si>
  <si>
    <t>CUST1774</t>
  </si>
  <si>
    <t>ORD101007</t>
  </si>
  <si>
    <t>CUST1658</t>
  </si>
  <si>
    <t>ORD101008</t>
  </si>
  <si>
    <t>ORD101009</t>
  </si>
  <si>
    <t>ORD101010</t>
  </si>
  <si>
    <t>CUST1125</t>
  </si>
  <si>
    <t>ORD101011</t>
  </si>
  <si>
    <t>CUST1767</t>
  </si>
  <si>
    <t>ORD101012</t>
  </si>
  <si>
    <t>CUST1668</t>
  </si>
  <si>
    <t>ORD101013</t>
  </si>
  <si>
    <t>ORD101014</t>
  </si>
  <si>
    <t>ORD101015</t>
  </si>
  <si>
    <t>ORD101016</t>
  </si>
  <si>
    <t>CUST1764</t>
  </si>
  <si>
    <t>ORD101017</t>
  </si>
  <si>
    <t>ORD101018</t>
  </si>
  <si>
    <t>2025-09-15</t>
  </si>
  <si>
    <t>ORD101019</t>
  </si>
  <si>
    <t>ORD101020</t>
  </si>
  <si>
    <t>2025-10-17</t>
  </si>
  <si>
    <t>CUST1637</t>
  </si>
  <si>
    <t>ORD101021</t>
  </si>
  <si>
    <t>CUST1967</t>
  </si>
  <si>
    <t>ORD101022</t>
  </si>
  <si>
    <t>CUST1242</t>
  </si>
  <si>
    <t>ORD101023</t>
  </si>
  <si>
    <t>ORD101024</t>
  </si>
  <si>
    <t>ORD101025</t>
  </si>
  <si>
    <t>ORD101026</t>
  </si>
  <si>
    <t>ORD101027</t>
  </si>
  <si>
    <t>CUST1057</t>
  </si>
  <si>
    <t>ORD101028</t>
  </si>
  <si>
    <t>ORD101029</t>
  </si>
  <si>
    <t>CUST1691</t>
  </si>
  <si>
    <t>ORD101030</t>
  </si>
  <si>
    <t>ORD101031</t>
  </si>
  <si>
    <t>CUST1139</t>
  </si>
  <si>
    <t>ORD101032</t>
  </si>
  <si>
    <t>CUST1907</t>
  </si>
  <si>
    <t>ORD101033</t>
  </si>
  <si>
    <t>ORD101034</t>
  </si>
  <si>
    <t>ORD101035</t>
  </si>
  <si>
    <t>ORD101036</t>
  </si>
  <si>
    <t>CUST1270</t>
  </si>
  <si>
    <t>ORD101037</t>
  </si>
  <si>
    <t>CUST1547</t>
  </si>
  <si>
    <t>ORD101038</t>
  </si>
  <si>
    <t>2025-06-15</t>
  </si>
  <si>
    <t>ORD101039</t>
  </si>
  <si>
    <t>CUST1806</t>
  </si>
  <si>
    <t>ORD101040</t>
  </si>
  <si>
    <t>ORD101041</t>
  </si>
  <si>
    <t>ORD101042</t>
  </si>
  <si>
    <t>ORD101043</t>
  </si>
  <si>
    <t>ORD101044</t>
  </si>
  <si>
    <t>ORD101045</t>
  </si>
  <si>
    <t>ORD101046</t>
  </si>
  <si>
    <t>2025-05-29</t>
  </si>
  <si>
    <t>CUST1538</t>
  </si>
  <si>
    <t>ORD101047</t>
  </si>
  <si>
    <t>ORD101048</t>
  </si>
  <si>
    <t>ORD101049</t>
  </si>
  <si>
    <t>ORD101050</t>
  </si>
  <si>
    <t>ORD101051</t>
  </si>
  <si>
    <t>ORD101052</t>
  </si>
  <si>
    <t>CUST1094</t>
  </si>
  <si>
    <t>ORD101053</t>
  </si>
  <si>
    <t>ORD101054</t>
  </si>
  <si>
    <t>ORD101055</t>
  </si>
  <si>
    <t>ORD101056</t>
  </si>
  <si>
    <t>ORD101057</t>
  </si>
  <si>
    <t>ORD101058</t>
  </si>
  <si>
    <t>ORD101059</t>
  </si>
  <si>
    <t>ORD101060</t>
  </si>
  <si>
    <t>ORD101061</t>
  </si>
  <si>
    <t>CUST1740</t>
  </si>
  <si>
    <t>ORD101062</t>
  </si>
  <si>
    <t>ORD101063</t>
  </si>
  <si>
    <t>ORD101064</t>
  </si>
  <si>
    <t>ORD101065</t>
  </si>
  <si>
    <t>ORD101066</t>
  </si>
  <si>
    <t>CUST1480</t>
  </si>
  <si>
    <t>ORD101067</t>
  </si>
  <si>
    <t>ORD101068</t>
  </si>
  <si>
    <t>ORD101069</t>
  </si>
  <si>
    <t>ORD101070</t>
  </si>
  <si>
    <t>2025-01-14</t>
  </si>
  <si>
    <t>ORD101071</t>
  </si>
  <si>
    <t>CUST1839</t>
  </si>
  <si>
    <t>ORD101072</t>
  </si>
  <si>
    <t>CUST1756</t>
  </si>
  <si>
    <t>ORD101073</t>
  </si>
  <si>
    <t>ORD101074</t>
  </si>
  <si>
    <t>CUST1678</t>
  </si>
  <si>
    <t>ORD101075</t>
  </si>
  <si>
    <t>ORD101076</t>
  </si>
  <si>
    <t>ORD101077</t>
  </si>
  <si>
    <t>ORD101078</t>
  </si>
  <si>
    <t>ORD101079</t>
  </si>
  <si>
    <t>CUST1408</t>
  </si>
  <si>
    <t>ORD101080</t>
  </si>
  <si>
    <t>CUST1387</t>
  </si>
  <si>
    <t>ORD101081</t>
  </si>
  <si>
    <t>ORD101082</t>
  </si>
  <si>
    <t>CUST1930</t>
  </si>
  <si>
    <t>ORD101083</t>
  </si>
  <si>
    <t>CUST1172</t>
  </si>
  <si>
    <t>ORD101084</t>
  </si>
  <si>
    <t>CUST1662</t>
  </si>
  <si>
    <t>ORD101085</t>
  </si>
  <si>
    <t>ORD101086</t>
  </si>
  <si>
    <t>CUST1266</t>
  </si>
  <si>
    <t>ORD101087</t>
  </si>
  <si>
    <t>ORD101088</t>
  </si>
  <si>
    <t>ORD101089</t>
  </si>
  <si>
    <t>ORD101090</t>
  </si>
  <si>
    <t>ORD101091</t>
  </si>
  <si>
    <t>ORD101092</t>
  </si>
  <si>
    <t>ORD101093</t>
  </si>
  <si>
    <t>ORD101094</t>
  </si>
  <si>
    <t>ORD101095</t>
  </si>
  <si>
    <t>ORD101096</t>
  </si>
  <si>
    <t>ORD101097</t>
  </si>
  <si>
    <t>ORD101098</t>
  </si>
  <si>
    <t>ORD101099</t>
  </si>
  <si>
    <t>CUST1112</t>
  </si>
  <si>
    <t>ORD101100</t>
  </si>
  <si>
    <t>2025-04-18</t>
  </si>
  <si>
    <t>CUST1279</t>
  </si>
  <si>
    <t>ORD101101</t>
  </si>
  <si>
    <t>ORD101102</t>
  </si>
  <si>
    <t>CUST1535</t>
  </si>
  <si>
    <t>ORD101103</t>
  </si>
  <si>
    <t>ORD101104</t>
  </si>
  <si>
    <t>CUST1319</t>
  </si>
  <si>
    <t>ORD101105</t>
  </si>
  <si>
    <t>ORD101106</t>
  </si>
  <si>
    <t>ORD101107</t>
  </si>
  <si>
    <t>ORD101108</t>
  </si>
  <si>
    <t>CUST1787</t>
  </si>
  <si>
    <t>ORD101109</t>
  </si>
  <si>
    <t>2025-09-28</t>
  </si>
  <si>
    <t>ORD101110</t>
  </si>
  <si>
    <t>CUST1058</t>
  </si>
  <si>
    <t>ORD101111</t>
  </si>
  <si>
    <t>CUST1616</t>
  </si>
  <si>
    <t>ORD101112</t>
  </si>
  <si>
    <t>ORD101113</t>
  </si>
  <si>
    <t>ORD101114</t>
  </si>
  <si>
    <t>CUST1939</t>
  </si>
  <si>
    <t>ORD101115</t>
  </si>
  <si>
    <t>ORD101116</t>
  </si>
  <si>
    <t>2025-12-01</t>
  </si>
  <si>
    <t>ORD101117</t>
  </si>
  <si>
    <t>ORD101118</t>
  </si>
  <si>
    <t>ORD101119</t>
  </si>
  <si>
    <t>ORD101120</t>
  </si>
  <si>
    <t>2025-09-13</t>
  </si>
  <si>
    <t>CUST1349</t>
  </si>
  <si>
    <t>ORD101121</t>
  </si>
  <si>
    <t>CUST1401</t>
  </si>
  <si>
    <t>ORD101122</t>
  </si>
  <si>
    <t>ORD101123</t>
  </si>
  <si>
    <t>CUST1033</t>
  </si>
  <si>
    <t>ORD101124</t>
  </si>
  <si>
    <t>ORD101125</t>
  </si>
  <si>
    <t>ORD101126</t>
  </si>
  <si>
    <t>ORD101127</t>
  </si>
  <si>
    <t>ORD101128</t>
  </si>
  <si>
    <t>CUST1536</t>
  </si>
  <si>
    <t>ORD101129</t>
  </si>
  <si>
    <t>ORD101130</t>
  </si>
  <si>
    <t>CUST1376</t>
  </si>
  <si>
    <t>ORD101131</t>
  </si>
  <si>
    <t>ORD101132</t>
  </si>
  <si>
    <t>ORD101133</t>
  </si>
  <si>
    <t>CUST1397</t>
  </si>
  <si>
    <t>ORD101134</t>
  </si>
  <si>
    <t>ORD101135</t>
  </si>
  <si>
    <t>ORD101136</t>
  </si>
  <si>
    <t>CUST1398</t>
  </si>
  <si>
    <t>ORD101137</t>
  </si>
  <si>
    <t>ORD101138</t>
  </si>
  <si>
    <t>ORD101139</t>
  </si>
  <si>
    <t>CUST1295</t>
  </si>
  <si>
    <t>ORD101140</t>
  </si>
  <si>
    <t>ORD101141</t>
  </si>
  <si>
    <t>ORD101142</t>
  </si>
  <si>
    <t>ORD101143</t>
  </si>
  <si>
    <t>ORD101144</t>
  </si>
  <si>
    <t>CUST1425</t>
  </si>
  <si>
    <t>ORD101145</t>
  </si>
  <si>
    <t>ORD101146</t>
  </si>
  <si>
    <t>ORD101147</t>
  </si>
  <si>
    <t>CUST1970</t>
  </si>
  <si>
    <t>ORD101148</t>
  </si>
  <si>
    <t>ORD101149</t>
  </si>
  <si>
    <t>CUST1530</t>
  </si>
  <si>
    <t>ORD101150</t>
  </si>
  <si>
    <t>ORD101151</t>
  </si>
  <si>
    <t>ORD101152</t>
  </si>
  <si>
    <t>ORD101153</t>
  </si>
  <si>
    <t>CUST1407</t>
  </si>
  <si>
    <t>ORD101154</t>
  </si>
  <si>
    <t>CUST1329</t>
  </si>
  <si>
    <t>ORD101155</t>
  </si>
  <si>
    <t>CUST1196</t>
  </si>
  <si>
    <t>ORD101156</t>
  </si>
  <si>
    <t>CUST1674</t>
  </si>
  <si>
    <t>ORD101157</t>
  </si>
  <si>
    <t>2025-12-22</t>
  </si>
  <si>
    <t>ORD101158</t>
  </si>
  <si>
    <t>ORD101159</t>
  </si>
  <si>
    <t>CUST1952</t>
  </si>
  <si>
    <t>ORD101160</t>
  </si>
  <si>
    <t>ORD101161</t>
  </si>
  <si>
    <t>CUST1191</t>
  </si>
  <si>
    <t>ORD101162</t>
  </si>
  <si>
    <t>CUST1484</t>
  </si>
  <si>
    <t>ORD101163</t>
  </si>
  <si>
    <t>CUST1381</t>
  </si>
  <si>
    <t>ORD101164</t>
  </si>
  <si>
    <t>ORD101165</t>
  </si>
  <si>
    <t>ORD101166</t>
  </si>
  <si>
    <t>ORD101167</t>
  </si>
  <si>
    <t>CUST1754</t>
  </si>
  <si>
    <t>ORD101168</t>
  </si>
  <si>
    <t>ORD101169</t>
  </si>
  <si>
    <t>ORD101170</t>
  </si>
  <si>
    <t>ORD101171</t>
  </si>
  <si>
    <t>CUST1595</t>
  </si>
  <si>
    <t>ORD101172</t>
  </si>
  <si>
    <t>ORD101173</t>
  </si>
  <si>
    <t>ORD101174</t>
  </si>
  <si>
    <t>CUST1101</t>
  </si>
  <si>
    <t>ORD101175</t>
  </si>
  <si>
    <t>CUST1725</t>
  </si>
  <si>
    <t>ORD101176</t>
  </si>
  <si>
    <t>ORD101177</t>
  </si>
  <si>
    <t>ORD101178</t>
  </si>
  <si>
    <t>ORD101179</t>
  </si>
  <si>
    <t>ORD101180</t>
  </si>
  <si>
    <t>CUST1364</t>
  </si>
  <si>
    <t>ORD101181</t>
  </si>
  <si>
    <t>ORD101182</t>
  </si>
  <si>
    <t>CUST1113</t>
  </si>
  <si>
    <t>ORD101183</t>
  </si>
  <si>
    <t>ORD101184</t>
  </si>
  <si>
    <t>CUST1983</t>
  </si>
  <si>
    <t>ORD101185</t>
  </si>
  <si>
    <t>ORD101186</t>
  </si>
  <si>
    <t>ORD101187</t>
  </si>
  <si>
    <t>ORD101188</t>
  </si>
  <si>
    <t>ORD101189</t>
  </si>
  <si>
    <t>ORD101190</t>
  </si>
  <si>
    <t>CUST1026</t>
  </si>
  <si>
    <t>ORD101191</t>
  </si>
  <si>
    <t>ORD101192</t>
  </si>
  <si>
    <t>ORD101193</t>
  </si>
  <si>
    <t>CUST1318</t>
  </si>
  <si>
    <t>ORD101194</t>
  </si>
  <si>
    <t>CUST1047</t>
  </si>
  <si>
    <t>ORD101195</t>
  </si>
  <si>
    <t>ORD101196</t>
  </si>
  <si>
    <t>ORD101197</t>
  </si>
  <si>
    <t>ORD101198</t>
  </si>
  <si>
    <t>ORD101199</t>
  </si>
  <si>
    <t>CUST1269</t>
  </si>
  <si>
    <t>ORD101200</t>
  </si>
  <si>
    <t>CUST1096</t>
  </si>
  <si>
    <t>ORD101201</t>
  </si>
  <si>
    <t>ORD101202</t>
  </si>
  <si>
    <t>ORD101203</t>
  </si>
  <si>
    <t>2025-02-01</t>
  </si>
  <si>
    <t>CUST1051</t>
  </si>
  <si>
    <t>ORD101204</t>
  </si>
  <si>
    <t>ORD101205</t>
  </si>
  <si>
    <t>ORD101206</t>
  </si>
  <si>
    <t>ORD101207</t>
  </si>
  <si>
    <t>CUST1586</t>
  </si>
  <si>
    <t>ORD101208</t>
  </si>
  <si>
    <t>ORD101209</t>
  </si>
  <si>
    <t>ORD101210</t>
  </si>
  <si>
    <t>ORD101211</t>
  </si>
  <si>
    <t>ORD101212</t>
  </si>
  <si>
    <t>ORD101213</t>
  </si>
  <si>
    <t>CUST1223</t>
  </si>
  <si>
    <t>ORD101214</t>
  </si>
  <si>
    <t>CUST1063</t>
  </si>
  <si>
    <t>ORD101215</t>
  </si>
  <si>
    <t>CUST1948</t>
  </si>
  <si>
    <t>ORD101216</t>
  </si>
  <si>
    <t>ORD101217</t>
  </si>
  <si>
    <t>ORD101218</t>
  </si>
  <si>
    <t>ORD101219</t>
  </si>
  <si>
    <t>2025-03-09</t>
  </si>
  <si>
    <t>CUST1184</t>
  </si>
  <si>
    <t>ORD101220</t>
  </si>
  <si>
    <t>ORD101221</t>
  </si>
  <si>
    <t>ORD101222</t>
  </si>
  <si>
    <t>ORD101223</t>
  </si>
  <si>
    <t>ORD101224</t>
  </si>
  <si>
    <t>ORD101225</t>
  </si>
  <si>
    <t>ORD101226</t>
  </si>
  <si>
    <t>ORD101227</t>
  </si>
  <si>
    <t>ORD101228</t>
  </si>
  <si>
    <t>CUST1999</t>
  </si>
  <si>
    <t>ORD101229</t>
  </si>
  <si>
    <t>CUST1944</t>
  </si>
  <si>
    <t>ORD101230</t>
  </si>
  <si>
    <t>ORD101231</t>
  </si>
  <si>
    <t>CUST1989</t>
  </si>
  <si>
    <t>ORD101232</t>
  </si>
  <si>
    <t>ORD101233</t>
  </si>
  <si>
    <t>ORD101234</t>
  </si>
  <si>
    <t>ORD101235</t>
  </si>
  <si>
    <t>ORD101236</t>
  </si>
  <si>
    <t>CUST1153</t>
  </si>
  <si>
    <t>ORD101237</t>
  </si>
  <si>
    <t>ORD101238</t>
  </si>
  <si>
    <t>ORD101239</t>
  </si>
  <si>
    <t>ORD101240</t>
  </si>
  <si>
    <t>CUST1755</t>
  </si>
  <si>
    <t>ORD101241</t>
  </si>
  <si>
    <t>ORD101242</t>
  </si>
  <si>
    <t>ORD101243</t>
  </si>
  <si>
    <t>ORD101244</t>
  </si>
  <si>
    <t>ORD101245</t>
  </si>
  <si>
    <t>CUST1174</t>
  </si>
  <si>
    <t>ORD101246</t>
  </si>
  <si>
    <t>CUST1906</t>
  </si>
  <si>
    <t>ORD101247</t>
  </si>
  <si>
    <t>CUST1639</t>
  </si>
  <si>
    <t>ORD101248</t>
  </si>
  <si>
    <t>ORD101249</t>
  </si>
  <si>
    <t>ORD101250</t>
  </si>
  <si>
    <t>ORD101251</t>
  </si>
  <si>
    <t>CUST1759</t>
  </si>
  <si>
    <t>ORD101252</t>
  </si>
  <si>
    <t>CUST1193</t>
  </si>
  <si>
    <t>ORD101253</t>
  </si>
  <si>
    <t>ORD101254</t>
  </si>
  <si>
    <t>ORD101255</t>
  </si>
  <si>
    <t>CUST1014</t>
  </si>
  <si>
    <t>ORD101256</t>
  </si>
  <si>
    <t>CUST1898</t>
  </si>
  <si>
    <t>ORD101257</t>
  </si>
  <si>
    <t>CUST1879</t>
  </si>
  <si>
    <t>ORD101258</t>
  </si>
  <si>
    <t>ORD101259</t>
  </si>
  <si>
    <t>CUST1370</t>
  </si>
  <si>
    <t>ORD101260</t>
  </si>
  <si>
    <t>CUST1722</t>
  </si>
  <si>
    <t>ORD101261</t>
  </si>
  <si>
    <t>ORD101262</t>
  </si>
  <si>
    <t>ORD101263</t>
  </si>
  <si>
    <t>ORD101264</t>
  </si>
  <si>
    <t>ORD101265</t>
  </si>
  <si>
    <t>CUST1695</t>
  </si>
  <si>
    <t>ORD101266</t>
  </si>
  <si>
    <t>ORD101267</t>
  </si>
  <si>
    <t>CUST1274</t>
  </si>
  <si>
    <t>ORD101268</t>
  </si>
  <si>
    <t>ORD101269</t>
  </si>
  <si>
    <t>ORD101270</t>
  </si>
  <si>
    <t>ORD101271</t>
  </si>
  <si>
    <t>CUST1182</t>
  </si>
  <si>
    <t>ORD101272</t>
  </si>
  <si>
    <t>ORD101273</t>
  </si>
  <si>
    <t>CUST1126</t>
  </si>
  <si>
    <t>ORD101274</t>
  </si>
  <si>
    <t>CUST1923</t>
  </si>
  <si>
    <t>ORD101275</t>
  </si>
  <si>
    <t>CUST1625</t>
  </si>
  <si>
    <t>ORD101276</t>
  </si>
  <si>
    <t>CUST1744</t>
  </si>
  <si>
    <t>ORD101277</t>
  </si>
  <si>
    <t>ORD101278</t>
  </si>
  <si>
    <t>ORD101279</t>
  </si>
  <si>
    <t>CUST1542</t>
  </si>
  <si>
    <t>ORD101280</t>
  </si>
  <si>
    <t>ORD101281</t>
  </si>
  <si>
    <t>ORD101282</t>
  </si>
  <si>
    <t>ORD101283</t>
  </si>
  <si>
    <t>ORD101284</t>
  </si>
  <si>
    <t>ORD101285</t>
  </si>
  <si>
    <t>ORD101286</t>
  </si>
  <si>
    <t>ORD101287</t>
  </si>
  <si>
    <t>ORD101288</t>
  </si>
  <si>
    <t>ORD101289</t>
  </si>
  <si>
    <t>CUST1030</t>
  </si>
  <si>
    <t>ORD101290</t>
  </si>
  <si>
    <t>ORD101291</t>
  </si>
  <si>
    <t>ORD101292</t>
  </si>
  <si>
    <t>CUST1847</t>
  </si>
  <si>
    <t>ORD101293</t>
  </si>
  <si>
    <t>ORD101294</t>
  </si>
  <si>
    <t>CUST1749</t>
  </si>
  <si>
    <t>ORD101295</t>
  </si>
  <si>
    <t>ORD101296</t>
  </si>
  <si>
    <t>ORD101297</t>
  </si>
  <si>
    <t>ORD101298</t>
  </si>
  <si>
    <t>CUST1809</t>
  </si>
  <si>
    <t>ORD101299</t>
  </si>
  <si>
    <t>ORD101300</t>
  </si>
  <si>
    <t>CUST1958</t>
  </si>
  <si>
    <t>ORD101301</t>
  </si>
  <si>
    <t>CUST1831</t>
  </si>
  <si>
    <t>ORD101302</t>
  </si>
  <si>
    <t>ORD101303</t>
  </si>
  <si>
    <t>2025-06-09</t>
  </si>
  <si>
    <t>ORD101304</t>
  </si>
  <si>
    <t>ORD101305</t>
  </si>
  <si>
    <t>CUST1272</t>
  </si>
  <si>
    <t>ORD101306</t>
  </si>
  <si>
    <t>CUST1000</t>
  </si>
  <si>
    <t>ORD101307</t>
  </si>
  <si>
    <t>CUST1833</t>
  </si>
  <si>
    <t>ORD101308</t>
  </si>
  <si>
    <t>ORD101309</t>
  </si>
  <si>
    <t>ORD101310</t>
  </si>
  <si>
    <t>ORD101311</t>
  </si>
  <si>
    <t>2025-11-28</t>
  </si>
  <si>
    <t>ORD101312</t>
  </si>
  <si>
    <t>ORD101313</t>
  </si>
  <si>
    <t>CUST1524</t>
  </si>
  <si>
    <t>ORD101314</t>
  </si>
  <si>
    <t>ORD101315</t>
  </si>
  <si>
    <t>ORD101316</t>
  </si>
  <si>
    <t>ORD101317</t>
  </si>
  <si>
    <t>CUST1614</t>
  </si>
  <si>
    <t>ORD101318</t>
  </si>
  <si>
    <t>ORD101319</t>
  </si>
  <si>
    <t>ORD101320</t>
  </si>
  <si>
    <t>ORD101321</t>
  </si>
  <si>
    <t>ORD101322</t>
  </si>
  <si>
    <t>ORD101323</t>
  </si>
  <si>
    <t>ORD101324</t>
  </si>
  <si>
    <t>ORD101325</t>
  </si>
  <si>
    <t>ORD101326</t>
  </si>
  <si>
    <t>CUST1504</t>
  </si>
  <si>
    <t>ORD101327</t>
  </si>
  <si>
    <t>ORD101328</t>
  </si>
  <si>
    <t>CUST1499</t>
  </si>
  <si>
    <t>ORD101329</t>
  </si>
  <si>
    <t>ORD101330</t>
  </si>
  <si>
    <t>ORD101331</t>
  </si>
  <si>
    <t>ORD101332</t>
  </si>
  <si>
    <t>ORD101333</t>
  </si>
  <si>
    <t>ORD101334</t>
  </si>
  <si>
    <t>ORD101335</t>
  </si>
  <si>
    <t>ORD101336</t>
  </si>
  <si>
    <t>ORD101337</t>
  </si>
  <si>
    <t>CUST1883</t>
  </si>
  <si>
    <t>ORD101338</t>
  </si>
  <si>
    <t>CUST1508</t>
  </si>
  <si>
    <t>ORD101339</t>
  </si>
  <si>
    <t>ORD101340</t>
  </si>
  <si>
    <t>ORD101341</t>
  </si>
  <si>
    <t>ORD101342</t>
  </si>
  <si>
    <t>CUST1146</t>
  </si>
  <si>
    <t>ORD101343</t>
  </si>
  <si>
    <t>ORD101344</t>
  </si>
  <si>
    <t>ORD101345</t>
  </si>
  <si>
    <t>ORD101346</t>
  </si>
  <si>
    <t>ORD101347</t>
  </si>
  <si>
    <t>ORD101348</t>
  </si>
  <si>
    <t>ORD101349</t>
  </si>
  <si>
    <t>CUST1127</t>
  </si>
  <si>
    <t>ORD101350</t>
  </si>
  <si>
    <t>ORD101351</t>
  </si>
  <si>
    <t>ORD101352</t>
  </si>
  <si>
    <t>ORD101353</t>
  </si>
  <si>
    <t>CUST1330</t>
  </si>
  <si>
    <t>ORD101354</t>
  </si>
  <si>
    <t>ORD101355</t>
  </si>
  <si>
    <t>ORD101356</t>
  </si>
  <si>
    <t>CUST1212</t>
  </si>
  <si>
    <t>ORD101357</t>
  </si>
  <si>
    <t>ORD101358</t>
  </si>
  <si>
    <t>CUST1420</t>
  </si>
  <si>
    <t>ORD101359</t>
  </si>
  <si>
    <t>ORD101360</t>
  </si>
  <si>
    <t>CUST1217</t>
  </si>
  <si>
    <t>ORD101361</t>
  </si>
  <si>
    <t>ORD101362</t>
  </si>
  <si>
    <t>ORD101363</t>
  </si>
  <si>
    <t>CUST1472</t>
  </si>
  <si>
    <t>ORD101364</t>
  </si>
  <si>
    <t>ORD101365</t>
  </si>
  <si>
    <t>CUST1354</t>
  </si>
  <si>
    <t>ORD101366</t>
  </si>
  <si>
    <t>ORD101367</t>
  </si>
  <si>
    <t>CUST1750</t>
  </si>
  <si>
    <t>ORD101368</t>
  </si>
  <si>
    <t>ORD101369</t>
  </si>
  <si>
    <t>ORD101370</t>
  </si>
  <si>
    <t>CUST1757</t>
  </si>
  <si>
    <t>ORD101371</t>
  </si>
  <si>
    <t>ORD101372</t>
  </si>
  <si>
    <t>ORD101373</t>
  </si>
  <si>
    <t>ORD101374</t>
  </si>
  <si>
    <t>ORD101375</t>
  </si>
  <si>
    <t>ORD101376</t>
  </si>
  <si>
    <t>ORD101377</t>
  </si>
  <si>
    <t>ORD101378</t>
  </si>
  <si>
    <t>ORD101379</t>
  </si>
  <si>
    <t>ORD101380</t>
  </si>
  <si>
    <t>ORD101381</t>
  </si>
  <si>
    <t>ORD101382</t>
  </si>
  <si>
    <t>2025-06-24</t>
  </si>
  <si>
    <t>ORD101383</t>
  </si>
  <si>
    <t>ORD101384</t>
  </si>
  <si>
    <t>CUST1624</t>
  </si>
  <si>
    <t>ORD101385</t>
  </si>
  <si>
    <t>ORD101386</t>
  </si>
  <si>
    <t>ORD101387</t>
  </si>
  <si>
    <t>ORD101388</t>
  </si>
  <si>
    <t>ORD101389</t>
  </si>
  <si>
    <t>ORD101390</t>
  </si>
  <si>
    <t>ORD101391</t>
  </si>
  <si>
    <t>CUST1093</t>
  </si>
  <si>
    <t>ORD101392</t>
  </si>
  <si>
    <t>ORD101393</t>
  </si>
  <si>
    <t>ORD101394</t>
  </si>
  <si>
    <t>CUST1649</t>
  </si>
  <si>
    <t>ORD101395</t>
  </si>
  <si>
    <t>ORD101396</t>
  </si>
  <si>
    <t>CUST1253</t>
  </si>
  <si>
    <t>ORD101397</t>
  </si>
  <si>
    <t>ORD101398</t>
  </si>
  <si>
    <t>CUST1684</t>
  </si>
  <si>
    <t>ORD101399</t>
  </si>
  <si>
    <t>ORD101400</t>
  </si>
  <si>
    <t>ORD101401</t>
  </si>
  <si>
    <t>ORD101402</t>
  </si>
  <si>
    <t>ORD101403</t>
  </si>
  <si>
    <t>ORD101404</t>
  </si>
  <si>
    <t>CUST1570</t>
  </si>
  <si>
    <t>ORD101405</t>
  </si>
  <si>
    <t>ORD101406</t>
  </si>
  <si>
    <t>ORD101407</t>
  </si>
  <si>
    <t>ORD101408</t>
  </si>
  <si>
    <t>ORD101409</t>
  </si>
  <si>
    <t>ORD101410</t>
  </si>
  <si>
    <t>ORD101411</t>
  </si>
  <si>
    <t>ORD101412</t>
  </si>
  <si>
    <t>ORD101413</t>
  </si>
  <si>
    <t>ORD101414</t>
  </si>
  <si>
    <t>ORD101415</t>
  </si>
  <si>
    <t>ORD101416</t>
  </si>
  <si>
    <t>ORD101417</t>
  </si>
  <si>
    <t>ORD101418</t>
  </si>
  <si>
    <t>CUST1609</t>
  </si>
  <si>
    <t>ORD101419</t>
  </si>
  <si>
    <t>CUST1743</t>
  </si>
  <si>
    <t>ORD101420</t>
  </si>
  <si>
    <t>ORD101421</t>
  </si>
  <si>
    <t>ORD101422</t>
  </si>
  <si>
    <t>CUST1706</t>
  </si>
  <si>
    <t>ORD101423</t>
  </si>
  <si>
    <t>ORD101424</t>
  </si>
  <si>
    <t>ORD101425</t>
  </si>
  <si>
    <t>CUST1636</t>
  </si>
  <si>
    <t>ORD101426</t>
  </si>
  <si>
    <t>CUST1995</t>
  </si>
  <si>
    <t>ORD101427</t>
  </si>
  <si>
    <t>ORD101428</t>
  </si>
  <si>
    <t>ORD101429</t>
  </si>
  <si>
    <t>ORD101430</t>
  </si>
  <si>
    <t>ORD101431</t>
  </si>
  <si>
    <t>ORD101432</t>
  </si>
  <si>
    <t>ORD101433</t>
  </si>
  <si>
    <t>ORD101434</t>
  </si>
  <si>
    <t>ORD101435</t>
  </si>
  <si>
    <t>ORD101436</t>
  </si>
  <si>
    <t>ORD101437</t>
  </si>
  <si>
    <t>CUST1140</t>
  </si>
  <si>
    <t>ORD101438</t>
  </si>
  <si>
    <t>CUST1334</t>
  </si>
  <si>
    <t>ORD101439</t>
  </si>
  <si>
    <t>ORD101440</t>
  </si>
  <si>
    <t>ORD101441</t>
  </si>
  <si>
    <t>ORD101442</t>
  </si>
  <si>
    <t>ORD101443</t>
  </si>
  <si>
    <t>ORD101444</t>
  </si>
  <si>
    <t>ORD101445</t>
  </si>
  <si>
    <t>ORD101446</t>
  </si>
  <si>
    <t>CUST1473</t>
  </si>
  <si>
    <t>ORD101447</t>
  </si>
  <si>
    <t>ORD101448</t>
  </si>
  <si>
    <t>CUST1746</t>
  </si>
  <si>
    <t>ORD101449</t>
  </si>
  <si>
    <t>ORD101450</t>
  </si>
  <si>
    <t>ORD101451</t>
  </si>
  <si>
    <t>CUST1677</t>
  </si>
  <si>
    <t>ORD101452</t>
  </si>
  <si>
    <t>ORD101453</t>
  </si>
  <si>
    <t>ORD101454</t>
  </si>
  <si>
    <t>ORD101455</t>
  </si>
  <si>
    <t>ORD101456</t>
  </si>
  <si>
    <t>ORD101457</t>
  </si>
  <si>
    <t>ORD101458</t>
  </si>
  <si>
    <t>CUST1824</t>
  </si>
  <si>
    <t>ORD101459</t>
  </si>
  <si>
    <t>ORD101460</t>
  </si>
  <si>
    <t>ORD101461</t>
  </si>
  <si>
    <t>ORD101462</t>
  </si>
  <si>
    <t>ORD101463</t>
  </si>
  <si>
    <t>CUST1464</t>
  </si>
  <si>
    <t>ORD101464</t>
  </si>
  <si>
    <t>CUST1986</t>
  </si>
  <si>
    <t>ORD101465</t>
  </si>
  <si>
    <t>ORD101466</t>
  </si>
  <si>
    <t>CUST1510</t>
  </si>
  <si>
    <t>ORD101467</t>
  </si>
  <si>
    <t>CUST1384</t>
  </si>
  <si>
    <t>ORD101468</t>
  </si>
  <si>
    <t>2025-05-25</t>
  </si>
  <si>
    <t>ORD101469</t>
  </si>
  <si>
    <t>ORD101470</t>
  </si>
  <si>
    <t>ORD101471</t>
  </si>
  <si>
    <t>ORD101472</t>
  </si>
  <si>
    <t>ORD101473</t>
  </si>
  <si>
    <t>CUST1073</t>
  </si>
  <si>
    <t>ORD101474</t>
  </si>
  <si>
    <t>ORD101475</t>
  </si>
  <si>
    <t>CUST1976</t>
  </si>
  <si>
    <t>ORD101476</t>
  </si>
  <si>
    <t>CUST1049</t>
  </si>
  <si>
    <t>ORD101477</t>
  </si>
  <si>
    <t>ORD101478</t>
  </si>
  <si>
    <t>ORD101479</t>
  </si>
  <si>
    <t>CUST1773</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</si>
  <si>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</si>
  <si>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</si>
  <si>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</si>
  <si>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</si>
  <si>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</si>
  <si>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</si>
  <si>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</si>
  <si>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</si>
  <si>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</si>
  <si>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</si>
  <si>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</si>
  <si>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</si>
  <si>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</si>
  <si>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</si>
  <si>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</si>
  <si>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</si>
  <si>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</si>
  <si>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CUST1202</t>
  </si>
  <si>
    <t>ORD101497</t>
  </si>
  <si>
    <t>CUST1607</t>
  </si>
  <si>
    <t>ORD101498</t>
  </si>
  <si>
    <t>ORD101499</t>
  </si>
  <si>
    <t>ORD101500</t>
  </si>
  <si>
    <t>ORD101501</t>
  </si>
  <si>
    <t>CUST1710</t>
  </si>
  <si>
    <t>ORD101502</t>
  </si>
  <si>
    <t>ORD101503</t>
  </si>
  <si>
    <t>ORD101504</t>
  </si>
  <si>
    <t>CUST1871</t>
  </si>
  <si>
    <t>ORD101505</t>
  </si>
  <si>
    <t>ORD101506</t>
  </si>
  <si>
    <t>CUST1627</t>
  </si>
  <si>
    <t>ORD101507</t>
  </si>
  <si>
    <t>ORD101508</t>
  </si>
  <si>
    <t>ORD101509</t>
  </si>
  <si>
    <t>ORD101510</t>
  </si>
  <si>
    <t>CUST1593</t>
  </si>
  <si>
    <t>ORD101511</t>
  </si>
  <si>
    <t>ORD101512</t>
  </si>
  <si>
    <t>CUST1549</t>
  </si>
  <si>
    <t>ORD101513</t>
  </si>
  <si>
    <t>ORD101514</t>
  </si>
  <si>
    <t>ORD101515</t>
  </si>
  <si>
    <t>ORD101516</t>
  </si>
  <si>
    <t>ORD101517</t>
  </si>
  <si>
    <t>ORD101518</t>
  </si>
  <si>
    <t>ORD101519</t>
  </si>
  <si>
    <t>ORD101520</t>
  </si>
  <si>
    <t>CUST1555</t>
  </si>
  <si>
    <t>ORD101521</t>
  </si>
  <si>
    <t>ORD101522</t>
  </si>
  <si>
    <t>CUST1921</t>
  </si>
  <si>
    <t>ORD101523</t>
  </si>
  <si>
    <t>ORD101524</t>
  </si>
  <si>
    <t>CUST1615</t>
  </si>
  <si>
    <t>ORD101525</t>
  </si>
  <si>
    <t>ORD101526</t>
  </si>
  <si>
    <t>ORD101527</t>
  </si>
  <si>
    <t>ORD101528</t>
  </si>
  <si>
    <t>CUST1634</t>
  </si>
  <si>
    <t>ORD101529</t>
  </si>
  <si>
    <t>CUST1890</t>
  </si>
  <si>
    <t>ORD101530</t>
  </si>
  <si>
    <t>CUST1867</t>
  </si>
  <si>
    <t>ORD101531</t>
  </si>
  <si>
    <t>CUST1892</t>
  </si>
  <si>
    <t>ORD101532</t>
  </si>
  <si>
    <t>ORD101533</t>
  </si>
  <si>
    <t>ORD101534</t>
  </si>
  <si>
    <t>ORD101535</t>
  </si>
  <si>
    <t>ORD101536</t>
  </si>
  <si>
    <t>ORD101537</t>
  </si>
  <si>
    <t>ORD101538</t>
  </si>
  <si>
    <t>CUST1648</t>
  </si>
  <si>
    <t>ORD101539</t>
  </si>
  <si>
    <t>ORD101540</t>
  </si>
  <si>
    <t>ORD101541</t>
  </si>
  <si>
    <t>ORD101542</t>
  </si>
  <si>
    <t>CUST1990</t>
  </si>
  <si>
    <t>ORD101543</t>
  </si>
  <si>
    <t>ORD101544</t>
  </si>
  <si>
    <t>ORD101545</t>
  </si>
  <si>
    <t>ORD101546</t>
  </si>
  <si>
    <t>CUST1667</t>
  </si>
  <si>
    <t>ORD101547</t>
  </si>
  <si>
    <t>ORD101548</t>
  </si>
  <si>
    <t>ORD101549</t>
  </si>
  <si>
    <t>CUST1752</t>
  </si>
  <si>
    <t>ORD101550</t>
  </si>
  <si>
    <t>ORD101551</t>
  </si>
  <si>
    <t>ORD101552</t>
  </si>
  <si>
    <t>ORD101553</t>
  </si>
  <si>
    <t>ORD101554</t>
  </si>
  <si>
    <t>CUST1053</t>
  </si>
  <si>
    <t>ORD101555</t>
  </si>
  <si>
    <t>CUST1258</t>
  </si>
  <si>
    <t>ORD101556</t>
  </si>
  <si>
    <t>2025-10-16</t>
  </si>
  <si>
    <t>ORD101557</t>
  </si>
  <si>
    <t>ORD101558</t>
  </si>
  <si>
    <t>CUST1814</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</si>
  <si>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</si>
  <si>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</si>
  <si>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</si>
  <si>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</si>
  <si>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</si>
  <si>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</si>
  <si>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</si>
  <si>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</si>
  <si>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</si>
  <si>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</si>
  <si>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</si>
  <si>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</si>
  <si>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</si>
  <si>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</si>
  <si>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</si>
  <si>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</si>
  <si>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CUST1208</t>
  </si>
  <si>
    <t>ORD101575</t>
  </si>
  <si>
    <t>ORD101576</t>
  </si>
  <si>
    <t>CUST1144</t>
  </si>
  <si>
    <t>ORD101577</t>
  </si>
  <si>
    <t>ORD101578</t>
  </si>
  <si>
    <t>ORD101579</t>
  </si>
  <si>
    <t>ORD101580</t>
  </si>
  <si>
    <t>CUST1500</t>
  </si>
  <si>
    <t>ORD101581</t>
  </si>
  <si>
    <t>ORD101582</t>
  </si>
  <si>
    <t>ORD101583</t>
  </si>
  <si>
    <t>CUST1881</t>
  </si>
  <si>
    <t>ORD101584</t>
  </si>
  <si>
    <t>ORD101585</t>
  </si>
  <si>
    <t>ORD101586</t>
  </si>
  <si>
    <t>ORD101587</t>
  </si>
  <si>
    <t>ORD101588</t>
  </si>
  <si>
    <t>ORD101589</t>
  </si>
  <si>
    <t>ORD101590</t>
  </si>
  <si>
    <t>ORD101591</t>
  </si>
  <si>
    <t>ORD101592</t>
  </si>
  <si>
    <t>CUST1978</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</si>
  <si>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</si>
  <si>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</si>
  <si>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</si>
  <si>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</si>
  <si>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</si>
  <si>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</si>
  <si>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</si>
  <si>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</si>
  <si>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</si>
  <si>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</si>
  <si>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</si>
  <si>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</si>
  <si>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</si>
  <si>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</si>
  <si>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</si>
  <si>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</si>
  <si>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</si>
  <si>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CUST1415</t>
  </si>
  <si>
    <t>ORD101610</t>
  </si>
  <si>
    <t>CUST1019</t>
  </si>
  <si>
    <t>ORD101611</t>
  </si>
  <si>
    <t>ORD101612</t>
  </si>
  <si>
    <t>ORD101613</t>
  </si>
  <si>
    <t>ORD101614</t>
  </si>
  <si>
    <t>ORD101615</t>
  </si>
  <si>
    <t>ORD101616</t>
  </si>
  <si>
    <t>2025-11-01</t>
  </si>
  <si>
    <t>ORD101617</t>
  </si>
  <si>
    <t>ORD101618</t>
  </si>
  <si>
    <t>ORD101619</t>
  </si>
  <si>
    <t>ORD101620</t>
  </si>
  <si>
    <t>CUST1442</t>
  </si>
  <si>
    <t>ORD101621</t>
  </si>
  <si>
    <t>ORD101622</t>
  </si>
  <si>
    <t>ORD101623</t>
  </si>
  <si>
    <t>ORD101624</t>
  </si>
  <si>
    <t>ORD101625</t>
  </si>
  <si>
    <t>ORD101626</t>
  </si>
  <si>
    <t>CUST1400</t>
  </si>
  <si>
    <t>ORD101627</t>
  </si>
  <si>
    <t>ORD101628</t>
  </si>
  <si>
    <t>CUST1853</t>
  </si>
  <si>
    <t>ORD101629</t>
  </si>
  <si>
    <t>ORD101630</t>
  </si>
  <si>
    <t>CUST1924</t>
  </si>
  <si>
    <t>ORD101631</t>
  </si>
  <si>
    <t>ORD101632</t>
  </si>
  <si>
    <t>CUST1023</t>
  </si>
  <si>
    <t>ORD101633</t>
  </si>
  <si>
    <t>CUST1933</t>
  </si>
  <si>
    <t>ORD101634</t>
  </si>
  <si>
    <t>ORD101635</t>
  </si>
  <si>
    <t>ORD101636</t>
  </si>
  <si>
    <t>ORD101637</t>
  </si>
  <si>
    <t>ORD101638</t>
  </si>
  <si>
    <t>ORD101639</t>
  </si>
  <si>
    <t>ORD101640</t>
  </si>
  <si>
    <t>CUST1620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</si>
  <si>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</si>
  <si>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</si>
  <si>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</si>
  <si>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</si>
  <si>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</si>
  <si>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</si>
  <si>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</si>
  <si>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</si>
  <si>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</si>
  <si>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</si>
  <si>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</si>
  <si>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</si>
  <si>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</si>
  <si>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</si>
  <si>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</si>
  <si>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</si>
  <si>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</si>
  <si>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</si>
  <si>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</si>
  <si>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CUST1896</t>
  </si>
  <si>
    <t>ORD101660</t>
  </si>
  <si>
    <t>ORD101661</t>
  </si>
  <si>
    <t>ORD101662</t>
  </si>
  <si>
    <t>CUST1252</t>
  </si>
  <si>
    <t>ORD101663</t>
  </si>
  <si>
    <t>ORD101664</t>
  </si>
  <si>
    <t>ORD101665</t>
  </si>
  <si>
    <t>ORD101666</t>
  </si>
  <si>
    <t>ORD101667</t>
  </si>
  <si>
    <t>ORD101668</t>
  </si>
  <si>
    <t>ORD101669</t>
  </si>
  <si>
    <t>ORD101670</t>
  </si>
  <si>
    <t>ORD101671</t>
  </si>
  <si>
    <t>ORD101672</t>
  </si>
  <si>
    <t>CUST1922</t>
  </si>
  <si>
    <t>ORD101673</t>
  </si>
  <si>
    <t>CUST1583</t>
  </si>
  <si>
    <t>ORD101674</t>
  </si>
  <si>
    <t>ORD101675</t>
  </si>
  <si>
    <t>ORD101676</t>
  </si>
  <si>
    <t>ORD101677</t>
  </si>
  <si>
    <t>ORD101678</t>
  </si>
  <si>
    <t>ORD101679</t>
  </si>
  <si>
    <t>CUST1181</t>
  </si>
  <si>
    <t>ORD101680</t>
  </si>
  <si>
    <t>CUST1431</t>
  </si>
  <si>
    <t>ORD101681</t>
  </si>
  <si>
    <t>ORD101682</t>
  </si>
  <si>
    <t>ORD101683</t>
  </si>
  <si>
    <t>ORD101684</t>
  </si>
  <si>
    <t>ORD101685</t>
  </si>
  <si>
    <t>ORD101686</t>
  </si>
  <si>
    <t>CUST1498</t>
  </si>
  <si>
    <t>ORD101687</t>
  </si>
  <si>
    <t>ORD101688</t>
  </si>
  <si>
    <t>ORD101689</t>
  </si>
  <si>
    <t>ORD101690</t>
  </si>
  <si>
    <t>ORD101691</t>
  </si>
  <si>
    <t>CUST1582</t>
  </si>
  <si>
    <t>ORD101692</t>
  </si>
  <si>
    <t>ORD101693</t>
  </si>
  <si>
    <t>ORD101694</t>
  </si>
  <si>
    <t>CUST1889</t>
  </si>
  <si>
    <t>ORD101695</t>
  </si>
  <si>
    <t>ORD101696</t>
  </si>
  <si>
    <t>CUST1635</t>
  </si>
  <si>
    <t>ORD101697</t>
  </si>
  <si>
    <t>2025-08-29</t>
  </si>
  <si>
    <t>ORD101698</t>
  </si>
  <si>
    <t>ORD101699</t>
  </si>
  <si>
    <t>ORD101700</t>
  </si>
  <si>
    <t>CUST1303</t>
  </si>
  <si>
    <t>ORD101701</t>
  </si>
  <si>
    <t>ORD101702</t>
  </si>
  <si>
    <t>ORD101703</t>
  </si>
  <si>
    <t>ORD101704</t>
  </si>
  <si>
    <t>ORD101705</t>
  </si>
  <si>
    <t>ORD101706</t>
  </si>
  <si>
    <t>ORD101707</t>
  </si>
  <si>
    <t>ORD101708</t>
  </si>
  <si>
    <t>ORD101709</t>
  </si>
  <si>
    <t>ORD101710</t>
  </si>
  <si>
    <t>ORD101711</t>
  </si>
  <si>
    <t>ORD101712</t>
  </si>
  <si>
    <t>ORD101713</t>
  </si>
  <si>
    <t>ORD101714</t>
  </si>
  <si>
    <t>CUST1234</t>
  </si>
  <si>
    <t>ORD101715</t>
  </si>
  <si>
    <t>CUST1886</t>
  </si>
  <si>
    <t>ORD101716</t>
  </si>
  <si>
    <t>ORD101717</t>
  </si>
  <si>
    <t>ORD101718</t>
  </si>
  <si>
    <t>ORD101719</t>
  </si>
  <si>
    <t>ORD101720</t>
  </si>
  <si>
    <t>ORD101721</t>
  </si>
  <si>
    <t>ORD101722</t>
  </si>
  <si>
    <t>CUST1375</t>
  </si>
  <si>
    <t>ORD101723</t>
  </si>
  <si>
    <t>ORD101724</t>
  </si>
  <si>
    <t>ORD101725</t>
  </si>
  <si>
    <t>CUST1864</t>
  </si>
  <si>
    <t>ORD101726</t>
  </si>
  <si>
    <t>CUST1603</t>
  </si>
  <si>
    <t>ORD101727</t>
  </si>
  <si>
    <t>ORD101728</t>
  </si>
  <si>
    <t>ORD101729</t>
  </si>
  <si>
    <t>ORD101730</t>
  </si>
  <si>
    <t>ORD101731</t>
  </si>
  <si>
    <t>ORD101732</t>
  </si>
  <si>
    <t>ORD101733</t>
  </si>
  <si>
    <t>ORD101734</t>
  </si>
  <si>
    <t>ORD101735</t>
  </si>
  <si>
    <t>CUST1224</t>
  </si>
  <si>
    <t>ORD101736</t>
  </si>
  <si>
    <t>ORD101737</t>
  </si>
  <si>
    <t>ORD101738</t>
  </si>
  <si>
    <t>CUST1838</t>
  </si>
  <si>
    <t>ORD101739</t>
  </si>
  <si>
    <t>ORD101740</t>
  </si>
  <si>
    <t>ORD101741</t>
  </si>
  <si>
    <t>ORD101742</t>
  </si>
  <si>
    <t>ORD101743</t>
  </si>
  <si>
    <t>ORD101744</t>
  </si>
  <si>
    <t>ORD101745</t>
  </si>
  <si>
    <t>ORD101746</t>
  </si>
  <si>
    <t>CUST1468</t>
  </si>
  <si>
    <t>ORD101747</t>
  </si>
  <si>
    <t>ORD101748</t>
  </si>
  <si>
    <t>ORD101749</t>
  </si>
  <si>
    <t>ORD101750</t>
  </si>
  <si>
    <t>ORD101751</t>
  </si>
  <si>
    <t>ORD101752</t>
  </si>
  <si>
    <t>CUST1663</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</si>
  <si>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</si>
  <si>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</si>
  <si>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</si>
  <si>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</si>
  <si>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</si>
  <si>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</si>
  <si>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</si>
  <si>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</si>
  <si>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</si>
  <si>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</si>
  <si>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</si>
  <si>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</si>
  <si>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</si>
  <si>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</si>
  <si>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</si>
  <si>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</si>
  <si>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CUST1811</t>
  </si>
  <si>
    <t>ORD101769</t>
  </si>
  <si>
    <t>ORD101770</t>
  </si>
  <si>
    <t>ORD101771</t>
  </si>
  <si>
    <t>CUST1762</t>
  </si>
  <si>
    <t>ORD101772</t>
  </si>
  <si>
    <t>ORD101773</t>
  </si>
  <si>
    <t>CUST1980</t>
  </si>
  <si>
    <t>ORD101774</t>
  </si>
  <si>
    <t>ORD101775</t>
  </si>
  <si>
    <t>CUST1294</t>
  </si>
  <si>
    <t>ORD101776</t>
  </si>
  <si>
    <t>CUST1016</t>
  </si>
  <si>
    <t>ORD101777</t>
  </si>
  <si>
    <t>ORD101778</t>
  </si>
  <si>
    <t>ORD101779</t>
  </si>
  <si>
    <t>ORD101780</t>
  </si>
  <si>
    <t>ORD101781</t>
  </si>
  <si>
    <t>ORD101782</t>
  </si>
  <si>
    <t>ORD101783</t>
  </si>
  <si>
    <t>ORD101784</t>
  </si>
  <si>
    <t>ORD101785</t>
  </si>
  <si>
    <t>ORD101786</t>
  </si>
  <si>
    <t>CUST1060</t>
  </si>
  <si>
    <t>ORD101787</t>
  </si>
  <si>
    <t>ORD101788</t>
  </si>
  <si>
    <t>CUST1388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</si>
  <si>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</si>
  <si>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</si>
  <si>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</si>
  <si>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</si>
  <si>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</si>
  <si>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</si>
  <si>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</si>
  <si>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</si>
  <si>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</si>
  <si>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</si>
  <si>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</si>
  <si>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</si>
  <si>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</si>
  <si>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</si>
  <si>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</si>
  <si>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</si>
  <si>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</si>
  <si>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</si>
  <si>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CUST1082</t>
  </si>
  <si>
    <t>ORD101807</t>
  </si>
  <si>
    <t>ORD101808</t>
  </si>
  <si>
    <t>CUST1164</t>
  </si>
  <si>
    <t>ORD101809</t>
  </si>
  <si>
    <t>ORD101810</t>
  </si>
  <si>
    <t>ORD101811</t>
  </si>
  <si>
    <t>CUST1868</t>
  </si>
  <si>
    <t>ORD101812</t>
  </si>
  <si>
    <t>CUST1114</t>
  </si>
  <si>
    <t>ORD101813</t>
  </si>
  <si>
    <t>ORD101814</t>
  </si>
  <si>
    <t>ORD101815</t>
  </si>
  <si>
    <t>CUST1467</t>
  </si>
  <si>
    <t>ORD101816</t>
  </si>
  <si>
    <t>ORD101817</t>
  </si>
  <si>
    <t>ORD101818</t>
  </si>
  <si>
    <t>ORD101819</t>
  </si>
  <si>
    <t>ORD101820</t>
  </si>
  <si>
    <t>CUST1902</t>
  </si>
  <si>
    <t>ORD101821</t>
  </si>
  <si>
    <t>ORD101822</t>
  </si>
  <si>
    <t>ORD101823</t>
  </si>
  <si>
    <t>ORD101824</t>
  </si>
  <si>
    <t>CUST1661</t>
  </si>
  <si>
    <t>ORD101825</t>
  </si>
  <si>
    <t>ORD101826</t>
  </si>
  <si>
    <t>ORD101827</t>
  </si>
  <si>
    <t>ORD101828</t>
  </si>
  <si>
    <t>ORD101829</t>
  </si>
  <si>
    <t>ORD101830</t>
  </si>
  <si>
    <t>ORD101831</t>
  </si>
  <si>
    <t>ORD101832</t>
  </si>
  <si>
    <t>ORD101833</t>
  </si>
  <si>
    <t>ORD101834</t>
  </si>
  <si>
    <t>ORD101835</t>
  </si>
  <si>
    <t>ORD101836</t>
  </si>
  <si>
    <t>ORD101837</t>
  </si>
  <si>
    <t>ORD101838</t>
  </si>
  <si>
    <t>ORD101839</t>
  </si>
  <si>
    <t>CUST1828</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</si>
  <si>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</si>
  <si>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</si>
  <si>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</si>
  <si>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</si>
  <si>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</si>
  <si>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</si>
  <si>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</si>
  <si>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</si>
  <si>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</si>
  <si>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</si>
  <si>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</si>
  <si>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</si>
  <si>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</si>
  <si>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</si>
  <si>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</si>
  <si>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</si>
  <si>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</si>
  <si>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</si>
  <si>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</si>
  <si>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2025-12-02</t>
  </si>
  <si>
    <t>ORD101859</t>
  </si>
  <si>
    <t>ORD101860</t>
  </si>
  <si>
    <t>ORD101861</t>
  </si>
  <si>
    <t>ORD101862</t>
  </si>
  <si>
    <t>CUST1992</t>
  </si>
  <si>
    <t>ORD101863</t>
  </si>
  <si>
    <t>CUST1438</t>
  </si>
  <si>
    <t>ORD101864</t>
  </si>
  <si>
    <t>CUST1037</t>
  </si>
  <si>
    <t>ORD101865</t>
  </si>
  <si>
    <t>ORD101866</t>
  </si>
  <si>
    <t>ORD101867</t>
  </si>
  <si>
    <t>ORD101868</t>
  </si>
  <si>
    <t>ORD101869</t>
  </si>
  <si>
    <t>ORD101870</t>
  </si>
  <si>
    <t>ORD101871</t>
  </si>
  <si>
    <t>ORD101872</t>
  </si>
  <si>
    <t>ORD101873</t>
  </si>
  <si>
    <t>ORD101874</t>
  </si>
  <si>
    <t>ORD101875</t>
  </si>
  <si>
    <t>CUST1971</t>
  </si>
  <si>
    <t>ORD101876</t>
  </si>
  <si>
    <t>ORD101877</t>
  </si>
  <si>
    <t>ORD101878</t>
  </si>
  <si>
    <t>ORD101879</t>
  </si>
  <si>
    <t>ORD101880</t>
  </si>
  <si>
    <t>CUST1642</t>
  </si>
  <si>
    <t>ORD101881</t>
  </si>
  <si>
    <t>ORD101882</t>
  </si>
  <si>
    <t>ORD101883</t>
  </si>
  <si>
    <t>ORD101884</t>
  </si>
  <si>
    <t>ORD101885</t>
  </si>
  <si>
    <t>ORD101886</t>
  </si>
  <si>
    <t>ORD101887</t>
  </si>
  <si>
    <t>ORD101888</t>
  </si>
  <si>
    <t>ORD101889</t>
  </si>
  <si>
    <t>ORD101890</t>
  </si>
  <si>
    <t>ORD101891</t>
  </si>
  <si>
    <t>CUST1205</t>
  </si>
  <si>
    <t>ORD101892</t>
  </si>
  <si>
    <t>ORD101893</t>
  </si>
  <si>
    <t>ORD101894</t>
  </si>
  <si>
    <t>CUST1553</t>
  </si>
  <si>
    <t>ORD101895</t>
  </si>
  <si>
    <t>ORD101896</t>
  </si>
  <si>
    <t>ORD101897</t>
  </si>
  <si>
    <t>ORD101898</t>
  </si>
  <si>
    <t>ORD101899</t>
  </si>
  <si>
    <t>CUST1505</t>
  </si>
  <si>
    <t>ORD101900</t>
  </si>
  <si>
    <t>ORD101901</t>
  </si>
  <si>
    <t>ORD101902</t>
  </si>
  <si>
    <t>ORD101903</t>
  </si>
  <si>
    <t>ORD101904</t>
  </si>
  <si>
    <t>ORD101905</t>
  </si>
  <si>
    <t>ORD101906</t>
  </si>
  <si>
    <t>ORD101907</t>
  </si>
  <si>
    <t>ORD101908</t>
  </si>
  <si>
    <t>CUST1862</t>
  </si>
  <si>
    <t>ORD101909</t>
  </si>
  <si>
    <t>ORD101910</t>
  </si>
  <si>
    <t>ORD101911</t>
  </si>
  <si>
    <t>ORD101912</t>
  </si>
  <si>
    <t>ORD101913</t>
  </si>
  <si>
    <t>ORD101914</t>
  </si>
  <si>
    <t>ORD101915</t>
  </si>
  <si>
    <t>ORD101916</t>
  </si>
  <si>
    <t>ORD101917</t>
  </si>
  <si>
    <t>ORD101918</t>
  </si>
  <si>
    <t>ORD101919</t>
  </si>
  <si>
    <t>CUST1705</t>
  </si>
  <si>
    <t>ORD101920</t>
  </si>
  <si>
    <t>ORD101921</t>
  </si>
  <si>
    <t>ORD101922</t>
  </si>
  <si>
    <t>ORD101923</t>
  </si>
  <si>
    <t>ORD101924</t>
  </si>
  <si>
    <t>ORD101925</t>
  </si>
  <si>
    <t>CUST1981</t>
  </si>
  <si>
    <t>ORD101926</t>
  </si>
  <si>
    <t>ORD101927</t>
  </si>
  <si>
    <t>ORD101928</t>
  </si>
  <si>
    <t>CUST1567</t>
  </si>
  <si>
    <t>ORD101929</t>
  </si>
  <si>
    <t>ORD101930</t>
  </si>
  <si>
    <t>ORD101931</t>
  </si>
  <si>
    <t>ORD101932</t>
  </si>
  <si>
    <t>CUST1075</t>
  </si>
  <si>
    <t>ORD101933</t>
  </si>
  <si>
    <t>ORD101934</t>
  </si>
  <si>
    <t>ORD101935</t>
  </si>
  <si>
    <t>ORD101936</t>
  </si>
  <si>
    <t>CUST1798</t>
  </si>
  <si>
    <t>ORD101937</t>
  </si>
  <si>
    <t>ORD101938</t>
  </si>
  <si>
    <t>ORD101939</t>
  </si>
  <si>
    <t>ORD101940</t>
  </si>
  <si>
    <t>ORD101941</t>
  </si>
  <si>
    <t>ORD101942</t>
  </si>
  <si>
    <t>ORD101943</t>
  </si>
  <si>
    <t>ORD101944</t>
  </si>
  <si>
    <t>ORD101945</t>
  </si>
  <si>
    <t>ORD101946</t>
  </si>
  <si>
    <t>ORD101947</t>
  </si>
  <si>
    <t>CUST1383</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</si>
  <si>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</si>
  <si>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</si>
  <si>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</si>
  <si>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</si>
  <si>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</si>
  <si>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</si>
  <si>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</si>
  <si>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</si>
  <si>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</si>
  <si>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</si>
  <si>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</si>
  <si>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</si>
  <si>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</si>
  <si>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</si>
  <si>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</si>
  <si>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</si>
  <si>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</si>
  <si>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</si>
  <si>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</si>
  <si>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</si>
  <si>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</si>
  <si>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CUST1974</t>
  </si>
  <si>
    <t>ORD101969</t>
  </si>
  <si>
    <t>ORD101970</t>
  </si>
  <si>
    <t>ORD101971</t>
  </si>
  <si>
    <t>ORD101972</t>
  </si>
  <si>
    <t>ORD101973</t>
  </si>
  <si>
    <t>ORD101974</t>
  </si>
  <si>
    <t>ORD101975</t>
  </si>
  <si>
    <t>ORD101976</t>
  </si>
  <si>
    <t>ORD101977</t>
  </si>
  <si>
    <t>ORD101978</t>
  </si>
  <si>
    <t>ORD101979</t>
  </si>
  <si>
    <t>ORD101980</t>
  </si>
  <si>
    <t>ORD101981</t>
  </si>
  <si>
    <t>ORD101982</t>
  </si>
  <si>
    <t>ORD101983</t>
  </si>
  <si>
    <t>CUST1786</t>
  </si>
  <si>
    <t>ORD101984</t>
  </si>
  <si>
    <t>ORD101985</t>
  </si>
  <si>
    <t>ORD101986</t>
  </si>
  <si>
    <t>ORD101987</t>
  </si>
  <si>
    <t>ORD101988</t>
  </si>
  <si>
    <t>ORD101989</t>
  </si>
  <si>
    <t>ORD101990</t>
  </si>
  <si>
    <t>ORD101991</t>
  </si>
  <si>
    <t>ORD101992</t>
  </si>
  <si>
    <t>ORD101993</t>
  </si>
  <si>
    <t>ORD101994</t>
  </si>
  <si>
    <t>ORD101995</t>
  </si>
  <si>
    <t>ORD101996</t>
  </si>
  <si>
    <t>ORD101997</t>
  </si>
  <si>
    <t>CUST1108</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</si>
  <si>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</si>
  <si>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</si>
  <si>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</si>
  <si>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</si>
  <si>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</si>
  <si>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</si>
  <si>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</si>
  <si>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</si>
  <si>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</si>
  <si>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</si>
  <si>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</si>
  <si>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</si>
  <si>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</si>
  <si>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</si>
  <si>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</si>
  <si>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</si>
  <si>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</si>
  <si>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</si>
  <si>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</si>
  <si>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</si>
  <si>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</si>
  <si>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</si>
  <si>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</si>
  <si>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</si>
  <si>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</si>
  <si>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</si>
  <si>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</si>
  <si>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</si>
  <si>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</si>
  <si>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</si>
  <si>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</si>
  <si>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</si>
  <si>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CUST1207</t>
  </si>
  <si>
    <t>ORD102030</t>
  </si>
  <si>
    <t>ORD102031</t>
  </si>
  <si>
    <t>ORD102032</t>
  </si>
  <si>
    <t>ORD102033</t>
  </si>
  <si>
    <t>ORD102034</t>
  </si>
  <si>
    <t>ORD102035</t>
  </si>
  <si>
    <t>ORD102036</t>
  </si>
  <si>
    <t>ORD102037</t>
  </si>
  <si>
    <t>ORD102038</t>
  </si>
  <si>
    <t>ORD102039</t>
  </si>
  <si>
    <t>ORD102040</t>
  </si>
  <si>
    <t>ORD102041</t>
  </si>
  <si>
    <t>CUST1412</t>
  </si>
  <si>
    <t>ORD102042</t>
  </si>
  <si>
    <t>ORD102043</t>
  </si>
  <si>
    <t>ORD102044</t>
  </si>
  <si>
    <t>ORD102045</t>
  </si>
  <si>
    <t>ORD102046</t>
  </si>
  <si>
    <t>ORD102047</t>
  </si>
  <si>
    <t>CUST1673</t>
  </si>
  <si>
    <t>ORD102048</t>
  </si>
  <si>
    <t>ORD102049</t>
  </si>
  <si>
    <t>ORD102050</t>
  </si>
  <si>
    <t>ORD102051</t>
  </si>
  <si>
    <t>ORD102052</t>
  </si>
  <si>
    <t>CUST1911</t>
  </si>
  <si>
    <t>ORD102053</t>
  </si>
  <si>
    <t>CUST1276</t>
  </si>
  <si>
    <t>ORD102054</t>
  </si>
  <si>
    <t>ORD102055</t>
  </si>
  <si>
    <t>ORD102056</t>
  </si>
  <si>
    <t>CUST1416</t>
  </si>
  <si>
    <t>ORD102057</t>
  </si>
  <si>
    <t>ORD102058</t>
  </si>
  <si>
    <t>CUST1353</t>
  </si>
  <si>
    <t>ORD102059</t>
  </si>
  <si>
    <t>ORD102060</t>
  </si>
  <si>
    <t>ORD102061</t>
  </si>
  <si>
    <t>ORD102062</t>
  </si>
  <si>
    <t>CUST1761</t>
  </si>
  <si>
    <t>ORD102063</t>
  </si>
  <si>
    <t>ORD102064</t>
  </si>
  <si>
    <t>ORD102065</t>
  </si>
  <si>
    <t>ORD102066</t>
  </si>
  <si>
    <t>CUST1943</t>
  </si>
  <si>
    <t>ORD102067</t>
  </si>
  <si>
    <t>CUST1840</t>
  </si>
  <si>
    <t>ORD102068</t>
  </si>
  <si>
    <t>ORD102069</t>
  </si>
  <si>
    <t>ORD102070</t>
  </si>
  <si>
    <t>CUST1341</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</si>
  <si>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</si>
  <si>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</si>
  <si>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</si>
  <si>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</si>
  <si>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</si>
  <si>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</si>
  <si>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</si>
  <si>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</si>
  <si>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</si>
  <si>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</si>
  <si>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</si>
  <si>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</si>
  <si>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</si>
  <si>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</si>
  <si>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</si>
  <si>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</si>
  <si>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</si>
  <si>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</si>
  <si>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</si>
  <si>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</si>
  <si>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</si>
  <si>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</si>
  <si>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CUST1496</t>
  </si>
  <si>
    <t>ORD102093</t>
  </si>
  <si>
    <t>ORD102094</t>
  </si>
  <si>
    <t>ORD102095</t>
  </si>
  <si>
    <t>ORD102096</t>
  </si>
  <si>
    <t>ORD102097</t>
  </si>
  <si>
    <t>ORD102098</t>
  </si>
  <si>
    <t>ORD102099</t>
  </si>
  <si>
    <t>ORD102100</t>
  </si>
  <si>
    <t>ORD102101</t>
  </si>
  <si>
    <t>ORD102102</t>
  </si>
  <si>
    <t>ORD102103</t>
  </si>
  <si>
    <t>ORD102104</t>
  </si>
  <si>
    <t>ORD102105</t>
  </si>
  <si>
    <t>ORD102106</t>
  </si>
  <si>
    <t>CUST1404</t>
  </si>
  <si>
    <t>ORD102107</t>
  </si>
  <si>
    <t>ORD102108</t>
  </si>
  <si>
    <t>ORD102109</t>
  </si>
  <si>
    <t>ORD102110</t>
  </si>
  <si>
    <t>ORD102111</t>
  </si>
  <si>
    <t>ORD102112</t>
  </si>
  <si>
    <t>ORD102113</t>
  </si>
  <si>
    <t>ORD102114</t>
  </si>
  <si>
    <t>CUST1154</t>
  </si>
  <si>
    <t>ORD102115</t>
  </si>
  <si>
    <t>ORD102116</t>
  </si>
  <si>
    <t>ORD102117</t>
  </si>
  <si>
    <t>ORD102118</t>
  </si>
  <si>
    <t>CUST1954</t>
  </si>
  <si>
    <t>ORD102119</t>
  </si>
  <si>
    <t>ORD102120</t>
  </si>
  <si>
    <t>ORD102121</t>
  </si>
  <si>
    <t>ORD102122</t>
  </si>
  <si>
    <t>CUST1501</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</si>
  <si>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</si>
  <si>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</si>
  <si>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</si>
  <si>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</si>
  <si>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</si>
  <si>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</si>
  <si>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</si>
  <si>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</si>
  <si>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</si>
  <si>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</si>
  <si>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</si>
  <si>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</si>
  <si>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</si>
  <si>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</si>
  <si>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</si>
  <si>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</si>
  <si>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</si>
  <si>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CUST1300</t>
  </si>
  <si>
    <t>ORD102140</t>
  </si>
  <si>
    <t>ORD102141</t>
  </si>
  <si>
    <t>ORD102142</t>
  </si>
  <si>
    <t>ORD102143</t>
  </si>
  <si>
    <t>ORD102144</t>
  </si>
  <si>
    <t>ORD102145</t>
  </si>
  <si>
    <t>CUST1741</t>
  </si>
  <si>
    <t>ORD102146</t>
  </si>
  <si>
    <t>ORD102147</t>
  </si>
  <si>
    <t>2025-03-28</t>
  </si>
  <si>
    <t>ORD102148</t>
  </si>
  <si>
    <t>ORD102149</t>
  </si>
  <si>
    <t>CUST1149</t>
  </si>
  <si>
    <t>ORD102150</t>
  </si>
  <si>
    <t>CUST1302</t>
  </si>
  <si>
    <t>ORD102151</t>
  </si>
  <si>
    <t>CUST1998</t>
  </si>
  <si>
    <t>ORD102152</t>
  </si>
  <si>
    <t>ORD102153</t>
  </si>
  <si>
    <t>ORD102154</t>
  </si>
  <si>
    <t>ORD102155</t>
  </si>
  <si>
    <t>ORD102156</t>
  </si>
  <si>
    <t>ORD102157</t>
  </si>
  <si>
    <t>ORD102158</t>
  </si>
  <si>
    <t>ORD102159</t>
  </si>
  <si>
    <t>ORD102160</t>
  </si>
  <si>
    <t>CUST1251</t>
  </si>
  <si>
    <t>ORD102161</t>
  </si>
  <si>
    <t>CUST1206</t>
  </si>
  <si>
    <t>ORD102162</t>
  </si>
  <si>
    <t>ORD102163</t>
  </si>
  <si>
    <t>ORD102164</t>
  </si>
  <si>
    <t>ORD102165</t>
  </si>
  <si>
    <t>CUST1317</t>
  </si>
  <si>
    <t>ORD102166</t>
  </si>
  <si>
    <t>ORD102167</t>
  </si>
  <si>
    <t>ORD102168</t>
  </si>
  <si>
    <t>ORD102169</t>
  </si>
  <si>
    <t>ORD102170</t>
  </si>
  <si>
    <t>ORD102171</t>
  </si>
  <si>
    <t>ORD102172</t>
  </si>
  <si>
    <t>ORD102173</t>
  </si>
  <si>
    <t>ORD102174</t>
  </si>
  <si>
    <t>CUST1074</t>
  </si>
  <si>
    <t>ORD102175</t>
  </si>
  <si>
    <t>ORD102176</t>
  </si>
  <si>
    <t>ORD102177</t>
  </si>
  <si>
    <t>ORD102178</t>
  </si>
  <si>
    <t>ORD102179</t>
  </si>
  <si>
    <t>ORD102180</t>
  </si>
  <si>
    <t>ORD102181</t>
  </si>
  <si>
    <t>CUST1103</t>
  </si>
  <si>
    <t>ORD102182</t>
  </si>
  <si>
    <t>CUST1812</t>
  </si>
  <si>
    <t>ORD102183</t>
  </si>
  <si>
    <t>CUST1444</t>
  </si>
  <si>
    <t>ORD102184</t>
  </si>
  <si>
    <t>ORD102185</t>
  </si>
  <si>
    <t>ORD102186</t>
  </si>
  <si>
    <t>CUST1350</t>
  </si>
  <si>
    <t>ORD102187</t>
  </si>
  <si>
    <t>ORD102188</t>
  </si>
  <si>
    <t>ORD102189</t>
  </si>
  <si>
    <t>ORD102190</t>
  </si>
  <si>
    <t>ORD102191</t>
  </si>
  <si>
    <t>ORD102192</t>
  </si>
  <si>
    <t>ORD102193</t>
  </si>
  <si>
    <t>ORD102194</t>
  </si>
  <si>
    <t>ORD102195</t>
  </si>
  <si>
    <t>ORD102196</t>
  </si>
  <si>
    <t>ORD102197</t>
  </si>
  <si>
    <t>ORD102198</t>
  </si>
  <si>
    <t>ORD102199</t>
  </si>
  <si>
    <t>CUST1704</t>
  </si>
  <si>
    <t>ORD102200</t>
  </si>
  <si>
    <t>CUST1659</t>
  </si>
  <si>
    <t>ORD102201</t>
  </si>
  <si>
    <t>ORD102202</t>
  </si>
  <si>
    <t>ORD102203</t>
  </si>
  <si>
    <t>ORD102204</t>
  </si>
  <si>
    <t>ORD102205</t>
  </si>
  <si>
    <t>ORD102206</t>
  </si>
  <si>
    <t>ORD102207</t>
  </si>
  <si>
    <t>ORD102208</t>
  </si>
  <si>
    <t>ORD102209</t>
  </si>
  <si>
    <t>ORD102210</t>
  </si>
  <si>
    <t>ORD102211</t>
  </si>
  <si>
    <t>ORD102212</t>
  </si>
  <si>
    <t>ORD102213</t>
  </si>
  <si>
    <t>CUST1214</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</si>
  <si>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</si>
  <si>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</si>
  <si>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</si>
  <si>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</si>
  <si>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</si>
  <si>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</si>
  <si>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</si>
  <si>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</si>
  <si>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</si>
  <si>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</si>
  <si>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</si>
  <si>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</si>
  <si>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</si>
  <si>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</si>
  <si>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</si>
  <si>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</si>
  <si>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</si>
  <si>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</si>
  <si>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</si>
  <si>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</si>
  <si>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</si>
  <si>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</si>
  <si>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</si>
  <si>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</si>
  <si>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CUST1994</t>
  </si>
  <si>
    <t>ORD102238</t>
  </si>
  <si>
    <t>ORD102239</t>
  </si>
  <si>
    <t>ORD102240</t>
  </si>
  <si>
    <t>ORD102241</t>
  </si>
  <si>
    <t>CUST1685</t>
  </si>
  <si>
    <t>ORD102242</t>
  </si>
  <si>
    <t>ORD102243</t>
  </si>
  <si>
    <t>ORD102244</t>
  </si>
  <si>
    <t>ORD102245</t>
  </si>
  <si>
    <t>ORD102246</t>
  </si>
  <si>
    <t>ORD102247</t>
  </si>
  <si>
    <t>ORD102248</t>
  </si>
  <si>
    <t>ORD102249</t>
  </si>
  <si>
    <t>ORD102250</t>
  </si>
  <si>
    <t>ORD102251</t>
  </si>
  <si>
    <t>ORD102252</t>
  </si>
  <si>
    <t>ORD102253</t>
  </si>
  <si>
    <t>ORD102254</t>
  </si>
  <si>
    <t>ORD102255</t>
  </si>
  <si>
    <t>CUST1951</t>
  </si>
  <si>
    <t>ORD102256</t>
  </si>
  <si>
    <t>ORD102257</t>
  </si>
  <si>
    <t>ORD102258</t>
  </si>
  <si>
    <t>ORD102259</t>
  </si>
  <si>
    <t>ORD102260</t>
  </si>
  <si>
    <t>ORD102261</t>
  </si>
  <si>
    <t>ORD102262</t>
  </si>
  <si>
    <t>CUST1110</t>
  </si>
  <si>
    <t>ORD102263</t>
  </si>
  <si>
    <t>CUST1927</t>
  </si>
  <si>
    <t>ORD102264</t>
  </si>
  <si>
    <t>ORD102265</t>
  </si>
  <si>
    <t>ORD102266</t>
  </si>
  <si>
    <t>ORD102267</t>
  </si>
  <si>
    <t>ORD102268</t>
  </si>
  <si>
    <t>ORD102269</t>
  </si>
  <si>
    <t>ORD102270</t>
  </si>
  <si>
    <t>ORD102271</t>
  </si>
  <si>
    <t>ORD102272</t>
  </si>
  <si>
    <t>ORD102273</t>
  </si>
  <si>
    <t>ORD102274</t>
  </si>
  <si>
    <t>ORD102275</t>
  </si>
  <si>
    <t>ORD102276</t>
  </si>
  <si>
    <t>CUST1716</t>
  </si>
  <si>
    <t>ORD102277</t>
  </si>
  <si>
    <t>CUST1875</t>
  </si>
  <si>
    <t>ORD102278</t>
  </si>
  <si>
    <t>ORD102279</t>
  </si>
  <si>
    <t>ORD102280</t>
  </si>
  <si>
    <t>ORD102281</t>
  </si>
  <si>
    <t>ORD102282</t>
  </si>
  <si>
    <t>ORD102283</t>
  </si>
  <si>
    <t>ORD102284</t>
  </si>
  <si>
    <t>ORD102285</t>
  </si>
  <si>
    <t>CUST1707</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</si>
  <si>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</si>
  <si>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</si>
  <si>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</si>
  <si>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</si>
  <si>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</si>
  <si>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</si>
  <si>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</si>
  <si>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</si>
  <si>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</si>
  <si>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</si>
  <si>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</si>
  <si>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</si>
  <si>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</si>
  <si>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</si>
  <si>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</si>
  <si>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</si>
  <si>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</si>
  <si>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CUST1020</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</si>
  <si>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</si>
  <si>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</si>
  <si>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</si>
  <si>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</si>
  <si>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</si>
  <si>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</si>
  <si>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</si>
  <si>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</si>
  <si>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</si>
  <si>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</si>
  <si>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</si>
  <si>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</si>
  <si>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</si>
  <si>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</si>
  <si>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</si>
  <si>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</si>
  <si>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</si>
  <si>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</si>
  <si>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</si>
  <si>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</si>
  <si>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</si>
  <si>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CUST1362</t>
  </si>
  <si>
    <t>ORD102324</t>
  </si>
  <si>
    <t>ORD102325</t>
  </si>
  <si>
    <t>CUST1282</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</si>
  <si>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</si>
  <si>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</si>
  <si>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</si>
  <si>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</si>
  <si>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</si>
  <si>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</si>
  <si>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</si>
  <si>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</si>
  <si>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</si>
  <si>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</si>
  <si>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</si>
  <si>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</si>
  <si>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</si>
  <si>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</si>
  <si>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</si>
  <si>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</si>
  <si>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</si>
  <si>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</si>
  <si>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</si>
  <si>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</si>
  <si>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</si>
  <si>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</si>
  <si>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CUST1772</t>
  </si>
  <si>
    <t>ORD102348</t>
  </si>
  <si>
    <t>ORD102349</t>
  </si>
  <si>
    <t>ORD102350</t>
  </si>
  <si>
    <t>ORD102351</t>
  </si>
  <si>
    <t>ORD102352</t>
  </si>
  <si>
    <t>ORD102353</t>
  </si>
  <si>
    <t>ORD102354</t>
  </si>
  <si>
    <t>ORD102355</t>
  </si>
  <si>
    <t>ORD102356</t>
  </si>
  <si>
    <t>CUST1179</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</si>
  <si>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</si>
  <si>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</si>
  <si>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</si>
  <si>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</si>
  <si>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</si>
  <si>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</si>
  <si>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</si>
  <si>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</si>
  <si>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</si>
  <si>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</si>
  <si>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</si>
  <si>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</si>
  <si>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</si>
  <si>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</si>
  <si>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</si>
  <si>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</si>
  <si>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</si>
  <si>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</si>
  <si>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</si>
  <si>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</si>
  <si>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</si>
  <si>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</si>
  <si>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</si>
  <si>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</si>
  <si>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</si>
  <si>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</si>
  <si>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</si>
  <si>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</si>
  <si>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</si>
  <si>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</si>
  <si>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</si>
  <si>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</si>
  <si>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</si>
  <si>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</si>
  <si>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</si>
  <si>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</si>
  <si>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</si>
  <si>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</si>
  <si>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</si>
  <si>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</si>
  <si>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</si>
  <si>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</si>
  <si>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</si>
  <si>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</si>
  <si>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</si>
  <si>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</si>
  <si>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</si>
  <si>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CUST1523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</si>
  <si>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</si>
  <si>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</si>
  <si>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</si>
  <si>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</si>
  <si>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</si>
  <si>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</si>
  <si>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</si>
  <si>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</si>
  <si>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</si>
  <si>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</si>
  <si>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</si>
  <si>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</si>
  <si>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</si>
  <si>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</si>
  <si>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</si>
  <si>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</si>
  <si>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CUST1165</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</si>
  <si>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</si>
  <si>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</si>
  <si>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</si>
  <si>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</si>
  <si>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</si>
  <si>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</si>
  <si>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</si>
  <si>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</si>
  <si>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</si>
  <si>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</si>
  <si>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</si>
  <si>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</si>
  <si>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</si>
  <si>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</si>
  <si>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</si>
  <si>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</si>
  <si>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</si>
  <si>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</si>
  <si>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</si>
  <si>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</si>
  <si>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</si>
  <si>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</si>
  <si>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</si>
  <si>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</si>
  <si>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</si>
  <si>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</si>
  <si>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</si>
  <si>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</si>
  <si>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</si>
  <si>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</si>
  <si>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</si>
  <si>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</si>
  <si>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</si>
  <si>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</si>
  <si>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</si>
  <si>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</si>
  <si>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</si>
  <si>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</si>
  <si>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</si>
  <si>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</si>
  <si>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</si>
  <si>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</si>
  <si>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</si>
  <si>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</si>
  <si>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</si>
  <si>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</si>
  <si>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</si>
  <si>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</si>
  <si>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</si>
  <si>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</si>
  <si>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</si>
  <si>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</si>
  <si>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</si>
  <si>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</si>
  <si>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</si>
  <si>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</si>
  <si>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</si>
  <si>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</si>
  <si>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</si>
  <si>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</si>
  <si>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</si>
  <si>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</si>
  <si>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</si>
  <si>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CUST1646</t>
  </si>
  <si>
    <t>ORD102483</t>
  </si>
  <si>
    <t>ORD102484</t>
  </si>
  <si>
    <t>ORD102485</t>
  </si>
  <si>
    <t>ORD102486</t>
  </si>
  <si>
    <t>ORD102487</t>
  </si>
  <si>
    <t>CUST1423</t>
  </si>
  <si>
    <t>ORD102488</t>
  </si>
  <si>
    <t>ORD102489</t>
  </si>
  <si>
    <t>ORD102490</t>
  </si>
  <si>
    <t>ORD102491</t>
  </si>
  <si>
    <t>ORD102492</t>
  </si>
  <si>
    <t>CUST1374</t>
  </si>
  <si>
    <t>ORD102493</t>
  </si>
  <si>
    <t>ORD102494</t>
  </si>
  <si>
    <t>ORD102495</t>
  </si>
  <si>
    <t>CUST1608</t>
  </si>
  <si>
    <t>ORD102496</t>
  </si>
  <si>
    <t>CUST1872</t>
  </si>
  <si>
    <t>ORD102497</t>
  </si>
  <si>
    <t>ORD102498</t>
  </si>
  <si>
    <t>ORD102499</t>
  </si>
  <si>
    <t>ORD102500</t>
  </si>
  <si>
    <t>ORD102501</t>
  </si>
  <si>
    <t>ORD102502</t>
  </si>
  <si>
    <t>ORD102503</t>
  </si>
  <si>
    <t>ORD102504</t>
  </si>
  <si>
    <t>ORD102505</t>
  </si>
  <si>
    <t>ORD102506</t>
  </si>
  <si>
    <t>CUST1597</t>
  </si>
  <si>
    <t>ORD102507</t>
  </si>
  <si>
    <t>ORD102508</t>
  </si>
  <si>
    <t>ORD102509</t>
  </si>
  <si>
    <t>ORD102510</t>
  </si>
  <si>
    <t>ORD102511</t>
  </si>
  <si>
    <t>ORD102512</t>
  </si>
  <si>
    <t>ORD102513</t>
  </si>
  <si>
    <t>ORD102514</t>
  </si>
  <si>
    <t>ORD102515</t>
  </si>
  <si>
    <t>ORD102516</t>
  </si>
  <si>
    <t>ORD102517</t>
  </si>
  <si>
    <t>ORD102518</t>
  </si>
  <si>
    <t>ORD102519</t>
  </si>
  <si>
    <t>ORD102520</t>
  </si>
  <si>
    <t>CUST1852</t>
  </si>
  <si>
    <t>ORD102521</t>
  </si>
  <si>
    <t>ORD102522</t>
  </si>
  <si>
    <t>ORD102523</t>
  </si>
  <si>
    <t>ORD102524</t>
  </si>
  <si>
    <t>ORD102525</t>
  </si>
  <si>
    <t>ORD102526</t>
  </si>
  <si>
    <t>CUST1463</t>
  </si>
  <si>
    <t>ORD102527</t>
  </si>
  <si>
    <t>ORD102528</t>
  </si>
  <si>
    <t>ORD102529</t>
  </si>
  <si>
    <t>ORD102530</t>
  </si>
  <si>
    <t>ORD102531</t>
  </si>
  <si>
    <t>CUST1726</t>
  </si>
  <si>
    <t>ORD102532</t>
  </si>
  <si>
    <t>ORD102533</t>
  </si>
  <si>
    <t>ORD102534</t>
  </si>
  <si>
    <t>ORD102535</t>
  </si>
  <si>
    <t>ORD102536</t>
  </si>
  <si>
    <t>ORD102537</t>
  </si>
  <si>
    <t>ORD102538</t>
  </si>
  <si>
    <t>ORD102539</t>
  </si>
  <si>
    <t>ORD102540</t>
  </si>
  <si>
    <t>ORD102541</t>
  </si>
  <si>
    <t>CUST1120</t>
  </si>
  <si>
    <t>ORD102542</t>
  </si>
  <si>
    <t>ORD102543</t>
  </si>
  <si>
    <t>ORD102544</t>
  </si>
  <si>
    <t>ORD102545</t>
  </si>
  <si>
    <t>ORD102546</t>
  </si>
  <si>
    <t>ORD102547</t>
  </si>
  <si>
    <t>ORD102548</t>
  </si>
  <si>
    <t>ORD102549</t>
  </si>
  <si>
    <t>ORD102550</t>
  </si>
  <si>
    <t>ORD102551</t>
  </si>
  <si>
    <t>ORD102552</t>
  </si>
  <si>
    <t>CUST1475</t>
  </si>
  <si>
    <t>ORD102553</t>
  </si>
  <si>
    <t>ORD102554</t>
  </si>
  <si>
    <t>CUST1343</t>
  </si>
  <si>
    <t>ORD102555</t>
  </si>
  <si>
    <t>ORD102556</t>
  </si>
  <si>
    <t>ORD102557</t>
  </si>
  <si>
    <t>ORD102558</t>
  </si>
  <si>
    <t>ORD102559</t>
  </si>
  <si>
    <t>CUST1357</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</si>
  <si>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</si>
  <si>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</si>
  <si>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</si>
  <si>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</si>
  <si>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</si>
  <si>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</si>
  <si>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</si>
  <si>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</si>
  <si>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</si>
  <si>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</si>
  <si>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</si>
  <si>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</si>
  <si>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</si>
  <si>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</si>
  <si>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</si>
  <si>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</si>
  <si>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</si>
  <si>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</si>
  <si>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</si>
  <si>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</si>
  <si>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</si>
  <si>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</si>
  <si>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</si>
  <si>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CUST1326</t>
  </si>
  <si>
    <t>ORD102583</t>
  </si>
  <si>
    <t>ORD102584</t>
  </si>
  <si>
    <t>ORD102585</t>
  </si>
  <si>
    <t>ORD102586</t>
  </si>
  <si>
    <t>CUST1968</t>
  </si>
  <si>
    <t>ORD102587</t>
  </si>
  <si>
    <t>ORD102588</t>
  </si>
  <si>
    <t>ORD102589</t>
  </si>
  <si>
    <t>ORD102590</t>
  </si>
  <si>
    <t>CUST1545</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</si>
  <si>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</si>
  <si>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</si>
  <si>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</si>
  <si>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</si>
  <si>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</si>
  <si>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</si>
  <si>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</si>
  <si>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</si>
  <si>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</si>
  <si>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</si>
  <si>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</si>
  <si>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</si>
  <si>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</si>
  <si>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</si>
  <si>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</si>
  <si>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</si>
  <si>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</si>
  <si>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</si>
  <si>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</si>
  <si>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</si>
  <si>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</si>
  <si>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</si>
  <si>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</si>
  <si>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</si>
  <si>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</si>
  <si>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</si>
  <si>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</si>
  <si>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</si>
  <si>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</si>
  <si>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</si>
  <si>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</si>
  <si>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</si>
  <si>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</si>
  <si>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</si>
  <si>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</si>
  <si>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</si>
  <si>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</si>
  <si>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</si>
  <si>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</si>
  <si>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</si>
  <si>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</si>
  <si>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</si>
  <si>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</si>
  <si>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</si>
  <si>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</si>
  <si>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</si>
  <si>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</si>
  <si>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</si>
  <si>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</si>
  <si>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</si>
  <si>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</si>
  <si>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</si>
  <si>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</si>
  <si>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</si>
  <si>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</si>
  <si>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</si>
  <si>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</si>
  <si>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</si>
  <si>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</si>
  <si>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</si>
  <si>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</si>
  <si>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</si>
  <si>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</si>
  <si>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</si>
  <si>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</si>
  <si>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</si>
  <si>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</si>
  <si>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</si>
  <si>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</si>
  <si>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CUST1507</t>
  </si>
  <si>
    <t>ORD102660</t>
  </si>
  <si>
    <t>CUST1136</t>
  </si>
  <si>
    <t>ORD102661</t>
  </si>
  <si>
    <t>CUST1742</t>
  </si>
  <si>
    <t>ORD102662</t>
  </si>
  <si>
    <t>ORD102663</t>
  </si>
  <si>
    <t>ORD102664</t>
  </si>
  <si>
    <t>ORD102665</t>
  </si>
  <si>
    <t>ORD102666</t>
  </si>
  <si>
    <t>ORD102667</t>
  </si>
  <si>
    <t>ORD102668</t>
  </si>
  <si>
    <t>ORD102669</t>
  </si>
  <si>
    <t>ORD102670</t>
  </si>
  <si>
    <t>ORD102671</t>
  </si>
  <si>
    <t>ORD102672</t>
  </si>
  <si>
    <t>ORD102673</t>
  </si>
  <si>
    <t>ORD102674</t>
  </si>
  <si>
    <t>CUST1010</t>
  </si>
  <si>
    <t>ORD102675</t>
  </si>
  <si>
    <t>ORD102676</t>
  </si>
  <si>
    <t>ORD102677</t>
  </si>
  <si>
    <t>ORD102678</t>
  </si>
  <si>
    <t>ORD102679</t>
  </si>
  <si>
    <t>ORD102680</t>
  </si>
  <si>
    <t>ORD102681</t>
  </si>
  <si>
    <t>ORD102682</t>
  </si>
  <si>
    <t>ORD102683</t>
  </si>
  <si>
    <t>ORD102684</t>
  </si>
  <si>
    <t>ORD102685</t>
  </si>
  <si>
    <t>ORD102686</t>
  </si>
  <si>
    <t>CUST1068</t>
  </si>
  <si>
    <t>ORD102687</t>
  </si>
  <si>
    <t>ORD102688</t>
  </si>
  <si>
    <t>ORD102689</t>
  </si>
  <si>
    <t>ORD102690</t>
  </si>
  <si>
    <t>ORD102691</t>
  </si>
  <si>
    <t>ORD102692</t>
  </si>
  <si>
    <t>ORD102693</t>
  </si>
  <si>
    <t>ORD102694</t>
  </si>
  <si>
    <t>ORD102695</t>
  </si>
  <si>
    <t>ORD102696</t>
  </si>
  <si>
    <t>ORD102697</t>
  </si>
  <si>
    <t>CUST1307</t>
  </si>
  <si>
    <t>ORD102698</t>
  </si>
  <si>
    <t>ORD102699</t>
  </si>
  <si>
    <t>ORD102700</t>
  </si>
  <si>
    <t>ORD102701</t>
  </si>
  <si>
    <t>ORD102702</t>
  </si>
  <si>
    <t>ORD102703</t>
  </si>
  <si>
    <t>ORD102704</t>
  </si>
  <si>
    <t>ORD102705</t>
  </si>
  <si>
    <t>ORD102706</t>
  </si>
  <si>
    <t>CUST1077</t>
  </si>
  <si>
    <t>ORD102707</t>
  </si>
  <si>
    <t>ORD102708</t>
  </si>
  <si>
    <t>ORD102709</t>
  </si>
  <si>
    <t>ORD102710</t>
  </si>
  <si>
    <t>ORD102711</t>
  </si>
  <si>
    <t>ORD102712</t>
  </si>
  <si>
    <t>ORD102713</t>
  </si>
  <si>
    <t>ORD102714</t>
  </si>
  <si>
    <t>CUST1390</t>
  </si>
  <si>
    <t>ORD102715</t>
  </si>
  <si>
    <t>ORD102716</t>
  </si>
  <si>
    <t>ORD102717</t>
  </si>
  <si>
    <t>ORD102718</t>
  </si>
  <si>
    <t>CUST1610</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</si>
  <si>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</si>
  <si>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</si>
  <si>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</si>
  <si>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</si>
  <si>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</si>
  <si>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</si>
  <si>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</si>
  <si>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</si>
  <si>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</si>
  <si>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</si>
  <si>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</si>
  <si>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</si>
  <si>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</si>
  <si>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</si>
  <si>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</si>
  <si>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</si>
  <si>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</si>
  <si>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</si>
  <si>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</si>
  <si>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</si>
  <si>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</si>
  <si>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</si>
  <si>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</si>
  <si>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</si>
  <si>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</si>
  <si>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</si>
  <si>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</si>
  <si>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</si>
  <si>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</si>
  <si>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</si>
  <si>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</si>
  <si>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</si>
  <si>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</si>
  <si>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CUST1876</t>
  </si>
  <si>
    <t>ORD102752</t>
  </si>
  <si>
    <t>ORD102753</t>
  </si>
  <si>
    <t>CUST1546</t>
  </si>
  <si>
    <t>ORD102754</t>
  </si>
  <si>
    <t>ORD102755</t>
  </si>
  <si>
    <t>ORD102756</t>
  </si>
  <si>
    <t>ORD102757</t>
  </si>
  <si>
    <t>ORD102758</t>
  </si>
  <si>
    <t>ORD102759</t>
  </si>
  <si>
    <t>ORD102760</t>
  </si>
  <si>
    <t>ORD102761</t>
  </si>
  <si>
    <t>ORD102762</t>
  </si>
  <si>
    <t>ORD102763</t>
  </si>
  <si>
    <t>ORD102764</t>
  </si>
  <si>
    <t>ORD102765</t>
  </si>
  <si>
    <t>ORD102766</t>
  </si>
  <si>
    <t>ORD102767</t>
  </si>
  <si>
    <t>ORD102768</t>
  </si>
  <si>
    <t>CUST1709</t>
  </si>
  <si>
    <t>ORD102769</t>
  </si>
  <si>
    <t>ORD102770</t>
  </si>
  <si>
    <t>CUST1822</t>
  </si>
  <si>
    <t>ORD102771</t>
  </si>
  <si>
    <t>ORD102772</t>
  </si>
  <si>
    <t>ORD102773</t>
  </si>
  <si>
    <t>ORD102774</t>
  </si>
  <si>
    <t>ORD102775</t>
  </si>
  <si>
    <t>ORD102776</t>
  </si>
  <si>
    <t>ORD102777</t>
  </si>
  <si>
    <t>ORD102778</t>
  </si>
  <si>
    <t>ORD102779</t>
  </si>
  <si>
    <t>ORD102780</t>
  </si>
  <si>
    <t>ORD102781</t>
  </si>
  <si>
    <t>CUST1409</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</si>
  <si>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</si>
  <si>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</si>
  <si>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</si>
  <si>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</si>
  <si>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</si>
  <si>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</si>
  <si>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</si>
  <si>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</si>
  <si>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</si>
  <si>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</si>
  <si>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</si>
  <si>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</si>
  <si>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</si>
  <si>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</si>
  <si>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</si>
  <si>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</si>
  <si>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</si>
  <si>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</si>
  <si>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</si>
  <si>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</si>
  <si>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</si>
  <si>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</si>
  <si>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</si>
  <si>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</si>
  <si>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</si>
  <si>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</si>
  <si>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</si>
  <si>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</si>
  <si>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</si>
  <si>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</si>
  <si>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</si>
  <si>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</si>
  <si>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</si>
  <si>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</si>
  <si>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</si>
  <si>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</si>
  <si>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</si>
  <si>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</si>
  <si>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</si>
  <si>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</si>
  <si>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</si>
  <si>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</si>
  <si>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</si>
  <si>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</si>
  <si>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</si>
  <si>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</si>
  <si>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</si>
  <si>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</si>
  <si>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</si>
  <si>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</si>
  <si>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</si>
  <si>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</si>
  <si>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</si>
  <si>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</si>
  <si>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</si>
  <si>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</si>
  <si>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</si>
  <si>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</si>
  <si>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</si>
  <si>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</si>
  <si>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</si>
  <si>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</si>
  <si>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CUST1428</t>
  </si>
  <si>
    <t>ORD102844</t>
  </si>
  <si>
    <t>ORD102845</t>
  </si>
  <si>
    <t>ORD102846</t>
  </si>
  <si>
    <t>ORD102847</t>
  </si>
  <si>
    <t>ORD102848</t>
  </si>
  <si>
    <t>CUST1304</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</si>
  <si>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</si>
  <si>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</si>
  <si>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</si>
  <si>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</si>
  <si>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</si>
  <si>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</si>
  <si>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</si>
  <si>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</si>
  <si>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</si>
  <si>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</si>
  <si>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</si>
  <si>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</si>
  <si>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</si>
  <si>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</si>
  <si>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</si>
  <si>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</si>
  <si>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</si>
  <si>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</si>
  <si>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</si>
  <si>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</si>
  <si>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</si>
  <si>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</si>
  <si>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</si>
  <si>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</si>
  <si>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</si>
  <si>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</si>
  <si>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</si>
  <si>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</si>
  <si>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</si>
  <si>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</si>
  <si>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</si>
  <si>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</si>
  <si>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</si>
  <si>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</si>
  <si>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</si>
  <si>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</si>
  <si>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</si>
  <si>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</si>
  <si>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CUST1345</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</si>
  <si>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</si>
  <si>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</si>
  <si>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</si>
  <si>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</si>
  <si>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</si>
  <si>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</si>
  <si>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</si>
  <si>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</si>
  <si>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</si>
  <si>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</si>
  <si>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</si>
  <si>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</si>
  <si>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</si>
  <si>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</si>
  <si>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</si>
  <si>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</si>
  <si>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</si>
  <si>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</si>
  <si>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</si>
  <si>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</si>
  <si>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</si>
  <si>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</si>
  <si>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</si>
  <si>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</si>
  <si>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CUST1331</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</si>
  <si>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</si>
  <si>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</si>
  <si>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</si>
  <si>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</si>
  <si>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</si>
  <si>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</si>
  <si>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</si>
  <si>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</si>
  <si>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</si>
  <si>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</si>
  <si>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</si>
  <si>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</si>
  <si>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</si>
  <si>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</si>
  <si>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</si>
  <si>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</si>
  <si>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</si>
  <si>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</si>
  <si>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</si>
  <si>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</si>
  <si>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</si>
  <si>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</si>
  <si>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</si>
  <si>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</si>
  <si>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</si>
  <si>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CUST1106</t>
  </si>
  <si>
    <t>ORD102936</t>
  </si>
  <si>
    <t>ORD102937</t>
  </si>
  <si>
    <t>ORD102938</t>
  </si>
  <si>
    <t>ORD102939</t>
  </si>
  <si>
    <t>CUST1835</t>
  </si>
  <si>
    <t>ORD102940</t>
  </si>
  <si>
    <t>ORD102941</t>
  </si>
  <si>
    <t>CUST1512</t>
  </si>
  <si>
    <t>ORD102942</t>
  </si>
  <si>
    <t>ORD102943</t>
  </si>
  <si>
    <t>ORD102944</t>
  </si>
  <si>
    <t>ORD102945</t>
  </si>
  <si>
    <t>ORD102946</t>
  </si>
  <si>
    <t>ORD102947</t>
  </si>
  <si>
    <t>ORD102948</t>
  </si>
  <si>
    <t>ORD102949</t>
  </si>
  <si>
    <t>CUST1405</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</si>
  <si>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</si>
  <si>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</si>
  <si>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</si>
  <si>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</si>
  <si>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</si>
  <si>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</si>
  <si>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</si>
  <si>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</si>
  <si>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</si>
  <si>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</si>
  <si>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</si>
  <si>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</si>
  <si>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</si>
  <si>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</si>
  <si>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</si>
  <si>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</si>
  <si>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</si>
  <si>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</si>
  <si>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</si>
  <si>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</si>
  <si>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</si>
  <si>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</si>
  <si>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</si>
  <si>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</si>
  <si>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</si>
  <si>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</si>
  <si>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CUST1612</t>
  </si>
  <si>
    <t>ORD102976</t>
  </si>
  <si>
    <t>ORD102977</t>
  </si>
  <si>
    <t>ORD102978</t>
  </si>
  <si>
    <t>ORD102979</t>
  </si>
  <si>
    <t>CUST1429</t>
  </si>
  <si>
    <t>ORD102980</t>
  </si>
  <si>
    <t>ORD102981</t>
  </si>
  <si>
    <t>ORD102982</t>
  </si>
  <si>
    <t>ORD102983</t>
  </si>
  <si>
    <t>ORD102984</t>
  </si>
  <si>
    <t>ORD102985</t>
  </si>
  <si>
    <t>ORD102986</t>
  </si>
  <si>
    <t>ORD102987</t>
  </si>
  <si>
    <t>CUST1503</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</si>
  <si>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</si>
  <si>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</si>
  <si>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</si>
  <si>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</si>
  <si>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</si>
  <si>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</si>
  <si>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</si>
  <si>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</si>
  <si>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</si>
  <si>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</si>
  <si>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</si>
  <si>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</si>
  <si>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</si>
  <si>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</si>
  <si>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</si>
  <si>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</si>
  <si>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</si>
  <si>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</si>
  <si>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</si>
  <si>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</si>
  <si>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CUST1977</t>
  </si>
  <si>
    <t>ORD103008</t>
  </si>
  <si>
    <t>CUST1830</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</si>
  <si>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</si>
  <si>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</si>
  <si>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</si>
  <si>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</si>
  <si>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</si>
  <si>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</si>
  <si>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</si>
  <si>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</si>
  <si>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</si>
  <si>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</si>
  <si>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</si>
  <si>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</si>
  <si>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</si>
  <si>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</si>
  <si>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</si>
  <si>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</si>
  <si>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</si>
  <si>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</si>
  <si>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</si>
  <si>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</si>
  <si>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</si>
  <si>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</si>
  <si>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</si>
  <si>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</si>
  <si>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</si>
  <si>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</si>
  <si>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</si>
  <si>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</si>
  <si>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</si>
  <si>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</si>
  <si>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</si>
  <si>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</si>
  <si>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</si>
  <si>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</si>
  <si>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</si>
  <si>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</si>
  <si>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</si>
  <si>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</si>
  <si>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</si>
  <si>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</si>
  <si>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</si>
  <si>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</si>
  <si>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</si>
  <si>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</si>
  <si>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</si>
  <si>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</si>
  <si>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</si>
  <si>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</si>
  <si>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</si>
  <si>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</si>
  <si>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</si>
  <si>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</si>
  <si>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</si>
  <si>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</si>
  <si>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</si>
  <si>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</si>
  <si>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</si>
  <si>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</si>
  <si>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</si>
  <si>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</si>
  <si>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</si>
  <si>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</si>
  <si>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</si>
  <si>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</si>
  <si>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</si>
  <si>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</si>
  <si>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</si>
  <si>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</si>
  <si>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</si>
  <si>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</si>
  <si>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</si>
  <si>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</si>
  <si>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</si>
  <si>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</si>
  <si>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</si>
  <si>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</si>
  <si>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</si>
  <si>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</si>
  <si>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</si>
  <si>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</si>
  <si>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</si>
  <si>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</si>
  <si>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</si>
  <si>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</si>
  <si>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</si>
  <si>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CUST1979</t>
  </si>
  <si>
    <t>ORD103094</t>
  </si>
  <si>
    <t>ORD103095</t>
  </si>
  <si>
    <t>ORD103096</t>
  </si>
  <si>
    <t>ORD103097</t>
  </si>
  <si>
    <t>ORD103098</t>
  </si>
  <si>
    <t>ORD103099</t>
  </si>
  <si>
    <t>ORD103100</t>
  </si>
  <si>
    <t>ORD103101</t>
  </si>
  <si>
    <t>ORD103102</t>
  </si>
  <si>
    <t>ORD103103</t>
  </si>
  <si>
    <t>ORD103104</t>
  </si>
  <si>
    <t>ORD103105</t>
  </si>
  <si>
    <t>ORD103106</t>
  </si>
  <si>
    <t>ORD103107</t>
  </si>
  <si>
    <t>ORD103108</t>
  </si>
  <si>
    <t>CUST1908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</si>
  <si>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</si>
  <si>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</si>
  <si>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</si>
  <si>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</si>
  <si>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</si>
  <si>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</si>
  <si>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</si>
  <si>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</si>
  <si>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</si>
  <si>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</si>
  <si>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</si>
  <si>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</si>
  <si>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</si>
  <si>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</si>
  <si>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</si>
  <si>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</si>
  <si>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</si>
  <si>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</si>
  <si>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</si>
  <si>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</si>
  <si>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</si>
  <si>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</si>
  <si>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</si>
  <si>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</si>
  <si>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</si>
  <si>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</si>
  <si>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</si>
  <si>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</si>
  <si>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</si>
  <si>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</si>
  <si>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</si>
  <si>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</si>
  <si>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</si>
  <si>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</si>
  <si>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CUST1449</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</si>
  <si>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</si>
  <si>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</si>
  <si>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</si>
  <si>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</si>
  <si>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</si>
  <si>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</si>
  <si>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</si>
  <si>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</si>
  <si>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</si>
  <si>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</si>
  <si>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</si>
  <si>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</si>
  <si>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</si>
  <si>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</si>
  <si>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</si>
  <si>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</si>
  <si>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</si>
  <si>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</si>
  <si>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</si>
  <si>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CUST1289</t>
  </si>
  <si>
    <t>ORD103162</t>
  </si>
  <si>
    <t>ORD103163</t>
  </si>
  <si>
    <t>ORD103164</t>
  </si>
  <si>
    <t>ORD103165</t>
  </si>
  <si>
    <t>ORD103166</t>
  </si>
  <si>
    <t>ORD103167</t>
  </si>
  <si>
    <t>CUST1803</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</si>
  <si>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</si>
  <si>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</si>
  <si>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</si>
  <si>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</si>
  <si>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</si>
  <si>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</si>
  <si>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</si>
  <si>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</si>
  <si>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</si>
  <si>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</si>
  <si>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</si>
  <si>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</si>
  <si>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</si>
  <si>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</si>
  <si>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</si>
  <si>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</si>
  <si>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</si>
  <si>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CUST1199</t>
  </si>
  <si>
    <t>ORD103185</t>
  </si>
  <si>
    <t>ORD103186</t>
  </si>
  <si>
    <t>ORD103187</t>
  </si>
  <si>
    <t>ORD103188</t>
  </si>
  <si>
    <t>ORD103189</t>
  </si>
  <si>
    <t>ORD103190</t>
  </si>
  <si>
    <t>ORD103191</t>
  </si>
  <si>
    <t>ORD103192</t>
  </si>
  <si>
    <t>ORD103193</t>
  </si>
  <si>
    <t>ORD103194</t>
  </si>
  <si>
    <t>ORD103195</t>
  </si>
  <si>
    <t>ORD103196</t>
  </si>
  <si>
    <t>ORD103197</t>
  </si>
  <si>
    <t>ORD103198</t>
  </si>
  <si>
    <t>CUST1104</t>
  </si>
  <si>
    <t>ORD103199</t>
  </si>
  <si>
    <t>ORD103200</t>
  </si>
  <si>
    <t>ORD103201</t>
  </si>
  <si>
    <t>CUST1090</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</si>
  <si>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</si>
  <si>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</si>
  <si>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</si>
  <si>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</si>
  <si>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</si>
  <si>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</si>
  <si>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</si>
  <si>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</si>
  <si>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</si>
  <si>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</si>
  <si>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</si>
  <si>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</si>
  <si>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</si>
  <si>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</si>
  <si>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</si>
  <si>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</si>
  <si>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</si>
  <si>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</si>
  <si>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</si>
  <si>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</si>
  <si>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</si>
  <si>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</si>
  <si>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</si>
  <si>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</si>
  <si>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</si>
  <si>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</si>
  <si>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</si>
  <si>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</si>
  <si>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</si>
  <si>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</si>
  <si>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</si>
  <si>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</si>
  <si>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CUST1340</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</si>
  <si>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</si>
  <si>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</si>
  <si>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</si>
  <si>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</si>
  <si>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</si>
  <si>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</si>
  <si>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</si>
  <si>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</si>
  <si>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</si>
  <si>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</si>
  <si>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</si>
  <si>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</si>
  <si>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</si>
  <si>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</si>
  <si>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</si>
  <si>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</si>
  <si>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</si>
  <si>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</si>
  <si>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</si>
  <si>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CUST1007</t>
  </si>
  <si>
    <t>ORD103253</t>
  </si>
  <si>
    <t>ORD103254</t>
  </si>
  <si>
    <t>ORD103255</t>
  </si>
  <si>
    <t>ORD103256</t>
  </si>
  <si>
    <t>ORD103257</t>
  </si>
  <si>
    <t>ORD103258</t>
  </si>
  <si>
    <t>ORD103259</t>
  </si>
  <si>
    <t>ORD103260</t>
  </si>
  <si>
    <t>ORD103261</t>
  </si>
  <si>
    <t>ORD103262</t>
  </si>
  <si>
    <t>ORD103263</t>
  </si>
  <si>
    <t>ORD103264</t>
  </si>
  <si>
    <t>ORD103265</t>
  </si>
  <si>
    <t>CUST1701</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</si>
  <si>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</si>
  <si>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</si>
  <si>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</si>
  <si>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</si>
  <si>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</si>
  <si>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</si>
  <si>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</si>
  <si>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</si>
  <si>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</si>
  <si>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</si>
  <si>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</si>
  <si>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</si>
  <si>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</si>
  <si>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</si>
  <si>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</si>
  <si>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</si>
  <si>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</si>
  <si>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</si>
  <si>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</si>
  <si>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</si>
  <si>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</si>
  <si>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</si>
  <si>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</si>
  <si>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</si>
  <si>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</si>
  <si>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</si>
  <si>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</si>
  <si>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</si>
  <si>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</si>
  <si>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</si>
  <si>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</si>
  <si>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</si>
  <si>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</si>
  <si>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</si>
  <si>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</si>
  <si>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</si>
  <si>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</si>
  <si>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</si>
  <si>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</si>
  <si>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</si>
  <si>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</si>
  <si>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</si>
  <si>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</si>
  <si>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</si>
  <si>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</si>
  <si>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</si>
  <si>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</si>
  <si>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</si>
  <si>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</si>
  <si>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</si>
  <si>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</si>
  <si>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</si>
  <si>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</si>
  <si>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</si>
  <si>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</si>
  <si>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</si>
  <si>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</si>
  <si>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</si>
  <si>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</si>
  <si>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</si>
  <si>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</si>
  <si>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</si>
  <si>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</si>
  <si>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</si>
  <si>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</si>
  <si>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</si>
  <si>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</si>
  <si>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</si>
  <si>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</si>
  <si>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</si>
  <si>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</si>
  <si>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</si>
  <si>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</si>
  <si>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CUST1380</t>
  </si>
  <si>
    <t>ORD103339</t>
  </si>
  <si>
    <t>ORD103340</t>
  </si>
  <si>
    <t>ORD103341</t>
  </si>
  <si>
    <t>ORD103342</t>
  </si>
  <si>
    <t>CUST1600</t>
  </si>
  <si>
    <t>ORD103343</t>
  </si>
  <si>
    <t>ORD103344</t>
  </si>
  <si>
    <t>ORD103345</t>
  </si>
  <si>
    <t>ORD103346</t>
  </si>
  <si>
    <t>ORD103347</t>
  </si>
  <si>
    <t>ORD103348</t>
  </si>
  <si>
    <t>ORD103349</t>
  </si>
  <si>
    <t>ORD103350</t>
  </si>
  <si>
    <t>ORD103351</t>
  </si>
  <si>
    <t>ORD103352</t>
  </si>
  <si>
    <t>ORD103353</t>
  </si>
  <si>
    <t>ORD103354</t>
  </si>
  <si>
    <t>ORD103355</t>
  </si>
  <si>
    <t>ORD103356</t>
  </si>
  <si>
    <t>ORD103357</t>
  </si>
  <si>
    <t>CUST1792</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</si>
  <si>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</si>
  <si>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</si>
  <si>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</si>
  <si>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</si>
  <si>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</si>
  <si>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</si>
  <si>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</si>
  <si>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</si>
  <si>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</si>
  <si>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</si>
  <si>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</si>
  <si>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</si>
  <si>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</si>
  <si>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</si>
  <si>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</si>
  <si>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</si>
  <si>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</si>
  <si>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</si>
  <si>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</si>
  <si>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</si>
  <si>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</si>
  <si>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</si>
  <si>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</si>
  <si>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</si>
  <si>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</si>
  <si>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</si>
  <si>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</si>
  <si>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</si>
  <si>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</si>
  <si>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</si>
  <si>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</si>
  <si>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</si>
  <si>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</si>
  <si>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</si>
  <si>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</si>
  <si>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</si>
  <si>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</si>
  <si>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</si>
  <si>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</si>
  <si>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</si>
  <si>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</si>
  <si>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</si>
  <si>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</si>
  <si>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</si>
  <si>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CUST1052</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</si>
  <si>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</si>
  <si>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</si>
  <si>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</si>
  <si>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</si>
  <si>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</si>
  <si>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</si>
  <si>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</si>
  <si>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</si>
  <si>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</si>
  <si>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</si>
  <si>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</si>
  <si>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</si>
  <si>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</si>
  <si>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</si>
  <si>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</si>
  <si>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</si>
  <si>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</si>
  <si>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</si>
  <si>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</si>
  <si>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</si>
  <si>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</si>
  <si>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</si>
  <si>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</si>
  <si>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</si>
  <si>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</si>
  <si>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</si>
  <si>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</si>
  <si>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</si>
  <si>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</si>
  <si>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</si>
  <si>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</si>
  <si>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</si>
  <si>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</si>
  <si>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</si>
  <si>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</si>
  <si>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</si>
  <si>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</si>
  <si>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</si>
  <si>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</si>
  <si>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</si>
  <si>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</si>
  <si>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</si>
  <si>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</si>
  <si>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</si>
  <si>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</si>
  <si>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</si>
  <si>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</si>
  <si>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</si>
  <si>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</si>
  <si>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CUST1873</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</si>
  <si>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</si>
  <si>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</si>
  <si>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</si>
  <si>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</si>
  <si>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</si>
  <si>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</si>
  <si>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</si>
  <si>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</si>
  <si>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</si>
  <si>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</si>
  <si>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</si>
  <si>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</si>
  <si>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</si>
  <si>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</si>
  <si>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</si>
  <si>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</si>
  <si>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</si>
  <si>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</si>
  <si>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</si>
  <si>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</si>
  <si>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</si>
  <si>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</si>
  <si>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</si>
  <si>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</si>
  <si>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</si>
  <si>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</si>
  <si>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</si>
  <si>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</si>
  <si>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</si>
  <si>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</si>
  <si>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</si>
  <si>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</si>
  <si>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</si>
  <si>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</si>
  <si>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</si>
  <si>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</si>
  <si>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</si>
  <si>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</si>
  <si>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</si>
  <si>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</si>
  <si>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</si>
  <si>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</si>
  <si>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</si>
  <si>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</si>
  <si>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</si>
  <si>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</si>
  <si>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CUST1132</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</si>
  <si>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</si>
  <si>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</si>
  <si>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</si>
  <si>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</si>
  <si>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</si>
  <si>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</si>
  <si>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</si>
  <si>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</si>
  <si>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</si>
  <si>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</si>
  <si>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</si>
  <si>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</si>
  <si>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</si>
  <si>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</si>
  <si>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</si>
  <si>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</si>
  <si>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</si>
  <si>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</si>
  <si>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</si>
  <si>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</si>
  <si>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</si>
  <si>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</si>
  <si>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</si>
  <si>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</si>
  <si>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</si>
  <si>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</si>
  <si>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CUST1450</t>
  </si>
  <si>
    <t>ORD103523</t>
  </si>
  <si>
    <t>CUST1301</t>
  </si>
  <si>
    <t>ORD103524</t>
  </si>
  <si>
    <t>ORD103525</t>
  </si>
  <si>
    <t>ORD103526</t>
  </si>
  <si>
    <t>ORD103527</t>
  </si>
  <si>
    <t>ORD103528</t>
  </si>
  <si>
    <t>CUST1050</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</si>
  <si>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</si>
  <si>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</si>
  <si>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</si>
  <si>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</si>
  <si>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</si>
  <si>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</si>
  <si>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</si>
  <si>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</si>
  <si>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</si>
  <si>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</si>
  <si>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</si>
  <si>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</si>
  <si>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</si>
  <si>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</si>
  <si>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</si>
  <si>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</si>
  <si>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</si>
  <si>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</si>
  <si>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</si>
  <si>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</si>
  <si>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</si>
  <si>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</si>
  <si>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</si>
  <si>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</si>
  <si>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</si>
  <si>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</si>
  <si>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</si>
  <si>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</si>
  <si>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</si>
  <si>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</si>
  <si>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CUST1571</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</si>
  <si>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</si>
  <si>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</si>
  <si>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</si>
  <si>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</si>
  <si>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</si>
  <si>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</si>
  <si>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</si>
  <si>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</si>
  <si>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</si>
  <si>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</si>
  <si>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</si>
  <si>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</si>
  <si>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</si>
  <si>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</si>
  <si>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</si>
  <si>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</si>
  <si>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</si>
  <si>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</si>
  <si>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</si>
  <si>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</si>
  <si>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</si>
  <si>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</si>
  <si>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</si>
  <si>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CUST1855</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</si>
  <si>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</si>
  <si>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</si>
  <si>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</si>
  <si>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</si>
  <si>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</si>
  <si>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</si>
  <si>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</si>
  <si>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</si>
  <si>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</si>
  <si>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</si>
  <si>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</si>
  <si>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</si>
  <si>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</si>
  <si>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</si>
  <si>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</si>
  <si>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</si>
  <si>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</si>
  <si>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</si>
  <si>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</si>
  <si>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</si>
  <si>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</si>
  <si>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</si>
  <si>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</si>
  <si>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</si>
  <si>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</si>
  <si>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</si>
  <si>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</si>
  <si>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</si>
  <si>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CUST1493</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</si>
  <si>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</si>
  <si>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</si>
  <si>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</si>
  <si>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</si>
  <si>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</si>
  <si>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</si>
  <si>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</si>
  <si>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</si>
  <si>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</si>
  <si>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</si>
  <si>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</si>
  <si>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</si>
  <si>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</si>
  <si>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</si>
  <si>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</si>
  <si>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</si>
  <si>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</si>
  <si>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CUST1111</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</si>
  <si>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</si>
  <si>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</si>
  <si>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</si>
  <si>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</si>
  <si>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</si>
  <si>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</si>
  <si>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</si>
  <si>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</si>
  <si>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</si>
  <si>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</si>
  <si>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</si>
  <si>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</si>
  <si>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</si>
  <si>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</si>
  <si>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</si>
  <si>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</si>
  <si>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</si>
  <si>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</si>
  <si>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</si>
  <si>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</si>
  <si>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</si>
  <si>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</si>
  <si>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</si>
  <si>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</si>
  <si>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</si>
  <si>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</si>
  <si>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</si>
  <si>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</si>
  <si>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</si>
  <si>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</si>
  <si>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</si>
  <si>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</si>
  <si>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</si>
  <si>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</si>
  <si>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</si>
  <si>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</si>
  <si>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</si>
  <si>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</si>
  <si>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</si>
  <si>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</si>
  <si>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</si>
  <si>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</si>
  <si>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</si>
  <si>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</si>
  <si>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</si>
  <si>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</si>
  <si>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</si>
  <si>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</si>
  <si>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</si>
  <si>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</si>
  <si>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</si>
  <si>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</si>
  <si>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</si>
  <si>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</si>
  <si>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</si>
  <si>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</si>
  <si>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</si>
  <si>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</si>
  <si>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</si>
  <si>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</si>
  <si>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</si>
  <si>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</si>
  <si>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</si>
  <si>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</si>
  <si>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</si>
  <si>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</si>
  <si>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</si>
  <si>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</si>
  <si>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</si>
  <si>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</si>
  <si>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</si>
  <si>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</si>
  <si>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</si>
  <si>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</si>
  <si>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</si>
  <si>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</si>
  <si>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</si>
  <si>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</si>
  <si>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</si>
  <si>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</si>
  <si>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</si>
  <si>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</si>
  <si>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</si>
  <si>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</si>
  <si>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</si>
  <si>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</si>
  <si>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</si>
  <si>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</si>
  <si>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CUST1837</t>
  </si>
  <si>
    <t>ORD103715</t>
  </si>
  <si>
    <t>ORD103716</t>
  </si>
  <si>
    <t>ORD103717</t>
  </si>
  <si>
    <t>ORD103718</t>
  </si>
  <si>
    <t>ORD103719</t>
  </si>
  <si>
    <t>ORD103720</t>
  </si>
  <si>
    <t>ORD103721</t>
  </si>
  <si>
    <t>ORD103722</t>
  </si>
  <si>
    <t>ORD103723</t>
  </si>
  <si>
    <t>ORD103724</t>
  </si>
  <si>
    <t>CUST1296</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</si>
  <si>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</si>
  <si>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</si>
  <si>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</si>
  <si>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</si>
  <si>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</si>
  <si>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</si>
  <si>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</si>
  <si>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</si>
  <si>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</si>
  <si>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</si>
  <si>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</si>
  <si>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</si>
  <si>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</si>
  <si>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</si>
  <si>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</si>
  <si>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</si>
  <si>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</si>
  <si>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</si>
  <si>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</si>
  <si>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</si>
  <si>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</si>
  <si>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</si>
  <si>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</si>
  <si>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</si>
  <si>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</si>
  <si>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</si>
  <si>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</si>
  <si>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CUST1993</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</si>
  <si>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</si>
  <si>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</si>
  <si>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</si>
  <si>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</si>
  <si>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</si>
  <si>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</si>
  <si>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</si>
  <si>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</si>
  <si>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</si>
  <si>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</si>
  <si>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</si>
  <si>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</si>
  <si>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</si>
  <si>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</si>
  <si>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</si>
  <si>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</si>
  <si>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</si>
  <si>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</si>
  <si>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</si>
  <si>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</si>
  <si>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</si>
  <si>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</si>
  <si>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</si>
  <si>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</si>
  <si>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</si>
  <si>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</si>
  <si>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</si>
  <si>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</si>
  <si>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</si>
  <si>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</si>
  <si>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</si>
  <si>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</si>
  <si>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</si>
  <si>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</si>
  <si>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</si>
  <si>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</si>
  <si>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</si>
  <si>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</si>
  <si>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</si>
  <si>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</si>
  <si>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</si>
  <si>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</si>
  <si>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</si>
  <si>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</si>
  <si>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</si>
  <si>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</si>
  <si>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</si>
  <si>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</si>
  <si>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</si>
  <si>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</si>
  <si>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</si>
  <si>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</si>
  <si>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</si>
  <si>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</si>
  <si>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</si>
  <si>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</si>
  <si>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</si>
  <si>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</si>
  <si>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</si>
  <si>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</si>
  <si>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</si>
  <si>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</si>
  <si>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</si>
  <si>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</si>
  <si>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</si>
  <si>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</si>
  <si>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</si>
  <si>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CUST1039</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</si>
  <si>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</si>
  <si>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</si>
  <si>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</si>
  <si>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</si>
  <si>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</si>
  <si>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</si>
  <si>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</si>
  <si>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</si>
  <si>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</si>
  <si>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</si>
  <si>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</si>
  <si>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</si>
  <si>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</si>
  <si>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</si>
  <si>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</si>
  <si>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</si>
  <si>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</si>
  <si>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</si>
  <si>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</si>
  <si>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</si>
  <si>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</si>
  <si>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</si>
  <si>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</si>
  <si>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</si>
  <si>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</si>
  <si>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</si>
  <si>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</si>
  <si>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</si>
  <si>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</si>
  <si>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</si>
  <si>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</si>
  <si>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</si>
  <si>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</si>
  <si>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</si>
  <si>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</si>
  <si>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</si>
  <si>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</si>
  <si>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</si>
  <si>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CUST1130</t>
  </si>
  <si>
    <t>ORD103857</t>
  </si>
  <si>
    <t>ORD103858</t>
  </si>
  <si>
    <t>ORD103859</t>
  </si>
  <si>
    <t>ORD103860</t>
  </si>
  <si>
    <t>ORD103861</t>
  </si>
  <si>
    <t>ORD103862</t>
  </si>
  <si>
    <t>ORD103863</t>
  </si>
  <si>
    <t>ORD103864</t>
  </si>
  <si>
    <t>CUST1861</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</si>
  <si>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</si>
  <si>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</si>
  <si>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</si>
  <si>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</si>
  <si>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</si>
  <si>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</si>
  <si>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</si>
  <si>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</si>
  <si>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</si>
  <si>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</si>
  <si>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</si>
  <si>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</si>
  <si>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</si>
  <si>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</si>
  <si>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</si>
  <si>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</si>
  <si>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</si>
  <si>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</si>
  <si>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</si>
  <si>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</si>
  <si>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</si>
  <si>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</si>
  <si>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</si>
  <si>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</si>
  <si>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</si>
  <si>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</si>
  <si>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</si>
  <si>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</si>
  <si>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</si>
  <si>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</si>
  <si>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</si>
  <si>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</si>
  <si>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</si>
  <si>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</si>
  <si>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</si>
  <si>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</si>
  <si>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</si>
  <si>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</si>
  <si>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</si>
  <si>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</si>
  <si>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</si>
  <si>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</si>
  <si>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</si>
  <si>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</si>
  <si>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</si>
  <si>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</si>
  <si>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</si>
  <si>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</si>
  <si>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</si>
  <si>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</si>
  <si>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</si>
  <si>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</si>
  <si>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</si>
  <si>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</si>
  <si>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</si>
  <si>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</si>
  <si>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</si>
  <si>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</si>
  <si>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</si>
  <si>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</si>
  <si>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</si>
  <si>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</si>
  <si>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</si>
  <si>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</si>
  <si>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</si>
  <si>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</si>
  <si>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</si>
  <si>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</si>
  <si>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</si>
  <si>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</si>
  <si>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</si>
  <si>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</si>
  <si>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</si>
  <si>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</si>
  <si>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</si>
  <si>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</si>
  <si>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</si>
  <si>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</si>
  <si>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</si>
  <si>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</si>
  <si>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</si>
  <si>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</si>
  <si>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</si>
  <si>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</si>
  <si>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</si>
  <si>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</si>
  <si>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</si>
  <si>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</si>
  <si>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</si>
  <si>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</si>
  <si>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</si>
  <si>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</si>
  <si>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</si>
  <si>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</si>
  <si>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</si>
  <si>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</si>
  <si>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</si>
  <si>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</si>
  <si>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</si>
  <si>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</si>
  <si>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</si>
  <si>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</si>
  <si>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</si>
  <si>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</si>
  <si>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</si>
  <si>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</si>
  <si>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</si>
  <si>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</si>
  <si>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</si>
  <si>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</si>
  <si>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</si>
  <si>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</si>
  <si>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</si>
  <si>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</si>
  <si>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</si>
  <si>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</si>
  <si>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</si>
  <si>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</si>
  <si>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</si>
  <si>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</si>
  <si>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</si>
  <si>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</si>
  <si>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</si>
  <si>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</si>
  <si>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</si>
  <si>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</si>
  <si>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</si>
  <si>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</si>
  <si>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</si>
  <si>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</si>
  <si>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</si>
  <si>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</si>
  <si>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</si>
  <si>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</si>
  <si>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</si>
  <si>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</si>
  <si>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</si>
  <si>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</si>
  <si>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</si>
  <si>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</si>
  <si>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</si>
  <si>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</si>
  <si>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</si>
  <si>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</si>
  <si>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</si>
  <si>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</si>
  <si>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</si>
  <si>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</si>
  <si>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</si>
  <si>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</si>
  <si>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</si>
  <si>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</si>
  <si>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</si>
  <si>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</si>
  <si>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</si>
  <si>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</si>
  <si>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</si>
  <si>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</si>
  <si>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</si>
  <si>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</si>
  <si>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</si>
  <si>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</si>
  <si>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</si>
  <si>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</si>
  <si>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</si>
  <si>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</si>
  <si>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</si>
  <si>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</si>
  <si>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</si>
  <si>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</si>
  <si>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</si>
  <si>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</si>
  <si>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</si>
  <si>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</si>
  <si>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</si>
  <si>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</si>
  <si>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</si>
  <si>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</si>
  <si>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</si>
  <si>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</si>
  <si>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</si>
  <si>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</si>
  <si>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</si>
  <si>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</si>
  <si>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</si>
  <si>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</si>
  <si>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</si>
  <si>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</si>
  <si>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</si>
  <si>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</si>
  <si>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</si>
  <si>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</si>
  <si>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</si>
  <si>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</si>
  <si>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</si>
  <si>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</si>
  <si>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</si>
  <si>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</si>
  <si>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</si>
  <si>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</si>
  <si>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</si>
  <si>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</si>
  <si>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</si>
  <si>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</si>
  <si>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</si>
  <si>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</si>
  <si>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</si>
  <si>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</si>
  <si>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</si>
  <si>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</si>
  <si>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</si>
  <si>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</si>
  <si>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</si>
  <si>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</si>
  <si>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</si>
  <si>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</si>
  <si>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</si>
  <si>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</si>
  <si>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</si>
  <si>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</si>
  <si>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</si>
  <si>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</si>
  <si>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</si>
  <si>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</si>
  <si>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</si>
  <si>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</si>
  <si>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</si>
  <si>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</si>
  <si>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</si>
  <si>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</si>
  <si>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</si>
  <si>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</si>
  <si>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</si>
  <si>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</si>
  <si>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</si>
  <si>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</si>
  <si>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</si>
  <si>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</si>
  <si>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</si>
  <si>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CUST1650</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</si>
  <si>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</si>
  <si>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</si>
  <si>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</si>
  <si>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</si>
  <si>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</si>
  <si>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</si>
  <si>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</si>
  <si>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</si>
  <si>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</si>
  <si>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</si>
  <si>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</si>
  <si>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</si>
  <si>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</si>
  <si>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</si>
  <si>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</si>
  <si>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</si>
  <si>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</si>
  <si>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</si>
  <si>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</si>
  <si>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</si>
  <si>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</si>
  <si>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</si>
  <si>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</si>
  <si>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</si>
  <si>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</si>
  <si>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</si>
  <si>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</si>
  <si>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</si>
  <si>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</si>
  <si>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</si>
  <si>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</si>
  <si>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</si>
  <si>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</si>
  <si>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</si>
  <si>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</si>
  <si>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</si>
  <si>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</si>
  <si>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</si>
  <si>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</si>
  <si>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</si>
  <si>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</si>
  <si>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</si>
  <si>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</si>
  <si>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</si>
  <si>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</si>
  <si>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</si>
  <si>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</si>
  <si>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</si>
  <si>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</si>
  <si>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</si>
  <si>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</si>
  <si>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</si>
  <si>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</si>
  <si>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</si>
  <si>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</si>
  <si>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</si>
  <si>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</si>
  <si>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</si>
  <si>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</si>
  <si>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</si>
  <si>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</si>
  <si>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</si>
  <si>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</si>
  <si>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</si>
  <si>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</si>
  <si>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</si>
  <si>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</si>
  <si>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</si>
  <si>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</si>
  <si>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</si>
  <si>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</si>
  <si>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</si>
  <si>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</si>
  <si>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</si>
  <si>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</si>
  <si>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</si>
  <si>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</si>
  <si>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</si>
  <si>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</si>
  <si>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</si>
  <si>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</si>
  <si>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</si>
  <si>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</si>
  <si>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</si>
  <si>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</si>
  <si>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</si>
  <si>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</si>
  <si>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</si>
  <si>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</si>
  <si>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</si>
  <si>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</si>
  <si>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</si>
  <si>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CUST1543</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</si>
  <si>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</si>
  <si>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</si>
  <si>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</si>
  <si>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</si>
  <si>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</si>
  <si>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</si>
  <si>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</si>
  <si>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</si>
  <si>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</si>
  <si>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</si>
  <si>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</si>
  <si>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</si>
  <si>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</si>
  <si>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</si>
  <si>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</si>
  <si>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</si>
  <si>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</si>
  <si>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</si>
  <si>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</si>
  <si>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</si>
  <si>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</si>
  <si>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</si>
  <si>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</si>
  <si>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</si>
  <si>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</si>
  <si>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</si>
  <si>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</si>
  <si>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</si>
  <si>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</si>
  <si>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</si>
  <si>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</si>
  <si>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</si>
  <si>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</si>
  <si>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</si>
  <si>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</si>
  <si>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</si>
  <si>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</si>
  <si>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</si>
  <si>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CUST1363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</si>
  <si>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</si>
  <si>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</si>
  <si>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</si>
  <si>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</si>
  <si>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</si>
  <si>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</si>
  <si>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</si>
  <si>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</si>
  <si>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</si>
  <si>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</si>
  <si>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</si>
  <si>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</si>
  <si>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</si>
  <si>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</si>
  <si>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</si>
  <si>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</si>
  <si>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</si>
  <si>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</si>
  <si>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</si>
  <si>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</si>
  <si>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</si>
  <si>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</si>
  <si>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</si>
  <si>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</si>
  <si>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</si>
  <si>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</si>
  <si>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</si>
  <si>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</si>
  <si>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</si>
  <si>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</si>
  <si>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</si>
  <si>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</si>
  <si>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</si>
  <si>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</si>
  <si>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</si>
  <si>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</si>
  <si>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</si>
  <si>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</si>
  <si>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</si>
  <si>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</si>
  <si>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</si>
  <si>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</si>
  <si>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</si>
  <si>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</si>
  <si>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</si>
  <si>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</si>
  <si>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</si>
  <si>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</si>
  <si>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</si>
  <si>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</si>
  <si>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</si>
  <si>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</si>
  <si>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</si>
  <si>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</si>
  <si>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</si>
  <si>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</si>
  <si>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</si>
  <si>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</si>
  <si>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</si>
  <si>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</si>
  <si>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</si>
  <si>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</si>
  <si>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</si>
  <si>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</si>
  <si>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</si>
  <si>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</si>
  <si>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</si>
  <si>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</si>
  <si>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</si>
  <si>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</si>
  <si>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</si>
  <si>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</si>
  <si>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</si>
  <si>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</si>
  <si>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</si>
  <si>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</si>
  <si>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</si>
  <si>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</si>
  <si>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</si>
  <si>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</si>
  <si>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</si>
  <si>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</si>
  <si>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</si>
  <si>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</si>
  <si>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</si>
  <si>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</si>
  <si>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</si>
  <si>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</si>
  <si>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</si>
  <si>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</si>
  <si>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</si>
  <si>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</si>
  <si>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</si>
  <si>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</si>
  <si>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</si>
  <si>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</si>
  <si>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</si>
  <si>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</si>
  <si>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</si>
  <si>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</si>
  <si>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</si>
  <si>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</si>
  <si>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</si>
  <si>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</si>
  <si>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</si>
  <si>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</si>
  <si>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</si>
  <si>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</si>
  <si>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</si>
  <si>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</si>
  <si>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</si>
  <si>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</si>
  <si>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</si>
  <si>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</si>
  <si>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</si>
  <si>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</si>
  <si>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</si>
  <si>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</si>
  <si>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</si>
  <si>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</si>
  <si>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</si>
  <si>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</si>
  <si>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</si>
  <si>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</si>
  <si>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</si>
  <si>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</si>
  <si>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</si>
  <si>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</si>
  <si>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</si>
  <si>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</si>
  <si>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</si>
  <si>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</si>
  <si>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</si>
  <si>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</si>
  <si>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</si>
  <si>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</si>
  <si>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</si>
  <si>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</si>
  <si>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</si>
  <si>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</si>
  <si>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</si>
  <si>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</si>
  <si>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</si>
  <si>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</si>
  <si>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</si>
  <si>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</si>
  <si>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</si>
  <si>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</si>
  <si>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</si>
  <si>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</si>
  <si>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</si>
  <si>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</si>
  <si>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</si>
  <si>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</si>
  <si>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</si>
  <si>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</si>
  <si>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</si>
  <si>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</si>
  <si>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</si>
  <si>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</si>
  <si>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</si>
  <si>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</si>
  <si>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</si>
  <si>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</si>
  <si>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</si>
  <si>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</si>
  <si>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</si>
  <si>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</si>
  <si>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</si>
  <si>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</si>
  <si>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</si>
  <si>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</si>
  <si>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</si>
  <si>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</si>
  <si>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</si>
  <si>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</si>
  <si>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</si>
  <si>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</si>
  <si>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</si>
  <si>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</si>
  <si>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</si>
  <si>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</si>
  <si>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</si>
  <si>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</si>
  <si>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</si>
  <si>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</si>
  <si>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</si>
  <si>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</si>
  <si>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</si>
  <si>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</si>
  <si>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</si>
  <si>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</si>
  <si>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</si>
  <si>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</si>
  <si>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</si>
  <si>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</si>
  <si>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</si>
  <si>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</si>
  <si>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</si>
  <si>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</si>
  <si>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</si>
  <si>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</si>
  <si>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</si>
  <si>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</si>
  <si>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</si>
  <si>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</si>
  <si>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</si>
  <si>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</si>
  <si>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</si>
  <si>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</si>
  <si>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</si>
  <si>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</si>
  <si>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</si>
  <si>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</si>
  <si>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</si>
  <si>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</si>
  <si>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</si>
  <si>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</si>
  <si>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</si>
  <si>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</si>
  <si>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</si>
  <si>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CUST1777</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</si>
  <si>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</si>
  <si>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</si>
  <si>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</si>
  <si>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</si>
  <si>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</si>
  <si>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</si>
  <si>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</si>
  <si>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</si>
  <si>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</si>
  <si>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</si>
  <si>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</si>
  <si>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</si>
  <si>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</si>
  <si>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</si>
  <si>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</si>
  <si>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</si>
  <si>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</si>
  <si>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</si>
  <si>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</si>
  <si>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</si>
  <si>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</si>
  <si>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</si>
  <si>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</si>
  <si>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</si>
  <si>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</si>
  <si>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</si>
  <si>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</si>
  <si>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</si>
  <si>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</si>
  <si>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</si>
  <si>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</si>
  <si>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</si>
  <si>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</si>
  <si>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</si>
  <si>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</si>
  <si>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</si>
  <si>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</si>
  <si>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CUST1100</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</si>
  <si>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</si>
  <si>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</si>
  <si>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</si>
  <si>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</si>
  <si>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</si>
  <si>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</si>
  <si>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</si>
  <si>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</si>
  <si>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</si>
  <si>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</si>
  <si>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</si>
  <si>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</si>
  <si>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</si>
  <si>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</si>
  <si>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</si>
  <si>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</si>
  <si>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</si>
  <si>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</si>
  <si>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</si>
  <si>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</si>
  <si>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</si>
  <si>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</si>
  <si>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</si>
  <si>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</si>
  <si>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</si>
  <si>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</si>
  <si>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</si>
  <si>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</si>
  <si>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</si>
  <si>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</si>
  <si>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</si>
  <si>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</si>
  <si>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</si>
  <si>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</si>
  <si>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</si>
  <si>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</si>
  <si>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</si>
  <si>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</si>
  <si>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</si>
  <si>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</si>
  <si>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</si>
  <si>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</si>
  <si>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</si>
  <si>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</si>
  <si>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</si>
  <si>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</si>
  <si>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</si>
  <si>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</si>
  <si>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</si>
  <si>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</si>
  <si>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</si>
  <si>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</si>
  <si>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</si>
  <si>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</si>
  <si>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</si>
  <si>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</si>
  <si>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</si>
  <si>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</si>
  <si>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</si>
  <si>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</si>
  <si>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</si>
  <si>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</si>
  <si>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</si>
  <si>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</si>
  <si>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</si>
  <si>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</si>
  <si>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</si>
  <si>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</si>
  <si>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</si>
  <si>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</si>
  <si>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</si>
  <si>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</si>
  <si>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</si>
  <si>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</si>
  <si>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</si>
  <si>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</si>
  <si>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</si>
  <si>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</si>
  <si>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</si>
  <si>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</si>
  <si>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</si>
  <si>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</si>
  <si>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</si>
  <si>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</si>
  <si>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</si>
  <si>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</si>
  <si>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</si>
  <si>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</si>
  <si>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</si>
  <si>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</si>
  <si>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</si>
  <si>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</si>
  <si>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</si>
  <si>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</si>
  <si>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</si>
  <si>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</si>
  <si>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</si>
  <si>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</si>
  <si>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</si>
  <si>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</si>
  <si>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</si>
  <si>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</si>
  <si>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</si>
  <si>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</si>
  <si>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</si>
  <si>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</si>
  <si>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</si>
  <si>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</si>
  <si>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</si>
  <si>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</si>
  <si>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</si>
  <si>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</si>
  <si>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</si>
  <si>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</si>
  <si>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</si>
  <si>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</si>
  <si>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</si>
  <si>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</si>
  <si>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</si>
  <si>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</si>
  <si>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</si>
  <si>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</si>
  <si>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</si>
  <si>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</si>
  <si>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</si>
  <si>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</si>
  <si>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</si>
  <si>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</si>
  <si>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</si>
  <si>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</si>
  <si>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</si>
  <si>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</si>
  <si>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</si>
  <si>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</si>
  <si>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</si>
  <si>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</si>
  <si>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</si>
  <si>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</si>
  <si>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</si>
  <si>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</si>
  <si>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</si>
  <si>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</si>
  <si>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</si>
  <si>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</si>
  <si>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</si>
  <si>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</si>
  <si>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</si>
  <si>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</si>
  <si>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</si>
  <si>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</si>
  <si>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</si>
  <si>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</si>
  <si>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</si>
  <si>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</si>
  <si>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</si>
  <si>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</si>
  <si>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</si>
  <si>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</si>
  <si>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</si>
  <si>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</si>
  <si>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</si>
  <si>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</si>
  <si>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</si>
  <si>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</si>
  <si>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</si>
  <si>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</si>
  <si>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</si>
  <si>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</si>
  <si>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</si>
  <si>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</si>
  <si>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</si>
  <si>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</si>
  <si>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</si>
  <si>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</si>
  <si>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</si>
  <si>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</si>
  <si>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</si>
  <si>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</si>
  <si>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</si>
  <si>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</si>
  <si>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</si>
  <si>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</si>
  <si>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</si>
  <si>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</si>
  <si>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</si>
  <si>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</si>
  <si>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</si>
  <si>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</si>
  <si>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</si>
  <si>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</si>
  <si>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</si>
  <si>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</si>
  <si>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</si>
  <si>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</si>
  <si>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</si>
  <si>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</si>
  <si>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</si>
  <si>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</si>
  <si>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</si>
  <si>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</si>
  <si>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</si>
  <si>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</si>
  <si>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</si>
  <si>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</si>
  <si>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</si>
  <si>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</si>
  <si>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</si>
  <si>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</si>
  <si>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</si>
  <si>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</si>
  <si>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</si>
  <si>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</si>
  <si>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</si>
  <si>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</si>
  <si>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</si>
  <si>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</si>
  <si>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</si>
  <si>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</si>
  <si>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</si>
  <si>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</si>
  <si>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</si>
  <si>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</si>
  <si>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</si>
  <si>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</si>
  <si>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</si>
  <si>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</si>
  <si>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</si>
  <si>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</si>
  <si>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</si>
  <si>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</si>
  <si>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</si>
  <si>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</si>
  <si>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</si>
  <si>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</si>
  <si>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</si>
  <si>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</si>
  <si>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</si>
  <si>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</si>
  <si>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</si>
  <si>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</si>
  <si>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</si>
  <si>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</si>
  <si>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</si>
  <si>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</si>
  <si>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</si>
  <si>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</si>
  <si>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</si>
  <si>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</si>
  <si>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</si>
  <si>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</si>
  <si>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</si>
  <si>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</si>
  <si>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</si>
  <si>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</si>
  <si>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</si>
  <si>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</si>
  <si>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</si>
  <si>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</si>
  <si>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</si>
  <si>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</si>
  <si>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</si>
  <si>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</si>
  <si>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</si>
  <si>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</si>
  <si>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</si>
  <si>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</si>
  <si>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</si>
  <si>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</si>
  <si>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</si>
  <si>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</si>
  <si>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</si>
  <si>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</si>
  <si>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</si>
  <si>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</si>
  <si>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</si>
  <si>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</si>
  <si>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</si>
  <si>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</si>
  <si>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</si>
  <si>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</si>
  <si>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</si>
  <si>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</si>
  <si>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</si>
  <si>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</si>
  <si>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</si>
  <si>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</si>
  <si>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</si>
  <si>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</si>
  <si>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</si>
  <si>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</si>
  <si>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</si>
  <si>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</si>
  <si>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</si>
  <si>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</si>
  <si>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</si>
  <si>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</si>
  <si>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</si>
  <si>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</si>
  <si>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</si>
  <si>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</si>
  <si>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</si>
  <si>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</si>
  <si>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</si>
  <si>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</si>
  <si>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</si>
  <si>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</si>
  <si>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</si>
  <si>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</si>
  <si>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</si>
  <si>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</si>
  <si>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</si>
  <si>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</si>
  <si>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</si>
  <si>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</si>
  <si>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</si>
  <si>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</si>
  <si>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</si>
  <si>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</si>
  <si>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</si>
  <si>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</si>
  <si>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</si>
  <si>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</si>
  <si>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</si>
  <si>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</si>
  <si>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</si>
  <si>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</si>
  <si>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</si>
  <si>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</si>
  <si>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</si>
  <si>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</si>
  <si>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</si>
  <si>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</si>
  <si>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</si>
  <si>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</si>
  <si>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</si>
  <si>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</si>
  <si>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</si>
  <si>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</si>
  <si>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</si>
  <si>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</si>
  <si>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</si>
  <si>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</si>
  <si>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</si>
  <si>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</si>
  <si>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</si>
  <si>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</si>
  <si>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</si>
  <si>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</si>
  <si>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</si>
  <si>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</si>
  <si>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</si>
  <si>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</si>
  <si>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</si>
  <si>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</si>
  <si>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</si>
  <si>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</si>
  <si>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</si>
  <si>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</si>
  <si>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</si>
  <si>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</si>
  <si>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</si>
  <si>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</si>
  <si>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</si>
  <si>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</si>
  <si>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</si>
  <si>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</si>
  <si>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</si>
  <si>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</si>
  <si>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</si>
  <si>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</si>
  <si>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CUST1265</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</si>
  <si>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</si>
  <si>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</si>
  <si>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</si>
  <si>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</si>
  <si>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</si>
  <si>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</si>
  <si>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</si>
  <si>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</si>
  <si>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</si>
  <si>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</si>
  <si>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</si>
  <si>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</si>
  <si>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</si>
  <si>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</si>
  <si>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</si>
  <si>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</si>
  <si>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</si>
  <si>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</si>
  <si>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</si>
  <si>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</si>
  <si>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</si>
  <si>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</si>
  <si>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</si>
  <si>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</si>
  <si>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</si>
  <si>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</si>
  <si>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</si>
  <si>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</si>
  <si>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</si>
  <si>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</si>
  <si>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</si>
  <si>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</si>
  <si>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</si>
  <si>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</si>
  <si>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</si>
  <si>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</si>
  <si>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</si>
  <si>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</si>
  <si>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</si>
  <si>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</si>
  <si>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</si>
  <si>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</si>
  <si>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</si>
  <si>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</si>
  <si>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</si>
  <si>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</si>
  <si>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</si>
  <si>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</si>
  <si>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</si>
  <si>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</si>
  <si>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</si>
  <si>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</si>
  <si>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</si>
  <si>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</si>
  <si>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</si>
  <si>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</si>
  <si>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</si>
  <si>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</si>
  <si>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</si>
  <si>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</si>
  <si>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</si>
  <si>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</si>
  <si>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</si>
  <si>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</si>
  <si>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</si>
  <si>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</si>
  <si>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</si>
  <si>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</si>
  <si>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</si>
  <si>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</si>
  <si>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</si>
  <si>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</si>
  <si>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</si>
  <si>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</si>
  <si>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</si>
  <si>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</si>
  <si>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</si>
  <si>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</si>
  <si>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</si>
  <si>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</si>
  <si>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</si>
  <si>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</si>
  <si>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</si>
  <si>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</si>
  <si>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</si>
  <si>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</si>
  <si>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</si>
  <si>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</si>
  <si>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</si>
  <si>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</si>
  <si>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</si>
  <si>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</si>
  <si>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</si>
  <si>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</si>
  <si>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</si>
  <si>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</si>
  <si>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</si>
  <si>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</si>
  <si>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</si>
  <si>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</si>
  <si>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</si>
  <si>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</si>
  <si>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</si>
  <si>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</si>
  <si>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</si>
  <si>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</si>
  <si>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</si>
  <si>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</si>
  <si>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</si>
  <si>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</si>
  <si>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</si>
  <si>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</si>
  <si>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</si>
  <si>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</si>
  <si>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</si>
  <si>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</si>
  <si>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</si>
  <si>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</si>
  <si>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</si>
  <si>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</si>
  <si>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</si>
  <si>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</si>
  <si>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</si>
  <si>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</si>
  <si>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</si>
  <si>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</si>
  <si>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</si>
  <si>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</si>
  <si>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</si>
  <si>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</si>
  <si>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</si>
  <si>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</si>
  <si>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</si>
  <si>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</si>
  <si>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</si>
  <si>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</si>
  <si>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</si>
  <si>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</si>
  <si>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</si>
  <si>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</si>
  <si>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Total Revenue</t>
  </si>
  <si>
    <t>Total Cost</t>
  </si>
  <si>
    <t>Total Pofit</t>
  </si>
  <si>
    <t>Total Profit</t>
  </si>
  <si>
    <t>Margin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</si>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</sst>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3" fillId="2" borderId="1" xfId="0" applyFont="1" applyFill="1" applyBorder="1" applyAlignment="1">
      <alignment horizontal="center"/>
    </xf>
    <xf numFmtId="0" fontId="4" fillId="0" borderId="0" xfId="0" applyFont="1"/>
    <xf numFmtId="0" fontId="4"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9" fontId="0" fillId="0" borderId="1" xfId="1"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left"/>
    </xf>
    <xf numFmtId="0" fontId="0" fillId="0" borderId="0" xfId="0" pivotButton="1" applyAlignment="1">
      <alignment horizontal="center"/>
    </xf>
    <xf numFmtId="0" fontId="0" fillId="0" borderId="0" xfId="0" pivotButton="1" applyAlignment="1">
      <alignment horizontal="left"/>
    </xf>
    <xf numFmtId="0" fontId="0" fillId="0" borderId="0" xfId="0" applyNumberFormat="1" applyAlignment="1">
      <alignment horizontal="center"/>
    </xf>
    <xf numFmtId="0" fontId="0" fillId="0" borderId="1" xfId="0" applyNumberFormat="1" applyBorder="1" applyAlignment="1">
      <alignment horizontal="center" vertical="center"/>
    </xf>
  </cellXfs>
  <cellStyles count="2">
    <cellStyle name="Normal" xfId="0" builtinId="0"/>
    <cellStyle name="Percent" xfId="1" builtinId="5"/>
  </cellStyles>
  <dxfs count="116">
    <dxf>
      <alignment horizontal="center"/>
    </dxf>
    <dxf>
      <alignment horizontal="center"/>
    </dxf>
    <dxf>
      <alignment horizontal="center"/>
    </dxf>
    <dxf>
      <alignment horizontal="left"/>
    </dxf>
    <dxf>
      <alignment horizontal="left"/>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left"/>
    </dxf>
    <dxf>
      <alignment horizontal="left"/>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left"/>
    </dxf>
    <dxf>
      <alignment horizontal="left"/>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left"/>
    </dxf>
    <dxf>
      <alignment horizontal="left"/>
    </dxf>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s>
  <tableStyles count="1" defaultTableStyle="TableStyleMedium2" defaultPivotStyle="PivotStyleLight16">
    <tableStyle name="Invisible" pivot="0" table="0" count="0" xr9:uid="{19F1DCB3-EDC5-4B59-B58C-8903328E90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Project.xlsx]REPORTS!PivotTable2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REPORTS!$A$16:$A$20</c:f>
              <c:strCache>
                <c:ptCount val="4"/>
                <c:pt idx="0">
                  <c:v>Electronics</c:v>
                </c:pt>
                <c:pt idx="1">
                  <c:v>Furniture</c:v>
                </c:pt>
                <c:pt idx="2">
                  <c:v>Home Appliances</c:v>
                </c:pt>
                <c:pt idx="3">
                  <c:v>Office Supplies</c:v>
                </c:pt>
              </c:strCache>
            </c:strRef>
          </c:cat>
          <c:val>
            <c:numRef>
              <c:f>REPORTS!$B$16:$B$20</c:f>
              <c:numCache>
                <c:formatCode>General</c:formatCode>
                <c:ptCount val="4"/>
                <c:pt idx="0">
                  <c:v>121895951.61000009</c:v>
                </c:pt>
                <c:pt idx="1">
                  <c:v>57467276.240000106</c:v>
                </c:pt>
                <c:pt idx="2">
                  <c:v>28792532.329999968</c:v>
                </c:pt>
                <c:pt idx="3">
                  <c:v>23896478.200000007</c:v>
                </c:pt>
              </c:numCache>
            </c:numRef>
          </c:val>
          <c:extLst>
            <c:ext xmlns:c16="http://schemas.microsoft.com/office/drawing/2014/chart" uri="{C3380CC4-5D6E-409C-BE32-E72D297353CC}">
              <c16:uniqueId val="{00000000-4F83-471F-AAAD-2B9E13FA1F44}"/>
            </c:ext>
          </c:extLst>
        </c:ser>
        <c:dLbls>
          <c:dLblPos val="outEnd"/>
          <c:showLegendKey val="0"/>
          <c:showVal val="1"/>
          <c:showCatName val="0"/>
          <c:showSerName val="0"/>
          <c:showPercent val="0"/>
          <c:showBubbleSize val="0"/>
        </c:dLbls>
        <c:gapWidth val="182"/>
        <c:axId val="2122541039"/>
        <c:axId val="556938863"/>
      </c:barChart>
      <c:catAx>
        <c:axId val="212254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6938863"/>
        <c:crosses val="autoZero"/>
        <c:auto val="1"/>
        <c:lblAlgn val="ctr"/>
        <c:lblOffset val="100"/>
        <c:noMultiLvlLbl val="0"/>
      </c:catAx>
      <c:valAx>
        <c:axId val="5569388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254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Project.xlsx]REPORTS!PivotTable3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REPORTS!$A$30:$A$34</c:f>
              <c:strCache>
                <c:ptCount val="4"/>
                <c:pt idx="0">
                  <c:v>Electronics</c:v>
                </c:pt>
                <c:pt idx="1">
                  <c:v>Furniture</c:v>
                </c:pt>
                <c:pt idx="2">
                  <c:v>Home Appliances</c:v>
                </c:pt>
                <c:pt idx="3">
                  <c:v>Office Supplies</c:v>
                </c:pt>
              </c:strCache>
            </c:strRef>
          </c:cat>
          <c:val>
            <c:numRef>
              <c:f>REPORTS!$B$30:$B$34</c:f>
              <c:numCache>
                <c:formatCode>General</c:formatCode>
                <c:ptCount val="4"/>
                <c:pt idx="0">
                  <c:v>27769887.920000058</c:v>
                </c:pt>
                <c:pt idx="1">
                  <c:v>14684071.830000009</c:v>
                </c:pt>
                <c:pt idx="2">
                  <c:v>6724990.0800000066</c:v>
                </c:pt>
                <c:pt idx="3">
                  <c:v>6171979.5999999968</c:v>
                </c:pt>
              </c:numCache>
            </c:numRef>
          </c:val>
          <c:extLst>
            <c:ext xmlns:c16="http://schemas.microsoft.com/office/drawing/2014/chart" uri="{C3380CC4-5D6E-409C-BE32-E72D297353CC}">
              <c16:uniqueId val="{00000000-6C5F-4FEE-925C-45F8E4A31908}"/>
            </c:ext>
          </c:extLst>
        </c:ser>
        <c:dLbls>
          <c:dLblPos val="outEnd"/>
          <c:showLegendKey val="0"/>
          <c:showVal val="1"/>
          <c:showCatName val="0"/>
          <c:showSerName val="0"/>
          <c:showPercent val="0"/>
          <c:showBubbleSize val="0"/>
        </c:dLbls>
        <c:gapWidth val="182"/>
        <c:axId val="726360255"/>
        <c:axId val="557006063"/>
      </c:barChart>
      <c:catAx>
        <c:axId val="72636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06063"/>
        <c:crosses val="autoZero"/>
        <c:auto val="1"/>
        <c:lblAlgn val="ctr"/>
        <c:lblOffset val="100"/>
        <c:noMultiLvlLbl val="0"/>
      </c:catAx>
      <c:valAx>
        <c:axId val="5570060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2636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Project.xlsx]REPORTS!PivotTable4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REPORTS!$A$46:$A$58</c:f>
              <c:strCache>
                <c:ptCount val="12"/>
                <c:pt idx="0">
                  <c:v>Laptop</c:v>
                </c:pt>
                <c:pt idx="1">
                  <c:v>Sofa</c:v>
                </c:pt>
                <c:pt idx="2">
                  <c:v>Mobile</c:v>
                </c:pt>
                <c:pt idx="3">
                  <c:v>Printer</c:v>
                </c:pt>
                <c:pt idx="4">
                  <c:v>Microwave</c:v>
                </c:pt>
                <c:pt idx="5">
                  <c:v>Table</c:v>
                </c:pt>
                <c:pt idx="6">
                  <c:v>Chair</c:v>
                </c:pt>
                <c:pt idx="7">
                  <c:v>Mixer</c:v>
                </c:pt>
                <c:pt idx="8">
                  <c:v>Fan</c:v>
                </c:pt>
                <c:pt idx="9">
                  <c:v>Headphones</c:v>
                </c:pt>
                <c:pt idx="10">
                  <c:v>Notebook</c:v>
                </c:pt>
                <c:pt idx="11">
                  <c:v>Pen</c:v>
                </c:pt>
              </c:strCache>
            </c:strRef>
          </c:cat>
          <c:val>
            <c:numRef>
              <c:f>REPORTS!$B$46:$B$58</c:f>
              <c:numCache>
                <c:formatCode>General</c:formatCode>
                <c:ptCount val="12"/>
                <c:pt idx="0">
                  <c:v>82734679.019999966</c:v>
                </c:pt>
                <c:pt idx="1">
                  <c:v>38159975.610000007</c:v>
                </c:pt>
                <c:pt idx="2">
                  <c:v>34612113.910000004</c:v>
                </c:pt>
                <c:pt idx="3">
                  <c:v>23616519.089999977</c:v>
                </c:pt>
                <c:pt idx="4">
                  <c:v>17894256.560000032</c:v>
                </c:pt>
                <c:pt idx="5">
                  <c:v>12831120.669999991</c:v>
                </c:pt>
                <c:pt idx="6">
                  <c:v>6476179.9599999972</c:v>
                </c:pt>
                <c:pt idx="7">
                  <c:v>5866933.6600000001</c:v>
                </c:pt>
                <c:pt idx="8">
                  <c:v>5031342.1100000022</c:v>
                </c:pt>
                <c:pt idx="9">
                  <c:v>4549158.6800000016</c:v>
                </c:pt>
                <c:pt idx="10">
                  <c:v>235348.00999999995</c:v>
                </c:pt>
                <c:pt idx="11">
                  <c:v>44611.099999999977</c:v>
                </c:pt>
              </c:numCache>
            </c:numRef>
          </c:val>
          <c:extLst>
            <c:ext xmlns:c16="http://schemas.microsoft.com/office/drawing/2014/chart" uri="{C3380CC4-5D6E-409C-BE32-E72D297353CC}">
              <c16:uniqueId val="{00000000-6BD9-4959-838A-85F335337645}"/>
            </c:ext>
          </c:extLst>
        </c:ser>
        <c:dLbls>
          <c:dLblPos val="outEnd"/>
          <c:showLegendKey val="0"/>
          <c:showVal val="1"/>
          <c:showCatName val="0"/>
          <c:showSerName val="0"/>
          <c:showPercent val="0"/>
          <c:showBubbleSize val="0"/>
        </c:dLbls>
        <c:gapWidth val="219"/>
        <c:overlap val="-27"/>
        <c:axId val="675433375"/>
        <c:axId val="556975343"/>
      </c:barChart>
      <c:catAx>
        <c:axId val="67543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75343"/>
        <c:crosses val="autoZero"/>
        <c:auto val="1"/>
        <c:lblAlgn val="ctr"/>
        <c:lblOffset val="100"/>
        <c:noMultiLvlLbl val="0"/>
      </c:catAx>
      <c:valAx>
        <c:axId val="5569753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54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Project.xlsx]REPORTS!PivotTable2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REPORTS!$B$15</c:f>
              <c:strCache>
                <c:ptCount val="1"/>
                <c:pt idx="0">
                  <c:v>Total</c:v>
                </c:pt>
              </c:strCache>
            </c:strRef>
          </c:tx>
          <c:spPr>
            <a:solidFill>
              <a:schemeClr val="accent6">
                <a:lumMod val="75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REPORTS!$A$16:$A$20</c:f>
              <c:strCache>
                <c:ptCount val="4"/>
                <c:pt idx="0">
                  <c:v>Electronics</c:v>
                </c:pt>
                <c:pt idx="1">
                  <c:v>Furniture</c:v>
                </c:pt>
                <c:pt idx="2">
                  <c:v>Home Appliances</c:v>
                </c:pt>
                <c:pt idx="3">
                  <c:v>Office Supplies</c:v>
                </c:pt>
              </c:strCache>
            </c:strRef>
          </c:cat>
          <c:val>
            <c:numRef>
              <c:f>REPORTS!$B$16:$B$20</c:f>
              <c:numCache>
                <c:formatCode>General</c:formatCode>
                <c:ptCount val="4"/>
                <c:pt idx="0">
                  <c:v>121895951.61000009</c:v>
                </c:pt>
                <c:pt idx="1">
                  <c:v>57467276.240000106</c:v>
                </c:pt>
                <c:pt idx="2">
                  <c:v>28792532.329999968</c:v>
                </c:pt>
                <c:pt idx="3">
                  <c:v>23896478.200000007</c:v>
                </c:pt>
              </c:numCache>
            </c:numRef>
          </c:val>
          <c:extLst>
            <c:ext xmlns:c16="http://schemas.microsoft.com/office/drawing/2014/chart" uri="{C3380CC4-5D6E-409C-BE32-E72D297353CC}">
              <c16:uniqueId val="{00000000-C6D1-40C3-ACD0-8AB4097B0EB3}"/>
            </c:ext>
          </c:extLst>
        </c:ser>
        <c:dLbls>
          <c:dLblPos val="outEnd"/>
          <c:showLegendKey val="0"/>
          <c:showVal val="1"/>
          <c:showCatName val="0"/>
          <c:showSerName val="0"/>
          <c:showPercent val="0"/>
          <c:showBubbleSize val="0"/>
        </c:dLbls>
        <c:gapWidth val="182"/>
        <c:axId val="2122541039"/>
        <c:axId val="556938863"/>
      </c:barChart>
      <c:catAx>
        <c:axId val="212254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6938863"/>
        <c:crosses val="autoZero"/>
        <c:auto val="1"/>
        <c:lblAlgn val="ctr"/>
        <c:lblOffset val="100"/>
        <c:noMultiLvlLbl val="0"/>
      </c:catAx>
      <c:valAx>
        <c:axId val="556938863"/>
        <c:scaling>
          <c:orientation val="minMax"/>
        </c:scaling>
        <c:delete val="1"/>
        <c:axPos val="b"/>
        <c:numFmt formatCode="General" sourceLinked="1"/>
        <c:majorTickMark val="none"/>
        <c:minorTickMark val="none"/>
        <c:tickLblPos val="nextTo"/>
        <c:crossAx val="212254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Project.xlsx]REPORTS!PivotTable3</c:name>
    <c:fmtId val="2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REPORTS!$B$29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REPORTS!$A$30:$A$34</c:f>
              <c:strCache>
                <c:ptCount val="4"/>
                <c:pt idx="0">
                  <c:v>Electronics</c:v>
                </c:pt>
                <c:pt idx="1">
                  <c:v>Furniture</c:v>
                </c:pt>
                <c:pt idx="2">
                  <c:v>Home Appliances</c:v>
                </c:pt>
                <c:pt idx="3">
                  <c:v>Office Supplies</c:v>
                </c:pt>
              </c:strCache>
            </c:strRef>
          </c:cat>
          <c:val>
            <c:numRef>
              <c:f>REPORTS!$B$30:$B$34</c:f>
              <c:numCache>
                <c:formatCode>General</c:formatCode>
                <c:ptCount val="4"/>
                <c:pt idx="0">
                  <c:v>27769887.920000058</c:v>
                </c:pt>
                <c:pt idx="1">
                  <c:v>14684071.830000009</c:v>
                </c:pt>
                <c:pt idx="2">
                  <c:v>6724990.0800000066</c:v>
                </c:pt>
                <c:pt idx="3">
                  <c:v>6171979.5999999968</c:v>
                </c:pt>
              </c:numCache>
            </c:numRef>
          </c:val>
          <c:extLst>
            <c:ext xmlns:c16="http://schemas.microsoft.com/office/drawing/2014/chart" uri="{C3380CC4-5D6E-409C-BE32-E72D297353CC}">
              <c16:uniqueId val="{00000000-FF2F-4F40-84CD-2F859AD95C75}"/>
            </c:ext>
          </c:extLst>
        </c:ser>
        <c:dLbls>
          <c:dLblPos val="outEnd"/>
          <c:showLegendKey val="0"/>
          <c:showVal val="1"/>
          <c:showCatName val="0"/>
          <c:showSerName val="0"/>
          <c:showPercent val="0"/>
          <c:showBubbleSize val="0"/>
        </c:dLbls>
        <c:gapWidth val="182"/>
        <c:axId val="726360255"/>
        <c:axId val="557006063"/>
      </c:barChart>
      <c:catAx>
        <c:axId val="72636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57006063"/>
        <c:crosses val="autoZero"/>
        <c:auto val="1"/>
        <c:lblAlgn val="ctr"/>
        <c:lblOffset val="100"/>
        <c:noMultiLvlLbl val="0"/>
      </c:catAx>
      <c:valAx>
        <c:axId val="557006063"/>
        <c:scaling>
          <c:orientation val="minMax"/>
        </c:scaling>
        <c:delete val="1"/>
        <c:axPos val="b"/>
        <c:numFmt formatCode="General" sourceLinked="1"/>
        <c:majorTickMark val="none"/>
        <c:minorTickMark val="none"/>
        <c:tickLblPos val="nextTo"/>
        <c:crossAx val="72636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Project.xlsx]REPORTS!PivotTable4</c:name>
    <c:fmtId val="3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sub-category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REPORTS!$B$45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REPORTS!$A$46:$A$58</c:f>
              <c:strCache>
                <c:ptCount val="12"/>
                <c:pt idx="0">
                  <c:v>Laptop</c:v>
                </c:pt>
                <c:pt idx="1">
                  <c:v>Sofa</c:v>
                </c:pt>
                <c:pt idx="2">
                  <c:v>Mobile</c:v>
                </c:pt>
                <c:pt idx="3">
                  <c:v>Printer</c:v>
                </c:pt>
                <c:pt idx="4">
                  <c:v>Microwave</c:v>
                </c:pt>
                <c:pt idx="5">
                  <c:v>Table</c:v>
                </c:pt>
                <c:pt idx="6">
                  <c:v>Chair</c:v>
                </c:pt>
                <c:pt idx="7">
                  <c:v>Mixer</c:v>
                </c:pt>
                <c:pt idx="8">
                  <c:v>Fan</c:v>
                </c:pt>
                <c:pt idx="9">
                  <c:v>Headphones</c:v>
                </c:pt>
                <c:pt idx="10">
                  <c:v>Notebook</c:v>
                </c:pt>
                <c:pt idx="11">
                  <c:v>Pen</c:v>
                </c:pt>
              </c:strCache>
            </c:strRef>
          </c:cat>
          <c:val>
            <c:numRef>
              <c:f>REPORTS!$B$46:$B$58</c:f>
              <c:numCache>
                <c:formatCode>General</c:formatCode>
                <c:ptCount val="12"/>
                <c:pt idx="0">
                  <c:v>82734679.019999966</c:v>
                </c:pt>
                <c:pt idx="1">
                  <c:v>38159975.610000007</c:v>
                </c:pt>
                <c:pt idx="2">
                  <c:v>34612113.910000004</c:v>
                </c:pt>
                <c:pt idx="3">
                  <c:v>23616519.089999977</c:v>
                </c:pt>
                <c:pt idx="4">
                  <c:v>17894256.560000032</c:v>
                </c:pt>
                <c:pt idx="5">
                  <c:v>12831120.669999991</c:v>
                </c:pt>
                <c:pt idx="6">
                  <c:v>6476179.9599999972</c:v>
                </c:pt>
                <c:pt idx="7">
                  <c:v>5866933.6600000001</c:v>
                </c:pt>
                <c:pt idx="8">
                  <c:v>5031342.1100000022</c:v>
                </c:pt>
                <c:pt idx="9">
                  <c:v>4549158.6800000016</c:v>
                </c:pt>
                <c:pt idx="10">
                  <c:v>235348.00999999995</c:v>
                </c:pt>
                <c:pt idx="11">
                  <c:v>44611.099999999977</c:v>
                </c:pt>
              </c:numCache>
            </c:numRef>
          </c:val>
          <c:extLst>
            <c:ext xmlns:c16="http://schemas.microsoft.com/office/drawing/2014/chart" uri="{C3380CC4-5D6E-409C-BE32-E72D297353CC}">
              <c16:uniqueId val="{00000000-7F2E-40CC-9838-57E484F9D8B1}"/>
            </c:ext>
          </c:extLst>
        </c:ser>
        <c:dLbls>
          <c:dLblPos val="outEnd"/>
          <c:showLegendKey val="0"/>
          <c:showVal val="1"/>
          <c:showCatName val="0"/>
          <c:showSerName val="0"/>
          <c:showPercent val="0"/>
          <c:showBubbleSize val="0"/>
        </c:dLbls>
        <c:gapWidth val="219"/>
        <c:overlap val="-27"/>
        <c:axId val="675433375"/>
        <c:axId val="556975343"/>
      </c:barChart>
      <c:catAx>
        <c:axId val="67543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56975343"/>
        <c:crosses val="autoZero"/>
        <c:auto val="1"/>
        <c:lblAlgn val="ctr"/>
        <c:lblOffset val="100"/>
        <c:noMultiLvlLbl val="0"/>
      </c:catAx>
      <c:valAx>
        <c:axId val="556975343"/>
        <c:scaling>
          <c:orientation val="minMax"/>
        </c:scaling>
        <c:delete val="1"/>
        <c:axPos val="l"/>
        <c:numFmt formatCode="General" sourceLinked="1"/>
        <c:majorTickMark val="none"/>
        <c:minorTickMark val="none"/>
        <c:tickLblPos val="nextTo"/>
        <c:crossAx val="6754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228600</xdr:colOff>
      <xdr:row>12</xdr:row>
      <xdr:rowOff>152400</xdr:rowOff>
    </xdr:from>
    <xdr:to>
      <xdr:col>5</xdr:col>
      <xdr:colOff>441960</xdr:colOff>
      <xdr:row>25</xdr:row>
      <xdr:rowOff>179070</xdr:rowOff>
    </xdr:to>
    <xdr:graphicFrame macro="">
      <xdr:nvGraphicFramePr>
        <xdr:cNvPr id="2" name="Chart 1">
          <a:extLst>
            <a:ext uri="{FF2B5EF4-FFF2-40B4-BE49-F238E27FC236}">
              <a16:creationId xmlns:a16="http://schemas.microsoft.com/office/drawing/2014/main" id="{76394CC2-5309-909F-1680-438B35D46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26</xdr:row>
      <xdr:rowOff>95250</xdr:rowOff>
    </xdr:from>
    <xdr:to>
      <xdr:col>5</xdr:col>
      <xdr:colOff>480060</xdr:colOff>
      <xdr:row>41</xdr:row>
      <xdr:rowOff>95250</xdr:rowOff>
    </xdr:to>
    <xdr:graphicFrame macro="">
      <xdr:nvGraphicFramePr>
        <xdr:cNvPr id="4" name="Chart 3">
          <a:extLst>
            <a:ext uri="{FF2B5EF4-FFF2-40B4-BE49-F238E27FC236}">
              <a16:creationId xmlns:a16="http://schemas.microsoft.com/office/drawing/2014/main" id="{06C35F58-E2B3-7BD3-90A9-3BC7D31D7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43</xdr:row>
      <xdr:rowOff>41910</xdr:rowOff>
    </xdr:from>
    <xdr:to>
      <xdr:col>11</xdr:col>
      <xdr:colOff>106680</xdr:colOff>
      <xdr:row>58</xdr:row>
      <xdr:rowOff>41910</xdr:rowOff>
    </xdr:to>
    <xdr:graphicFrame macro="">
      <xdr:nvGraphicFramePr>
        <xdr:cNvPr id="5" name="Chart 4">
          <a:extLst>
            <a:ext uri="{FF2B5EF4-FFF2-40B4-BE49-F238E27FC236}">
              <a16:creationId xmlns:a16="http://schemas.microsoft.com/office/drawing/2014/main" id="{A6007559-DEB0-AF0C-5063-84F58AAD8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7620</xdr:colOff>
      <xdr:row>1</xdr:row>
      <xdr:rowOff>175261</xdr:rowOff>
    </xdr:from>
    <xdr:to>
      <xdr:col>13</xdr:col>
      <xdr:colOff>220980</xdr:colOff>
      <xdr:row>5</xdr:row>
      <xdr:rowOff>152400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9FE14D18-5EEB-0FC6-3504-D893AAB9D2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48400" y="358141"/>
              <a:ext cx="448056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220980</xdr:colOff>
      <xdr:row>9</xdr:row>
      <xdr:rowOff>213361</xdr:rowOff>
    </xdr:from>
    <xdr:to>
      <xdr:col>14</xdr:col>
      <xdr:colOff>182880</xdr:colOff>
      <xdr:row>12</xdr:row>
      <xdr:rowOff>144781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42A40E3-20A7-BA36-D03B-75DEA44C6D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61760" y="2301241"/>
              <a:ext cx="483870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xdr:colOff>
      <xdr:row>3</xdr:row>
      <xdr:rowOff>99060</xdr:rowOff>
    </xdr:from>
    <xdr:to>
      <xdr:col>4</xdr:col>
      <xdr:colOff>320040</xdr:colOff>
      <xdr:row>7</xdr:row>
      <xdr:rowOff>60960</xdr:rowOff>
    </xdr:to>
    <xdr:sp macro="" textlink="REPORTS!A10">
      <xdr:nvSpPr>
        <xdr:cNvPr id="2" name="Rectangle: Rounded Corners 1">
          <a:extLst>
            <a:ext uri="{FF2B5EF4-FFF2-40B4-BE49-F238E27FC236}">
              <a16:creationId xmlns:a16="http://schemas.microsoft.com/office/drawing/2014/main" id="{371A3DBA-B8A0-3F16-0EE3-740EBBBDD65F}"/>
            </a:ext>
          </a:extLst>
        </xdr:cNvPr>
        <xdr:cNvSpPr/>
      </xdr:nvSpPr>
      <xdr:spPr>
        <a:xfrm>
          <a:off x="1249680" y="647700"/>
          <a:ext cx="1508760" cy="6934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86EAC1-8926-44AE-8A84-C5C8E41C1106}" type="TxLink">
            <a:rPr lang="en-US" sz="1100" b="1" i="0" u="none" strike="noStrike">
              <a:solidFill>
                <a:schemeClr val="bg1"/>
              </a:solidFill>
              <a:latin typeface="Calibri"/>
              <a:ea typeface="Calibri"/>
              <a:cs typeface="Calibri"/>
            </a:rPr>
            <a:pPr algn="ctr"/>
            <a:t>Total Revenue 
23,20,52,238</a:t>
          </a:fld>
          <a:endParaRPr lang="en-IN" sz="1100" b="1">
            <a:solidFill>
              <a:schemeClr val="bg1"/>
            </a:solidFill>
          </a:endParaRPr>
        </a:p>
      </xdr:txBody>
    </xdr:sp>
    <xdr:clientData/>
  </xdr:twoCellAnchor>
  <xdr:twoCellAnchor>
    <xdr:from>
      <xdr:col>5</xdr:col>
      <xdr:colOff>441960</xdr:colOff>
      <xdr:row>3</xdr:row>
      <xdr:rowOff>121920</xdr:rowOff>
    </xdr:from>
    <xdr:to>
      <xdr:col>8</xdr:col>
      <xdr:colOff>121920</xdr:colOff>
      <xdr:row>7</xdr:row>
      <xdr:rowOff>83820</xdr:rowOff>
    </xdr:to>
    <xdr:sp macro="" textlink="REPORTS!B10">
      <xdr:nvSpPr>
        <xdr:cNvPr id="3" name="Rectangle: Rounded Corners 2">
          <a:extLst>
            <a:ext uri="{FF2B5EF4-FFF2-40B4-BE49-F238E27FC236}">
              <a16:creationId xmlns:a16="http://schemas.microsoft.com/office/drawing/2014/main" id="{FC15D46C-2EA3-46AE-AF88-EBACB12409D5}"/>
            </a:ext>
          </a:extLst>
        </xdr:cNvPr>
        <xdr:cNvSpPr/>
      </xdr:nvSpPr>
      <xdr:spPr>
        <a:xfrm>
          <a:off x="3489960" y="670560"/>
          <a:ext cx="1508760" cy="6934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FBC6BAD-9BBD-4757-B219-395925059DFB}" type="TxLink">
            <a:rPr lang="en-US" sz="1100" b="1" i="0" u="none" strike="noStrike">
              <a:solidFill>
                <a:schemeClr val="bg1"/>
              </a:solidFill>
              <a:latin typeface="Calibri"/>
              <a:ea typeface="Calibri"/>
              <a:cs typeface="Calibri"/>
            </a:rPr>
            <a:pPr marL="0" indent="0" algn="ctr"/>
            <a:t>Total Cost 
17,67,01,309</a:t>
          </a:fld>
          <a:endParaRPr lang="en-IN" sz="1100" b="1" i="0" u="none" strike="noStrike">
            <a:solidFill>
              <a:schemeClr val="bg1"/>
            </a:solidFill>
            <a:latin typeface="Calibri"/>
            <a:ea typeface="Calibri"/>
            <a:cs typeface="Calibri"/>
          </a:endParaRPr>
        </a:p>
      </xdr:txBody>
    </xdr:sp>
    <xdr:clientData/>
  </xdr:twoCellAnchor>
  <xdr:twoCellAnchor>
    <xdr:from>
      <xdr:col>11</xdr:col>
      <xdr:colOff>121920</xdr:colOff>
      <xdr:row>3</xdr:row>
      <xdr:rowOff>106680</xdr:rowOff>
    </xdr:from>
    <xdr:to>
      <xdr:col>13</xdr:col>
      <xdr:colOff>411480</xdr:colOff>
      <xdr:row>7</xdr:row>
      <xdr:rowOff>68580</xdr:rowOff>
    </xdr:to>
    <xdr:sp macro="" textlink="REPORTS!C10">
      <xdr:nvSpPr>
        <xdr:cNvPr id="4" name="Rectangle: Rounded Corners 3">
          <a:extLst>
            <a:ext uri="{FF2B5EF4-FFF2-40B4-BE49-F238E27FC236}">
              <a16:creationId xmlns:a16="http://schemas.microsoft.com/office/drawing/2014/main" id="{60DB66E5-9D97-4695-8D1C-485FB6626650}"/>
            </a:ext>
          </a:extLst>
        </xdr:cNvPr>
        <xdr:cNvSpPr/>
      </xdr:nvSpPr>
      <xdr:spPr>
        <a:xfrm>
          <a:off x="6827520" y="655320"/>
          <a:ext cx="1508760" cy="6934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6B83DA7-7B72-4398-A4E1-289760949090}" type="TxLink">
            <a:rPr lang="en-US" sz="1100" b="1" i="0" u="none" strike="noStrike">
              <a:solidFill>
                <a:schemeClr val="bg1"/>
              </a:solidFill>
              <a:latin typeface="Calibri"/>
              <a:ea typeface="Calibri"/>
              <a:cs typeface="Calibri"/>
            </a:rPr>
            <a:pPr marL="0" indent="0" algn="ctr"/>
            <a:t>Total Profit 
5,53,50,929</a:t>
          </a:fld>
          <a:endParaRPr lang="en-IN" sz="1100" b="1" i="0" u="none" strike="noStrike">
            <a:solidFill>
              <a:schemeClr val="bg1"/>
            </a:solidFill>
            <a:latin typeface="Calibri"/>
            <a:ea typeface="Calibri"/>
            <a:cs typeface="Calibri"/>
          </a:endParaRPr>
        </a:p>
      </xdr:txBody>
    </xdr:sp>
    <xdr:clientData/>
  </xdr:twoCellAnchor>
  <xdr:twoCellAnchor>
    <xdr:from>
      <xdr:col>14</xdr:col>
      <xdr:colOff>551180</xdr:colOff>
      <xdr:row>3</xdr:row>
      <xdr:rowOff>116840</xdr:rowOff>
    </xdr:from>
    <xdr:to>
      <xdr:col>17</xdr:col>
      <xdr:colOff>231140</xdr:colOff>
      <xdr:row>7</xdr:row>
      <xdr:rowOff>78740</xdr:rowOff>
    </xdr:to>
    <xdr:sp macro="" textlink="REPORTS!D10">
      <xdr:nvSpPr>
        <xdr:cNvPr id="5" name="Rectangle: Rounded Corners 4">
          <a:extLst>
            <a:ext uri="{FF2B5EF4-FFF2-40B4-BE49-F238E27FC236}">
              <a16:creationId xmlns:a16="http://schemas.microsoft.com/office/drawing/2014/main" id="{765CEB9B-CC4C-4906-9344-D32517DA00D7}"/>
            </a:ext>
          </a:extLst>
        </xdr:cNvPr>
        <xdr:cNvSpPr/>
      </xdr:nvSpPr>
      <xdr:spPr>
        <a:xfrm>
          <a:off x="9085580" y="665480"/>
          <a:ext cx="1508760" cy="6934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4D56F9F-137D-442E-AA31-C79A9C66C109}" type="TxLink">
            <a:rPr lang="en-US" sz="1100" b="1" i="0" u="none" strike="noStrike">
              <a:solidFill>
                <a:schemeClr val="bg1"/>
              </a:solidFill>
              <a:latin typeface="Calibri"/>
              <a:ea typeface="Calibri"/>
              <a:cs typeface="Calibri"/>
            </a:rPr>
            <a:pPr marL="0" indent="0" algn="ctr"/>
            <a:t>Margin % 
23.85%</a:t>
          </a:fld>
          <a:endParaRPr lang="en-IN" sz="1100" b="1" i="0" u="none" strike="noStrike">
            <a:solidFill>
              <a:schemeClr val="bg1"/>
            </a:solidFill>
            <a:latin typeface="Calibri"/>
            <a:ea typeface="Calibri"/>
            <a:cs typeface="Calibri"/>
          </a:endParaRPr>
        </a:p>
      </xdr:txBody>
    </xdr:sp>
    <xdr:clientData/>
  </xdr:twoCellAnchor>
  <xdr:twoCellAnchor>
    <xdr:from>
      <xdr:col>1</xdr:col>
      <xdr:colOff>563880</xdr:colOff>
      <xdr:row>13</xdr:row>
      <xdr:rowOff>157480</xdr:rowOff>
    </xdr:from>
    <xdr:to>
      <xdr:col>9</xdr:col>
      <xdr:colOff>518160</xdr:colOff>
      <xdr:row>27</xdr:row>
      <xdr:rowOff>1270</xdr:rowOff>
    </xdr:to>
    <xdr:graphicFrame macro="">
      <xdr:nvGraphicFramePr>
        <xdr:cNvPr id="6" name="Chart 5">
          <a:extLst>
            <a:ext uri="{FF2B5EF4-FFF2-40B4-BE49-F238E27FC236}">
              <a16:creationId xmlns:a16="http://schemas.microsoft.com/office/drawing/2014/main" id="{97BA4693-D015-41A5-A0CC-FB6C7DD7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71120</xdr:colOff>
      <xdr:row>13</xdr:row>
      <xdr:rowOff>167640</xdr:rowOff>
    </xdr:from>
    <xdr:to>
      <xdr:col>17</xdr:col>
      <xdr:colOff>325120</xdr:colOff>
      <xdr:row>27</xdr:row>
      <xdr:rowOff>30480</xdr:rowOff>
    </xdr:to>
    <xdr:graphicFrame macro="">
      <xdr:nvGraphicFramePr>
        <xdr:cNvPr id="7" name="Chart 6">
          <a:extLst>
            <a:ext uri="{FF2B5EF4-FFF2-40B4-BE49-F238E27FC236}">
              <a16:creationId xmlns:a16="http://schemas.microsoft.com/office/drawing/2014/main" id="{B9746DE8-C8BE-4AEB-A54D-A7243B4CD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576580</xdr:colOff>
      <xdr:row>27</xdr:row>
      <xdr:rowOff>142240</xdr:rowOff>
    </xdr:from>
    <xdr:to>
      <xdr:col>17</xdr:col>
      <xdr:colOff>375920</xdr:colOff>
      <xdr:row>42</xdr:row>
      <xdr:rowOff>142240</xdr:rowOff>
    </xdr:to>
    <xdr:graphicFrame macro="">
      <xdr:nvGraphicFramePr>
        <xdr:cNvPr id="8" name="Chart 7">
          <a:extLst>
            <a:ext uri="{FF2B5EF4-FFF2-40B4-BE49-F238E27FC236}">
              <a16:creationId xmlns:a16="http://schemas.microsoft.com/office/drawing/2014/main" id="{2FA15B25-7529-49CA-955D-14F5C433E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558800</xdr:colOff>
      <xdr:row>8</xdr:row>
      <xdr:rowOff>10160</xdr:rowOff>
    </xdr:from>
    <xdr:to>
      <xdr:col>9</xdr:col>
      <xdr:colOff>520700</xdr:colOff>
      <xdr:row>12</xdr:row>
      <xdr:rowOff>149860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7C8AB801-5281-4573-90AD-18066B14DAA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8400" y="1473200"/>
              <a:ext cx="4838700" cy="87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81280</xdr:colOff>
      <xdr:row>8</xdr:row>
      <xdr:rowOff>0</xdr:rowOff>
    </xdr:from>
    <xdr:to>
      <xdr:col>17</xdr:col>
      <xdr:colOff>294640</xdr:colOff>
      <xdr:row>12</xdr:row>
      <xdr:rowOff>142241</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4C9746D1-4ADD-44F0-BB5F-05DE0CEE06C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177280" y="1463040"/>
              <a:ext cx="4480560" cy="87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BYA NAYAK" refreshedDate="46275.317464120373" createdVersion="8" refreshedVersion="8" minRefreshableVersion="3" recordCount="5000" xr:uid="{E5B27982-C441-4F0B-A00C-783EDA73616B}">
  <cacheSource type="worksheet">
    <worksheetSource ref="A1:P5001" sheet="DATASET"/>
  </cacheSource>
  <cacheFields count="16">
    <cacheField name="Order_ID" numFmtId="0">
      <sharedItems/>
    </cacheField>
    <cacheField name="Order_Date" numFmtId="0">
      <sharedItems/>
    </cacheField>
    <cacheField name="Year" numFmtId="0">
      <sharedItems count="12">
        <s v="Apr-25"/>
        <s v="Oct-25"/>
        <s v="Jun-25"/>
        <s v="May-25"/>
        <s v="Mar-25"/>
        <s v="Sep-25"/>
        <s v="Jul-25"/>
        <s v="Dec-25"/>
        <s v="Feb-25"/>
        <s v="Jan-25"/>
        <s v="Nov-25"/>
        <s v="Aug-25"/>
      </sharedItems>
    </cacheField>
    <cacheField name="Region" numFmtId="0">
      <sharedItems/>
    </cacheField>
    <cacheField name="State" numFmtId="0">
      <sharedItems/>
    </cacheField>
    <cacheField name="City" numFmtId="0">
      <sharedItems/>
    </cacheField>
    <cacheField name="Category" numFmtId="0">
      <sharedItems count="4">
        <s v="Furniture"/>
        <s v="Home Appliances"/>
        <s v="Electronics"/>
        <s v="Office Supplies"/>
      </sharedItems>
    </cacheField>
    <cacheField name="Sub_Category" numFmtId="0">
      <sharedItems count="12">
        <s v="Chair"/>
        <s v="Fan"/>
        <s v="Laptop"/>
        <s v="Pen"/>
        <s v="Headphones"/>
        <s v="Microwave"/>
        <s v="Mixer"/>
        <s v="Printer"/>
        <s v="Sofa"/>
        <s v="Table"/>
        <s v="Mobile"/>
        <s v="Notebook"/>
      </sharedItems>
    </cacheField>
    <cacheField name="Customer_ID" numFmtId="0">
      <sharedItems/>
    </cacheField>
    <cacheField name="Salesperson" numFmtId="0">
      <sharedItems/>
    </cacheField>
    <cacheField name="Quantity" numFmtId="0">
      <sharedItems containsSemiMixedTypes="0" containsString="0" containsNumber="1" containsInteger="1" minValue="1" maxValue="8"/>
    </cacheField>
    <cacheField name="Unit_Price" numFmtId="0">
      <sharedItems containsSemiMixedTypes="0" containsString="0" containsNumber="1" minValue="22.51" maxValue="49499.7"/>
    </cacheField>
    <cacheField name="Revenue" numFmtId="0">
      <sharedItems containsSemiMixedTypes="0" containsString="0" containsNumber="1" minValue="22.54" maxValue="395227.92"/>
    </cacheField>
    <cacheField name="Cost" numFmtId="0">
      <sharedItems containsSemiMixedTypes="0" containsString="0" containsNumber="1" minValue="9.51" maxValue="293966.99"/>
    </cacheField>
    <cacheField name="Profit" numFmtId="0">
      <sharedItems containsSemiMixedTypes="0" containsString="0" containsNumber="1" minValue="12.35" maxValue="117100.56"/>
    </cacheField>
    <cacheField name="Payment_Mode" numFmtId="0">
      <sharedItems/>
    </cacheField>
  </cacheFields>
  <extLst>
    <ext xmlns:x14="http://schemas.microsoft.com/office/spreadsheetml/2009/9/main" uri="{725AE2AE-9491-48be-B2B4-4EB974FC3084}">
      <x14:pivotCacheDefinition pivotCacheId="17851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2"/>
    <s v="2025-04-24"/>
    <x v="0"/>
    <s v="South"/>
    <s v="Tamil Nadu"/>
    <s v="Chennai"/>
    <x v="0"/>
    <x v="0"/>
    <s v="CUST1946"/>
    <s v="SP_12"/>
    <n v="3"/>
    <n v="3348.29"/>
    <n v="10044.870000000001"/>
    <n v="6300.21"/>
    <n v="3744.66"/>
    <s v="Net Banking"/>
  </r>
  <r>
    <s v="ORD100003"/>
    <s v="2025-10-10"/>
    <x v="1"/>
    <s v="South"/>
    <s v="Tamil Nadu"/>
    <s v="Chennai"/>
    <x v="1"/>
    <x v="1"/>
    <s v="CUST1572"/>
    <s v="SP_04"/>
    <n v="7"/>
    <n v="2607.69"/>
    <n v="18253.830000000002"/>
    <n v="13295.29"/>
    <n v="4958.54"/>
    <s v="Credit Card"/>
  </r>
  <r>
    <s v="ORD100004"/>
    <s v="2025-06-18"/>
    <x v="2"/>
    <s v="North"/>
    <s v="Punjab"/>
    <s v="Chandigarh"/>
    <x v="2"/>
    <x v="2"/>
    <s v="CUST1041"/>
    <s v="SP_11"/>
    <n v="7"/>
    <n v="41232.32"/>
    <n v="288626.24"/>
    <n v="250749.31"/>
    <n v="37876.93"/>
    <s v="UPI"/>
  </r>
  <r>
    <s v="ORD100005"/>
    <s v="2025-05-19"/>
    <x v="3"/>
    <s v="South"/>
    <s v="Karnataka"/>
    <s v="Bengaluru"/>
    <x v="3"/>
    <x v="3"/>
    <s v="CUST1680"/>
    <s v="SP_06"/>
    <n v="1"/>
    <n v="22.97"/>
    <n v="22.97"/>
    <n v="10.31"/>
    <n v="12.66"/>
    <s v="Net Banking"/>
  </r>
  <r>
    <s v="ORD100006"/>
    <s v="2025-03-23"/>
    <x v="4"/>
    <s v="East"/>
    <s v="West Bengal"/>
    <s v="Kolkata"/>
    <x v="2"/>
    <x v="4"/>
    <s v="CUST1417"/>
    <s v="SP_06"/>
    <n v="1"/>
    <n v="2671.27"/>
    <n v="2671.27"/>
    <n v="1626.05"/>
    <n v="1045.22"/>
    <s v="Net Banking"/>
  </r>
  <r>
    <s v="ORD100007"/>
    <s v="2025-03-03"/>
    <x v="4"/>
    <s v="East"/>
    <s v="Bihar"/>
    <s v="Patna"/>
    <x v="1"/>
    <x v="5"/>
    <s v="CUST1131"/>
    <s v="SP_04"/>
    <n v="8"/>
    <n v="8676.68"/>
    <n v="69413.440000000002"/>
    <n v="61666.53"/>
    <n v="7746.91"/>
    <s v="Cash"/>
  </r>
  <r>
    <s v="ORD100008"/>
    <s v="2025-09-24"/>
    <x v="5"/>
    <s v="East"/>
    <s v="West Bengal"/>
    <s v="Kolkata"/>
    <x v="1"/>
    <x v="6"/>
    <s v="CUST1727"/>
    <s v="SP_11"/>
    <n v="4"/>
    <n v="3505.85"/>
    <n v="14023.4"/>
    <n v="9752.44"/>
    <n v="4270.96"/>
    <s v="UPI"/>
  </r>
  <r>
    <s v="ORD100009"/>
    <s v="2025-05-15"/>
    <x v="3"/>
    <s v="South"/>
    <s v="Karnataka"/>
    <s v="Bengaluru"/>
    <x v="3"/>
    <x v="7"/>
    <s v="CUST1061"/>
    <s v="SP_03"/>
    <n v="2"/>
    <n v="12770.64"/>
    <n v="25541.279999999999"/>
    <n v="18567.419999999998"/>
    <n v="6973.86"/>
    <s v="UPI"/>
  </r>
  <r>
    <s v="ORD100010"/>
    <s v="2025-07-10"/>
    <x v="6"/>
    <s v="East"/>
    <s v="Bihar"/>
    <s v="Patna"/>
    <x v="0"/>
    <x v="8"/>
    <s v="CUST1581"/>
    <s v="SP_09"/>
    <n v="6"/>
    <n v="23245.599999999999"/>
    <n v="139473.60000000001"/>
    <n v="104433.43"/>
    <n v="35040.17"/>
    <s v="Debit Card"/>
  </r>
  <r>
    <s v="ORD100011"/>
    <s v="2025-12-07"/>
    <x v="7"/>
    <s v="West"/>
    <s v="Rajasthan"/>
    <s v="Jaipur"/>
    <x v="0"/>
    <x v="9"/>
    <s v="CUST1203"/>
    <s v="SP_03"/>
    <n v="2"/>
    <n v="7457.81"/>
    <n v="14915.62"/>
    <n v="9982.69"/>
    <n v="4932.93"/>
    <s v="UPI"/>
  </r>
  <r>
    <s v="ORD100012"/>
    <s v="2025-05-14"/>
    <x v="3"/>
    <s v="West"/>
    <s v="Gujarat"/>
    <s v="Ahmedabad"/>
    <x v="0"/>
    <x v="9"/>
    <s v="CUST1643"/>
    <s v="SP_14"/>
    <n v="6"/>
    <n v="7515.77"/>
    <n v="45094.62"/>
    <n v="29128.39"/>
    <n v="15966.23"/>
    <s v="Debit Card"/>
  </r>
  <r>
    <s v="ORD100013"/>
    <s v="2025-02-10"/>
    <x v="8"/>
    <s v="North"/>
    <s v="Delhi"/>
    <s v="Delhi"/>
    <x v="3"/>
    <x v="3"/>
    <s v="CUST1221"/>
    <s v="SP_15"/>
    <n v="5"/>
    <n v="24.18"/>
    <n v="120.9"/>
    <n v="50.89"/>
    <n v="70.010000000000005"/>
    <s v="Credit Card"/>
  </r>
  <r>
    <s v="ORD100014"/>
    <s v="2025-09-26"/>
    <x v="5"/>
    <s v="North"/>
    <s v="Uttar Pradesh"/>
    <s v="Lucknow"/>
    <x v="1"/>
    <x v="1"/>
    <s v="CUST1298"/>
    <s v="SP_06"/>
    <n v="3"/>
    <n v="2832.74"/>
    <n v="8498.2199999999993"/>
    <n v="5554.34"/>
    <n v="2943.88"/>
    <s v="Cash"/>
  </r>
  <r>
    <s v="ORD100015"/>
    <s v="2025-01-19"/>
    <x v="9"/>
    <s v="West"/>
    <s v="Gujarat"/>
    <s v="Ahmedabad"/>
    <x v="2"/>
    <x v="2"/>
    <s v="CUST1162"/>
    <s v="SP_15"/>
    <n v="8"/>
    <n v="47025.58"/>
    <n v="376204.64"/>
    <n v="276719.21999999997"/>
    <n v="99485.42"/>
    <s v="Credit Card"/>
  </r>
  <r>
    <s v="ORD100016"/>
    <s v="2025-11-13"/>
    <x v="10"/>
    <s v="West"/>
    <s v="Maharashtra"/>
    <s v="Mumbai"/>
    <x v="1"/>
    <x v="5"/>
    <s v="CUST1147"/>
    <s v="SP_04"/>
    <n v="3"/>
    <n v="8814.4599999999991"/>
    <n v="26443.38"/>
    <n v="22060.16"/>
    <n v="4383.22"/>
    <s v="UPI"/>
  </r>
  <r>
    <s v="ORD100017"/>
    <s v="2025-04-09"/>
    <x v="0"/>
    <s v="North"/>
    <s v="Uttar Pradesh"/>
    <s v="Lucknow"/>
    <x v="0"/>
    <x v="0"/>
    <s v="CUST1328"/>
    <s v="SP_03"/>
    <n v="2"/>
    <n v="3771.02"/>
    <n v="7542.04"/>
    <n v="4329.68"/>
    <n v="3212.36"/>
    <s v="Cash"/>
  </r>
  <r>
    <s v="ORD100018"/>
    <s v="2025-02-14"/>
    <x v="8"/>
    <s v="North"/>
    <s v="Delhi"/>
    <s v="Delhi"/>
    <x v="2"/>
    <x v="4"/>
    <s v="CUST1694"/>
    <s v="SP_12"/>
    <n v="6"/>
    <n v="2632.19"/>
    <n v="15793.14"/>
    <n v="9362.26"/>
    <n v="6430.88"/>
    <s v="Debit Card"/>
  </r>
  <r>
    <s v="ORD100019"/>
    <s v="2025-06-08"/>
    <x v="2"/>
    <s v="West"/>
    <s v="Rajasthan"/>
    <s v="Jaipur"/>
    <x v="0"/>
    <x v="0"/>
    <s v="CUST1590"/>
    <s v="SP_05"/>
    <n v="5"/>
    <n v="3295.69"/>
    <n v="16478.45"/>
    <n v="10560.67"/>
    <n v="5917.78"/>
    <s v="UPI"/>
  </r>
  <r>
    <s v="ORD100020"/>
    <s v="2025-04-11"/>
    <x v="0"/>
    <s v="East"/>
    <s v="West Bengal"/>
    <s v="Kolkata"/>
    <x v="0"/>
    <x v="9"/>
    <s v="CUST1589"/>
    <s v="SP_03"/>
    <n v="6"/>
    <n v="7170.21"/>
    <n v="43021.26"/>
    <n v="30238.7"/>
    <n v="12782.56"/>
    <s v="Cash"/>
  </r>
  <r>
    <s v="ORD100021"/>
    <s v="2025-08-22"/>
    <x v="11"/>
    <s v="South"/>
    <s v="Karnataka"/>
    <s v="Bengaluru"/>
    <x v="2"/>
    <x v="10"/>
    <s v="CUST1905"/>
    <s v="SP_15"/>
    <n v="7"/>
    <n v="18210.41"/>
    <n v="127472.87"/>
    <n v="94435.25"/>
    <n v="33037.620000000003"/>
    <s v="UPI"/>
  </r>
  <r>
    <s v="ORD100022"/>
    <s v="2025-03-26"/>
    <x v="4"/>
    <s v="North"/>
    <s v="Punjab"/>
    <s v="Chandigarh"/>
    <x v="1"/>
    <x v="1"/>
    <s v="CUST1656"/>
    <s v="SP_06"/>
    <n v="7"/>
    <n v="2538.4"/>
    <n v="17768.8"/>
    <n v="13658.28"/>
    <n v="4110.5200000000004"/>
    <s v="Net Banking"/>
  </r>
  <r>
    <s v="ORD100023"/>
    <s v="2025-06-29"/>
    <x v="2"/>
    <s v="West"/>
    <s v="Gujarat"/>
    <s v="Ahmedabad"/>
    <x v="3"/>
    <x v="11"/>
    <s v="CUST1261"/>
    <s v="SP_10"/>
    <n v="4"/>
    <n v="115.95"/>
    <n v="463.8"/>
    <n v="231.07"/>
    <n v="232.73"/>
    <s v="Net Banking"/>
  </r>
  <r>
    <s v="ORD100024"/>
    <s v="2025-11-18"/>
    <x v="10"/>
    <s v="East"/>
    <s v="West Bengal"/>
    <s v="Kolkata"/>
    <x v="0"/>
    <x v="8"/>
    <s v="CUST1778"/>
    <s v="SP_06"/>
    <n v="7"/>
    <n v="20404.13"/>
    <n v="142828.91"/>
    <n v="123414.78"/>
    <n v="19414.13"/>
    <s v="Cash"/>
  </r>
  <r>
    <s v="ORD100025"/>
    <s v="2025-03-13"/>
    <x v="4"/>
    <s v="North"/>
    <s v="Punjab"/>
    <s v="Chandigarh"/>
    <x v="1"/>
    <x v="6"/>
    <s v="CUST1489"/>
    <s v="SP_01"/>
    <n v="5"/>
    <n v="3011.35"/>
    <n v="15056.75"/>
    <n v="11537.88"/>
    <n v="3518.87"/>
    <s v="Credit Card"/>
  </r>
  <r>
    <s v="ORD100026"/>
    <s v="2025-02-17"/>
    <x v="8"/>
    <s v="South"/>
    <s v="Tamil Nadu"/>
    <s v="Chennai"/>
    <x v="0"/>
    <x v="8"/>
    <s v="CUST1083"/>
    <s v="SP_11"/>
    <n v="8"/>
    <n v="23703.38"/>
    <n v="189627.04"/>
    <n v="130802.21"/>
    <n v="58824.83"/>
    <s v="Cash"/>
  </r>
  <r>
    <s v="ORD100027"/>
    <s v="2025-11-09"/>
    <x v="10"/>
    <s v="East"/>
    <s v="Bihar"/>
    <s v="Patna"/>
    <x v="0"/>
    <x v="0"/>
    <s v="CUST1337"/>
    <s v="SP_07"/>
    <n v="7"/>
    <n v="3369.31"/>
    <n v="23585.17"/>
    <n v="15077.94"/>
    <n v="8507.23"/>
    <s v="Cash"/>
  </r>
  <r>
    <s v="ORD100028"/>
    <s v="2025-08-25"/>
    <x v="11"/>
    <s v="North"/>
    <s v="Punjab"/>
    <s v="Chandigarh"/>
    <x v="3"/>
    <x v="3"/>
    <s v="CUST1731"/>
    <s v="SP_15"/>
    <n v="8"/>
    <n v="25.53"/>
    <n v="204.24"/>
    <n v="76.239999999999995"/>
    <n v="128"/>
    <s v="Net Banking"/>
  </r>
  <r>
    <s v="ORD100029"/>
    <s v="2025-06-12"/>
    <x v="2"/>
    <s v="West"/>
    <s v="Maharashtra"/>
    <s v="Mumbai"/>
    <x v="1"/>
    <x v="1"/>
    <s v="CUST1834"/>
    <s v="SP_04"/>
    <n v="7"/>
    <n v="2711.66"/>
    <n v="18981.62"/>
    <n v="13682.99"/>
    <n v="5298.63"/>
    <s v="Credit Card"/>
  </r>
  <r>
    <s v="ORD100030"/>
    <s v="2025-06-07"/>
    <x v="2"/>
    <s v="South"/>
    <s v="Tamil Nadu"/>
    <s v="Chennai"/>
    <x v="2"/>
    <x v="4"/>
    <s v="CUST1893"/>
    <s v="SP_02"/>
    <n v="1"/>
    <n v="2400.65"/>
    <n v="2400.65"/>
    <n v="1652.29"/>
    <n v="748.36"/>
    <s v="Credit Card"/>
  </r>
  <r>
    <s v="ORD100031"/>
    <s v="2025-11-20"/>
    <x v="10"/>
    <s v="East"/>
    <s v="Bihar"/>
    <s v="Patna"/>
    <x v="0"/>
    <x v="0"/>
    <s v="CUST1728"/>
    <s v="SP_05"/>
    <n v="8"/>
    <n v="3499.14"/>
    <n v="27993.119999999999"/>
    <n v="17078.240000000002"/>
    <n v="10914.88"/>
    <s v="Cash"/>
  </r>
  <r>
    <s v="ORD100032"/>
    <s v="2025-05-14"/>
    <x v="3"/>
    <s v="East"/>
    <s v="Odisha"/>
    <s v="Bhubaneswar"/>
    <x v="2"/>
    <x v="10"/>
    <s v="CUST1486"/>
    <s v="SP_10"/>
    <n v="1"/>
    <n v="17839.43"/>
    <n v="17839.43"/>
    <n v="14614.99"/>
    <n v="3224.44"/>
    <s v="Debit Card"/>
  </r>
  <r>
    <s v="ORD100033"/>
    <s v="2025-05-23"/>
    <x v="3"/>
    <s v="East"/>
    <s v="West Bengal"/>
    <s v="Kolkata"/>
    <x v="0"/>
    <x v="0"/>
    <s v="CUST1372"/>
    <s v="SP_09"/>
    <n v="5"/>
    <n v="3549.36"/>
    <n v="17746.8"/>
    <n v="10680.32"/>
    <n v="7066.48"/>
    <s v="Debit Card"/>
  </r>
  <r>
    <s v="ORD100034"/>
    <s v="2025-01-10"/>
    <x v="9"/>
    <s v="South"/>
    <s v="Karnataka"/>
    <s v="Bengaluru"/>
    <x v="1"/>
    <x v="6"/>
    <s v="CUST1424"/>
    <s v="SP_01"/>
    <n v="1"/>
    <n v="3084.11"/>
    <n v="3084.11"/>
    <n v="2302.6999999999998"/>
    <n v="781.41"/>
    <s v="Cash"/>
  </r>
  <r>
    <s v="ORD100035"/>
    <s v="2025-12-26"/>
    <x v="7"/>
    <s v="South"/>
    <s v="Tamil Nadu"/>
    <s v="Chennai"/>
    <x v="0"/>
    <x v="9"/>
    <s v="CUST1903"/>
    <s v="SP_08"/>
    <n v="1"/>
    <n v="7580.34"/>
    <n v="7580.34"/>
    <n v="4784.68"/>
    <n v="2795.66"/>
    <s v="UPI"/>
  </r>
  <r>
    <s v="ORD100036"/>
    <s v="2025-11-09"/>
    <x v="10"/>
    <s v="East"/>
    <s v="Bihar"/>
    <s v="Patna"/>
    <x v="3"/>
    <x v="3"/>
    <s v="CUST1469"/>
    <s v="SP_09"/>
    <n v="7"/>
    <n v="26.51"/>
    <n v="185.57"/>
    <n v="71.47"/>
    <n v="114.1"/>
    <s v="Net Banking"/>
  </r>
  <r>
    <s v="ORD100037"/>
    <s v="2025-02-27"/>
    <x v="8"/>
    <s v="South"/>
    <s v="Karnataka"/>
    <s v="Bengaluru"/>
    <x v="1"/>
    <x v="5"/>
    <s v="CUST1142"/>
    <s v="SP_02"/>
    <n v="3"/>
    <n v="9384.5400000000009"/>
    <n v="28153.62"/>
    <n v="22094.82"/>
    <n v="6058.8"/>
    <s v="Net Banking"/>
  </r>
  <r>
    <s v="ORD100038"/>
    <s v="2025-04-01"/>
    <x v="0"/>
    <s v="East"/>
    <s v="West Bengal"/>
    <s v="Kolkata"/>
    <x v="3"/>
    <x v="7"/>
    <s v="CUST1689"/>
    <s v="SP_12"/>
    <n v="1"/>
    <n v="11145.48"/>
    <n v="11145.48"/>
    <n v="9173.66"/>
    <n v="1971.82"/>
    <s v="Credit Card"/>
  </r>
  <r>
    <s v="ORD100039"/>
    <s v="2025-10-04"/>
    <x v="1"/>
    <s v="South"/>
    <s v="Telangana"/>
    <s v="Hyderabad"/>
    <x v="3"/>
    <x v="7"/>
    <s v="CUST1718"/>
    <s v="SP_10"/>
    <n v="7"/>
    <n v="11241.8"/>
    <n v="78692.600000000006"/>
    <n v="63164.9"/>
    <n v="15527.7"/>
    <s v="UPI"/>
  </r>
  <r>
    <s v="ORD100040"/>
    <s v="2025-05-05"/>
    <x v="3"/>
    <s v="North"/>
    <s v="Delhi"/>
    <s v="Delhi"/>
    <x v="0"/>
    <x v="0"/>
    <s v="CUST1982"/>
    <s v="SP_02"/>
    <n v="5"/>
    <n v="3597.06"/>
    <n v="17985.3"/>
    <n v="10880.26"/>
    <n v="7105.04"/>
    <s v="Credit Card"/>
  </r>
  <r>
    <s v="ORD100041"/>
    <s v="2025-08-12"/>
    <x v="11"/>
    <s v="South"/>
    <s v="Tamil Nadu"/>
    <s v="Chennai"/>
    <x v="3"/>
    <x v="3"/>
    <s v="CUST1229"/>
    <s v="SP_11"/>
    <n v="3"/>
    <n v="22.58"/>
    <n v="67.739999999999995"/>
    <n v="31.16"/>
    <n v="36.58"/>
    <s v="Cash"/>
  </r>
  <r>
    <s v="ORD100042"/>
    <s v="2025-11-24"/>
    <x v="10"/>
    <s v="North"/>
    <s v="Delhi"/>
    <s v="Delhi"/>
    <x v="0"/>
    <x v="9"/>
    <s v="CUST1177"/>
    <s v="SP_04"/>
    <n v="3"/>
    <n v="6320.9"/>
    <n v="18962.7"/>
    <n v="15136.51"/>
    <n v="3826.19"/>
    <s v="Debit Card"/>
  </r>
  <r>
    <s v="ORD100043"/>
    <s v="2025-06-06"/>
    <x v="2"/>
    <s v="North"/>
    <s v="Punjab"/>
    <s v="Chandigarh"/>
    <x v="1"/>
    <x v="1"/>
    <s v="CUST1235"/>
    <s v="SP_01"/>
    <n v="3"/>
    <n v="3025.19"/>
    <n v="9075.57"/>
    <n v="5517.75"/>
    <n v="3557.82"/>
    <s v="Net Banking"/>
  </r>
  <r>
    <s v="ORD100044"/>
    <s v="2025-06-04"/>
    <x v="2"/>
    <s v="West"/>
    <s v="Gujarat"/>
    <s v="Ahmedabad"/>
    <x v="2"/>
    <x v="4"/>
    <s v="CUST1275"/>
    <s v="SP_13"/>
    <n v="4"/>
    <n v="2296.2199999999998"/>
    <n v="9184.8799999999992"/>
    <n v="6570.14"/>
    <n v="2614.7399999999998"/>
    <s v="Debit Card"/>
  </r>
  <r>
    <s v="ORD100045"/>
    <s v="2025-09-06"/>
    <x v="5"/>
    <s v="East"/>
    <s v="Odisha"/>
    <s v="Bhubaneswar"/>
    <x v="2"/>
    <x v="10"/>
    <s v="CUST1735"/>
    <s v="SP_15"/>
    <n v="2"/>
    <n v="16635.47"/>
    <n v="33270.94"/>
    <n v="29317.02"/>
    <n v="3953.92"/>
    <s v="Credit Card"/>
  </r>
  <r>
    <s v="ORD100046"/>
    <s v="2025-05-27"/>
    <x v="3"/>
    <s v="South"/>
    <s v="Tamil Nadu"/>
    <s v="Chennai"/>
    <x v="3"/>
    <x v="11"/>
    <s v="CUST1734"/>
    <s v="SP_05"/>
    <n v="3"/>
    <n v="127.06"/>
    <n v="381.18"/>
    <n v="174.99"/>
    <n v="206.19"/>
    <s v="Cash"/>
  </r>
  <r>
    <s v="ORD100047"/>
    <s v="2025-12-17"/>
    <x v="7"/>
    <s v="South"/>
    <s v="Karnataka"/>
    <s v="Bengaluru"/>
    <x v="1"/>
    <x v="6"/>
    <s v="CUST1576"/>
    <s v="SP_06"/>
    <n v="1"/>
    <n v="3123.14"/>
    <n v="3123.14"/>
    <n v="2341.19"/>
    <n v="781.95"/>
    <s v="Credit Card"/>
  </r>
  <r>
    <s v="ORD100048"/>
    <s v="2025-01-08"/>
    <x v="9"/>
    <s v="North"/>
    <s v="Uttar Pradesh"/>
    <s v="Lucknow"/>
    <x v="0"/>
    <x v="9"/>
    <s v="CUST1778"/>
    <s v="SP_10"/>
    <n v="2"/>
    <n v="6902.6"/>
    <n v="13805.2"/>
    <n v="10318.75"/>
    <n v="3486.45"/>
    <s v="Credit Card"/>
  </r>
  <r>
    <s v="ORD100049"/>
    <s v="2025-11-11"/>
    <x v="10"/>
    <s v="South"/>
    <s v="Tamil Nadu"/>
    <s v="Chennai"/>
    <x v="2"/>
    <x v="2"/>
    <s v="CUST1959"/>
    <s v="SP_10"/>
    <n v="3"/>
    <n v="45961.31"/>
    <n v="137883.93"/>
    <n v="103219.87"/>
    <n v="34664.06"/>
    <s v="Debit Card"/>
  </r>
  <r>
    <s v="ORD100050"/>
    <s v="2025-02-25"/>
    <x v="8"/>
    <s v="South"/>
    <s v="Karnataka"/>
    <s v="Bengaluru"/>
    <x v="3"/>
    <x v="11"/>
    <s v="CUST1865"/>
    <s v="SP_04"/>
    <n v="1"/>
    <n v="124.01"/>
    <n v="124.01"/>
    <n v="57.09"/>
    <n v="66.92"/>
    <s v="Cash"/>
  </r>
  <r>
    <s v="ORD100051"/>
    <s v="2025-04-07"/>
    <x v="0"/>
    <s v="North"/>
    <s v="Uttar Pradesh"/>
    <s v="Lucknow"/>
    <x v="0"/>
    <x v="0"/>
    <s v="CUST1434"/>
    <s v="SP_05"/>
    <n v="4"/>
    <n v="3787.94"/>
    <n v="15151.76"/>
    <n v="8974.19"/>
    <n v="6177.57"/>
    <s v="Debit Card"/>
  </r>
  <r>
    <s v="ORD100052"/>
    <s v="2025-09-07"/>
    <x v="5"/>
    <s v="East"/>
    <s v="West Bengal"/>
    <s v="Kolkata"/>
    <x v="2"/>
    <x v="10"/>
    <s v="CUST1414"/>
    <s v="SP_09"/>
    <n v="2"/>
    <n v="16454.189999999999"/>
    <n v="32908.379999999997"/>
    <n v="28156.76"/>
    <n v="4751.62"/>
    <s v="Net Banking"/>
  </r>
  <r>
    <s v="ORD100053"/>
    <s v="2025-08-13"/>
    <x v="11"/>
    <s v="West"/>
    <s v="Gujarat"/>
    <s v="Ahmedabad"/>
    <x v="1"/>
    <x v="6"/>
    <s v="CUST1768"/>
    <s v="SP_05"/>
    <n v="4"/>
    <n v="3224.59"/>
    <n v="12898.36"/>
    <n v="9251.36"/>
    <n v="3647"/>
    <s v="Cash"/>
  </r>
  <r>
    <s v="ORD100054"/>
    <s v="2025-10-08"/>
    <x v="1"/>
    <s v="South"/>
    <s v="Tamil Nadu"/>
    <s v="Chennai"/>
    <x v="3"/>
    <x v="7"/>
    <s v="CUST1122"/>
    <s v="SP_03"/>
    <n v="5"/>
    <n v="12019.5"/>
    <n v="60097.5"/>
    <n v="46466.13"/>
    <n v="13631.37"/>
    <s v="UPI"/>
  </r>
  <r>
    <s v="ORD100055"/>
    <s v="2025-07-17"/>
    <x v="6"/>
    <s v="North"/>
    <s v="Delhi"/>
    <s v="Delhi"/>
    <x v="3"/>
    <x v="11"/>
    <s v="CUST1219"/>
    <s v="SP_04"/>
    <n v="5"/>
    <n v="127.73"/>
    <n v="638.65"/>
    <n v="306.14999999999998"/>
    <n v="332.5"/>
    <s v="Net Banking"/>
  </r>
  <r>
    <s v="ORD100056"/>
    <s v="2025-06-28"/>
    <x v="2"/>
    <s v="North"/>
    <s v="Delhi"/>
    <s v="Delhi"/>
    <x v="2"/>
    <x v="4"/>
    <s v="CUST1936"/>
    <s v="SP_01"/>
    <n v="2"/>
    <n v="2442.14"/>
    <n v="4884.28"/>
    <n v="3290.17"/>
    <n v="1594.11"/>
    <s v="Debit Card"/>
  </r>
  <r>
    <s v="ORD100057"/>
    <s v="2025-07-06"/>
    <x v="6"/>
    <s v="West"/>
    <s v="Gujarat"/>
    <s v="Ahmedabad"/>
    <x v="0"/>
    <x v="0"/>
    <s v="CUST1306"/>
    <s v="SP_01"/>
    <n v="5"/>
    <n v="3575.48"/>
    <n v="17877.400000000001"/>
    <n v="11121.49"/>
    <n v="6755.91"/>
    <s v="Net Banking"/>
  </r>
  <r>
    <s v="ORD100058"/>
    <s v="2025-09-20"/>
    <x v="5"/>
    <s v="East"/>
    <s v="West Bengal"/>
    <s v="Kolkata"/>
    <x v="1"/>
    <x v="5"/>
    <s v="CUST1070"/>
    <s v="SP_10"/>
    <n v="6"/>
    <n v="9416.6299999999992"/>
    <n v="56499.78"/>
    <n v="45698.77"/>
    <n v="10801.01"/>
    <s v="Net Banking"/>
  </r>
  <r>
    <s v="ORD100059"/>
    <s v="2025-06-21"/>
    <x v="2"/>
    <s v="North"/>
    <s v="Delhi"/>
    <s v="Delhi"/>
    <x v="2"/>
    <x v="10"/>
    <s v="CUST1064"/>
    <s v="SP_06"/>
    <n v="6"/>
    <n v="16276.53"/>
    <n v="97659.18"/>
    <n v="81743"/>
    <n v="15916.18"/>
    <s v="Debit Card"/>
  </r>
  <r>
    <s v="ORD100060"/>
    <s v="2025-04-07"/>
    <x v="0"/>
    <s v="West"/>
    <s v="Maharashtra"/>
    <s v="Mumbai"/>
    <x v="3"/>
    <x v="7"/>
    <s v="CUST1392"/>
    <s v="SP_13"/>
    <n v="6"/>
    <n v="11652.14"/>
    <n v="69912.84"/>
    <n v="55643.55"/>
    <n v="14269.29"/>
    <s v="Debit Card"/>
  </r>
  <r>
    <s v="ORD100061"/>
    <s v="2025-06-25"/>
    <x v="2"/>
    <s v="South"/>
    <s v="Tamil Nadu"/>
    <s v="Chennai"/>
    <x v="1"/>
    <x v="6"/>
    <s v="CUST1799"/>
    <s v="SP_01"/>
    <n v="4"/>
    <n v="3076.71"/>
    <n v="12306.84"/>
    <n v="9149.26"/>
    <n v="3157.58"/>
    <s v="Credit Card"/>
  </r>
  <r>
    <s v="ORD100062"/>
    <s v="2025-04-17"/>
    <x v="0"/>
    <s v="South"/>
    <s v="Tamil Nadu"/>
    <s v="Chennai"/>
    <x v="2"/>
    <x v="2"/>
    <s v="CUST1623"/>
    <s v="SP_12"/>
    <n v="8"/>
    <n v="40925.94"/>
    <n v="327407.52"/>
    <n v="268466.68"/>
    <n v="58940.84"/>
    <s v="UPI"/>
  </r>
  <r>
    <s v="ORD100063"/>
    <s v="2025-07-21"/>
    <x v="6"/>
    <s v="North"/>
    <s v="Delhi"/>
    <s v="Delhi"/>
    <x v="2"/>
    <x v="10"/>
    <s v="CUST1220"/>
    <s v="SP_10"/>
    <n v="1"/>
    <n v="16333.36"/>
    <n v="16333.36"/>
    <n v="13417.37"/>
    <n v="2915.99"/>
    <s v="Net Banking"/>
  </r>
  <r>
    <s v="ORD100064"/>
    <s v="2025-03-14"/>
    <x v="4"/>
    <s v="East"/>
    <s v="Bihar"/>
    <s v="Patna"/>
    <x v="1"/>
    <x v="5"/>
    <s v="CUST1727"/>
    <s v="SP_11"/>
    <n v="2"/>
    <n v="10004.299999999999"/>
    <n v="20008.599999999999"/>
    <n v="14501.85"/>
    <n v="5506.75"/>
    <s v="Net Banking"/>
  </r>
  <r>
    <s v="ORD100065"/>
    <s v="2025-01-20"/>
    <x v="9"/>
    <s v="East"/>
    <s v="West Bengal"/>
    <s v="Kolkata"/>
    <x v="1"/>
    <x v="5"/>
    <s v="CUST1984"/>
    <s v="SP_05"/>
    <n v="5"/>
    <n v="9023.34"/>
    <n v="45116.7"/>
    <n v="37399.43"/>
    <n v="7717.27"/>
    <s v="Debit Card"/>
  </r>
  <r>
    <s v="ORD100066"/>
    <s v="2025-06-22"/>
    <x v="2"/>
    <s v="East"/>
    <s v="Bihar"/>
    <s v="Patna"/>
    <x v="1"/>
    <x v="1"/>
    <s v="CUST1509"/>
    <s v="SP_04"/>
    <n v="8"/>
    <n v="3026.12"/>
    <n v="24208.959999999999"/>
    <n v="15544.56"/>
    <n v="8664.4"/>
    <s v="UPI"/>
  </r>
  <r>
    <s v="ORD100067"/>
    <s v="2025-01-11"/>
    <x v="9"/>
    <s v="East"/>
    <s v="Bihar"/>
    <s v="Patna"/>
    <x v="3"/>
    <x v="7"/>
    <s v="CUST1574"/>
    <s v="SP_12"/>
    <n v="2"/>
    <n v="11451.68"/>
    <n v="22903.360000000001"/>
    <n v="17550.580000000002"/>
    <n v="5352.78"/>
    <s v="UPI"/>
  </r>
  <r>
    <s v="ORD100068"/>
    <s v="2025-04-19"/>
    <x v="0"/>
    <s v="South"/>
    <s v="Tamil Nadu"/>
    <s v="Chennai"/>
    <x v="2"/>
    <x v="2"/>
    <s v="CUST1894"/>
    <s v="SP_03"/>
    <n v="7"/>
    <n v="47511.75"/>
    <n v="332582.25"/>
    <n v="233124.83"/>
    <n v="99457.42"/>
    <s v="Debit Card"/>
  </r>
  <r>
    <s v="ORD100069"/>
    <s v="2025-11-25"/>
    <x v="10"/>
    <s v="North"/>
    <s v="Uttar Pradesh"/>
    <s v="Lucknow"/>
    <x v="2"/>
    <x v="4"/>
    <s v="CUST1935"/>
    <s v="SP_13"/>
    <n v="7"/>
    <n v="2466.81"/>
    <n v="17267.669999999998"/>
    <n v="11117.41"/>
    <n v="6150.26"/>
    <s v="Cash"/>
  </r>
  <r>
    <s v="ORD100070"/>
    <s v="2025-05-01"/>
    <x v="3"/>
    <s v="North"/>
    <s v="Delhi"/>
    <s v="Delhi"/>
    <x v="0"/>
    <x v="0"/>
    <s v="CUST1394"/>
    <s v="SP_01"/>
    <n v="5"/>
    <n v="3467.41"/>
    <n v="17337.05"/>
    <n v="11405.38"/>
    <n v="5931.67"/>
    <s v="Debit Card"/>
  </r>
  <r>
    <s v="ORD100071"/>
    <s v="2025-02-05"/>
    <x v="8"/>
    <s v="North"/>
    <s v="Punjab"/>
    <s v="Chandigarh"/>
    <x v="0"/>
    <x v="8"/>
    <s v="CUST1578"/>
    <s v="SP_02"/>
    <n v="8"/>
    <n v="19992.25"/>
    <n v="159938"/>
    <n v="141464.39000000001"/>
    <n v="18473.61"/>
    <s v="Net Banking"/>
  </r>
  <r>
    <s v="ORD100072"/>
    <s v="2025-11-24"/>
    <x v="10"/>
    <s v="North"/>
    <s v="Delhi"/>
    <s v="Delhi"/>
    <x v="0"/>
    <x v="9"/>
    <s v="CUST1378"/>
    <s v="SP_01"/>
    <n v="3"/>
    <n v="7433.19"/>
    <n v="22299.57"/>
    <n v="15296.72"/>
    <n v="7002.85"/>
    <s v="Cash"/>
  </r>
  <r>
    <s v="ORD100073"/>
    <s v="2025-12-06"/>
    <x v="7"/>
    <s v="South"/>
    <s v="Karnataka"/>
    <s v="Bengaluru"/>
    <x v="0"/>
    <x v="9"/>
    <s v="CUST1711"/>
    <s v="SP_08"/>
    <n v="1"/>
    <n v="6336.11"/>
    <n v="6336.11"/>
    <n v="5093.26"/>
    <n v="1242.8499999999999"/>
    <s v="Credit Card"/>
  </r>
  <r>
    <s v="ORD100074"/>
    <s v="2025-02-07"/>
    <x v="8"/>
    <s v="South"/>
    <s v="Tamil Nadu"/>
    <s v="Chennai"/>
    <x v="1"/>
    <x v="1"/>
    <s v="CUST1180"/>
    <s v="SP_13"/>
    <n v="8"/>
    <n v="2533.8000000000002"/>
    <n v="20270.400000000001"/>
    <n v="15075.62"/>
    <n v="5194.78"/>
    <s v="Cash"/>
  </r>
  <r>
    <s v="ORD100075"/>
    <s v="2025-04-29"/>
    <x v="0"/>
    <s v="South"/>
    <s v="Telangana"/>
    <s v="Hyderabad"/>
    <x v="3"/>
    <x v="11"/>
    <s v="CUST1372"/>
    <s v="SP_09"/>
    <n v="4"/>
    <n v="114.26"/>
    <n v="457.04"/>
    <n v="230.32"/>
    <n v="226.72"/>
    <s v="Debit Card"/>
  </r>
  <r>
    <s v="ORD100076"/>
    <s v="2025-02-09"/>
    <x v="8"/>
    <s v="East"/>
    <s v="Odisha"/>
    <s v="Bhubaneswar"/>
    <x v="1"/>
    <x v="6"/>
    <s v="CUST1589"/>
    <s v="SP_03"/>
    <n v="7"/>
    <n v="3124.93"/>
    <n v="21874.51"/>
    <n v="17135.86"/>
    <n v="4738.6499999999996"/>
    <s v="Credit Card"/>
  </r>
  <r>
    <s v="ORD100077"/>
    <s v="2025-02-25"/>
    <x v="8"/>
    <s v="North"/>
    <s v="Uttar Pradesh"/>
    <s v="Lucknow"/>
    <x v="2"/>
    <x v="4"/>
    <s v="CUST1680"/>
    <s v="SP_05"/>
    <n v="6"/>
    <n v="2292"/>
    <n v="13752"/>
    <n v="9178.61"/>
    <n v="4573.3900000000003"/>
    <s v="Debit Card"/>
  </r>
  <r>
    <s v="ORD100078"/>
    <s v="2025-06-30"/>
    <x v="2"/>
    <s v="North"/>
    <s v="Uttar Pradesh"/>
    <s v="Lucknow"/>
    <x v="0"/>
    <x v="0"/>
    <s v="CUST1031"/>
    <s v="SP_15"/>
    <n v="8"/>
    <n v="3193.97"/>
    <n v="25551.759999999998"/>
    <n v="16808.84"/>
    <n v="8742.92"/>
    <s v="Debit Card"/>
  </r>
  <r>
    <s v="ORD100079"/>
    <s v="2025-03-26"/>
    <x v="4"/>
    <s v="North"/>
    <s v="Delhi"/>
    <s v="Delhi"/>
    <x v="1"/>
    <x v="6"/>
    <s v="CUST1315"/>
    <s v="SP_05"/>
    <n v="8"/>
    <n v="3519.32"/>
    <n v="28154.560000000001"/>
    <n v="19108.28"/>
    <n v="9046.2800000000007"/>
    <s v="Debit Card"/>
  </r>
  <r>
    <s v="ORD100080"/>
    <s v="2025-11-30"/>
    <x v="10"/>
    <s v="North"/>
    <s v="Uttar Pradesh"/>
    <s v="Lucknow"/>
    <x v="1"/>
    <x v="5"/>
    <s v="CUST1448"/>
    <s v="SP_08"/>
    <n v="8"/>
    <n v="9216.7000000000007"/>
    <n v="73733.600000000006"/>
    <n v="61408.15"/>
    <n v="12325.45"/>
    <s v="Debit Card"/>
  </r>
  <r>
    <s v="ORD100081"/>
    <s v="2025-06-17"/>
    <x v="2"/>
    <s v="West"/>
    <s v="Rajasthan"/>
    <s v="Jaipur"/>
    <x v="2"/>
    <x v="10"/>
    <s v="CUST1975"/>
    <s v="SP_15"/>
    <n v="3"/>
    <n v="16561.52"/>
    <n v="49684.56"/>
    <n v="43814.95"/>
    <n v="5869.61"/>
    <s v="Cash"/>
  </r>
  <r>
    <s v="ORD100082"/>
    <s v="2025-08-18"/>
    <x v="11"/>
    <s v="West"/>
    <s v="Rajasthan"/>
    <s v="Jaipur"/>
    <x v="2"/>
    <x v="4"/>
    <s v="CUST1914"/>
    <s v="SP_04"/>
    <n v="3"/>
    <n v="2362.4899999999998"/>
    <n v="7087.47"/>
    <n v="4685.24"/>
    <n v="2402.23"/>
    <s v="UPI"/>
  </r>
  <r>
    <s v="ORD100083"/>
    <s v="2025-10-27"/>
    <x v="1"/>
    <s v="East"/>
    <s v="Bihar"/>
    <s v="Patna"/>
    <x v="0"/>
    <x v="8"/>
    <s v="CUST1333"/>
    <s v="SP_04"/>
    <n v="1"/>
    <n v="21236.67"/>
    <n v="21236.67"/>
    <n v="17167.7"/>
    <n v="4068.97"/>
    <s v="Debit Card"/>
  </r>
  <r>
    <s v="ORD100084"/>
    <s v="2025-05-31"/>
    <x v="3"/>
    <s v="West"/>
    <s v="Maharashtra"/>
    <s v="Mumbai"/>
    <x v="2"/>
    <x v="10"/>
    <s v="CUST1359"/>
    <s v="SP_05"/>
    <n v="6"/>
    <n v="19015.79"/>
    <n v="114094.74"/>
    <n v="85008.45"/>
    <n v="29086.29"/>
    <s v="Cash"/>
  </r>
  <r>
    <s v="ORD100085"/>
    <s v="2025-04-12"/>
    <x v="0"/>
    <s v="South"/>
    <s v="Karnataka"/>
    <s v="Bengaluru"/>
    <x v="2"/>
    <x v="10"/>
    <s v="CUST1843"/>
    <s v="SP_02"/>
    <n v="2"/>
    <n v="17987.48"/>
    <n v="35974.959999999999"/>
    <n v="28261.48"/>
    <n v="7713.48"/>
    <s v="Debit Card"/>
  </r>
  <r>
    <s v="ORD100086"/>
    <s v="2025-11-19"/>
    <x v="10"/>
    <s v="South"/>
    <s v="Telangana"/>
    <s v="Hyderabad"/>
    <x v="1"/>
    <x v="1"/>
    <s v="CUST1900"/>
    <s v="SP_14"/>
    <n v="6"/>
    <n v="2702.51"/>
    <n v="16215.06"/>
    <n v="11861.92"/>
    <n v="4353.1400000000003"/>
    <s v="UPI"/>
  </r>
  <r>
    <s v="ORD100087"/>
    <s v="2025-10-14"/>
    <x v="1"/>
    <s v="North"/>
    <s v="Punjab"/>
    <s v="Chandigarh"/>
    <x v="2"/>
    <x v="10"/>
    <s v="CUST1882"/>
    <s v="SP_09"/>
    <n v="1"/>
    <n v="17954.68"/>
    <n v="17954.68"/>
    <n v="14518.58"/>
    <n v="3436.1"/>
    <s v="Cash"/>
  </r>
  <r>
    <s v="ORD100088"/>
    <s v="2025-10-15"/>
    <x v="1"/>
    <s v="South"/>
    <s v="Telangana"/>
    <s v="Hyderabad"/>
    <x v="2"/>
    <x v="4"/>
    <s v="CUST1243"/>
    <s v="SP_08"/>
    <n v="1"/>
    <n v="2397.77"/>
    <n v="2397.77"/>
    <n v="1582.77"/>
    <n v="815"/>
    <s v="Net Banking"/>
  </r>
  <r>
    <s v="ORD100089"/>
    <s v="2025-05-14"/>
    <x v="3"/>
    <s v="North"/>
    <s v="Uttar Pradesh"/>
    <s v="Lucknow"/>
    <x v="0"/>
    <x v="9"/>
    <s v="CUST1988"/>
    <s v="SP_07"/>
    <n v="3"/>
    <n v="7607.96"/>
    <n v="22823.88"/>
    <n v="14616.22"/>
    <n v="8207.66"/>
    <s v="Net Banking"/>
  </r>
  <r>
    <s v="ORD100090"/>
    <s v="2025-05-22"/>
    <x v="3"/>
    <s v="East"/>
    <s v="West Bengal"/>
    <s v="Kolkata"/>
    <x v="2"/>
    <x v="10"/>
    <s v="CUST1255"/>
    <s v="SP_14"/>
    <n v="1"/>
    <n v="16471.73"/>
    <n v="16471.73"/>
    <n v="13660.61"/>
    <n v="2811.12"/>
    <s v="Credit Card"/>
  </r>
  <r>
    <s v="ORD100091"/>
    <s v="2025-03-24"/>
    <x v="4"/>
    <s v="South"/>
    <s v="Tamil Nadu"/>
    <s v="Chennai"/>
    <x v="2"/>
    <x v="2"/>
    <s v="CUST1590"/>
    <s v="SP_07"/>
    <n v="6"/>
    <n v="46248.07"/>
    <n v="277488.42"/>
    <n v="209246.92"/>
    <n v="68241.5"/>
    <s v="Debit Card"/>
  </r>
  <r>
    <s v="ORD100092"/>
    <s v="2025-09-19"/>
    <x v="5"/>
    <s v="West"/>
    <s v="Rajasthan"/>
    <s v="Jaipur"/>
    <x v="3"/>
    <x v="7"/>
    <s v="CUST1333"/>
    <s v="SP_15"/>
    <n v="5"/>
    <n v="11599.13"/>
    <n v="57995.65"/>
    <n v="44627"/>
    <n v="13368.65"/>
    <s v="Credit Card"/>
  </r>
  <r>
    <s v="ORD100093"/>
    <s v="2025-01-05"/>
    <x v="9"/>
    <s v="South"/>
    <s v="Telangana"/>
    <s v="Hyderabad"/>
    <x v="3"/>
    <x v="11"/>
    <s v="CUST1713"/>
    <s v="SP_11"/>
    <n v="6"/>
    <n v="112.52"/>
    <n v="675.12"/>
    <n v="370.1"/>
    <n v="305.02"/>
    <s v="Cash"/>
  </r>
  <r>
    <s v="ORD100094"/>
    <s v="2025-06-30"/>
    <x v="2"/>
    <s v="South"/>
    <s v="Telangana"/>
    <s v="Hyderabad"/>
    <x v="3"/>
    <x v="7"/>
    <s v="CUST1780"/>
    <s v="SP_09"/>
    <n v="5"/>
    <n v="12499.24"/>
    <n v="62496.2"/>
    <n v="43983.66"/>
    <n v="18512.54"/>
    <s v="Net Banking"/>
  </r>
  <r>
    <s v="ORD100095"/>
    <s v="2025-05-23"/>
    <x v="3"/>
    <s v="North"/>
    <s v="Uttar Pradesh"/>
    <s v="Lucknow"/>
    <x v="1"/>
    <x v="1"/>
    <s v="CUST1257"/>
    <s v="SP_09"/>
    <n v="7"/>
    <n v="2904.99"/>
    <n v="20334.93"/>
    <n v="13361.68"/>
    <n v="6973.25"/>
    <s v="Net Banking"/>
  </r>
  <r>
    <s v="ORD100096"/>
    <s v="2025-09-09"/>
    <x v="5"/>
    <s v="South"/>
    <s v="Tamil Nadu"/>
    <s v="Chennai"/>
    <x v="1"/>
    <x v="1"/>
    <s v="CUST1256"/>
    <s v="SP_13"/>
    <n v="5"/>
    <n v="2916.73"/>
    <n v="14583.65"/>
    <n v="9164.85"/>
    <n v="5418.8"/>
    <s v="Credit Card"/>
  </r>
  <r>
    <s v="ORD100097"/>
    <s v="2025-08-23"/>
    <x v="11"/>
    <s v="North"/>
    <s v="Delhi"/>
    <s v="Delhi"/>
    <x v="3"/>
    <x v="7"/>
    <s v="CUST1187"/>
    <s v="SP_09"/>
    <n v="8"/>
    <n v="11055.53"/>
    <n v="88444.24"/>
    <n v="68577.23"/>
    <n v="19867.009999999998"/>
    <s v="Debit Card"/>
  </r>
  <r>
    <s v="ORD100098"/>
    <s v="2025-08-10"/>
    <x v="11"/>
    <s v="East"/>
    <s v="West Bengal"/>
    <s v="Kolkata"/>
    <x v="1"/>
    <x v="1"/>
    <s v="CUST1985"/>
    <s v="SP_10"/>
    <n v="6"/>
    <n v="2557.38"/>
    <n v="15344.28"/>
    <n v="11103.82"/>
    <n v="4240.46"/>
    <s v="UPI"/>
  </r>
  <r>
    <s v="ORD100099"/>
    <s v="2025-10-06"/>
    <x v="1"/>
    <s v="West"/>
    <s v="Maharashtra"/>
    <s v="Mumbai"/>
    <x v="0"/>
    <x v="8"/>
    <s v="CUST1526"/>
    <s v="SP_02"/>
    <n v="7"/>
    <n v="20660.75"/>
    <n v="144625.25"/>
    <n v="116235.34"/>
    <n v="28389.91"/>
    <s v="UPI"/>
  </r>
  <r>
    <s v="ORD100100"/>
    <s v="2025-08-28"/>
    <x v="11"/>
    <s v="West"/>
    <s v="Gujarat"/>
    <s v="Ahmedabad"/>
    <x v="2"/>
    <x v="2"/>
    <s v="CUST1322"/>
    <s v="SP_07"/>
    <n v="5"/>
    <n v="45043.6"/>
    <n v="225218"/>
    <n v="180936.73"/>
    <n v="44281.27"/>
    <s v="Cash"/>
  </r>
  <r>
    <s v="ORD100101"/>
    <s v="2025-08-01"/>
    <x v="11"/>
    <s v="South"/>
    <s v="Telangana"/>
    <s v="Hyderabad"/>
    <x v="2"/>
    <x v="2"/>
    <s v="CUST1683"/>
    <s v="SP_12"/>
    <n v="8"/>
    <n v="48327.37"/>
    <n v="386618.96"/>
    <n v="269518.40000000002"/>
    <n v="117100.56"/>
    <s v="Cash"/>
  </r>
  <r>
    <s v="ORD100102"/>
    <s v="2025-06-26"/>
    <x v="2"/>
    <s v="North"/>
    <s v="Punjab"/>
    <s v="Chandigarh"/>
    <x v="1"/>
    <x v="1"/>
    <s v="CUST1451"/>
    <s v="SP_01"/>
    <n v="5"/>
    <n v="2642.23"/>
    <n v="13211.15"/>
    <n v="9860.58"/>
    <n v="3350.57"/>
    <s v="Debit Card"/>
  </r>
  <r>
    <s v="ORD100103"/>
    <s v="2025-02-14"/>
    <x v="8"/>
    <s v="West"/>
    <s v="Maharashtra"/>
    <s v="Mumbai"/>
    <x v="2"/>
    <x v="4"/>
    <s v="CUST1135"/>
    <s v="SP_03"/>
    <n v="5"/>
    <n v="2471.35"/>
    <n v="12356.75"/>
    <n v="8077.8"/>
    <n v="4278.95"/>
    <s v="Net Banking"/>
  </r>
  <r>
    <s v="ORD100104"/>
    <s v="2025-04-22"/>
    <x v="0"/>
    <s v="West"/>
    <s v="Gujarat"/>
    <s v="Ahmedabad"/>
    <x v="0"/>
    <x v="8"/>
    <s v="CUST1471"/>
    <s v="SP_05"/>
    <n v="5"/>
    <n v="21577.74"/>
    <n v="107888.7"/>
    <n v="87799.76"/>
    <n v="20088.939999999999"/>
    <s v="Cash"/>
  </r>
  <r>
    <s v="ORD100105"/>
    <s v="2025-03-08"/>
    <x v="4"/>
    <s v="East"/>
    <s v="West Bengal"/>
    <s v="Kolkata"/>
    <x v="0"/>
    <x v="8"/>
    <s v="CUST1157"/>
    <s v="SP_12"/>
    <n v="5"/>
    <n v="22825.16"/>
    <n v="114125.8"/>
    <n v="86120.19"/>
    <n v="28005.61"/>
    <s v="UPI"/>
  </r>
  <r>
    <s v="ORD100106"/>
    <s v="2025-07-18"/>
    <x v="6"/>
    <s v="South"/>
    <s v="Telangana"/>
    <s v="Hyderabad"/>
    <x v="0"/>
    <x v="8"/>
    <s v="CUST1178"/>
    <s v="SP_05"/>
    <n v="5"/>
    <n v="22897.01"/>
    <n v="114485.05"/>
    <n v="82900.69"/>
    <n v="31584.36"/>
    <s v="Debit Card"/>
  </r>
  <r>
    <s v="ORD100107"/>
    <s v="2025-01-20"/>
    <x v="9"/>
    <s v="North"/>
    <s v="Uttar Pradesh"/>
    <s v="Lucknow"/>
    <x v="2"/>
    <x v="10"/>
    <s v="CUST1925"/>
    <s v="SP_05"/>
    <n v="8"/>
    <n v="18761.810000000001"/>
    <n v="150094.48000000001"/>
    <n v="110019.33"/>
    <n v="40075.15"/>
    <s v="UPI"/>
  </r>
  <r>
    <s v="ORD100108"/>
    <s v="2025-02-22"/>
    <x v="8"/>
    <s v="South"/>
    <s v="Tamil Nadu"/>
    <s v="Chennai"/>
    <x v="3"/>
    <x v="3"/>
    <s v="CUST1396"/>
    <s v="SP_15"/>
    <n v="1"/>
    <n v="24.01"/>
    <n v="24.01"/>
    <n v="9.6"/>
    <n v="14.41"/>
    <s v="Cash"/>
  </r>
  <r>
    <s v="ORD100109"/>
    <s v="2025-10-09"/>
    <x v="1"/>
    <s v="South"/>
    <s v="Telangana"/>
    <s v="Hyderabad"/>
    <x v="3"/>
    <x v="3"/>
    <s v="CUST1439"/>
    <s v="SP_02"/>
    <n v="3"/>
    <n v="23.22"/>
    <n v="69.66"/>
    <n v="30.93"/>
    <n v="38.729999999999997"/>
    <s v="Cash"/>
  </r>
  <r>
    <s v="ORD100110"/>
    <s v="2025-03-07"/>
    <x v="4"/>
    <s v="East"/>
    <s v="West Bengal"/>
    <s v="Kolkata"/>
    <x v="2"/>
    <x v="10"/>
    <s v="CUST1885"/>
    <s v="SP_05"/>
    <n v="7"/>
    <n v="19086.62"/>
    <n v="133606.34"/>
    <n v="94838.02"/>
    <n v="38768.32"/>
    <s v="Net Banking"/>
  </r>
  <r>
    <s v="ORD100111"/>
    <s v="2025-02-14"/>
    <x v="8"/>
    <s v="North"/>
    <s v="Uttar Pradesh"/>
    <s v="Lucknow"/>
    <x v="0"/>
    <x v="0"/>
    <s v="CUST1789"/>
    <s v="SP_06"/>
    <n v="1"/>
    <n v="3440.52"/>
    <n v="3440.52"/>
    <n v="2267.77"/>
    <n v="1172.75"/>
    <s v="Cash"/>
  </r>
  <r>
    <s v="ORD100112"/>
    <s v="2025-01-19"/>
    <x v="9"/>
    <s v="East"/>
    <s v="Odisha"/>
    <s v="Bhubaneswar"/>
    <x v="3"/>
    <x v="3"/>
    <s v="CUST1228"/>
    <s v="SP_04"/>
    <n v="1"/>
    <n v="25.22"/>
    <n v="25.22"/>
    <n v="9.86"/>
    <n v="15.36"/>
    <s v="Debit Card"/>
  </r>
  <r>
    <s v="ORD100113"/>
    <s v="2025-10-06"/>
    <x v="1"/>
    <s v="North"/>
    <s v="Uttar Pradesh"/>
    <s v="Lucknow"/>
    <x v="2"/>
    <x v="2"/>
    <s v="CUST1657"/>
    <s v="SP_01"/>
    <n v="5"/>
    <n v="40543.15"/>
    <n v="202715.75"/>
    <n v="181292.15"/>
    <n v="21423.599999999999"/>
    <s v="Cash"/>
  </r>
  <r>
    <s v="ORD100114"/>
    <s v="2025-05-08"/>
    <x v="3"/>
    <s v="West"/>
    <s v="Gujarat"/>
    <s v="Ahmedabad"/>
    <x v="1"/>
    <x v="6"/>
    <s v="CUST1062"/>
    <s v="SP_12"/>
    <n v="1"/>
    <n v="2951.71"/>
    <n v="2951.71"/>
    <n v="2502.52"/>
    <n v="449.19"/>
    <s v="Net Banking"/>
  </r>
  <r>
    <s v="ORD100115"/>
    <s v="2025-05-19"/>
    <x v="3"/>
    <s v="North"/>
    <s v="Delhi"/>
    <s v="Delhi"/>
    <x v="0"/>
    <x v="0"/>
    <s v="CUST1866"/>
    <s v="SP_05"/>
    <n v="6"/>
    <n v="3312.35"/>
    <n v="19874.099999999999"/>
    <n v="12828.19"/>
    <n v="7045.91"/>
    <s v="Credit Card"/>
  </r>
  <r>
    <s v="ORD100116"/>
    <s v="2025-05-06"/>
    <x v="3"/>
    <s v="North"/>
    <s v="Punjab"/>
    <s v="Chandigarh"/>
    <x v="2"/>
    <x v="2"/>
    <s v="CUST1932"/>
    <s v="SP_03"/>
    <n v="1"/>
    <n v="40585.83"/>
    <n v="40585.83"/>
    <n v="34668.769999999997"/>
    <n v="5917.06"/>
    <s v="Cash"/>
  </r>
  <r>
    <s v="ORD100117"/>
    <s v="2025-04-28"/>
    <x v="0"/>
    <s v="South"/>
    <s v="Tamil Nadu"/>
    <s v="Chennai"/>
    <x v="3"/>
    <x v="7"/>
    <s v="CUST1936"/>
    <s v="SP_11"/>
    <n v="4"/>
    <n v="12976.03"/>
    <n v="51904.12"/>
    <n v="37363.160000000003"/>
    <n v="14540.96"/>
    <s v="Cash"/>
  </r>
  <r>
    <s v="ORD100118"/>
    <s v="2025-06-05"/>
    <x v="2"/>
    <s v="East"/>
    <s v="Odisha"/>
    <s v="Bhubaneswar"/>
    <x v="0"/>
    <x v="8"/>
    <s v="CUST1647"/>
    <s v="SP_02"/>
    <n v="5"/>
    <n v="22509.79"/>
    <n v="112548.95"/>
    <n v="85010.67"/>
    <n v="27538.28"/>
    <s v="Net Banking"/>
  </r>
  <r>
    <s v="ORD100119"/>
    <s v="2025-12-27"/>
    <x v="7"/>
    <s v="North"/>
    <s v="Uttar Pradesh"/>
    <s v="Lucknow"/>
    <x v="1"/>
    <x v="1"/>
    <s v="CUST1229"/>
    <s v="SP_11"/>
    <n v="5"/>
    <n v="2575.0700000000002"/>
    <n v="12875.35"/>
    <n v="9388.16"/>
    <n v="3487.19"/>
    <s v="Debit Card"/>
  </r>
  <r>
    <s v="ORD100120"/>
    <s v="2025-10-08"/>
    <x v="1"/>
    <s v="West"/>
    <s v="Maharashtra"/>
    <s v="Mumbai"/>
    <x v="0"/>
    <x v="0"/>
    <s v="CUST1652"/>
    <s v="SP_02"/>
    <n v="5"/>
    <n v="3377"/>
    <n v="16885"/>
    <n v="10653.16"/>
    <n v="6231.84"/>
    <s v="Debit Card"/>
  </r>
  <r>
    <s v="ORD100121"/>
    <s v="2025-09-27"/>
    <x v="5"/>
    <s v="South"/>
    <s v="Karnataka"/>
    <s v="Bengaluru"/>
    <x v="2"/>
    <x v="10"/>
    <s v="CUST1963"/>
    <s v="SP_09"/>
    <n v="8"/>
    <n v="17327.41"/>
    <n v="138619.28"/>
    <n v="108804.72"/>
    <n v="29814.560000000001"/>
    <s v="UPI"/>
  </r>
  <r>
    <s v="ORD100122"/>
    <s v="2025-06-08"/>
    <x v="2"/>
    <s v="West"/>
    <s v="Maharashtra"/>
    <s v="Mumbai"/>
    <x v="0"/>
    <x v="0"/>
    <s v="CUST1700"/>
    <s v="SP_01"/>
    <n v="6"/>
    <n v="3457.8"/>
    <n v="20746.8"/>
    <n v="12691.57"/>
    <n v="8055.23"/>
    <s v="Net Banking"/>
  </r>
  <r>
    <s v="ORD100123"/>
    <s v="2025-08-09"/>
    <x v="11"/>
    <s v="South"/>
    <s v="Karnataka"/>
    <s v="Bengaluru"/>
    <x v="2"/>
    <x v="4"/>
    <s v="CUST1396"/>
    <s v="SP_07"/>
    <n v="6"/>
    <n v="2516.4699999999998"/>
    <n v="15098.82"/>
    <n v="10003.799999999999"/>
    <n v="5095.0200000000004"/>
    <s v="Credit Card"/>
  </r>
  <r>
    <s v="ORD100124"/>
    <s v="2025-06-05"/>
    <x v="2"/>
    <s v="South"/>
    <s v="Karnataka"/>
    <s v="Bengaluru"/>
    <x v="3"/>
    <x v="7"/>
    <s v="CUST1382"/>
    <s v="SP_04"/>
    <n v="4"/>
    <n v="11330.12"/>
    <n v="45320.480000000003"/>
    <n v="34566.99"/>
    <n v="10753.49"/>
    <s v="UPI"/>
  </r>
  <r>
    <s v="ORD100125"/>
    <s v="2025-07-10"/>
    <x v="6"/>
    <s v="West"/>
    <s v="Gujarat"/>
    <s v="Ahmedabad"/>
    <x v="0"/>
    <x v="9"/>
    <s v="CUST1956"/>
    <s v="SP_07"/>
    <n v="4"/>
    <n v="6567.77"/>
    <n v="26271.08"/>
    <n v="19985.009999999998"/>
    <n v="6286.07"/>
    <s v="UPI"/>
  </r>
  <r>
    <s v="ORD100126"/>
    <s v="2025-04-10"/>
    <x v="0"/>
    <s v="West"/>
    <s v="Gujarat"/>
    <s v="Ahmedabad"/>
    <x v="0"/>
    <x v="0"/>
    <s v="CUST1633"/>
    <s v="SP_14"/>
    <n v="3"/>
    <n v="3725.98"/>
    <n v="11177.94"/>
    <n v="6546.79"/>
    <n v="4631.1499999999996"/>
    <s v="UPI"/>
  </r>
  <r>
    <s v="ORD100127"/>
    <s v="2025-12-20"/>
    <x v="7"/>
    <s v="East"/>
    <s v="Odisha"/>
    <s v="Bhubaneswar"/>
    <x v="2"/>
    <x v="10"/>
    <s v="CUST1189"/>
    <s v="SP_06"/>
    <n v="6"/>
    <n v="17570.330000000002"/>
    <n v="105421.98"/>
    <n v="80417.73"/>
    <n v="25004.25"/>
    <s v="Net Banking"/>
  </r>
  <r>
    <s v="ORD100128"/>
    <s v="2025-06-07"/>
    <x v="2"/>
    <s v="North"/>
    <s v="Delhi"/>
    <s v="Delhi"/>
    <x v="2"/>
    <x v="2"/>
    <s v="CUST1201"/>
    <s v="SP_08"/>
    <n v="3"/>
    <n v="45231.64"/>
    <n v="135694.92000000001"/>
    <n v="100070.86"/>
    <n v="35624.06"/>
    <s v="Cash"/>
  </r>
  <r>
    <s v="ORD100129"/>
    <s v="2025-03-17"/>
    <x v="4"/>
    <s v="North"/>
    <s v="Delhi"/>
    <s v="Delhi"/>
    <x v="3"/>
    <x v="3"/>
    <s v="CUST1953"/>
    <s v="SP_07"/>
    <n v="1"/>
    <n v="26.88"/>
    <n v="26.88"/>
    <n v="10.220000000000001"/>
    <n v="16.66"/>
    <s v="Debit Card"/>
  </r>
  <r>
    <s v="ORD100130"/>
    <s v="2025-10-11"/>
    <x v="1"/>
    <s v="North"/>
    <s v="Delhi"/>
    <s v="Delhi"/>
    <x v="1"/>
    <x v="1"/>
    <s v="CUST1190"/>
    <s v="SP_06"/>
    <n v="1"/>
    <n v="2527.6799999999998"/>
    <n v="2527.6799999999998"/>
    <n v="1818.8"/>
    <n v="708.88"/>
    <s v="Credit Card"/>
  </r>
  <r>
    <s v="ORD100131"/>
    <s v="2025-06-20"/>
    <x v="2"/>
    <s v="North"/>
    <s v="Punjab"/>
    <s v="Chandigarh"/>
    <x v="2"/>
    <x v="10"/>
    <s v="CUST1860"/>
    <s v="SP_13"/>
    <n v="8"/>
    <n v="18990.55"/>
    <n v="151924.4"/>
    <n v="107630.67"/>
    <n v="44293.73"/>
    <s v="Net Banking"/>
  </r>
  <r>
    <s v="ORD100132"/>
    <s v="2025-01-25"/>
    <x v="9"/>
    <s v="South"/>
    <s v="Tamil Nadu"/>
    <s v="Chennai"/>
    <x v="3"/>
    <x v="11"/>
    <s v="CUST1848"/>
    <s v="SP_05"/>
    <n v="8"/>
    <n v="116.15"/>
    <n v="929.2"/>
    <n v="491.75"/>
    <n v="437.45"/>
    <s v="UPI"/>
  </r>
  <r>
    <s v="ORD100133"/>
    <s v="2025-04-27"/>
    <x v="0"/>
    <s v="West"/>
    <s v="Maharashtra"/>
    <s v="Mumbai"/>
    <x v="2"/>
    <x v="4"/>
    <s v="CUST1305"/>
    <s v="SP_13"/>
    <n v="4"/>
    <n v="2747.92"/>
    <n v="10991.68"/>
    <n v="6298.74"/>
    <n v="4692.9399999999996"/>
    <s v="Debit Card"/>
  </r>
  <r>
    <s v="ORD100134"/>
    <s v="2025-04-02"/>
    <x v="0"/>
    <s v="South"/>
    <s v="Karnataka"/>
    <s v="Bengaluru"/>
    <x v="2"/>
    <x v="4"/>
    <s v="CUST1347"/>
    <s v="SP_13"/>
    <n v="2"/>
    <n v="2393.16"/>
    <n v="4786.32"/>
    <n v="3168.12"/>
    <n v="1618.2"/>
    <s v="Debit Card"/>
  </r>
  <r>
    <s v="ORD100135"/>
    <s v="2025-10-09"/>
    <x v="1"/>
    <s v="South"/>
    <s v="Tamil Nadu"/>
    <s v="Chennai"/>
    <x v="2"/>
    <x v="4"/>
    <s v="CUST1171"/>
    <s v="SP_13"/>
    <n v="8"/>
    <n v="2535.12"/>
    <n v="20280.96"/>
    <n v="12906.73"/>
    <n v="7374.23"/>
    <s v="Debit Card"/>
  </r>
  <r>
    <s v="ORD100136"/>
    <s v="2025-10-23"/>
    <x v="1"/>
    <s v="West"/>
    <s v="Maharashtra"/>
    <s v="Mumbai"/>
    <x v="1"/>
    <x v="6"/>
    <s v="CUST1516"/>
    <s v="SP_07"/>
    <n v="4"/>
    <n v="3493.6"/>
    <n v="13974.4"/>
    <n v="9714.2999999999993"/>
    <n v="4260.1000000000004"/>
    <s v="Debit Card"/>
  </r>
  <r>
    <s v="ORD100137"/>
    <s v="2025-05-22"/>
    <x v="3"/>
    <s v="West"/>
    <s v="Gujarat"/>
    <s v="Ahmedabad"/>
    <x v="1"/>
    <x v="6"/>
    <s v="CUST1015"/>
    <s v="SP_02"/>
    <n v="2"/>
    <n v="3443.53"/>
    <n v="6887.06"/>
    <n v="4770.57"/>
    <n v="2116.4899999999998"/>
    <s v="Debit Card"/>
  </r>
  <r>
    <s v="ORD100138"/>
    <s v="2025-07-05"/>
    <x v="6"/>
    <s v="East"/>
    <s v="Odisha"/>
    <s v="Bhubaneswar"/>
    <x v="1"/>
    <x v="5"/>
    <s v="CUST1931"/>
    <s v="SP_05"/>
    <n v="7"/>
    <n v="9739.39"/>
    <n v="68175.73"/>
    <n v="54653.08"/>
    <n v="13522.65"/>
    <s v="UPI"/>
  </r>
  <r>
    <s v="ORD100139"/>
    <s v="2025-04-12"/>
    <x v="0"/>
    <s v="North"/>
    <s v="Uttar Pradesh"/>
    <s v="Lucknow"/>
    <x v="1"/>
    <x v="6"/>
    <s v="CUST1488"/>
    <s v="SP_08"/>
    <n v="1"/>
    <n v="3023.16"/>
    <n v="3023.16"/>
    <n v="2345.92"/>
    <n v="677.24"/>
    <s v="Debit Card"/>
  </r>
  <r>
    <s v="ORD100140"/>
    <s v="2025-07-18"/>
    <x v="6"/>
    <s v="East"/>
    <s v="Bihar"/>
    <s v="Patna"/>
    <x v="2"/>
    <x v="10"/>
    <s v="CUST1474"/>
    <s v="SP_09"/>
    <n v="1"/>
    <n v="18093.39"/>
    <n v="18093.39"/>
    <n v="14104.84"/>
    <n v="3988.55"/>
    <s v="Debit Card"/>
  </r>
  <r>
    <s v="ORD100141"/>
    <s v="2025-06-17"/>
    <x v="2"/>
    <s v="South"/>
    <s v="Tamil Nadu"/>
    <s v="Chennai"/>
    <x v="3"/>
    <x v="7"/>
    <s v="CUST1324"/>
    <s v="SP_04"/>
    <n v="7"/>
    <n v="11348.34"/>
    <n v="79438.38"/>
    <n v="62023"/>
    <n v="17415.38"/>
    <s v="Net Banking"/>
  </r>
  <r>
    <s v="ORD100142"/>
    <s v="2025-07-21"/>
    <x v="6"/>
    <s v="South"/>
    <s v="Karnataka"/>
    <s v="Bengaluru"/>
    <x v="0"/>
    <x v="0"/>
    <s v="CUST1305"/>
    <s v="SP_11"/>
    <n v="3"/>
    <n v="3431.89"/>
    <n v="10295.67"/>
    <n v="6769.17"/>
    <n v="3526.5"/>
    <s v="Credit Card"/>
  </r>
  <r>
    <s v="ORD100143"/>
    <s v="2025-07-22"/>
    <x v="6"/>
    <s v="East"/>
    <s v="West Bengal"/>
    <s v="Kolkata"/>
    <x v="0"/>
    <x v="0"/>
    <s v="CUST1239"/>
    <s v="SP_05"/>
    <n v="4"/>
    <n v="3790.41"/>
    <n v="15161.64"/>
    <n v="8770.01"/>
    <n v="6391.63"/>
    <s v="Debit Card"/>
  </r>
  <r>
    <s v="ORD100144"/>
    <s v="2025-11-18"/>
    <x v="10"/>
    <s v="South"/>
    <s v="Karnataka"/>
    <s v="Bengaluru"/>
    <x v="3"/>
    <x v="7"/>
    <s v="CUST1072"/>
    <s v="SP_08"/>
    <n v="5"/>
    <n v="11256.92"/>
    <n v="56284.6"/>
    <n v="46816.15"/>
    <n v="9468.4500000000007"/>
    <s v="Credit Card"/>
  </r>
  <r>
    <s v="ORD100145"/>
    <s v="2025-04-02"/>
    <x v="0"/>
    <s v="North"/>
    <s v="Uttar Pradesh"/>
    <s v="Lucknow"/>
    <x v="3"/>
    <x v="3"/>
    <s v="CUST1008"/>
    <s v="SP_10"/>
    <n v="4"/>
    <n v="25.83"/>
    <n v="103.32"/>
    <n v="41.22"/>
    <n v="62.1"/>
    <s v="Net Banking"/>
  </r>
  <r>
    <s v="ORD100146"/>
    <s v="2025-01-03"/>
    <x v="9"/>
    <s v="North"/>
    <s v="Punjab"/>
    <s v="Chandigarh"/>
    <x v="2"/>
    <x v="10"/>
    <s v="CUST1548"/>
    <s v="SP_05"/>
    <n v="7"/>
    <n v="16438.36"/>
    <n v="115068.52"/>
    <n v="96653.27"/>
    <n v="18415.25"/>
    <s v="Debit Card"/>
  </r>
  <r>
    <s v="ORD100147"/>
    <s v="2025-10-03"/>
    <x v="1"/>
    <s v="East"/>
    <s v="Bihar"/>
    <s v="Patna"/>
    <x v="0"/>
    <x v="8"/>
    <s v="CUST1785"/>
    <s v="SP_14"/>
    <n v="7"/>
    <n v="21407.23"/>
    <n v="149850.60999999999"/>
    <n v="116456.31"/>
    <n v="33394.300000000003"/>
    <s v="Credit Card"/>
  </r>
  <r>
    <s v="ORD100148"/>
    <s v="2025-04-28"/>
    <x v="0"/>
    <s v="South"/>
    <s v="Tamil Nadu"/>
    <s v="Chennai"/>
    <x v="1"/>
    <x v="6"/>
    <s v="CUST1336"/>
    <s v="SP_15"/>
    <n v="2"/>
    <n v="3042.03"/>
    <n v="6084.06"/>
    <n v="4597.83"/>
    <n v="1486.23"/>
    <s v="Cash"/>
  </r>
  <r>
    <s v="ORD100149"/>
    <s v="2025-04-10"/>
    <x v="0"/>
    <s v="North"/>
    <s v="Uttar Pradesh"/>
    <s v="Lucknow"/>
    <x v="1"/>
    <x v="5"/>
    <s v="CUST1071"/>
    <s v="SP_10"/>
    <n v="6"/>
    <n v="9270.75"/>
    <n v="55624.5"/>
    <n v="44076.83"/>
    <n v="11547.67"/>
    <s v="Cash"/>
  </r>
  <r>
    <s v="ORD100150"/>
    <s v="2025-07-17"/>
    <x v="6"/>
    <s v="North"/>
    <s v="Punjab"/>
    <s v="Chandigarh"/>
    <x v="0"/>
    <x v="9"/>
    <s v="CUST1358"/>
    <s v="SP_04"/>
    <n v="4"/>
    <n v="6876.59"/>
    <n v="27506.36"/>
    <n v="19978.39"/>
    <n v="7527.97"/>
    <s v="Credit Card"/>
  </r>
  <r>
    <s v="ORD100151"/>
    <s v="2025-02-07"/>
    <x v="8"/>
    <s v="South"/>
    <s v="Tamil Nadu"/>
    <s v="Chennai"/>
    <x v="2"/>
    <x v="2"/>
    <s v="CUST1652"/>
    <s v="SP_03"/>
    <n v="5"/>
    <n v="42894.11"/>
    <n v="214470.55"/>
    <n v="171484.78"/>
    <n v="42985.77"/>
    <s v="Debit Card"/>
  </r>
  <r>
    <s v="ORD100152"/>
    <s v="2025-05-08"/>
    <x v="3"/>
    <s v="East"/>
    <s v="Bihar"/>
    <s v="Patna"/>
    <x v="3"/>
    <x v="7"/>
    <s v="CUST1064"/>
    <s v="SP_04"/>
    <n v="2"/>
    <n v="12310.38"/>
    <n v="24620.76"/>
    <n v="18850.23"/>
    <n v="5770.53"/>
    <s v="Net Banking"/>
  </r>
  <r>
    <s v="ORD100153"/>
    <s v="2025-02-26"/>
    <x v="8"/>
    <s v="West"/>
    <s v="Gujarat"/>
    <s v="Ahmedabad"/>
    <x v="1"/>
    <x v="5"/>
    <s v="CUST1117"/>
    <s v="SP_10"/>
    <n v="1"/>
    <n v="10176.89"/>
    <n v="10176.89"/>
    <n v="7970.3"/>
    <n v="2206.59"/>
    <s v="UPI"/>
  </r>
  <r>
    <s v="ORD100154"/>
    <s v="2025-05-26"/>
    <x v="3"/>
    <s v="West"/>
    <s v="Gujarat"/>
    <s v="Ahmedabad"/>
    <x v="3"/>
    <x v="3"/>
    <s v="CUST1697"/>
    <s v="SP_15"/>
    <n v="3"/>
    <n v="22.92"/>
    <n v="68.760000000000005"/>
    <n v="29.91"/>
    <n v="38.85"/>
    <s v="UPI"/>
  </r>
  <r>
    <s v="ORD100155"/>
    <s v="2025-06-04"/>
    <x v="2"/>
    <s v="South"/>
    <s v="Tamil Nadu"/>
    <s v="Chennai"/>
    <x v="3"/>
    <x v="11"/>
    <s v="CUST1491"/>
    <s v="SP_06"/>
    <n v="8"/>
    <n v="121.14"/>
    <n v="969.12"/>
    <n v="487.51"/>
    <n v="481.61"/>
    <s v="UPI"/>
  </r>
  <r>
    <s v="ORD100156"/>
    <s v="2025-11-07"/>
    <x v="10"/>
    <s v="South"/>
    <s v="Karnataka"/>
    <s v="Bengaluru"/>
    <x v="2"/>
    <x v="4"/>
    <s v="CUST1332"/>
    <s v="SP_07"/>
    <n v="2"/>
    <n v="2383.17"/>
    <n v="4766.34"/>
    <n v="3195.1"/>
    <n v="1571.24"/>
    <s v="Cash"/>
  </r>
  <r>
    <s v="ORD100157"/>
    <s v="2025-10-14"/>
    <x v="1"/>
    <s v="East"/>
    <s v="West Bengal"/>
    <s v="Kolkata"/>
    <x v="3"/>
    <x v="7"/>
    <s v="CUST1448"/>
    <s v="SP_06"/>
    <n v="5"/>
    <n v="12964.55"/>
    <n v="64822.75"/>
    <n v="44687.22"/>
    <n v="20135.53"/>
    <s v="UPI"/>
  </r>
  <r>
    <s v="ORD100158"/>
    <s v="2025-10-29"/>
    <x v="1"/>
    <s v="East"/>
    <s v="Bihar"/>
    <s v="Patna"/>
    <x v="1"/>
    <x v="5"/>
    <s v="CUST1186"/>
    <s v="SP_11"/>
    <n v="1"/>
    <n v="9373.07"/>
    <n v="9373.07"/>
    <n v="7925.95"/>
    <n v="1447.12"/>
    <s v="Credit Card"/>
  </r>
  <r>
    <s v="ORD100159"/>
    <s v="2025-09-20"/>
    <x v="5"/>
    <s v="East"/>
    <s v="Odisha"/>
    <s v="Bhubaneswar"/>
    <x v="1"/>
    <x v="1"/>
    <s v="CUST1022"/>
    <s v="SP_09"/>
    <n v="1"/>
    <n v="2554.4499999999998"/>
    <n v="2554.4499999999998"/>
    <n v="1907.82"/>
    <n v="646.63"/>
    <s v="Credit Card"/>
  </r>
  <r>
    <s v="ORD100160"/>
    <s v="2025-02-14"/>
    <x v="8"/>
    <s v="North"/>
    <s v="Punjab"/>
    <s v="Chandigarh"/>
    <x v="2"/>
    <x v="4"/>
    <s v="CUST1470"/>
    <s v="SP_09"/>
    <n v="7"/>
    <n v="2373.1799999999998"/>
    <n v="16612.259999999998"/>
    <n v="10664.16"/>
    <n v="5948.1"/>
    <s v="Net Banking"/>
  </r>
  <r>
    <s v="ORD100161"/>
    <s v="2025-12-12"/>
    <x v="7"/>
    <s v="South"/>
    <s v="Telangana"/>
    <s v="Hyderabad"/>
    <x v="0"/>
    <x v="9"/>
    <s v="CUST1660"/>
    <s v="SP_10"/>
    <n v="1"/>
    <n v="7432.9"/>
    <n v="7432.9"/>
    <n v="4863.82"/>
    <n v="2569.08"/>
    <s v="Debit Card"/>
  </r>
  <r>
    <s v="ORD100162"/>
    <s v="2025-04-25"/>
    <x v="0"/>
    <s v="South"/>
    <s v="Telangana"/>
    <s v="Hyderabad"/>
    <x v="0"/>
    <x v="8"/>
    <s v="CUST1813"/>
    <s v="SP_01"/>
    <n v="8"/>
    <n v="20866.009999999998"/>
    <n v="166928.07999999999"/>
    <n v="133228.22"/>
    <n v="33699.86"/>
    <s v="Net Banking"/>
  </r>
  <r>
    <s v="ORD100163"/>
    <s v="2025-12-29"/>
    <x v="7"/>
    <s v="West"/>
    <s v="Rajasthan"/>
    <s v="Jaipur"/>
    <x v="2"/>
    <x v="2"/>
    <s v="CUST1859"/>
    <s v="SP_07"/>
    <n v="3"/>
    <n v="46943.1"/>
    <n v="140829.29999999999"/>
    <n v="110045.13"/>
    <n v="30784.17"/>
    <s v="Net Banking"/>
  </r>
  <r>
    <s v="ORD100164"/>
    <s v="2025-07-14"/>
    <x v="6"/>
    <s v="South"/>
    <s v="Karnataka"/>
    <s v="Bengaluru"/>
    <x v="1"/>
    <x v="5"/>
    <s v="CUST1860"/>
    <s v="SP_02"/>
    <n v="7"/>
    <n v="10088.030000000001"/>
    <n v="70616.210000000006"/>
    <n v="52809.96"/>
    <n v="17806.25"/>
    <s v="Debit Card"/>
  </r>
  <r>
    <s v="ORD100165"/>
    <s v="2025-10-09"/>
    <x v="1"/>
    <s v="East"/>
    <s v="Odisha"/>
    <s v="Bhubaneswar"/>
    <x v="3"/>
    <x v="11"/>
    <s v="CUST1717"/>
    <s v="SP_08"/>
    <n v="6"/>
    <n v="123.99"/>
    <n v="743.94"/>
    <n v="354.93"/>
    <n v="389.01"/>
    <s v="Cash"/>
  </r>
  <r>
    <s v="ORD100166"/>
    <s v="2025-08-31"/>
    <x v="11"/>
    <s v="South"/>
    <s v="Karnataka"/>
    <s v="Bengaluru"/>
    <x v="0"/>
    <x v="9"/>
    <s v="CUST1247"/>
    <s v="SP_10"/>
    <n v="1"/>
    <n v="6870.1"/>
    <n v="6870.1"/>
    <n v="5001.34"/>
    <n v="1868.76"/>
    <s v="Credit Card"/>
  </r>
  <r>
    <s v="ORD100167"/>
    <s v="2025-10-26"/>
    <x v="1"/>
    <s v="West"/>
    <s v="Rajasthan"/>
    <s v="Jaipur"/>
    <x v="3"/>
    <x v="11"/>
    <s v="CUST1785"/>
    <s v="SP_12"/>
    <n v="8"/>
    <n v="120.18"/>
    <n v="961.44"/>
    <n v="480.36"/>
    <n v="481.08"/>
    <s v="Credit Card"/>
  </r>
  <r>
    <s v="ORD100168"/>
    <s v="2025-04-06"/>
    <x v="0"/>
    <s v="South"/>
    <s v="Tamil Nadu"/>
    <s v="Chennai"/>
    <x v="0"/>
    <x v="0"/>
    <s v="CUST1143"/>
    <s v="SP_12"/>
    <n v="5"/>
    <n v="3368.07"/>
    <n v="16840.349999999999"/>
    <n v="11113.07"/>
    <n v="5727.28"/>
    <s v="Credit Card"/>
  </r>
  <r>
    <s v="ORD100169"/>
    <s v="2025-12-19"/>
    <x v="7"/>
    <s v="West"/>
    <s v="Rajasthan"/>
    <s v="Jaipur"/>
    <x v="1"/>
    <x v="6"/>
    <s v="CUST1005"/>
    <s v="SP_11"/>
    <n v="4"/>
    <n v="3007.61"/>
    <n v="12030.44"/>
    <n v="9737.57"/>
    <n v="2292.87"/>
    <s v="UPI"/>
  </r>
  <r>
    <s v="ORD100170"/>
    <s v="2025-08-01"/>
    <x v="11"/>
    <s v="West"/>
    <s v="Maharashtra"/>
    <s v="Mumbai"/>
    <x v="3"/>
    <x v="7"/>
    <s v="CUST1850"/>
    <s v="SP_14"/>
    <n v="7"/>
    <n v="12630.28"/>
    <n v="88411.96"/>
    <n v="60810.47"/>
    <n v="27601.49"/>
    <s v="Credit Card"/>
  </r>
  <r>
    <s v="ORD100171"/>
    <s v="2025-06-22"/>
    <x v="2"/>
    <s v="North"/>
    <s v="Uttar Pradesh"/>
    <s v="Lucknow"/>
    <x v="3"/>
    <x v="7"/>
    <s v="CUST1029"/>
    <s v="SP_05"/>
    <n v="4"/>
    <n v="11492.5"/>
    <n v="45970"/>
    <n v="35409.89"/>
    <n v="10560.11"/>
    <s v="Net Banking"/>
  </r>
  <r>
    <s v="ORD100172"/>
    <s v="2025-03-26"/>
    <x v="4"/>
    <s v="South"/>
    <s v="Tamil Nadu"/>
    <s v="Chennai"/>
    <x v="2"/>
    <x v="4"/>
    <s v="CUST1768"/>
    <s v="SP_14"/>
    <n v="3"/>
    <n v="2311.29"/>
    <n v="6933.87"/>
    <n v="4874.8100000000004"/>
    <n v="2059.06"/>
    <s v="Net Banking"/>
  </r>
  <r>
    <s v="ORD100173"/>
    <s v="2025-12-04"/>
    <x v="7"/>
    <s v="South"/>
    <s v="Tamil Nadu"/>
    <s v="Chennai"/>
    <x v="0"/>
    <x v="8"/>
    <s v="CUST1784"/>
    <s v="SP_10"/>
    <n v="7"/>
    <n v="20854.11"/>
    <n v="145978.76999999999"/>
    <n v="116360.57"/>
    <n v="29618.2"/>
    <s v="Cash"/>
  </r>
  <r>
    <s v="ORD100174"/>
    <s v="2025-06-05"/>
    <x v="2"/>
    <s v="West"/>
    <s v="Gujarat"/>
    <s v="Ahmedabad"/>
    <x v="1"/>
    <x v="6"/>
    <s v="CUST1560"/>
    <s v="SP_01"/>
    <n v="4"/>
    <n v="2930.95"/>
    <n v="11723.8"/>
    <n v="9974.7900000000009"/>
    <n v="1749.01"/>
    <s v="UPI"/>
  </r>
  <r>
    <s v="ORD100175"/>
    <s v="2025-12-31"/>
    <x v="7"/>
    <s v="East"/>
    <s v="Bihar"/>
    <s v="Patna"/>
    <x v="1"/>
    <x v="1"/>
    <s v="CUST1849"/>
    <s v="SP_12"/>
    <n v="8"/>
    <n v="2629.88"/>
    <n v="21039.040000000001"/>
    <n v="14995.22"/>
    <n v="6043.82"/>
    <s v="Credit Card"/>
  </r>
  <r>
    <s v="ORD100176"/>
    <s v="2025-08-06"/>
    <x v="11"/>
    <s v="West"/>
    <s v="Maharashtra"/>
    <s v="Mumbai"/>
    <x v="2"/>
    <x v="2"/>
    <s v="CUST1548"/>
    <s v="SP_03"/>
    <n v="5"/>
    <n v="43436.5"/>
    <n v="217182.5"/>
    <n v="169438.9"/>
    <n v="47743.6"/>
    <s v="Net Banking"/>
  </r>
  <r>
    <s v="ORD100177"/>
    <s v="2025-10-10"/>
    <x v="1"/>
    <s v="East"/>
    <s v="Odisha"/>
    <s v="Bhubaneswar"/>
    <x v="3"/>
    <x v="7"/>
    <s v="CUST1456"/>
    <s v="SP_13"/>
    <n v="6"/>
    <n v="11497.8"/>
    <n v="68986.8"/>
    <n v="51351.08"/>
    <n v="17635.72"/>
    <s v="Credit Card"/>
  </r>
  <r>
    <s v="ORD100178"/>
    <s v="2025-12-14"/>
    <x v="7"/>
    <s v="East"/>
    <s v="West Bengal"/>
    <s v="Kolkata"/>
    <x v="1"/>
    <x v="6"/>
    <s v="CUST1441"/>
    <s v="SP_07"/>
    <n v="1"/>
    <n v="3048.79"/>
    <n v="3048.79"/>
    <n v="2343.86"/>
    <n v="704.93"/>
    <s v="Net Banking"/>
  </r>
  <r>
    <s v="ORD100179"/>
    <s v="2025-07-26"/>
    <x v="6"/>
    <s v="South"/>
    <s v="Tamil Nadu"/>
    <s v="Chennai"/>
    <x v="3"/>
    <x v="7"/>
    <s v="CUST1723"/>
    <s v="SP_01"/>
    <n v="1"/>
    <n v="12239.11"/>
    <n v="12239.11"/>
    <n v="8907.1200000000008"/>
    <n v="3331.99"/>
    <s v="UPI"/>
  </r>
  <r>
    <s v="ORD100180"/>
    <s v="2025-08-26"/>
    <x v="11"/>
    <s v="South"/>
    <s v="Karnataka"/>
    <s v="Bengaluru"/>
    <x v="3"/>
    <x v="7"/>
    <s v="CUST1325"/>
    <s v="SP_09"/>
    <n v="2"/>
    <n v="11490.54"/>
    <n v="22981.08"/>
    <n v="17560.419999999998"/>
    <n v="5420.66"/>
    <s v="Debit Card"/>
  </r>
  <r>
    <s v="ORD100181"/>
    <s v="2025-05-23"/>
    <x v="3"/>
    <s v="North"/>
    <s v="Punjab"/>
    <s v="Chandigarh"/>
    <x v="3"/>
    <x v="3"/>
    <s v="CUST1918"/>
    <s v="SP_06"/>
    <n v="1"/>
    <n v="25.53"/>
    <n v="25.53"/>
    <n v="10.14"/>
    <n v="15.39"/>
    <s v="Cash"/>
  </r>
  <r>
    <s v="ORD100182"/>
    <s v="2025-04-30"/>
    <x v="0"/>
    <s v="West"/>
    <s v="Rajasthan"/>
    <s v="Jaipur"/>
    <x v="2"/>
    <x v="4"/>
    <s v="CUST1903"/>
    <s v="SP_06"/>
    <n v="7"/>
    <n v="2467.4699999999998"/>
    <n v="17272.29"/>
    <n v="11042.42"/>
    <n v="6229.87"/>
    <s v="Cash"/>
  </r>
  <r>
    <s v="ORD100183"/>
    <s v="2025-09-18"/>
    <x v="5"/>
    <s v="East"/>
    <s v="Bihar"/>
    <s v="Patna"/>
    <x v="3"/>
    <x v="7"/>
    <s v="CUST1262"/>
    <s v="SP_01"/>
    <n v="5"/>
    <n v="12146.54"/>
    <n v="60732.7"/>
    <n v="45302.85"/>
    <n v="15429.85"/>
    <s v="Credit Card"/>
  </r>
  <r>
    <s v="ORD100184"/>
    <s v="2025-08-30"/>
    <x v="11"/>
    <s v="West"/>
    <s v="Gujarat"/>
    <s v="Ahmedabad"/>
    <x v="2"/>
    <x v="4"/>
    <s v="CUST1869"/>
    <s v="SP_06"/>
    <n v="4"/>
    <n v="2270.6"/>
    <n v="9082.4"/>
    <n v="6671.2"/>
    <n v="2411.1999999999998"/>
    <s v="UPI"/>
  </r>
  <r>
    <s v="ORD100185"/>
    <s v="2025-04-10"/>
    <x v="0"/>
    <s v="West"/>
    <s v="Rajasthan"/>
    <s v="Jaipur"/>
    <x v="0"/>
    <x v="8"/>
    <s v="CUST1115"/>
    <s v="SP_11"/>
    <n v="6"/>
    <n v="23252.37"/>
    <n v="139514.22"/>
    <n v="106547.81"/>
    <n v="32966.410000000003"/>
    <s v="Cash"/>
  </r>
  <r>
    <s v="ORD100186"/>
    <s v="2025-03-31"/>
    <x v="4"/>
    <s v="East"/>
    <s v="Bihar"/>
    <s v="Patna"/>
    <x v="1"/>
    <x v="5"/>
    <s v="CUST1692"/>
    <s v="SP_13"/>
    <n v="3"/>
    <n v="10288.41"/>
    <n v="30865.23"/>
    <n v="23795.42"/>
    <n v="7069.81"/>
    <s v="Credit Card"/>
  </r>
  <r>
    <s v="ORD100187"/>
    <s v="2025-12-21"/>
    <x v="7"/>
    <s v="North"/>
    <s v="Uttar Pradesh"/>
    <s v="Lucknow"/>
    <x v="3"/>
    <x v="3"/>
    <s v="CUST1244"/>
    <s v="SP_04"/>
    <n v="1"/>
    <n v="26.17"/>
    <n v="26.17"/>
    <n v="10.06"/>
    <n v="16.11"/>
    <s v="Cash"/>
  </r>
  <r>
    <s v="ORD100188"/>
    <s v="2025-03-01"/>
    <x v="4"/>
    <s v="East"/>
    <s v="Odisha"/>
    <s v="Bhubaneswar"/>
    <x v="2"/>
    <x v="10"/>
    <s v="CUST1566"/>
    <s v="SP_13"/>
    <n v="3"/>
    <n v="17480.259999999998"/>
    <n v="52440.78"/>
    <n v="42307.89"/>
    <n v="10132.89"/>
    <s v="Cash"/>
  </r>
  <r>
    <s v="ORD100189"/>
    <s v="2025-08-04"/>
    <x v="11"/>
    <s v="West"/>
    <s v="Gujarat"/>
    <s v="Ahmedabad"/>
    <x v="2"/>
    <x v="4"/>
    <s v="CUST1511"/>
    <s v="SP_15"/>
    <n v="1"/>
    <n v="2487.87"/>
    <n v="2487.87"/>
    <n v="1582.35"/>
    <n v="905.52"/>
    <s v="Debit Card"/>
  </r>
  <r>
    <s v="ORD100190"/>
    <s v="2025-02-12"/>
    <x v="8"/>
    <s v="East"/>
    <s v="Bihar"/>
    <s v="Patna"/>
    <x v="0"/>
    <x v="0"/>
    <s v="CUST1462"/>
    <s v="SP_10"/>
    <n v="7"/>
    <n v="3534.04"/>
    <n v="24738.28"/>
    <n v="16058.67"/>
    <n v="8679.61"/>
    <s v="UPI"/>
  </r>
  <r>
    <s v="ORD100191"/>
    <s v="2025-04-30"/>
    <x v="0"/>
    <s v="South"/>
    <s v="Karnataka"/>
    <s v="Bengaluru"/>
    <x v="3"/>
    <x v="3"/>
    <s v="CUST1690"/>
    <s v="SP_08"/>
    <n v="5"/>
    <n v="23.37"/>
    <n v="116.85"/>
    <n v="51.59"/>
    <n v="65.260000000000005"/>
    <s v="Credit Card"/>
  </r>
  <r>
    <s v="ORD100192"/>
    <s v="2025-07-21"/>
    <x v="6"/>
    <s v="South"/>
    <s v="Telangana"/>
    <s v="Hyderabad"/>
    <x v="0"/>
    <x v="8"/>
    <s v="CUST1846"/>
    <s v="SP_05"/>
    <n v="1"/>
    <n v="21164.39"/>
    <n v="21164.39"/>
    <n v="17217.490000000002"/>
    <n v="3946.9"/>
    <s v="Credit Card"/>
  </r>
  <r>
    <s v="ORD100193"/>
    <s v="2025-07-13"/>
    <x v="6"/>
    <s v="West"/>
    <s v="Maharashtra"/>
    <s v="Mumbai"/>
    <x v="0"/>
    <x v="8"/>
    <s v="CUST1516"/>
    <s v="SP_07"/>
    <n v="3"/>
    <n v="24113.23"/>
    <n v="72339.69"/>
    <n v="52643.98"/>
    <n v="19695.71"/>
    <s v="Net Banking"/>
  </r>
  <r>
    <s v="ORD100194"/>
    <s v="2025-07-23"/>
    <x v="6"/>
    <s v="North"/>
    <s v="Delhi"/>
    <s v="Delhi"/>
    <x v="1"/>
    <x v="5"/>
    <s v="CUST1601"/>
    <s v="SP_02"/>
    <n v="2"/>
    <n v="9617.9500000000007"/>
    <n v="19235.900000000001"/>
    <n v="15188.34"/>
    <n v="4047.56"/>
    <s v="Cash"/>
  </r>
  <r>
    <s v="ORD100195"/>
    <s v="2025-11-08"/>
    <x v="10"/>
    <s v="West"/>
    <s v="Rajasthan"/>
    <s v="Jaipur"/>
    <x v="3"/>
    <x v="11"/>
    <s v="CUST1013"/>
    <s v="SP_01"/>
    <n v="2"/>
    <n v="109.08"/>
    <n v="218.16"/>
    <n v="115.91"/>
    <n v="102.25"/>
    <s v="UPI"/>
  </r>
  <r>
    <s v="ORD100196"/>
    <s v="2025-01-13"/>
    <x v="9"/>
    <s v="North"/>
    <s v="Delhi"/>
    <s v="Delhi"/>
    <x v="2"/>
    <x v="4"/>
    <s v="CUST1369"/>
    <s v="SP_08"/>
    <n v="7"/>
    <n v="2678.03"/>
    <n v="18746.21"/>
    <n v="11357.84"/>
    <n v="7388.37"/>
    <s v="Net Banking"/>
  </r>
  <r>
    <s v="ORD100197"/>
    <s v="2025-03-08"/>
    <x v="4"/>
    <s v="West"/>
    <s v="Gujarat"/>
    <s v="Ahmedabad"/>
    <x v="2"/>
    <x v="4"/>
    <s v="CUST1128"/>
    <s v="SP_06"/>
    <n v="3"/>
    <n v="2434.84"/>
    <n v="7304.52"/>
    <n v="4572.83"/>
    <n v="2731.69"/>
    <s v="UPI"/>
  </r>
  <r>
    <s v="ORD100198"/>
    <s v="2025-03-25"/>
    <x v="4"/>
    <s v="East"/>
    <s v="Bihar"/>
    <s v="Patna"/>
    <x v="2"/>
    <x v="2"/>
    <s v="CUST1935"/>
    <s v="SP_06"/>
    <n v="1"/>
    <n v="45588.480000000003"/>
    <n v="45588.480000000003"/>
    <n v="36100.44"/>
    <n v="9488.0400000000009"/>
    <s v="Net Banking"/>
  </r>
  <r>
    <s v="ORD100199"/>
    <s v="2025-02-25"/>
    <x v="8"/>
    <s v="North"/>
    <s v="Punjab"/>
    <s v="Chandigarh"/>
    <x v="3"/>
    <x v="3"/>
    <s v="CUST1942"/>
    <s v="SP_14"/>
    <n v="3"/>
    <n v="23.81"/>
    <n v="71.430000000000007"/>
    <n v="31.48"/>
    <n v="39.950000000000003"/>
    <s v="Debit Card"/>
  </r>
  <r>
    <s v="ORD100200"/>
    <s v="2025-04-10"/>
    <x v="0"/>
    <s v="East"/>
    <s v="Bihar"/>
    <s v="Patna"/>
    <x v="2"/>
    <x v="4"/>
    <s v="CUST1478"/>
    <s v="SP_13"/>
    <n v="7"/>
    <n v="2460.17"/>
    <n v="17221.189999999999"/>
    <n v="10695.05"/>
    <n v="6526.14"/>
    <s v="Credit Card"/>
  </r>
  <r>
    <s v="ORD100201"/>
    <s v="2025-09-16"/>
    <x v="5"/>
    <s v="South"/>
    <s v="Telangana"/>
    <s v="Hyderabad"/>
    <x v="1"/>
    <x v="6"/>
    <s v="CUST1655"/>
    <s v="SP_06"/>
    <n v="8"/>
    <n v="3388.7"/>
    <n v="27109.599999999999"/>
    <n v="19149.21"/>
    <n v="7960.39"/>
    <s v="Net Banking"/>
  </r>
  <r>
    <s v="ORD100202"/>
    <s v="2025-11-06"/>
    <x v="10"/>
    <s v="North"/>
    <s v="Delhi"/>
    <s v="Delhi"/>
    <x v="1"/>
    <x v="5"/>
    <s v="CUST1561"/>
    <s v="SP_01"/>
    <n v="2"/>
    <n v="9626.82"/>
    <n v="19253.64"/>
    <n v="15834.83"/>
    <n v="3418.81"/>
    <s v="Credit Card"/>
  </r>
  <r>
    <s v="ORD100203"/>
    <s v="2025-04-23"/>
    <x v="0"/>
    <s v="East"/>
    <s v="Bihar"/>
    <s v="Patna"/>
    <x v="3"/>
    <x v="7"/>
    <s v="CUST1040"/>
    <s v="SP_11"/>
    <n v="7"/>
    <n v="12838.62"/>
    <n v="89870.34"/>
    <n v="63767.24"/>
    <n v="26103.1"/>
    <s v="Debit Card"/>
  </r>
  <r>
    <s v="ORD100204"/>
    <s v="2025-11-20"/>
    <x v="10"/>
    <s v="West"/>
    <s v="Maharashtra"/>
    <s v="Mumbai"/>
    <x v="2"/>
    <x v="10"/>
    <s v="CUST1558"/>
    <s v="SP_04"/>
    <n v="6"/>
    <n v="16966.25"/>
    <n v="101797.5"/>
    <n v="85434.68"/>
    <n v="16362.82"/>
    <s v="UPI"/>
  </r>
  <r>
    <s v="ORD100205"/>
    <s v="2025-10-18"/>
    <x v="1"/>
    <s v="North"/>
    <s v="Punjab"/>
    <s v="Chandigarh"/>
    <x v="1"/>
    <x v="5"/>
    <s v="CUST1048"/>
    <s v="SP_01"/>
    <n v="3"/>
    <n v="9421.73"/>
    <n v="28265.19"/>
    <n v="23602.49"/>
    <n v="4662.7"/>
    <s v="Cash"/>
  </r>
  <r>
    <s v="ORD100206"/>
    <s v="2025-01-19"/>
    <x v="9"/>
    <s v="East"/>
    <s v="Odisha"/>
    <s v="Bhubaneswar"/>
    <x v="1"/>
    <x v="1"/>
    <s v="CUST1579"/>
    <s v="SP_15"/>
    <n v="4"/>
    <n v="2996.84"/>
    <n v="11987.36"/>
    <n v="7434.05"/>
    <n v="4553.3100000000004"/>
    <s v="Cash"/>
  </r>
  <r>
    <s v="ORD100207"/>
    <s v="2025-10-28"/>
    <x v="1"/>
    <s v="South"/>
    <s v="Karnataka"/>
    <s v="Bengaluru"/>
    <x v="2"/>
    <x v="2"/>
    <s v="CUST1903"/>
    <s v="SP_14"/>
    <n v="6"/>
    <n v="41365.279999999999"/>
    <n v="248191.68"/>
    <n v="200319.24"/>
    <n v="47872.44"/>
    <s v="Net Banking"/>
  </r>
  <r>
    <s v="ORD100208"/>
    <s v="2025-03-18"/>
    <x v="4"/>
    <s v="West"/>
    <s v="Maharashtra"/>
    <s v="Mumbai"/>
    <x v="1"/>
    <x v="6"/>
    <s v="CUST1888"/>
    <s v="SP_03"/>
    <n v="6"/>
    <n v="3465.05"/>
    <n v="20790.3"/>
    <n v="14565.7"/>
    <n v="6224.6"/>
    <s v="Credit Card"/>
  </r>
  <r>
    <s v="ORD100209"/>
    <s v="2025-09-29"/>
    <x v="5"/>
    <s v="West"/>
    <s v="Rajasthan"/>
    <s v="Jaipur"/>
    <x v="0"/>
    <x v="0"/>
    <s v="CUST1794"/>
    <s v="SP_05"/>
    <n v="2"/>
    <n v="3577.78"/>
    <n v="7155.56"/>
    <n v="4400.3500000000004"/>
    <n v="2755.21"/>
    <s v="Cash"/>
  </r>
  <r>
    <s v="ORD100210"/>
    <s v="2025-04-20"/>
    <x v="0"/>
    <s v="West"/>
    <s v="Rajasthan"/>
    <s v="Jaipur"/>
    <x v="0"/>
    <x v="0"/>
    <s v="CUST1618"/>
    <s v="SP_10"/>
    <n v="4"/>
    <n v="3745.33"/>
    <n v="14981.32"/>
    <n v="8562.77"/>
    <n v="6418.55"/>
    <s v="Net Banking"/>
  </r>
  <r>
    <s v="ORD100211"/>
    <s v="2025-05-22"/>
    <x v="3"/>
    <s v="West"/>
    <s v="Gujarat"/>
    <s v="Ahmedabad"/>
    <x v="1"/>
    <x v="5"/>
    <s v="CUST1964"/>
    <s v="SP_02"/>
    <n v="1"/>
    <n v="9555.82"/>
    <n v="9555.82"/>
    <n v="7975.4"/>
    <n v="1580.42"/>
    <s v="Credit Card"/>
  </r>
  <r>
    <s v="ORD100212"/>
    <s v="2025-08-04"/>
    <x v="11"/>
    <s v="North"/>
    <s v="Uttar Pradesh"/>
    <s v="Lucknow"/>
    <x v="2"/>
    <x v="4"/>
    <s v="CUST1129"/>
    <s v="SP_08"/>
    <n v="4"/>
    <n v="2356.36"/>
    <n v="9425.44"/>
    <n v="6196.26"/>
    <n v="3229.18"/>
    <s v="Net Banking"/>
  </r>
  <r>
    <s v="ORD100213"/>
    <s v="2025-10-22"/>
    <x v="1"/>
    <s v="South"/>
    <s v="Telangana"/>
    <s v="Hyderabad"/>
    <x v="0"/>
    <x v="9"/>
    <s v="CUST1067"/>
    <s v="SP_11"/>
    <n v="8"/>
    <n v="6474.6"/>
    <n v="51796.800000000003"/>
    <n v="38406.83"/>
    <n v="13389.97"/>
    <s v="Cash"/>
  </r>
  <r>
    <s v="ORD100214"/>
    <s v="2025-09-26"/>
    <x v="5"/>
    <s v="East"/>
    <s v="Odisha"/>
    <s v="Bhubaneswar"/>
    <x v="1"/>
    <x v="5"/>
    <s v="CUST1121"/>
    <s v="SP_14"/>
    <n v="3"/>
    <n v="9835.19"/>
    <n v="29505.57"/>
    <n v="23579.11"/>
    <n v="5926.46"/>
    <s v="Net Banking"/>
  </r>
  <r>
    <s v="ORD100215"/>
    <s v="2025-02-20"/>
    <x v="8"/>
    <s v="North"/>
    <s v="Punjab"/>
    <s v="Chandigarh"/>
    <x v="1"/>
    <x v="6"/>
    <s v="CUST1589"/>
    <s v="SP_02"/>
    <n v="7"/>
    <n v="2992.8"/>
    <n v="20949.599999999999"/>
    <n v="17103.349999999999"/>
    <n v="3846.25"/>
    <s v="Debit Card"/>
  </r>
  <r>
    <s v="ORD100216"/>
    <s v="2025-12-16"/>
    <x v="7"/>
    <s v="West"/>
    <s v="Rajasthan"/>
    <s v="Jaipur"/>
    <x v="3"/>
    <x v="7"/>
    <s v="CUST1339"/>
    <s v="SP_02"/>
    <n v="1"/>
    <n v="12851.24"/>
    <n v="12851.24"/>
    <n v="8614.24"/>
    <n v="4237"/>
    <s v="Credit Card"/>
  </r>
  <r>
    <s v="ORD100217"/>
    <s v="2025-10-04"/>
    <x v="1"/>
    <s v="South"/>
    <s v="Telangana"/>
    <s v="Hyderabad"/>
    <x v="2"/>
    <x v="4"/>
    <s v="CUST1874"/>
    <s v="SP_08"/>
    <n v="3"/>
    <n v="2609.16"/>
    <n v="7827.48"/>
    <n v="4856.1099999999997"/>
    <n v="2971.37"/>
    <s v="Debit Card"/>
  </r>
  <r>
    <s v="ORD100218"/>
    <s v="2025-01-04"/>
    <x v="9"/>
    <s v="East"/>
    <s v="West Bengal"/>
    <s v="Kolkata"/>
    <x v="2"/>
    <x v="2"/>
    <s v="CUST1159"/>
    <s v="SP_08"/>
    <n v="2"/>
    <n v="42202"/>
    <n v="84404"/>
    <n v="70843.149999999994"/>
    <n v="13560.85"/>
    <s v="Cash"/>
  </r>
  <r>
    <s v="ORD100219"/>
    <s v="2025-03-14"/>
    <x v="4"/>
    <s v="South"/>
    <s v="Tamil Nadu"/>
    <s v="Chennai"/>
    <x v="0"/>
    <x v="9"/>
    <s v="CUST1854"/>
    <s v="SP_07"/>
    <n v="1"/>
    <n v="6374.6"/>
    <n v="6374.6"/>
    <n v="5239.9399999999996"/>
    <n v="1134.6600000000001"/>
    <s v="Credit Card"/>
  </r>
  <r>
    <s v="ORD100220"/>
    <s v="2025-06-19"/>
    <x v="2"/>
    <s v="East"/>
    <s v="Odisha"/>
    <s v="Bhubaneswar"/>
    <x v="1"/>
    <x v="5"/>
    <s v="CUST1613"/>
    <s v="SP_02"/>
    <n v="2"/>
    <n v="9761.41"/>
    <n v="19522.82"/>
    <n v="15271.16"/>
    <n v="4251.66"/>
    <s v="Debit Card"/>
  </r>
  <r>
    <s v="ORD100221"/>
    <s v="2025-03-05"/>
    <x v="4"/>
    <s v="South"/>
    <s v="Karnataka"/>
    <s v="Bengaluru"/>
    <x v="0"/>
    <x v="9"/>
    <s v="CUST1747"/>
    <s v="SP_09"/>
    <n v="5"/>
    <n v="6623.29"/>
    <n v="33116.449999999997"/>
    <n v="24787.55"/>
    <n v="8328.9"/>
    <s v="Debit Card"/>
  </r>
  <r>
    <s v="ORD100222"/>
    <s v="2025-11-02"/>
    <x v="10"/>
    <s v="South"/>
    <s v="Karnataka"/>
    <s v="Bengaluru"/>
    <x v="0"/>
    <x v="9"/>
    <s v="CUST1315"/>
    <s v="SP_09"/>
    <n v="7"/>
    <n v="7085.65"/>
    <n v="49599.55"/>
    <n v="35406.42"/>
    <n v="14193.13"/>
    <s v="UPI"/>
  </r>
  <r>
    <s v="ORD100223"/>
    <s v="2025-01-11"/>
    <x v="9"/>
    <s v="West"/>
    <s v="Maharashtra"/>
    <s v="Mumbai"/>
    <x v="3"/>
    <x v="7"/>
    <s v="CUST1579"/>
    <s v="SP_03"/>
    <n v="2"/>
    <n v="11566.97"/>
    <n v="23133.94"/>
    <n v="17780.7"/>
    <n v="5353.24"/>
    <s v="Cash"/>
  </r>
  <r>
    <s v="ORD100224"/>
    <s v="2025-07-20"/>
    <x v="6"/>
    <s v="North"/>
    <s v="Punjab"/>
    <s v="Chandigarh"/>
    <x v="1"/>
    <x v="5"/>
    <s v="CUST1781"/>
    <s v="SP_14"/>
    <n v="3"/>
    <n v="9899.14"/>
    <n v="29697.42"/>
    <n v="22356.97"/>
    <n v="7340.45"/>
    <s v="Cash"/>
  </r>
  <r>
    <s v="ORD100225"/>
    <s v="2025-08-24"/>
    <x v="11"/>
    <s v="South"/>
    <s v="Telangana"/>
    <s v="Hyderabad"/>
    <x v="3"/>
    <x v="11"/>
    <s v="CUST1640"/>
    <s v="SP_09"/>
    <n v="8"/>
    <n v="126.49"/>
    <n v="1011.92"/>
    <n v="458.77"/>
    <n v="553.15"/>
    <s v="Credit Card"/>
  </r>
  <r>
    <s v="ORD100226"/>
    <s v="2025-12-12"/>
    <x v="7"/>
    <s v="East"/>
    <s v="Bihar"/>
    <s v="Patna"/>
    <x v="3"/>
    <x v="7"/>
    <s v="CUST1683"/>
    <s v="SP_10"/>
    <n v="8"/>
    <n v="13110.25"/>
    <n v="104882"/>
    <n v="70665.56"/>
    <n v="34216.44"/>
    <s v="Cash"/>
  </r>
  <r>
    <s v="ORD100227"/>
    <s v="2025-01-06"/>
    <x v="9"/>
    <s v="West"/>
    <s v="Rajasthan"/>
    <s v="Jaipur"/>
    <x v="2"/>
    <x v="2"/>
    <s v="CUST1810"/>
    <s v="SP_14"/>
    <n v="8"/>
    <n v="48622.63"/>
    <n v="388981.04"/>
    <n v="272054.27"/>
    <n v="116926.77"/>
    <s v="Debit Card"/>
  </r>
  <r>
    <s v="ORD100228"/>
    <s v="2025-08-19"/>
    <x v="11"/>
    <s v="South"/>
    <s v="Karnataka"/>
    <s v="Bengaluru"/>
    <x v="3"/>
    <x v="3"/>
    <s v="CUST1316"/>
    <s v="SP_13"/>
    <n v="1"/>
    <n v="27.44"/>
    <n v="27.44"/>
    <n v="9.52"/>
    <n v="17.920000000000002"/>
    <s v="Cash"/>
  </r>
  <r>
    <s v="ORD100229"/>
    <s v="2025-11-12"/>
    <x v="10"/>
    <s v="West"/>
    <s v="Rajasthan"/>
    <s v="Jaipur"/>
    <x v="1"/>
    <x v="6"/>
    <s v="CUST1953"/>
    <s v="SP_10"/>
    <n v="1"/>
    <n v="3199.27"/>
    <n v="3199.27"/>
    <n v="2487"/>
    <n v="712.27"/>
    <s v="Credit Card"/>
  </r>
  <r>
    <s v="ORD100230"/>
    <s v="2025-07-12"/>
    <x v="6"/>
    <s v="East"/>
    <s v="West Bengal"/>
    <s v="Kolkata"/>
    <x v="0"/>
    <x v="8"/>
    <s v="CUST1574"/>
    <s v="SP_12"/>
    <n v="2"/>
    <n v="20740.16"/>
    <n v="41480.32"/>
    <n v="32535.79"/>
    <n v="8944.5300000000007"/>
    <s v="Cash"/>
  </r>
  <r>
    <s v="ORD100231"/>
    <s v="2025-06-07"/>
    <x v="2"/>
    <s v="West"/>
    <s v="Rajasthan"/>
    <s v="Jaipur"/>
    <x v="0"/>
    <x v="0"/>
    <s v="CUST1724"/>
    <s v="SP_13"/>
    <n v="1"/>
    <n v="3273.03"/>
    <n v="3273.03"/>
    <n v="2278.81"/>
    <n v="994.22"/>
    <s v="UPI"/>
  </r>
  <r>
    <s v="ORD100232"/>
    <s v="2025-04-30"/>
    <x v="0"/>
    <s v="East"/>
    <s v="Bihar"/>
    <s v="Patna"/>
    <x v="0"/>
    <x v="8"/>
    <s v="CUST1819"/>
    <s v="SP_03"/>
    <n v="2"/>
    <n v="21054.14"/>
    <n v="42108.28"/>
    <n v="34692.47"/>
    <n v="7415.81"/>
    <s v="Credit Card"/>
  </r>
  <r>
    <s v="ORD100233"/>
    <s v="2025-07-31"/>
    <x v="6"/>
    <s v="North"/>
    <s v="Punjab"/>
    <s v="Chandigarh"/>
    <x v="2"/>
    <x v="4"/>
    <s v="CUST1766"/>
    <s v="SP_07"/>
    <n v="1"/>
    <n v="2419.4499999999998"/>
    <n v="2419.4499999999998"/>
    <n v="1554.01"/>
    <n v="865.44"/>
    <s v="Debit Card"/>
  </r>
  <r>
    <s v="ORD100234"/>
    <s v="2025-08-21"/>
    <x v="11"/>
    <s v="North"/>
    <s v="Uttar Pradesh"/>
    <s v="Lucknow"/>
    <x v="1"/>
    <x v="6"/>
    <s v="CUST1027"/>
    <s v="SP_12"/>
    <n v="5"/>
    <n v="3213.86"/>
    <n v="16069.3"/>
    <n v="11698.08"/>
    <n v="4371.22"/>
    <s v="Cash"/>
  </r>
  <r>
    <s v="ORD100235"/>
    <s v="2025-03-27"/>
    <x v="4"/>
    <s v="South"/>
    <s v="Tamil Nadu"/>
    <s v="Chennai"/>
    <x v="0"/>
    <x v="0"/>
    <s v="CUST1737"/>
    <s v="SP_11"/>
    <n v="5"/>
    <n v="3323.04"/>
    <n v="16615.2"/>
    <n v="11211.9"/>
    <n v="5403.3"/>
    <s v="Net Banking"/>
  </r>
  <r>
    <s v="ORD100236"/>
    <s v="2025-07-15"/>
    <x v="6"/>
    <s v="North"/>
    <s v="Uttar Pradesh"/>
    <s v="Lucknow"/>
    <x v="0"/>
    <x v="9"/>
    <s v="CUST1065"/>
    <s v="SP_02"/>
    <n v="2"/>
    <n v="6683.39"/>
    <n v="13366.78"/>
    <n v="9735.35"/>
    <n v="3631.43"/>
    <s v="Net Banking"/>
  </r>
  <r>
    <s v="ORD100237"/>
    <s v="2025-12-04"/>
    <x v="7"/>
    <s v="North"/>
    <s v="Delhi"/>
    <s v="Delhi"/>
    <x v="0"/>
    <x v="8"/>
    <s v="CUST1703"/>
    <s v="SP_07"/>
    <n v="1"/>
    <n v="20144.25"/>
    <n v="20144.25"/>
    <n v="17576.810000000001"/>
    <n v="2567.44"/>
    <s v="Debit Card"/>
  </r>
  <r>
    <s v="ORD100238"/>
    <s v="2025-03-01"/>
    <x v="4"/>
    <s v="South"/>
    <s v="Karnataka"/>
    <s v="Bengaluru"/>
    <x v="3"/>
    <x v="7"/>
    <s v="CUST1518"/>
    <s v="SP_14"/>
    <n v="2"/>
    <n v="10803.31"/>
    <n v="21606.62"/>
    <n v="18612.080000000002"/>
    <n v="2994.54"/>
    <s v="Credit Card"/>
  </r>
  <r>
    <s v="ORD100239"/>
    <s v="2025-06-23"/>
    <x v="2"/>
    <s v="West"/>
    <s v="Rajasthan"/>
    <s v="Jaipur"/>
    <x v="2"/>
    <x v="4"/>
    <s v="CUST1263"/>
    <s v="SP_10"/>
    <n v="1"/>
    <n v="2315.6999999999998"/>
    <n v="2315.6999999999998"/>
    <n v="1566.61"/>
    <n v="749.09"/>
    <s v="Net Banking"/>
  </r>
  <r>
    <s v="ORD100240"/>
    <s v="2025-07-13"/>
    <x v="6"/>
    <s v="West"/>
    <s v="Maharashtra"/>
    <s v="Mumbai"/>
    <x v="2"/>
    <x v="4"/>
    <s v="CUST1557"/>
    <s v="SP_10"/>
    <n v="1"/>
    <n v="2435.9899999999998"/>
    <n v="2435.9899999999998"/>
    <n v="1661.83"/>
    <n v="774.16"/>
    <s v="UPI"/>
  </r>
  <r>
    <s v="ORD100241"/>
    <s v="2025-01-15"/>
    <x v="9"/>
    <s v="West"/>
    <s v="Maharashtra"/>
    <s v="Mumbai"/>
    <x v="3"/>
    <x v="11"/>
    <s v="CUST1533"/>
    <s v="SP_09"/>
    <n v="2"/>
    <n v="119.41"/>
    <n v="238.82"/>
    <n v="123.89"/>
    <n v="114.93"/>
    <s v="Credit Card"/>
  </r>
  <r>
    <s v="ORD100242"/>
    <s v="2025-10-23"/>
    <x v="1"/>
    <s v="South"/>
    <s v="Karnataka"/>
    <s v="Bengaluru"/>
    <x v="0"/>
    <x v="8"/>
    <s v="CUST1734"/>
    <s v="SP_11"/>
    <n v="5"/>
    <n v="23969.21"/>
    <n v="119846.05"/>
    <n v="82700.14"/>
    <n v="37145.910000000003"/>
    <s v="Debit Card"/>
  </r>
  <r>
    <s v="ORD100243"/>
    <s v="2025-12-27"/>
    <x v="7"/>
    <s v="East"/>
    <s v="Bihar"/>
    <s v="Patna"/>
    <x v="3"/>
    <x v="3"/>
    <s v="CUST1776"/>
    <s v="SP_05"/>
    <n v="6"/>
    <n v="25.42"/>
    <n v="152.52000000000001"/>
    <n v="62.01"/>
    <n v="90.51"/>
    <s v="Cash"/>
  </r>
  <r>
    <s v="ORD100244"/>
    <s v="2025-08-17"/>
    <x v="11"/>
    <s v="West"/>
    <s v="Rajasthan"/>
    <s v="Jaipur"/>
    <x v="2"/>
    <x v="2"/>
    <s v="CUST1421"/>
    <s v="SP_15"/>
    <n v="6"/>
    <n v="46062.34"/>
    <n v="276374.03999999998"/>
    <n v="210842.72"/>
    <n v="65531.32"/>
    <s v="Credit Card"/>
  </r>
  <r>
    <s v="ORD100245"/>
    <s v="2025-08-30"/>
    <x v="11"/>
    <s v="East"/>
    <s v="Odisha"/>
    <s v="Bhubaneswar"/>
    <x v="0"/>
    <x v="8"/>
    <s v="CUST1841"/>
    <s v="SP_01"/>
    <n v="3"/>
    <n v="22335.91"/>
    <n v="67007.73"/>
    <n v="48882.97"/>
    <n v="18124.759999999998"/>
    <s v="Net Banking"/>
  </r>
  <r>
    <s v="ORD100246"/>
    <s v="2025-07-03"/>
    <x v="6"/>
    <s v="South"/>
    <s v="Tamil Nadu"/>
    <s v="Chennai"/>
    <x v="1"/>
    <x v="5"/>
    <s v="CUST1200"/>
    <s v="SP_05"/>
    <n v="8"/>
    <n v="10108.17"/>
    <n v="80865.36"/>
    <n v="61345.36"/>
    <n v="19520"/>
    <s v="Debit Card"/>
  </r>
  <r>
    <s v="ORD100247"/>
    <s v="2025-01-04"/>
    <x v="9"/>
    <s v="East"/>
    <s v="Odisha"/>
    <s v="Bhubaneswar"/>
    <x v="2"/>
    <x v="10"/>
    <s v="CUST1563"/>
    <s v="SP_10"/>
    <n v="4"/>
    <n v="16912.41"/>
    <n v="67649.64"/>
    <n v="54213.09"/>
    <n v="13436.55"/>
    <s v="UPI"/>
  </r>
  <r>
    <s v="ORD100248"/>
    <s v="2025-12-09"/>
    <x v="7"/>
    <s v="East"/>
    <s v="Bihar"/>
    <s v="Patna"/>
    <x v="2"/>
    <x v="2"/>
    <s v="CUST1311"/>
    <s v="SP_13"/>
    <n v="8"/>
    <n v="48988.82"/>
    <n v="391910.56"/>
    <n v="293056.67"/>
    <n v="98853.89"/>
    <s v="Credit Card"/>
  </r>
  <r>
    <s v="ORD100249"/>
    <s v="2025-02-09"/>
    <x v="8"/>
    <s v="North"/>
    <s v="Delhi"/>
    <s v="Delhi"/>
    <x v="0"/>
    <x v="9"/>
    <s v="CUST1137"/>
    <s v="SP_06"/>
    <n v="2"/>
    <n v="7315.63"/>
    <n v="14631.26"/>
    <n v="9818.2000000000007"/>
    <n v="4813.0600000000004"/>
    <s v="Cash"/>
  </r>
  <r>
    <s v="ORD100250"/>
    <s v="2025-01-30"/>
    <x v="9"/>
    <s v="South"/>
    <s v="Tamil Nadu"/>
    <s v="Chennai"/>
    <x v="0"/>
    <x v="0"/>
    <s v="CUST1488"/>
    <s v="SP_12"/>
    <n v="1"/>
    <n v="3289.35"/>
    <n v="3289.35"/>
    <n v="2247.09"/>
    <n v="1042.26"/>
    <s v="UPI"/>
  </r>
  <r>
    <s v="ORD100251"/>
    <s v="2025-10-01"/>
    <x v="1"/>
    <s v="North"/>
    <s v="Uttar Pradesh"/>
    <s v="Lucknow"/>
    <x v="1"/>
    <x v="1"/>
    <s v="CUST1055"/>
    <s v="SP_09"/>
    <n v="7"/>
    <n v="2666.1"/>
    <n v="18662.7"/>
    <n v="12971.71"/>
    <n v="5690.99"/>
    <s v="Credit Card"/>
  </r>
  <r>
    <s v="ORD100252"/>
    <s v="2025-09-23"/>
    <x v="5"/>
    <s v="East"/>
    <s v="West Bengal"/>
    <s v="Kolkata"/>
    <x v="2"/>
    <x v="2"/>
    <s v="CUST1715"/>
    <s v="SP_06"/>
    <n v="5"/>
    <n v="46684.34"/>
    <n v="233421.7"/>
    <n v="173303.49"/>
    <n v="60118.21"/>
    <s v="Net Banking"/>
  </r>
  <r>
    <s v="ORD100253"/>
    <s v="2025-08-04"/>
    <x v="11"/>
    <s v="West"/>
    <s v="Rajasthan"/>
    <s v="Jaipur"/>
    <x v="3"/>
    <x v="7"/>
    <s v="CUST1863"/>
    <s v="SP_06"/>
    <n v="3"/>
    <n v="11802.23"/>
    <n v="35406.69"/>
    <n v="27342.63"/>
    <n v="8064.06"/>
    <s v="Cash"/>
  </r>
  <r>
    <s v="ORD100254"/>
    <s v="2025-08-30"/>
    <x v="11"/>
    <s v="South"/>
    <s v="Telangana"/>
    <s v="Hyderabad"/>
    <x v="0"/>
    <x v="8"/>
    <s v="CUST1034"/>
    <s v="SP_02"/>
    <n v="1"/>
    <n v="23759.02"/>
    <n v="23759.02"/>
    <n v="16470.45"/>
    <n v="7288.57"/>
    <s v="Debit Card"/>
  </r>
  <r>
    <s v="ORD100255"/>
    <s v="2025-02-26"/>
    <x v="8"/>
    <s v="East"/>
    <s v="Odisha"/>
    <s v="Bhubaneswar"/>
    <x v="2"/>
    <x v="10"/>
    <s v="CUST1544"/>
    <s v="SP_08"/>
    <n v="4"/>
    <n v="19022.89"/>
    <n v="76091.56"/>
    <n v="57321.599999999999"/>
    <n v="18769.96"/>
    <s v="Credit Card"/>
  </r>
  <r>
    <s v="ORD100256"/>
    <s v="2025-10-21"/>
    <x v="1"/>
    <s v="South"/>
    <s v="Telangana"/>
    <s v="Hyderabad"/>
    <x v="0"/>
    <x v="0"/>
    <s v="CUST1419"/>
    <s v="SP_10"/>
    <n v="4"/>
    <n v="3517.27"/>
    <n v="14069.08"/>
    <n v="8529.7199999999993"/>
    <n v="5539.36"/>
    <s v="Credit Card"/>
  </r>
  <r>
    <s v="ORD100257"/>
    <s v="2025-08-19"/>
    <x v="11"/>
    <s v="West"/>
    <s v="Maharashtra"/>
    <s v="Mumbai"/>
    <x v="3"/>
    <x v="7"/>
    <s v="CUST1598"/>
    <s v="SP_15"/>
    <n v="8"/>
    <n v="12761.19"/>
    <n v="102089.52"/>
    <n v="73034.02"/>
    <n v="29055.5"/>
    <s v="UPI"/>
  </r>
  <r>
    <s v="ORD100258"/>
    <s v="2025-08-11"/>
    <x v="11"/>
    <s v="West"/>
    <s v="Rajasthan"/>
    <s v="Jaipur"/>
    <x v="2"/>
    <x v="4"/>
    <s v="CUST1371"/>
    <s v="SP_02"/>
    <n v="3"/>
    <n v="2474.35"/>
    <n v="7423.05"/>
    <n v="4927.3100000000004"/>
    <n v="2495.7399999999998"/>
    <s v="Debit Card"/>
  </r>
  <r>
    <s v="ORD100259"/>
    <s v="2025-01-27"/>
    <x v="9"/>
    <s v="West"/>
    <s v="Maharashtra"/>
    <s v="Mumbai"/>
    <x v="3"/>
    <x v="3"/>
    <s v="CUST1942"/>
    <s v="SP_06"/>
    <n v="2"/>
    <n v="25.99"/>
    <n v="51.98"/>
    <n v="19.91"/>
    <n v="32.07"/>
    <s v="Cash"/>
  </r>
  <r>
    <s v="ORD100260"/>
    <s v="2025-08-16"/>
    <x v="11"/>
    <s v="East"/>
    <s v="Bihar"/>
    <s v="Patna"/>
    <x v="1"/>
    <x v="6"/>
    <s v="CUST1891"/>
    <s v="SP_09"/>
    <n v="2"/>
    <n v="2979.88"/>
    <n v="5959.76"/>
    <n v="4597.79"/>
    <n v="1361.97"/>
    <s v="Cash"/>
  </r>
  <r>
    <s v="ORD100261"/>
    <s v="2025-03-30"/>
    <x v="4"/>
    <s v="West"/>
    <s v="Maharashtra"/>
    <s v="Mumbai"/>
    <x v="2"/>
    <x v="10"/>
    <s v="CUST1841"/>
    <s v="SP_01"/>
    <n v="7"/>
    <n v="17142.72"/>
    <n v="119999.03999999999"/>
    <n v="93552.99"/>
    <n v="26446.05"/>
    <s v="Cash"/>
  </r>
  <r>
    <s v="ORD100262"/>
    <s v="2025-07-11"/>
    <x v="6"/>
    <s v="West"/>
    <s v="Rajasthan"/>
    <s v="Jaipur"/>
    <x v="2"/>
    <x v="10"/>
    <s v="CUST1719"/>
    <s v="SP_02"/>
    <n v="5"/>
    <n v="16299.94"/>
    <n v="81499.7"/>
    <n v="66638.179999999993"/>
    <n v="14861.52"/>
    <s v="Net Banking"/>
  </r>
  <r>
    <s v="ORD100263"/>
    <s v="2025-09-25"/>
    <x v="5"/>
    <s v="North"/>
    <s v="Uttar Pradesh"/>
    <s v="Lucknow"/>
    <x v="0"/>
    <x v="0"/>
    <s v="CUST1771"/>
    <s v="SP_07"/>
    <n v="5"/>
    <n v="3625.6"/>
    <n v="18128"/>
    <n v="11199.05"/>
    <n v="6928.95"/>
    <s v="Net Banking"/>
  </r>
  <r>
    <s v="ORD100264"/>
    <s v="2025-04-09"/>
    <x v="0"/>
    <s v="West"/>
    <s v="Rajasthan"/>
    <s v="Jaipur"/>
    <x v="0"/>
    <x v="9"/>
    <s v="CUST1190"/>
    <s v="SP_10"/>
    <n v="1"/>
    <n v="7261.53"/>
    <n v="7261.53"/>
    <n v="5052.04"/>
    <n v="2209.4899999999998"/>
    <s v="UPI"/>
  </r>
  <r>
    <s v="ORD100265"/>
    <s v="2025-07-28"/>
    <x v="6"/>
    <s v="North"/>
    <s v="Delhi"/>
    <s v="Delhi"/>
    <x v="0"/>
    <x v="9"/>
    <s v="CUST1899"/>
    <s v="SP_08"/>
    <n v="1"/>
    <n v="6894.08"/>
    <n v="6894.08"/>
    <n v="5238.46"/>
    <n v="1655.62"/>
    <s v="Cash"/>
  </r>
  <r>
    <s v="ORD100266"/>
    <s v="2025-09-17"/>
    <x v="5"/>
    <s v="South"/>
    <s v="Karnataka"/>
    <s v="Bengaluru"/>
    <x v="2"/>
    <x v="4"/>
    <s v="CUST1563"/>
    <s v="SP_10"/>
    <n v="2"/>
    <n v="2610.0500000000002"/>
    <n v="5220.1000000000004"/>
    <n v="3253.51"/>
    <n v="1966.59"/>
    <s v="Cash"/>
  </r>
  <r>
    <s v="ORD100267"/>
    <s v="2025-01-12"/>
    <x v="9"/>
    <s v="North"/>
    <s v="Uttar Pradesh"/>
    <s v="Lucknow"/>
    <x v="2"/>
    <x v="2"/>
    <s v="CUST1225"/>
    <s v="SP_01"/>
    <n v="4"/>
    <n v="40933.21"/>
    <n v="163732.84"/>
    <n v="144256.54"/>
    <n v="19476.3"/>
    <s v="Cash"/>
  </r>
  <r>
    <s v="ORD100268"/>
    <s v="2025-01-31"/>
    <x v="9"/>
    <s v="East"/>
    <s v="Bihar"/>
    <s v="Patna"/>
    <x v="2"/>
    <x v="10"/>
    <s v="CUST1619"/>
    <s v="SP_08"/>
    <n v="2"/>
    <n v="19398.599999999999"/>
    <n v="38797.199999999997"/>
    <n v="28678.1"/>
    <n v="10119.1"/>
    <s v="Credit Card"/>
  </r>
  <r>
    <s v="ORD100269"/>
    <s v="2025-04-29"/>
    <x v="0"/>
    <s v="East"/>
    <s v="Bihar"/>
    <s v="Patna"/>
    <x v="0"/>
    <x v="9"/>
    <s v="CUST1210"/>
    <s v="SP_10"/>
    <n v="3"/>
    <n v="7514.27"/>
    <n v="22542.81"/>
    <n v="15608.1"/>
    <n v="6934.71"/>
    <s v="Debit Card"/>
  </r>
  <r>
    <s v="ORD100270"/>
    <s v="2025-06-27"/>
    <x v="2"/>
    <s v="East"/>
    <s v="Bihar"/>
    <s v="Patna"/>
    <x v="2"/>
    <x v="10"/>
    <s v="CUST1188"/>
    <s v="SP_08"/>
    <n v="1"/>
    <n v="19426.259999999998"/>
    <n v="19426.259999999998"/>
    <n v="13369.16"/>
    <n v="6057.1"/>
    <s v="Cash"/>
  </r>
  <r>
    <s v="ORD100271"/>
    <s v="2025-01-11"/>
    <x v="9"/>
    <s v="South"/>
    <s v="Tamil Nadu"/>
    <s v="Chennai"/>
    <x v="3"/>
    <x v="11"/>
    <s v="CUST1356"/>
    <s v="SP_09"/>
    <n v="4"/>
    <n v="123.75"/>
    <n v="495"/>
    <n v="230.35"/>
    <n v="264.64999999999998"/>
    <s v="Net Banking"/>
  </r>
  <r>
    <s v="ORD100272"/>
    <s v="2025-09-14"/>
    <x v="5"/>
    <s v="West"/>
    <s v="Rajasthan"/>
    <s v="Jaipur"/>
    <x v="2"/>
    <x v="4"/>
    <s v="CUST1044"/>
    <s v="SP_12"/>
    <n v="6"/>
    <n v="2552.4499999999998"/>
    <n v="15314.7"/>
    <n v="9658.41"/>
    <n v="5656.29"/>
    <s v="Cash"/>
  </r>
  <r>
    <s v="ORD100273"/>
    <s v="2025-07-29"/>
    <x v="6"/>
    <s v="West"/>
    <s v="Rajasthan"/>
    <s v="Jaipur"/>
    <x v="2"/>
    <x v="4"/>
    <s v="CUST1201"/>
    <s v="SP_01"/>
    <n v="8"/>
    <n v="2405.25"/>
    <n v="19242"/>
    <n v="12674.2"/>
    <n v="6567.8"/>
    <s v="Cash"/>
  </r>
  <r>
    <s v="ORD100274"/>
    <s v="2025-01-31"/>
    <x v="9"/>
    <s v="South"/>
    <s v="Karnataka"/>
    <s v="Bengaluru"/>
    <x v="1"/>
    <x v="1"/>
    <s v="CUST1382"/>
    <s v="SP_09"/>
    <n v="6"/>
    <n v="2770.92"/>
    <n v="16625.52"/>
    <n v="11361.06"/>
    <n v="5264.46"/>
    <s v="UPI"/>
  </r>
  <r>
    <s v="ORD100275"/>
    <s v="2025-04-05"/>
    <x v="0"/>
    <s v="East"/>
    <s v="Odisha"/>
    <s v="Bhubaneswar"/>
    <x v="0"/>
    <x v="9"/>
    <s v="CUST1723"/>
    <s v="SP_10"/>
    <n v="6"/>
    <n v="6931.71"/>
    <n v="41590.26"/>
    <n v="31145.94"/>
    <n v="10444.32"/>
    <s v="UPI"/>
  </r>
  <r>
    <s v="ORD100276"/>
    <s v="2025-07-31"/>
    <x v="6"/>
    <s v="North"/>
    <s v="Delhi"/>
    <s v="Delhi"/>
    <x v="2"/>
    <x v="10"/>
    <s v="CUST1540"/>
    <s v="SP_07"/>
    <n v="1"/>
    <n v="16383.73"/>
    <n v="16383.73"/>
    <n v="13461.66"/>
    <n v="2922.07"/>
    <s v="Debit Card"/>
  </r>
  <r>
    <s v="ORD100277"/>
    <s v="2025-11-03"/>
    <x v="10"/>
    <s v="South"/>
    <s v="Karnataka"/>
    <s v="Bengaluru"/>
    <x v="3"/>
    <x v="7"/>
    <s v="CUST1320"/>
    <s v="SP_09"/>
    <n v="3"/>
    <n v="13198.54"/>
    <n v="39595.620000000003"/>
    <n v="26559.37"/>
    <n v="13036.25"/>
    <s v="Credit Card"/>
  </r>
  <r>
    <s v="ORD100278"/>
    <s v="2025-04-30"/>
    <x v="0"/>
    <s v="East"/>
    <s v="Bihar"/>
    <s v="Patna"/>
    <x v="3"/>
    <x v="7"/>
    <s v="CUST1877"/>
    <s v="SP_04"/>
    <n v="8"/>
    <n v="13159.51"/>
    <n v="105276.08"/>
    <n v="74700.800000000003"/>
    <n v="30575.279999999999"/>
    <s v="Debit Card"/>
  </r>
  <r>
    <s v="ORD100279"/>
    <s v="2025-09-01"/>
    <x v="5"/>
    <s v="North"/>
    <s v="Uttar Pradesh"/>
    <s v="Lucknow"/>
    <x v="1"/>
    <x v="1"/>
    <s v="CUST1168"/>
    <s v="SP_12"/>
    <n v="3"/>
    <n v="2813.86"/>
    <n v="8441.58"/>
    <n v="5882.4"/>
    <n v="2559.1799999999998"/>
    <s v="UPI"/>
  </r>
  <r>
    <s v="ORD100280"/>
    <s v="2025-08-04"/>
    <x v="11"/>
    <s v="East"/>
    <s v="West Bengal"/>
    <s v="Kolkata"/>
    <x v="2"/>
    <x v="4"/>
    <s v="CUST1564"/>
    <s v="SP_03"/>
    <n v="7"/>
    <n v="2265.0300000000002"/>
    <n v="15855.21"/>
    <n v="11184.21"/>
    <n v="4671"/>
    <s v="Cash"/>
  </r>
  <r>
    <s v="ORD100281"/>
    <s v="2025-09-25"/>
    <x v="5"/>
    <s v="West"/>
    <s v="Gujarat"/>
    <s v="Ahmedabad"/>
    <x v="0"/>
    <x v="8"/>
    <s v="CUST1411"/>
    <s v="SP_06"/>
    <n v="4"/>
    <n v="21537.34"/>
    <n v="86149.36"/>
    <n v="67919.27"/>
    <n v="18230.09"/>
    <s v="Credit Card"/>
  </r>
  <r>
    <s v="ORD100282"/>
    <s v="2025-02-28"/>
    <x v="8"/>
    <s v="South"/>
    <s v="Tamil Nadu"/>
    <s v="Chennai"/>
    <x v="0"/>
    <x v="8"/>
    <s v="CUST1065"/>
    <s v="SP_12"/>
    <n v="7"/>
    <n v="22259.22"/>
    <n v="155814.54"/>
    <n v="120768.78"/>
    <n v="35045.760000000002"/>
    <s v="Debit Card"/>
  </r>
  <r>
    <s v="ORD100283"/>
    <s v="2025-03-04"/>
    <x v="4"/>
    <s v="North"/>
    <s v="Delhi"/>
    <s v="Delhi"/>
    <x v="0"/>
    <x v="9"/>
    <s v="CUST1975"/>
    <s v="SP_03"/>
    <n v="7"/>
    <n v="6416.15"/>
    <n v="44913.05"/>
    <n v="36308.25"/>
    <n v="8604.7999999999993"/>
    <s v="Net Banking"/>
  </r>
  <r>
    <s v="ORD100284"/>
    <s v="2025-04-23"/>
    <x v="0"/>
    <s v="East"/>
    <s v="West Bengal"/>
    <s v="Kolkata"/>
    <x v="1"/>
    <x v="5"/>
    <s v="CUST1903"/>
    <s v="SP_03"/>
    <n v="7"/>
    <n v="9912.64"/>
    <n v="69388.479999999996"/>
    <n v="51711.79"/>
    <n v="17676.689999999999"/>
    <s v="Debit Card"/>
  </r>
  <r>
    <s v="ORD100285"/>
    <s v="2025-12-30"/>
    <x v="7"/>
    <s v="West"/>
    <s v="Maharashtra"/>
    <s v="Mumbai"/>
    <x v="1"/>
    <x v="6"/>
    <s v="CUST1156"/>
    <s v="SP_06"/>
    <n v="3"/>
    <n v="3253.35"/>
    <n v="9760.0499999999993"/>
    <n v="6960.84"/>
    <n v="2799.21"/>
    <s v="Credit Card"/>
  </r>
  <r>
    <s v="ORD100286"/>
    <s v="2025-11-03"/>
    <x v="10"/>
    <s v="North"/>
    <s v="Uttar Pradesh"/>
    <s v="Lucknow"/>
    <x v="2"/>
    <x v="10"/>
    <s v="CUST1515"/>
    <s v="SP_02"/>
    <n v="7"/>
    <n v="18751.490000000002"/>
    <n v="131260.43"/>
    <n v="94478.93"/>
    <n v="36781.5"/>
    <s v="Net Banking"/>
  </r>
  <r>
    <s v="ORD100287"/>
    <s v="2025-11-11"/>
    <x v="10"/>
    <s v="West"/>
    <s v="Rajasthan"/>
    <s v="Jaipur"/>
    <x v="1"/>
    <x v="1"/>
    <s v="CUST1437"/>
    <s v="SP_06"/>
    <n v="4"/>
    <n v="2660.79"/>
    <n v="10643.16"/>
    <n v="7902.99"/>
    <n v="2740.17"/>
    <s v="Net Banking"/>
  </r>
  <r>
    <s v="ORD100288"/>
    <s v="2025-08-28"/>
    <x v="11"/>
    <s v="East"/>
    <s v="Odisha"/>
    <s v="Bhubaneswar"/>
    <x v="3"/>
    <x v="3"/>
    <s v="CUST1782"/>
    <s v="SP_14"/>
    <n v="1"/>
    <n v="25.43"/>
    <n v="25.43"/>
    <n v="9.7899999999999991"/>
    <n v="15.64"/>
    <s v="UPI"/>
  </r>
  <r>
    <s v="ORD100289"/>
    <s v="2025-12-10"/>
    <x v="7"/>
    <s v="West"/>
    <s v="Gujarat"/>
    <s v="Ahmedabad"/>
    <x v="1"/>
    <x v="5"/>
    <s v="CUST1770"/>
    <s v="SP_08"/>
    <n v="3"/>
    <n v="10265.56"/>
    <n v="30796.68"/>
    <n v="23158.03"/>
    <n v="7638.65"/>
    <s v="Net Banking"/>
  </r>
  <r>
    <s v="ORD100290"/>
    <s v="2025-02-10"/>
    <x v="8"/>
    <s v="South"/>
    <s v="Karnataka"/>
    <s v="Bengaluru"/>
    <x v="1"/>
    <x v="1"/>
    <s v="CUST1462"/>
    <s v="SP_11"/>
    <n v="6"/>
    <n v="2725.01"/>
    <n v="16350.06"/>
    <n v="11001.04"/>
    <n v="5349.02"/>
    <s v="UPI"/>
  </r>
  <r>
    <s v="ORD100291"/>
    <s v="2025-09-30"/>
    <x v="5"/>
    <s v="North"/>
    <s v="Punjab"/>
    <s v="Chandigarh"/>
    <x v="2"/>
    <x v="4"/>
    <s v="CUST1414"/>
    <s v="SP_09"/>
    <n v="7"/>
    <n v="2354.39"/>
    <n v="16480.73"/>
    <n v="11109.01"/>
    <n v="5371.72"/>
    <s v="UPI"/>
  </r>
  <r>
    <s v="ORD100292"/>
    <s v="2025-01-24"/>
    <x v="9"/>
    <s v="East"/>
    <s v="West Bengal"/>
    <s v="Kolkata"/>
    <x v="2"/>
    <x v="2"/>
    <s v="CUST1001"/>
    <s v="SP_07"/>
    <n v="6"/>
    <n v="40723.03"/>
    <n v="244338.18"/>
    <n v="216894.74"/>
    <n v="27443.439999999999"/>
    <s v="Credit Card"/>
  </r>
  <r>
    <s v="ORD100293"/>
    <s v="2025-09-05"/>
    <x v="5"/>
    <s v="North"/>
    <s v="Uttar Pradesh"/>
    <s v="Lucknow"/>
    <x v="2"/>
    <x v="4"/>
    <s v="CUST1621"/>
    <s v="SP_09"/>
    <n v="7"/>
    <n v="2674.29"/>
    <n v="18720.03"/>
    <n v="10730.2"/>
    <n v="7989.83"/>
    <s v="Debit Card"/>
  </r>
  <r>
    <s v="ORD100294"/>
    <s v="2025-03-19"/>
    <x v="4"/>
    <s v="East"/>
    <s v="West Bengal"/>
    <s v="Kolkata"/>
    <x v="0"/>
    <x v="8"/>
    <s v="CUST1844"/>
    <s v="SP_08"/>
    <n v="7"/>
    <n v="22494.48"/>
    <n v="157461.35999999999"/>
    <n v="119404.61"/>
    <n v="38056.75"/>
    <s v="Net Banking"/>
  </r>
  <r>
    <s v="ORD100295"/>
    <s v="2025-12-10"/>
    <x v="7"/>
    <s v="East"/>
    <s v="Bihar"/>
    <s v="Patna"/>
    <x v="0"/>
    <x v="8"/>
    <s v="CUST1575"/>
    <s v="SP_12"/>
    <n v="3"/>
    <n v="20491.580000000002"/>
    <n v="61474.74"/>
    <n v="53518.48"/>
    <n v="7956.26"/>
    <s v="Cash"/>
  </r>
  <r>
    <s v="ORD100296"/>
    <s v="2025-04-27"/>
    <x v="0"/>
    <s v="East"/>
    <s v="Bihar"/>
    <s v="Patna"/>
    <x v="0"/>
    <x v="0"/>
    <s v="CUST1237"/>
    <s v="SP_13"/>
    <n v="5"/>
    <n v="3555.08"/>
    <n v="17775.400000000001"/>
    <n v="11159.2"/>
    <n v="6616.2"/>
    <s v="Cash"/>
  </r>
  <r>
    <s v="ORD100297"/>
    <s v="2025-12-23"/>
    <x v="7"/>
    <s v="South"/>
    <s v="Tamil Nadu"/>
    <s v="Chennai"/>
    <x v="1"/>
    <x v="5"/>
    <s v="CUST1313"/>
    <s v="SP_15"/>
    <n v="8"/>
    <n v="9178.6"/>
    <n v="73428.800000000003"/>
    <n v="60063.38"/>
    <n v="13365.42"/>
    <s v="Cash"/>
  </r>
  <r>
    <s v="ORD100298"/>
    <s v="2025-05-31"/>
    <x v="3"/>
    <s v="North"/>
    <s v="Delhi"/>
    <s v="Delhi"/>
    <x v="0"/>
    <x v="9"/>
    <s v="CUST1138"/>
    <s v="SP_15"/>
    <n v="3"/>
    <n v="6807.35"/>
    <n v="20422.05"/>
    <n v="14347.31"/>
    <n v="6074.74"/>
    <s v="Credit Card"/>
  </r>
  <r>
    <s v="ORD100299"/>
    <s v="2025-11-16"/>
    <x v="10"/>
    <s v="East"/>
    <s v="Bihar"/>
    <s v="Patna"/>
    <x v="1"/>
    <x v="1"/>
    <s v="CUST1195"/>
    <s v="SP_07"/>
    <n v="2"/>
    <n v="2824.51"/>
    <n v="5649.02"/>
    <n v="3861.18"/>
    <n v="1787.84"/>
    <s v="Cash"/>
  </r>
  <r>
    <s v="ORD100300"/>
    <s v="2025-01-11"/>
    <x v="9"/>
    <s v="East"/>
    <s v="Odisha"/>
    <s v="Bhubaneswar"/>
    <x v="2"/>
    <x v="2"/>
    <s v="CUST1613"/>
    <s v="SP_02"/>
    <n v="4"/>
    <n v="42709.2"/>
    <n v="170836.8"/>
    <n v="138763.6"/>
    <n v="32073.200000000001"/>
    <s v="Net Banking"/>
  </r>
  <r>
    <s v="ORD100301"/>
    <s v="2025-02-24"/>
    <x v="8"/>
    <s v="West"/>
    <s v="Gujarat"/>
    <s v="Ahmedabad"/>
    <x v="0"/>
    <x v="8"/>
    <s v="CUST1246"/>
    <s v="SP_01"/>
    <n v="7"/>
    <n v="24000.04"/>
    <n v="168000.28"/>
    <n v="117875.41"/>
    <n v="50124.87"/>
    <s v="Cash"/>
  </r>
  <r>
    <s v="ORD100302"/>
    <s v="2025-05-20"/>
    <x v="3"/>
    <s v="West"/>
    <s v="Rajasthan"/>
    <s v="Jaipur"/>
    <x v="0"/>
    <x v="8"/>
    <s v="CUST1378"/>
    <s v="SP_06"/>
    <n v="4"/>
    <n v="23626.19"/>
    <n v="94504.76"/>
    <n v="69237.11"/>
    <n v="25267.65"/>
    <s v="UPI"/>
  </r>
  <r>
    <s v="ORD100303"/>
    <s v="2025-08-15"/>
    <x v="11"/>
    <s v="South"/>
    <s v="Telangana"/>
    <s v="Hyderabad"/>
    <x v="0"/>
    <x v="9"/>
    <s v="CUST1699"/>
    <s v="SP_11"/>
    <n v="4"/>
    <n v="6671.94"/>
    <n v="26687.759999999998"/>
    <n v="20828.12"/>
    <n v="5859.64"/>
    <s v="Net Banking"/>
  </r>
  <r>
    <s v="ORD100304"/>
    <s v="2025-08-12"/>
    <x v="11"/>
    <s v="East"/>
    <s v="West Bengal"/>
    <s v="Kolkata"/>
    <x v="0"/>
    <x v="0"/>
    <s v="CUST1550"/>
    <s v="SP_03"/>
    <n v="2"/>
    <n v="3505.21"/>
    <n v="7010.42"/>
    <n v="4303.24"/>
    <n v="2707.18"/>
    <s v="UPI"/>
  </r>
  <r>
    <s v="ORD100305"/>
    <s v="2025-09-22"/>
    <x v="5"/>
    <s v="South"/>
    <s v="Telangana"/>
    <s v="Hyderabad"/>
    <x v="0"/>
    <x v="8"/>
    <s v="CUST1815"/>
    <s v="SP_02"/>
    <n v="6"/>
    <n v="21541.3"/>
    <n v="129247.8"/>
    <n v="97945.22"/>
    <n v="31302.58"/>
    <s v="Net Banking"/>
  </r>
  <r>
    <s v="ORD100306"/>
    <s v="2025-07-10"/>
    <x v="6"/>
    <s v="North"/>
    <s v="Delhi"/>
    <s v="Delhi"/>
    <x v="1"/>
    <x v="5"/>
    <s v="CUST1825"/>
    <s v="SP_07"/>
    <n v="3"/>
    <n v="9132.11"/>
    <n v="27396.33"/>
    <n v="22841.78"/>
    <n v="4554.55"/>
    <s v="Cash"/>
  </r>
  <r>
    <s v="ORD100307"/>
    <s v="2025-02-16"/>
    <x v="8"/>
    <s v="West"/>
    <s v="Rajasthan"/>
    <s v="Jaipur"/>
    <x v="2"/>
    <x v="10"/>
    <s v="CUST1949"/>
    <s v="SP_05"/>
    <n v="1"/>
    <n v="17073.650000000001"/>
    <n v="17073.650000000001"/>
    <n v="13318.07"/>
    <n v="3755.58"/>
    <s v="Credit Card"/>
  </r>
  <r>
    <s v="ORD100308"/>
    <s v="2025-05-31"/>
    <x v="3"/>
    <s v="East"/>
    <s v="Odisha"/>
    <s v="Bhubaneswar"/>
    <x v="2"/>
    <x v="10"/>
    <s v="CUST1043"/>
    <s v="SP_14"/>
    <n v="8"/>
    <n v="19456.53"/>
    <n v="155652.24"/>
    <n v="112678.63"/>
    <n v="42973.61"/>
    <s v="UPI"/>
  </r>
  <r>
    <s v="ORD100309"/>
    <s v="2025-06-21"/>
    <x v="2"/>
    <s v="North"/>
    <s v="Uttar Pradesh"/>
    <s v="Lucknow"/>
    <x v="1"/>
    <x v="6"/>
    <s v="CUST1841"/>
    <s v="SP_13"/>
    <n v="6"/>
    <n v="3177.36"/>
    <n v="19064.16"/>
    <n v="14372.57"/>
    <n v="4691.59"/>
    <s v="Cash"/>
  </r>
  <r>
    <s v="ORD100310"/>
    <s v="2025-01-09"/>
    <x v="9"/>
    <s v="West"/>
    <s v="Maharashtra"/>
    <s v="Mumbai"/>
    <x v="3"/>
    <x v="7"/>
    <s v="CUST1760"/>
    <s v="SP_02"/>
    <n v="2"/>
    <n v="12268.48"/>
    <n v="24536.959999999999"/>
    <n v="17567.990000000002"/>
    <n v="6968.97"/>
    <s v="Cash"/>
  </r>
  <r>
    <s v="ORD100311"/>
    <s v="2025-01-26"/>
    <x v="9"/>
    <s v="North"/>
    <s v="Delhi"/>
    <s v="Delhi"/>
    <x v="1"/>
    <x v="1"/>
    <s v="CUST1598"/>
    <s v="SP_01"/>
    <n v="2"/>
    <n v="3009.75"/>
    <n v="6019.5"/>
    <n v="3901.27"/>
    <n v="2118.23"/>
    <s v="UPI"/>
  </r>
  <r>
    <s v="ORD100312"/>
    <s v="2025-01-04"/>
    <x v="9"/>
    <s v="East"/>
    <s v="Odisha"/>
    <s v="Bhubaneswar"/>
    <x v="1"/>
    <x v="6"/>
    <s v="CUST1515"/>
    <s v="SP_02"/>
    <n v="8"/>
    <n v="3127.07"/>
    <n v="25016.560000000001"/>
    <n v="18359.41"/>
    <n v="6657.15"/>
    <s v="Cash"/>
  </r>
  <r>
    <s v="ORD100313"/>
    <s v="2025-06-03"/>
    <x v="2"/>
    <s v="South"/>
    <s v="Karnataka"/>
    <s v="Bengaluru"/>
    <x v="0"/>
    <x v="0"/>
    <s v="CUST1476"/>
    <s v="SP_12"/>
    <n v="2"/>
    <n v="3273"/>
    <n v="6546"/>
    <n v="4384.3"/>
    <n v="2161.6999999999998"/>
    <s v="Debit Card"/>
  </r>
  <r>
    <s v="ORD100314"/>
    <s v="2025-05-13"/>
    <x v="3"/>
    <s v="East"/>
    <s v="Bihar"/>
    <s v="Patna"/>
    <x v="2"/>
    <x v="2"/>
    <s v="CUST1477"/>
    <s v="SP_06"/>
    <n v="1"/>
    <n v="44033.59"/>
    <n v="44033.59"/>
    <n v="33979.39"/>
    <n v="10054.200000000001"/>
    <s v="Net Banking"/>
  </r>
  <r>
    <s v="ORD100315"/>
    <s v="2025-07-24"/>
    <x v="6"/>
    <s v="North"/>
    <s v="Punjab"/>
    <s v="Chandigarh"/>
    <x v="1"/>
    <x v="1"/>
    <s v="CUST1988"/>
    <s v="SP_02"/>
    <n v="8"/>
    <n v="2837"/>
    <n v="22696"/>
    <n v="14636.41"/>
    <n v="8059.59"/>
    <s v="Cash"/>
  </r>
  <r>
    <s v="ORD100316"/>
    <s v="2025-12-30"/>
    <x v="7"/>
    <s v="West"/>
    <s v="Maharashtra"/>
    <s v="Mumbai"/>
    <x v="0"/>
    <x v="8"/>
    <s v="CUST1079"/>
    <s v="SP_10"/>
    <n v="2"/>
    <n v="20237.78"/>
    <n v="40475.56"/>
    <n v="34752"/>
    <n v="5723.56"/>
    <s v="Credit Card"/>
  </r>
  <r>
    <s v="ORD100317"/>
    <s v="2025-12-03"/>
    <x v="7"/>
    <s v="South"/>
    <s v="Karnataka"/>
    <s v="Bengaluru"/>
    <x v="2"/>
    <x v="2"/>
    <s v="CUST1309"/>
    <s v="SP_05"/>
    <n v="4"/>
    <n v="44543.41"/>
    <n v="178173.64"/>
    <n v="142548.76999999999"/>
    <n v="35624.870000000003"/>
    <s v="UPI"/>
  </r>
  <r>
    <s v="ORD100318"/>
    <s v="2025-03-27"/>
    <x v="4"/>
    <s v="East"/>
    <s v="Odisha"/>
    <s v="Bhubaneswar"/>
    <x v="0"/>
    <x v="0"/>
    <s v="CUST1682"/>
    <s v="SP_01"/>
    <n v="8"/>
    <n v="3742.73"/>
    <n v="29941.84"/>
    <n v="18219.03"/>
    <n v="11722.81"/>
    <s v="Debit Card"/>
  </r>
  <r>
    <s v="ORD100319"/>
    <s v="2025-01-06"/>
    <x v="9"/>
    <s v="South"/>
    <s v="Karnataka"/>
    <s v="Bengaluru"/>
    <x v="0"/>
    <x v="8"/>
    <s v="CUST1602"/>
    <s v="SP_04"/>
    <n v="3"/>
    <n v="23101.74"/>
    <n v="69305.22"/>
    <n v="51065.24"/>
    <n v="18239.98"/>
    <s v="Cash"/>
  </r>
  <r>
    <s v="ORD100320"/>
    <s v="2025-06-22"/>
    <x v="2"/>
    <s v="West"/>
    <s v="Maharashtra"/>
    <s v="Mumbai"/>
    <x v="1"/>
    <x v="6"/>
    <s v="CUST1698"/>
    <s v="SP_02"/>
    <n v="3"/>
    <n v="2899.86"/>
    <n v="8699.58"/>
    <n v="6999.05"/>
    <n v="1700.53"/>
    <s v="Debit Card"/>
  </r>
  <r>
    <s v="ORD100321"/>
    <s v="2025-08-21"/>
    <x v="11"/>
    <s v="East"/>
    <s v="Bihar"/>
    <s v="Patna"/>
    <x v="1"/>
    <x v="5"/>
    <s v="CUST1715"/>
    <s v="SP_13"/>
    <n v="2"/>
    <n v="8976.1"/>
    <n v="17952.2"/>
    <n v="15558.62"/>
    <n v="2393.58"/>
    <s v="Credit Card"/>
  </r>
  <r>
    <s v="ORD100322"/>
    <s v="2025-09-27"/>
    <x v="5"/>
    <s v="East"/>
    <s v="Odisha"/>
    <s v="Bhubaneswar"/>
    <x v="1"/>
    <x v="1"/>
    <s v="CUST1717"/>
    <s v="SP_14"/>
    <n v="4"/>
    <n v="3058.39"/>
    <n v="12233.56"/>
    <n v="7529.18"/>
    <n v="4704.38"/>
    <s v="Debit Card"/>
  </r>
  <r>
    <s v="ORD100323"/>
    <s v="2025-11-04"/>
    <x v="10"/>
    <s v="West"/>
    <s v="Rajasthan"/>
    <s v="Jaipur"/>
    <x v="0"/>
    <x v="8"/>
    <s v="CUST1466"/>
    <s v="SP_01"/>
    <n v="3"/>
    <n v="23536.63"/>
    <n v="70609.89"/>
    <n v="48544.75"/>
    <n v="22065.14"/>
    <s v="Debit Card"/>
  </r>
  <r>
    <s v="ORD100324"/>
    <s v="2025-02-22"/>
    <x v="8"/>
    <s v="North"/>
    <s v="Punjab"/>
    <s v="Chandigarh"/>
    <x v="2"/>
    <x v="4"/>
    <s v="CUST1315"/>
    <s v="SP_11"/>
    <n v="1"/>
    <n v="2342.37"/>
    <n v="2342.37"/>
    <n v="1675.61"/>
    <n v="666.76"/>
    <s v="Debit Card"/>
  </r>
  <r>
    <s v="ORD100325"/>
    <s v="2025-09-03"/>
    <x v="5"/>
    <s v="West"/>
    <s v="Gujarat"/>
    <s v="Ahmedabad"/>
    <x v="3"/>
    <x v="7"/>
    <s v="CUST1262"/>
    <s v="SP_13"/>
    <n v="1"/>
    <n v="10837.99"/>
    <n v="10837.99"/>
    <n v="8641.35"/>
    <n v="2196.64"/>
    <s v="Net Banking"/>
  </r>
  <r>
    <s v="ORD100326"/>
    <s v="2025-10-11"/>
    <x v="1"/>
    <s v="South"/>
    <s v="Telangana"/>
    <s v="Hyderabad"/>
    <x v="2"/>
    <x v="10"/>
    <s v="CUST1441"/>
    <s v="SP_12"/>
    <n v="5"/>
    <n v="19436.009999999998"/>
    <n v="97180.05"/>
    <n v="71743.789999999994"/>
    <n v="25436.26"/>
    <s v="UPI"/>
  </r>
  <r>
    <s v="ORD100327"/>
    <s v="2025-09-04"/>
    <x v="5"/>
    <s v="South"/>
    <s v="Telangana"/>
    <s v="Hyderabad"/>
    <x v="1"/>
    <x v="6"/>
    <s v="CUST1469"/>
    <s v="SP_01"/>
    <n v="3"/>
    <n v="3228.57"/>
    <n v="9685.7099999999991"/>
    <n v="7322.14"/>
    <n v="2363.5700000000002"/>
    <s v="Debit Card"/>
  </r>
  <r>
    <s v="ORD100328"/>
    <s v="2025-05-12"/>
    <x v="3"/>
    <s v="East"/>
    <s v="Odisha"/>
    <s v="Bhubaneswar"/>
    <x v="3"/>
    <x v="3"/>
    <s v="CUST1348"/>
    <s v="SP_14"/>
    <n v="6"/>
    <n v="25.75"/>
    <n v="154.5"/>
    <n v="58.53"/>
    <n v="95.97"/>
    <s v="Debit Card"/>
  </r>
  <r>
    <s v="ORD100329"/>
    <s v="2025-02-08"/>
    <x v="8"/>
    <s v="West"/>
    <s v="Gujarat"/>
    <s v="Ahmedabad"/>
    <x v="3"/>
    <x v="11"/>
    <s v="CUST1732"/>
    <s v="SP_14"/>
    <n v="2"/>
    <n v="111.8"/>
    <n v="223.6"/>
    <n v="115.52"/>
    <n v="108.08"/>
    <s v="Debit Card"/>
  </r>
  <r>
    <s v="ORD100330"/>
    <s v="2025-08-15"/>
    <x v="11"/>
    <s v="South"/>
    <s v="Telangana"/>
    <s v="Hyderabad"/>
    <x v="2"/>
    <x v="10"/>
    <s v="CUST1817"/>
    <s v="SP_13"/>
    <n v="7"/>
    <n v="18406.900000000001"/>
    <n v="128848.3"/>
    <n v="95677.56"/>
    <n v="33170.74"/>
    <s v="Debit Card"/>
  </r>
  <r>
    <s v="ORD100331"/>
    <s v="2025-02-13"/>
    <x v="8"/>
    <s v="North"/>
    <s v="Uttar Pradesh"/>
    <s v="Lucknow"/>
    <x v="3"/>
    <x v="7"/>
    <s v="CUST1522"/>
    <s v="SP_08"/>
    <n v="6"/>
    <n v="11007.59"/>
    <n v="66045.539999999994"/>
    <n v="55449.24"/>
    <n v="10596.3"/>
    <s v="Cash"/>
  </r>
  <r>
    <s v="ORD100332"/>
    <s v="2025-04-08"/>
    <x v="0"/>
    <s v="North"/>
    <s v="Uttar Pradesh"/>
    <s v="Lucknow"/>
    <x v="0"/>
    <x v="9"/>
    <s v="CUST1604"/>
    <s v="SP_11"/>
    <n v="3"/>
    <n v="7391.39"/>
    <n v="22174.17"/>
    <n v="15636.28"/>
    <n v="6537.89"/>
    <s v="Debit Card"/>
  </r>
  <r>
    <s v="ORD100333"/>
    <s v="2025-03-06"/>
    <x v="4"/>
    <s v="East"/>
    <s v="West Bengal"/>
    <s v="Kolkata"/>
    <x v="1"/>
    <x v="6"/>
    <s v="CUST1670"/>
    <s v="SP_13"/>
    <n v="7"/>
    <n v="3501.03"/>
    <n v="24507.21"/>
    <n v="16215.04"/>
    <n v="8292.17"/>
    <s v="Net Banking"/>
  </r>
  <r>
    <s v="ORD100334"/>
    <s v="2025-02-03"/>
    <x v="8"/>
    <s v="North"/>
    <s v="Uttar Pradesh"/>
    <s v="Lucknow"/>
    <x v="2"/>
    <x v="4"/>
    <s v="CUST1297"/>
    <s v="SP_04"/>
    <n v="5"/>
    <n v="2442.44"/>
    <n v="12212.2"/>
    <n v="7648.46"/>
    <n v="4563.74"/>
    <s v="Credit Card"/>
  </r>
  <r>
    <s v="ORD100335"/>
    <s v="2025-04-30"/>
    <x v="0"/>
    <s v="North"/>
    <s v="Uttar Pradesh"/>
    <s v="Lucknow"/>
    <x v="3"/>
    <x v="3"/>
    <s v="CUST1466"/>
    <s v="SP_12"/>
    <n v="1"/>
    <n v="24.94"/>
    <n v="24.94"/>
    <n v="9.99"/>
    <n v="14.95"/>
    <s v="Debit Card"/>
  </r>
  <r>
    <s v="ORD100336"/>
    <s v="2025-11-09"/>
    <x v="10"/>
    <s v="North"/>
    <s v="Punjab"/>
    <s v="Chandigarh"/>
    <x v="1"/>
    <x v="6"/>
    <s v="CUST1183"/>
    <s v="SP_04"/>
    <n v="1"/>
    <n v="3364.63"/>
    <n v="3364.63"/>
    <n v="2324.84"/>
    <n v="1039.79"/>
    <s v="Cash"/>
  </r>
  <r>
    <s v="ORD100337"/>
    <s v="2025-12-05"/>
    <x v="7"/>
    <s v="South"/>
    <s v="Karnataka"/>
    <s v="Bengaluru"/>
    <x v="3"/>
    <x v="7"/>
    <s v="CUST1641"/>
    <s v="SP_06"/>
    <n v="1"/>
    <n v="12751.21"/>
    <n v="12751.21"/>
    <n v="9206.65"/>
    <n v="3544.56"/>
    <s v="Credit Card"/>
  </r>
  <r>
    <s v="ORD100338"/>
    <s v="2025-06-17"/>
    <x v="2"/>
    <s v="West"/>
    <s v="Rajasthan"/>
    <s v="Jaipur"/>
    <x v="2"/>
    <x v="2"/>
    <s v="CUST1035"/>
    <s v="SP_12"/>
    <n v="2"/>
    <n v="43799.44"/>
    <n v="87598.88"/>
    <n v="67667.41"/>
    <n v="19931.47"/>
    <s v="Debit Card"/>
  </r>
  <r>
    <s v="ORD100339"/>
    <s v="2025-11-14"/>
    <x v="10"/>
    <s v="East"/>
    <s v="Bihar"/>
    <s v="Patna"/>
    <x v="0"/>
    <x v="0"/>
    <s v="CUST1040"/>
    <s v="SP_12"/>
    <n v="2"/>
    <n v="3461.06"/>
    <n v="6922.12"/>
    <n v="4545.67"/>
    <n v="2376.4499999999998"/>
    <s v="Net Banking"/>
  </r>
  <r>
    <s v="ORD100340"/>
    <s v="2025-04-10"/>
    <x v="0"/>
    <s v="East"/>
    <s v="Bihar"/>
    <s v="Patna"/>
    <x v="0"/>
    <x v="9"/>
    <s v="CUST1947"/>
    <s v="SP_09"/>
    <n v="2"/>
    <n v="6553.13"/>
    <n v="13106.26"/>
    <n v="10081.780000000001"/>
    <n v="3024.48"/>
    <s v="UPI"/>
  </r>
  <r>
    <s v="ORD100341"/>
    <s v="2025-04-30"/>
    <x v="0"/>
    <s v="North"/>
    <s v="Punjab"/>
    <s v="Chandigarh"/>
    <x v="0"/>
    <x v="8"/>
    <s v="CUST1630"/>
    <s v="SP_01"/>
    <n v="8"/>
    <n v="24036.51"/>
    <n v="192292.08"/>
    <n v="141315.92000000001"/>
    <n v="50976.160000000003"/>
    <s v="Credit Card"/>
  </r>
  <r>
    <s v="ORD100342"/>
    <s v="2025-01-11"/>
    <x v="9"/>
    <s v="South"/>
    <s v="Karnataka"/>
    <s v="Bengaluru"/>
    <x v="1"/>
    <x v="5"/>
    <s v="CUST1443"/>
    <s v="SP_11"/>
    <n v="7"/>
    <n v="9291.3700000000008"/>
    <n v="65039.59"/>
    <n v="55603.59"/>
    <n v="9436"/>
    <s v="Net Banking"/>
  </r>
  <r>
    <s v="ORD100343"/>
    <s v="2025-04-14"/>
    <x v="0"/>
    <s v="North"/>
    <s v="Delhi"/>
    <s v="Delhi"/>
    <x v="2"/>
    <x v="10"/>
    <s v="CUST1403"/>
    <s v="SP_04"/>
    <n v="8"/>
    <n v="16589.89"/>
    <n v="132719.12"/>
    <n v="107150.2"/>
    <n v="25568.92"/>
    <s v="Credit Card"/>
  </r>
  <r>
    <s v="ORD100344"/>
    <s v="2025-10-24"/>
    <x v="1"/>
    <s v="East"/>
    <s v="Bihar"/>
    <s v="Patna"/>
    <x v="0"/>
    <x v="8"/>
    <s v="CUST1969"/>
    <s v="SP_07"/>
    <n v="4"/>
    <n v="22151.03"/>
    <n v="88604.12"/>
    <n v="67478.14"/>
    <n v="21125.98"/>
    <s v="Credit Card"/>
  </r>
  <r>
    <s v="ORD100345"/>
    <s v="2025-05-22"/>
    <x v="3"/>
    <s v="South"/>
    <s v="Telangana"/>
    <s v="Hyderabad"/>
    <x v="0"/>
    <x v="0"/>
    <s v="CUST1048"/>
    <s v="SP_08"/>
    <n v="1"/>
    <n v="3216.56"/>
    <n v="3216.56"/>
    <n v="2229.2800000000002"/>
    <n v="987.28"/>
    <s v="UPI"/>
  </r>
  <r>
    <s v="ORD100346"/>
    <s v="2025-06-26"/>
    <x v="2"/>
    <s v="West"/>
    <s v="Rajasthan"/>
    <s v="Jaipur"/>
    <x v="3"/>
    <x v="3"/>
    <s v="CUST1021"/>
    <s v="SP_08"/>
    <n v="4"/>
    <n v="24.85"/>
    <n v="99.4"/>
    <n v="40.82"/>
    <n v="58.58"/>
    <s v="UPI"/>
  </r>
  <r>
    <s v="ORD100347"/>
    <s v="2025-11-29"/>
    <x v="10"/>
    <s v="East"/>
    <s v="Bihar"/>
    <s v="Patna"/>
    <x v="0"/>
    <x v="9"/>
    <s v="CUST1244"/>
    <s v="SP_04"/>
    <n v="5"/>
    <n v="6672.2"/>
    <n v="33361"/>
    <n v="25067.200000000001"/>
    <n v="8293.7999999999993"/>
    <s v="Credit Card"/>
  </r>
  <r>
    <s v="ORD100348"/>
    <s v="2025-01-07"/>
    <x v="9"/>
    <s v="East"/>
    <s v="Odisha"/>
    <s v="Bhubaneswar"/>
    <x v="0"/>
    <x v="8"/>
    <s v="CUST1606"/>
    <s v="SP_04"/>
    <n v="7"/>
    <n v="22299.34"/>
    <n v="156095.38"/>
    <n v="118289.95"/>
    <n v="37805.43"/>
    <s v="Cash"/>
  </r>
  <r>
    <s v="ORD100349"/>
    <s v="2025-06-18"/>
    <x v="2"/>
    <s v="South"/>
    <s v="Tamil Nadu"/>
    <s v="Chennai"/>
    <x v="3"/>
    <x v="3"/>
    <s v="CUST1856"/>
    <s v="SP_02"/>
    <n v="6"/>
    <n v="22.97"/>
    <n v="137.82"/>
    <n v="58.05"/>
    <n v="79.77"/>
    <s v="Debit Card"/>
  </r>
  <r>
    <s v="ORD100350"/>
    <s v="2025-07-15"/>
    <x v="6"/>
    <s v="North"/>
    <s v="Delhi"/>
    <s v="Delhi"/>
    <x v="2"/>
    <x v="10"/>
    <s v="CUST1102"/>
    <s v="SP_14"/>
    <n v="3"/>
    <n v="17135.419999999998"/>
    <n v="51406.26"/>
    <n v="42103.9"/>
    <n v="9302.36"/>
    <s v="Credit Card"/>
  </r>
  <r>
    <s v="ORD100351"/>
    <s v="2025-07-05"/>
    <x v="6"/>
    <s v="South"/>
    <s v="Telangana"/>
    <s v="Hyderabad"/>
    <x v="2"/>
    <x v="4"/>
    <s v="CUST1694"/>
    <s v="SP_10"/>
    <n v="5"/>
    <n v="2280.73"/>
    <n v="11403.65"/>
    <n v="8064.96"/>
    <n v="3338.69"/>
    <s v="Cash"/>
  </r>
  <r>
    <s v="ORD100352"/>
    <s v="2025-01-20"/>
    <x v="9"/>
    <s v="West"/>
    <s v="Rajasthan"/>
    <s v="Jaipur"/>
    <x v="1"/>
    <x v="1"/>
    <s v="CUST1337"/>
    <s v="SP_05"/>
    <n v="3"/>
    <n v="2828.36"/>
    <n v="8485.08"/>
    <n v="5421.09"/>
    <n v="3063.99"/>
    <s v="UPI"/>
  </r>
  <r>
    <s v="ORD100353"/>
    <s v="2025-08-19"/>
    <x v="11"/>
    <s v="East"/>
    <s v="West Bengal"/>
    <s v="Kolkata"/>
    <x v="1"/>
    <x v="1"/>
    <s v="CUST1256"/>
    <s v="SP_05"/>
    <n v="3"/>
    <n v="2961.29"/>
    <n v="8883.8700000000008"/>
    <n v="5838.44"/>
    <n v="3045.43"/>
    <s v="Credit Card"/>
  </r>
  <r>
    <s v="ORD100354"/>
    <s v="2025-10-26"/>
    <x v="1"/>
    <s v="South"/>
    <s v="Karnataka"/>
    <s v="Bengaluru"/>
    <x v="0"/>
    <x v="9"/>
    <s v="CUST1038"/>
    <s v="SP_12"/>
    <n v="7"/>
    <n v="6815.23"/>
    <n v="47706.61"/>
    <n v="35515.81"/>
    <n v="12190.8"/>
    <s v="Net Banking"/>
  </r>
  <r>
    <s v="ORD100355"/>
    <s v="2025-04-24"/>
    <x v="0"/>
    <s v="West"/>
    <s v="Gujarat"/>
    <s v="Ahmedabad"/>
    <x v="0"/>
    <x v="0"/>
    <s v="CUST1629"/>
    <s v="SP_08"/>
    <n v="2"/>
    <n v="3387.84"/>
    <n v="6775.68"/>
    <n v="4407.76"/>
    <n v="2367.92"/>
    <s v="Debit Card"/>
  </r>
  <r>
    <s v="ORD100356"/>
    <s v="2025-10-05"/>
    <x v="1"/>
    <s v="West"/>
    <s v="Maharashtra"/>
    <s v="Mumbai"/>
    <x v="1"/>
    <x v="1"/>
    <s v="CUST1150"/>
    <s v="SP_04"/>
    <n v="6"/>
    <n v="2728.61"/>
    <n v="16371.66"/>
    <n v="11136.09"/>
    <n v="5235.57"/>
    <s v="Credit Card"/>
  </r>
  <r>
    <s v="ORD100357"/>
    <s v="2025-02-20"/>
    <x v="8"/>
    <s v="North"/>
    <s v="Uttar Pradesh"/>
    <s v="Lucknow"/>
    <x v="0"/>
    <x v="9"/>
    <s v="CUST1099"/>
    <s v="SP_15"/>
    <n v="8"/>
    <n v="6384.68"/>
    <n v="51077.440000000002"/>
    <n v="41402.239999999998"/>
    <n v="9675.2000000000007"/>
    <s v="UPI"/>
  </r>
  <r>
    <s v="ORD100358"/>
    <s v="2025-02-21"/>
    <x v="8"/>
    <s v="West"/>
    <s v="Gujarat"/>
    <s v="Ahmedabad"/>
    <x v="0"/>
    <x v="8"/>
    <s v="CUST1436"/>
    <s v="SP_05"/>
    <n v="4"/>
    <n v="22831.85"/>
    <n v="91327.4"/>
    <n v="66458.649999999994"/>
    <n v="24868.75"/>
    <s v="Cash"/>
  </r>
  <r>
    <s v="ORD100359"/>
    <s v="2025-04-19"/>
    <x v="0"/>
    <s v="North"/>
    <s v="Delhi"/>
    <s v="Delhi"/>
    <x v="1"/>
    <x v="6"/>
    <s v="CUST1337"/>
    <s v="SP_14"/>
    <n v="4"/>
    <n v="2888.08"/>
    <n v="11552.32"/>
    <n v="9277.34"/>
    <n v="2274.98"/>
    <s v="Net Banking"/>
  </r>
  <r>
    <s v="ORD100360"/>
    <s v="2025-12-20"/>
    <x v="7"/>
    <s v="South"/>
    <s v="Karnataka"/>
    <s v="Bengaluru"/>
    <x v="0"/>
    <x v="9"/>
    <s v="CUST1748"/>
    <s v="SP_14"/>
    <n v="4"/>
    <n v="7017.74"/>
    <n v="28070.959999999999"/>
    <n v="20294.5"/>
    <n v="7776.46"/>
    <s v="Net Banking"/>
  </r>
  <r>
    <s v="ORD100361"/>
    <s v="2025-04-08"/>
    <x v="0"/>
    <s v="East"/>
    <s v="Odisha"/>
    <s v="Bhubaneswar"/>
    <x v="2"/>
    <x v="4"/>
    <s v="CUST1528"/>
    <s v="SP_13"/>
    <n v="8"/>
    <n v="2270.59"/>
    <n v="18164.72"/>
    <n v="12850.66"/>
    <n v="5314.06"/>
    <s v="Credit Card"/>
  </r>
  <r>
    <s v="ORD100362"/>
    <s v="2025-07-08"/>
    <x v="6"/>
    <s v="North"/>
    <s v="Uttar Pradesh"/>
    <s v="Lucknow"/>
    <x v="3"/>
    <x v="11"/>
    <s v="CUST1780"/>
    <s v="SP_05"/>
    <n v="1"/>
    <n v="119.13"/>
    <n v="119.13"/>
    <n v="62.74"/>
    <n v="56.39"/>
    <s v="Credit Card"/>
  </r>
  <r>
    <s v="ORD100363"/>
    <s v="2025-10-19"/>
    <x v="1"/>
    <s v="West"/>
    <s v="Rajasthan"/>
    <s v="Jaipur"/>
    <x v="1"/>
    <x v="6"/>
    <s v="CUST1204"/>
    <s v="SP_05"/>
    <n v="8"/>
    <n v="3121.1"/>
    <n v="24968.799999999999"/>
    <n v="18273.18"/>
    <n v="6695.62"/>
    <s v="Debit Card"/>
  </r>
  <r>
    <s v="ORD100364"/>
    <s v="2025-07-22"/>
    <x v="6"/>
    <s v="West"/>
    <s v="Rajasthan"/>
    <s v="Jaipur"/>
    <x v="2"/>
    <x v="10"/>
    <s v="CUST1940"/>
    <s v="SP_07"/>
    <n v="6"/>
    <n v="19169.2"/>
    <n v="115015.2"/>
    <n v="82907.360000000001"/>
    <n v="32107.84"/>
    <s v="Net Banking"/>
  </r>
  <r>
    <s v="ORD100365"/>
    <s v="2025-10-02"/>
    <x v="1"/>
    <s v="North"/>
    <s v="Delhi"/>
    <s v="Delhi"/>
    <x v="1"/>
    <x v="6"/>
    <s v="CUST1032"/>
    <s v="SP_02"/>
    <n v="1"/>
    <n v="3209.58"/>
    <n v="3209.58"/>
    <n v="2509.9299999999998"/>
    <n v="699.65"/>
    <s v="Credit Card"/>
  </r>
  <r>
    <s v="ORD100366"/>
    <s v="2025-03-13"/>
    <x v="4"/>
    <s v="West"/>
    <s v="Maharashtra"/>
    <s v="Mumbai"/>
    <x v="0"/>
    <x v="0"/>
    <s v="CUST1288"/>
    <s v="SP_13"/>
    <n v="1"/>
    <n v="3516.29"/>
    <n v="3516.29"/>
    <n v="2166.7600000000002"/>
    <n v="1349.53"/>
    <s v="Cash"/>
  </r>
  <r>
    <s v="ORD100367"/>
    <s v="2025-02-06"/>
    <x v="8"/>
    <s v="East"/>
    <s v="West Bengal"/>
    <s v="Kolkata"/>
    <x v="2"/>
    <x v="2"/>
    <s v="CUST1591"/>
    <s v="SP_07"/>
    <n v="4"/>
    <n v="47239.34"/>
    <n v="188957.36"/>
    <n v="146427.74"/>
    <n v="42529.62"/>
    <s v="Debit Card"/>
  </r>
  <r>
    <s v="ORD100368"/>
    <s v="2025-11-25"/>
    <x v="10"/>
    <s v="South"/>
    <s v="Karnataka"/>
    <s v="Bengaluru"/>
    <x v="2"/>
    <x v="4"/>
    <s v="CUST1541"/>
    <s v="SP_02"/>
    <n v="6"/>
    <n v="2269.54"/>
    <n v="13617.24"/>
    <n v="9298.2999999999993"/>
    <n v="4318.9399999999996"/>
    <s v="Debit Card"/>
  </r>
  <r>
    <s v="ORD100369"/>
    <s v="2025-01-11"/>
    <x v="9"/>
    <s v="West"/>
    <s v="Rajasthan"/>
    <s v="Jaipur"/>
    <x v="3"/>
    <x v="3"/>
    <s v="CUST1696"/>
    <s v="SP_06"/>
    <n v="7"/>
    <n v="27.48"/>
    <n v="192.36"/>
    <n v="72.84"/>
    <n v="119.52"/>
    <s v="Credit Card"/>
  </r>
  <r>
    <s v="ORD100370"/>
    <s v="2025-03-27"/>
    <x v="4"/>
    <s v="South"/>
    <s v="Tamil Nadu"/>
    <s v="Chennai"/>
    <x v="1"/>
    <x v="6"/>
    <s v="CUST1928"/>
    <s v="SP_12"/>
    <n v="8"/>
    <n v="3284.55"/>
    <n v="26276.400000000001"/>
    <n v="18349.490000000002"/>
    <n v="7926.91"/>
    <s v="Debit Card"/>
  </r>
  <r>
    <s v="ORD100371"/>
    <s v="2025-05-15"/>
    <x v="3"/>
    <s v="North"/>
    <s v="Delhi"/>
    <s v="Delhi"/>
    <x v="1"/>
    <x v="6"/>
    <s v="CUST1702"/>
    <s v="SP_09"/>
    <n v="2"/>
    <n v="3381.58"/>
    <n v="6763.16"/>
    <n v="4642.54"/>
    <n v="2120.62"/>
    <s v="Credit Card"/>
  </r>
  <r>
    <s v="ORD100372"/>
    <s v="2025-06-17"/>
    <x v="2"/>
    <s v="West"/>
    <s v="Maharashtra"/>
    <s v="Mumbai"/>
    <x v="3"/>
    <x v="3"/>
    <s v="CUST1290"/>
    <s v="SP_11"/>
    <n v="6"/>
    <n v="22.88"/>
    <n v="137.28"/>
    <n v="61.84"/>
    <n v="75.44"/>
    <s v="Net Banking"/>
  </r>
  <r>
    <s v="ORD100373"/>
    <s v="2025-01-12"/>
    <x v="9"/>
    <s v="North"/>
    <s v="Delhi"/>
    <s v="Delhi"/>
    <x v="1"/>
    <x v="1"/>
    <s v="CUST1321"/>
    <s v="SP_14"/>
    <n v="1"/>
    <n v="2973.82"/>
    <n v="2973.82"/>
    <n v="1899.63"/>
    <n v="1074.19"/>
    <s v="Cash"/>
  </r>
  <r>
    <s v="ORD100374"/>
    <s v="2025-09-01"/>
    <x v="5"/>
    <s v="East"/>
    <s v="West Bengal"/>
    <s v="Kolkata"/>
    <x v="3"/>
    <x v="3"/>
    <s v="CUST1766"/>
    <s v="SP_10"/>
    <n v="6"/>
    <n v="26.36"/>
    <n v="158.16"/>
    <n v="58.18"/>
    <n v="99.98"/>
    <s v="Cash"/>
  </r>
  <r>
    <s v="ORD100375"/>
    <s v="2025-09-29"/>
    <x v="5"/>
    <s v="West"/>
    <s v="Gujarat"/>
    <s v="Ahmedabad"/>
    <x v="3"/>
    <x v="7"/>
    <s v="CUST1025"/>
    <s v="SP_04"/>
    <n v="2"/>
    <n v="10933.72"/>
    <n v="21867.439999999999"/>
    <n v="17984.41"/>
    <n v="3883.03"/>
    <s v="Net Banking"/>
  </r>
  <r>
    <s v="ORD100376"/>
    <s v="2025-05-01"/>
    <x v="3"/>
    <s v="East"/>
    <s v="Odisha"/>
    <s v="Bhubaneswar"/>
    <x v="2"/>
    <x v="2"/>
    <s v="CUST1518"/>
    <s v="SP_13"/>
    <n v="1"/>
    <n v="48843.11"/>
    <n v="48843.11"/>
    <n v="34851.97"/>
    <n v="13991.14"/>
    <s v="Credit Card"/>
  </r>
  <r>
    <s v="ORD100377"/>
    <s v="2025-06-16"/>
    <x v="2"/>
    <s v="East"/>
    <s v="Bihar"/>
    <s v="Patna"/>
    <x v="0"/>
    <x v="9"/>
    <s v="CUST1231"/>
    <s v="SP_04"/>
    <n v="1"/>
    <n v="6537.83"/>
    <n v="6537.83"/>
    <n v="4979.1000000000004"/>
    <n v="1558.73"/>
    <s v="UPI"/>
  </r>
  <r>
    <s v="ORD100378"/>
    <s v="2025-07-01"/>
    <x v="6"/>
    <s v="South"/>
    <s v="Karnataka"/>
    <s v="Bengaluru"/>
    <x v="0"/>
    <x v="9"/>
    <s v="CUST1912"/>
    <s v="SP_06"/>
    <n v="3"/>
    <n v="6417.79"/>
    <n v="19253.37"/>
    <n v="15172.17"/>
    <n v="4081.2"/>
    <s v="Cash"/>
  </r>
  <r>
    <s v="ORD100379"/>
    <s v="2025-10-02"/>
    <x v="1"/>
    <s v="South"/>
    <s v="Karnataka"/>
    <s v="Bengaluru"/>
    <x v="0"/>
    <x v="9"/>
    <s v="CUST1972"/>
    <s v="SP_05"/>
    <n v="3"/>
    <n v="6581.82"/>
    <n v="19745.46"/>
    <n v="14588.93"/>
    <n v="5156.53"/>
    <s v="UPI"/>
  </r>
  <r>
    <s v="ORD100380"/>
    <s v="2025-04-24"/>
    <x v="0"/>
    <s v="South"/>
    <s v="Karnataka"/>
    <s v="Bengaluru"/>
    <x v="0"/>
    <x v="8"/>
    <s v="CUST1225"/>
    <s v="SP_07"/>
    <n v="3"/>
    <n v="20461.990000000002"/>
    <n v="61385.97"/>
    <n v="49495.64"/>
    <n v="11890.33"/>
    <s v="Net Banking"/>
  </r>
  <r>
    <s v="ORD100381"/>
    <s v="2025-12-23"/>
    <x v="7"/>
    <s v="East"/>
    <s v="Odisha"/>
    <s v="Bhubaneswar"/>
    <x v="1"/>
    <x v="5"/>
    <s v="CUST1044"/>
    <s v="SP_10"/>
    <n v="8"/>
    <n v="10291.4"/>
    <n v="82331.199999999997"/>
    <n v="62468.85"/>
    <n v="19862.349999999999"/>
    <s v="UPI"/>
  </r>
  <r>
    <s v="ORD100382"/>
    <s v="2025-10-14"/>
    <x v="1"/>
    <s v="West"/>
    <s v="Rajasthan"/>
    <s v="Jaipur"/>
    <x v="0"/>
    <x v="9"/>
    <s v="CUST1509"/>
    <s v="SP_13"/>
    <n v="8"/>
    <n v="6811.79"/>
    <n v="54494.32"/>
    <n v="38390.97"/>
    <n v="16103.35"/>
    <s v="UPI"/>
  </r>
  <r>
    <s v="ORD100383"/>
    <s v="2025-05-19"/>
    <x v="3"/>
    <s v="East"/>
    <s v="Bihar"/>
    <s v="Patna"/>
    <x v="3"/>
    <x v="11"/>
    <s v="CUST1213"/>
    <s v="SP_08"/>
    <n v="6"/>
    <n v="115.31"/>
    <n v="691.86"/>
    <n v="353.19"/>
    <n v="338.67"/>
    <s v="Credit Card"/>
  </r>
  <r>
    <s v="ORD100384"/>
    <s v="2025-07-27"/>
    <x v="6"/>
    <s v="West"/>
    <s v="Maharashtra"/>
    <s v="Mumbai"/>
    <x v="2"/>
    <x v="10"/>
    <s v="CUST1260"/>
    <s v="SP_02"/>
    <n v="6"/>
    <n v="19208.509999999998"/>
    <n v="115251.06"/>
    <n v="83142.39"/>
    <n v="32108.67"/>
    <s v="UPI"/>
  </r>
  <r>
    <s v="ORD100385"/>
    <s v="2025-12-09"/>
    <x v="7"/>
    <s v="South"/>
    <s v="Karnataka"/>
    <s v="Bengaluru"/>
    <x v="3"/>
    <x v="11"/>
    <s v="CUST1882"/>
    <s v="SP_08"/>
    <n v="1"/>
    <n v="108.75"/>
    <n v="108.75"/>
    <n v="58.18"/>
    <n v="50.57"/>
    <s v="Debit Card"/>
  </r>
  <r>
    <s v="ORD100386"/>
    <s v="2025-01-20"/>
    <x v="9"/>
    <s v="North"/>
    <s v="Delhi"/>
    <s v="Delhi"/>
    <x v="0"/>
    <x v="8"/>
    <s v="CUST1672"/>
    <s v="SP_05"/>
    <n v="5"/>
    <n v="22674.31"/>
    <n v="113371.55"/>
    <n v="82394.41"/>
    <n v="30977.14"/>
    <s v="Cash"/>
  </r>
  <r>
    <s v="ORD100387"/>
    <s v="2025-01-10"/>
    <x v="9"/>
    <s v="East"/>
    <s v="Odisha"/>
    <s v="Bhubaneswar"/>
    <x v="3"/>
    <x v="3"/>
    <s v="CUST1785"/>
    <s v="SP_13"/>
    <n v="1"/>
    <n v="22.54"/>
    <n v="22.54"/>
    <n v="10.08"/>
    <n v="12.46"/>
    <s v="Cash"/>
  </r>
  <r>
    <s v="ORD100388"/>
    <s v="2025-07-27"/>
    <x v="6"/>
    <s v="North"/>
    <s v="Punjab"/>
    <s v="Chandigarh"/>
    <x v="0"/>
    <x v="9"/>
    <s v="CUST1391"/>
    <s v="SP_07"/>
    <n v="6"/>
    <n v="6301.21"/>
    <n v="37807.26"/>
    <n v="31425.83"/>
    <n v="6381.43"/>
    <s v="UPI"/>
  </r>
  <r>
    <s v="ORD100389"/>
    <s v="2025-03-18"/>
    <x v="4"/>
    <s v="East"/>
    <s v="Bihar"/>
    <s v="Patna"/>
    <x v="1"/>
    <x v="1"/>
    <s v="CUST1458"/>
    <s v="SP_03"/>
    <n v="8"/>
    <n v="2538.56"/>
    <n v="20308.48"/>
    <n v="15709.21"/>
    <n v="4599.2700000000004"/>
    <s v="Cash"/>
  </r>
  <r>
    <s v="ORD100390"/>
    <s v="2025-11-10"/>
    <x v="10"/>
    <s v="South"/>
    <s v="Karnataka"/>
    <s v="Bengaluru"/>
    <x v="3"/>
    <x v="11"/>
    <s v="CUST1592"/>
    <s v="SP_11"/>
    <n v="2"/>
    <n v="122.49"/>
    <n v="244.98"/>
    <n v="124.09"/>
    <n v="120.89"/>
    <s v="Cash"/>
  </r>
  <r>
    <s v="ORD100391"/>
    <s v="2025-02-14"/>
    <x v="8"/>
    <s v="North"/>
    <s v="Delhi"/>
    <s v="Delhi"/>
    <x v="0"/>
    <x v="9"/>
    <s v="CUST1827"/>
    <s v="SP_03"/>
    <n v="6"/>
    <n v="7224.47"/>
    <n v="43346.82"/>
    <n v="30472.98"/>
    <n v="12873.84"/>
    <s v="Cash"/>
  </r>
  <r>
    <s v="ORD100392"/>
    <s v="2025-06-17"/>
    <x v="2"/>
    <s v="West"/>
    <s v="Maharashtra"/>
    <s v="Mumbai"/>
    <x v="2"/>
    <x v="2"/>
    <s v="CUST1521"/>
    <s v="SP_02"/>
    <n v="5"/>
    <n v="40682.300000000003"/>
    <n v="203411.5"/>
    <n v="175341.36"/>
    <n v="28070.14"/>
    <s v="UPI"/>
  </r>
  <r>
    <s v="ORD100393"/>
    <s v="2025-07-17"/>
    <x v="6"/>
    <s v="West"/>
    <s v="Gujarat"/>
    <s v="Ahmedabad"/>
    <x v="2"/>
    <x v="10"/>
    <s v="CUST1046"/>
    <s v="SP_03"/>
    <n v="4"/>
    <n v="19295.21"/>
    <n v="77180.84"/>
    <n v="58082.85"/>
    <n v="19097.990000000002"/>
    <s v="Debit Card"/>
  </r>
  <r>
    <s v="ORD100394"/>
    <s v="2025-08-19"/>
    <x v="11"/>
    <s v="West"/>
    <s v="Gujarat"/>
    <s v="Ahmedabad"/>
    <x v="0"/>
    <x v="8"/>
    <s v="CUST1134"/>
    <s v="SP_06"/>
    <n v="5"/>
    <n v="20514.669999999998"/>
    <n v="102573.35"/>
    <n v="81714.350000000006"/>
    <n v="20859"/>
    <s v="Debit Card"/>
  </r>
  <r>
    <s v="ORD100395"/>
    <s v="2025-07-04"/>
    <x v="6"/>
    <s v="West"/>
    <s v="Gujarat"/>
    <s v="Ahmedabad"/>
    <x v="1"/>
    <x v="5"/>
    <s v="CUST1950"/>
    <s v="SP_14"/>
    <n v="8"/>
    <n v="8943.4"/>
    <n v="71547.199999999997"/>
    <n v="59193.72"/>
    <n v="12353.48"/>
    <s v="Net Banking"/>
  </r>
  <r>
    <s v="ORD100396"/>
    <s v="2025-06-20"/>
    <x v="2"/>
    <s v="West"/>
    <s v="Gujarat"/>
    <s v="Ahmedabad"/>
    <x v="0"/>
    <x v="9"/>
    <s v="CUST1900"/>
    <s v="SP_04"/>
    <n v="8"/>
    <n v="7455.82"/>
    <n v="59646.559999999998"/>
    <n v="38232.76"/>
    <n v="21413.8"/>
    <s v="Net Banking"/>
  </r>
  <r>
    <s v="ORD100397"/>
    <s v="2025-02-21"/>
    <x v="8"/>
    <s v="North"/>
    <s v="Uttar Pradesh"/>
    <s v="Lucknow"/>
    <x v="1"/>
    <x v="6"/>
    <s v="CUST1577"/>
    <s v="SP_11"/>
    <n v="3"/>
    <n v="3313.74"/>
    <n v="9941.2199999999993"/>
    <n v="7289.99"/>
    <n v="2651.23"/>
    <s v="UPI"/>
  </r>
  <r>
    <s v="ORD100398"/>
    <s v="2025-07-15"/>
    <x v="6"/>
    <s v="East"/>
    <s v="Odisha"/>
    <s v="Bhubaneswar"/>
    <x v="1"/>
    <x v="1"/>
    <s v="CUST1012"/>
    <s v="SP_08"/>
    <n v="5"/>
    <n v="2954.59"/>
    <n v="14772.95"/>
    <n v="9930.68"/>
    <n v="4842.2700000000004"/>
    <s v="Cash"/>
  </r>
  <r>
    <s v="ORD100399"/>
    <s v="2025-12-12"/>
    <x v="7"/>
    <s v="West"/>
    <s v="Gujarat"/>
    <s v="Ahmedabad"/>
    <x v="1"/>
    <x v="5"/>
    <s v="CUST1064"/>
    <s v="SP_11"/>
    <n v="1"/>
    <n v="9643.3700000000008"/>
    <n v="9643.3700000000008"/>
    <n v="7406.36"/>
    <n v="2237.0100000000002"/>
    <s v="Net Banking"/>
  </r>
  <r>
    <s v="ORD100400"/>
    <s v="2025-12-08"/>
    <x v="7"/>
    <s v="West"/>
    <s v="Rajasthan"/>
    <s v="Jaipur"/>
    <x v="0"/>
    <x v="9"/>
    <s v="CUST1552"/>
    <s v="SP_13"/>
    <n v="8"/>
    <n v="7527.09"/>
    <n v="60216.72"/>
    <n v="41584.19"/>
    <n v="18632.53"/>
    <s v="UPI"/>
  </r>
  <r>
    <s v="ORD100401"/>
    <s v="2025-12-29"/>
    <x v="7"/>
    <s v="East"/>
    <s v="Odisha"/>
    <s v="Bhubaneswar"/>
    <x v="2"/>
    <x v="4"/>
    <s v="CUST1899"/>
    <s v="SP_14"/>
    <n v="1"/>
    <n v="2712.96"/>
    <n v="2712.96"/>
    <n v="1668.85"/>
    <n v="1044.1099999999999"/>
    <s v="Net Banking"/>
  </r>
  <r>
    <s v="ORD100402"/>
    <s v="2025-09-22"/>
    <x v="5"/>
    <s v="South"/>
    <s v="Karnataka"/>
    <s v="Bengaluru"/>
    <x v="1"/>
    <x v="5"/>
    <s v="CUST1844"/>
    <s v="SP_13"/>
    <n v="6"/>
    <n v="8988.2199999999993"/>
    <n v="53929.32"/>
    <n v="44451.360000000001"/>
    <n v="9477.9599999999991"/>
    <s v="Debit Card"/>
  </r>
  <r>
    <s v="ORD100403"/>
    <s v="2025-11-09"/>
    <x v="10"/>
    <s v="West"/>
    <s v="Gujarat"/>
    <s v="Ahmedabad"/>
    <x v="3"/>
    <x v="11"/>
    <s v="CUST1156"/>
    <s v="SP_02"/>
    <n v="2"/>
    <n v="114.49"/>
    <n v="228.98"/>
    <n v="125.14"/>
    <n v="103.84"/>
    <s v="Credit Card"/>
  </r>
  <r>
    <s v="ORD100404"/>
    <s v="2025-10-04"/>
    <x v="1"/>
    <s v="East"/>
    <s v="West Bengal"/>
    <s v="Kolkata"/>
    <x v="0"/>
    <x v="0"/>
    <s v="CUST1085"/>
    <s v="SP_11"/>
    <n v="8"/>
    <n v="3623"/>
    <n v="28984"/>
    <n v="18104.87"/>
    <n v="10879.13"/>
    <s v="Net Banking"/>
  </r>
  <r>
    <s v="ORD100405"/>
    <s v="2025-09-16"/>
    <x v="5"/>
    <s v="North"/>
    <s v="Uttar Pradesh"/>
    <s v="Lucknow"/>
    <x v="0"/>
    <x v="9"/>
    <s v="CUST1738"/>
    <s v="SP_04"/>
    <n v="2"/>
    <n v="6951.36"/>
    <n v="13902.72"/>
    <n v="9998.4500000000007"/>
    <n v="3904.27"/>
    <s v="Cash"/>
  </r>
  <r>
    <s v="ORD100406"/>
    <s v="2025-04-26"/>
    <x v="0"/>
    <s v="East"/>
    <s v="Bihar"/>
    <s v="Patna"/>
    <x v="3"/>
    <x v="11"/>
    <s v="CUST1395"/>
    <s v="SP_07"/>
    <n v="3"/>
    <n v="120.18"/>
    <n v="360.54"/>
    <n v="183.75"/>
    <n v="176.79"/>
    <s v="Net Banking"/>
  </r>
  <r>
    <s v="ORD100407"/>
    <s v="2025-11-16"/>
    <x v="10"/>
    <s v="West"/>
    <s v="Rajasthan"/>
    <s v="Jaipur"/>
    <x v="1"/>
    <x v="5"/>
    <s v="CUST1402"/>
    <s v="SP_03"/>
    <n v="5"/>
    <n v="8779.56"/>
    <n v="43897.8"/>
    <n v="37668.800000000003"/>
    <n v="6229"/>
    <s v="Net Banking"/>
  </r>
  <r>
    <s v="ORD100408"/>
    <s v="2025-10-22"/>
    <x v="1"/>
    <s v="South"/>
    <s v="Tamil Nadu"/>
    <s v="Chennai"/>
    <x v="2"/>
    <x v="10"/>
    <s v="CUST1683"/>
    <s v="SP_13"/>
    <n v="3"/>
    <n v="18281.52"/>
    <n v="54844.56"/>
    <n v="42990.76"/>
    <n v="11853.8"/>
    <s v="Debit Card"/>
  </r>
  <r>
    <s v="ORD100409"/>
    <s v="2025-08-19"/>
    <x v="11"/>
    <s v="East"/>
    <s v="Bihar"/>
    <s v="Patna"/>
    <x v="2"/>
    <x v="10"/>
    <s v="CUST1245"/>
    <s v="SP_15"/>
    <n v="2"/>
    <n v="18538.650000000001"/>
    <n v="37077.300000000003"/>
    <n v="29317.66"/>
    <n v="7759.64"/>
    <s v="Credit Card"/>
  </r>
  <r>
    <s v="ORD100410"/>
    <s v="2025-07-14"/>
    <x v="6"/>
    <s v="North"/>
    <s v="Uttar Pradesh"/>
    <s v="Lucknow"/>
    <x v="0"/>
    <x v="0"/>
    <s v="CUST1222"/>
    <s v="SP_11"/>
    <n v="3"/>
    <n v="3424.75"/>
    <n v="10274.25"/>
    <n v="6828.01"/>
    <n v="3446.24"/>
    <s v="Cash"/>
  </r>
  <r>
    <s v="ORD100411"/>
    <s v="2025-01-17"/>
    <x v="9"/>
    <s v="South"/>
    <s v="Telangana"/>
    <s v="Hyderabad"/>
    <x v="2"/>
    <x v="4"/>
    <s v="CUST1554"/>
    <s v="SP_10"/>
    <n v="1"/>
    <n v="2541.11"/>
    <n v="2541.11"/>
    <n v="1568.92"/>
    <n v="972.19"/>
    <s v="Debit Card"/>
  </r>
  <r>
    <s v="ORD100412"/>
    <s v="2025-08-21"/>
    <x v="11"/>
    <s v="East"/>
    <s v="Odisha"/>
    <s v="Bhubaneswar"/>
    <x v="0"/>
    <x v="0"/>
    <s v="CUST1147"/>
    <s v="SP_12"/>
    <n v="6"/>
    <n v="3492.74"/>
    <n v="20956.439999999999"/>
    <n v="12975.6"/>
    <n v="7980.84"/>
    <s v="Cash"/>
  </r>
  <r>
    <s v="ORD100413"/>
    <s v="2025-06-10"/>
    <x v="2"/>
    <s v="East"/>
    <s v="West Bengal"/>
    <s v="Kolkata"/>
    <x v="1"/>
    <x v="1"/>
    <s v="CUST1580"/>
    <s v="SP_02"/>
    <n v="6"/>
    <n v="2771.13"/>
    <n v="16626.78"/>
    <n v="11493.58"/>
    <n v="5133.2"/>
    <s v="Credit Card"/>
  </r>
  <r>
    <s v="ORD100414"/>
    <s v="2025-05-28"/>
    <x v="3"/>
    <s v="West"/>
    <s v="Rajasthan"/>
    <s v="Jaipur"/>
    <x v="1"/>
    <x v="6"/>
    <s v="CUST1988"/>
    <s v="SP_06"/>
    <n v="2"/>
    <n v="2915.2"/>
    <n v="5830.4"/>
    <n v="4605.4799999999996"/>
    <n v="1224.92"/>
    <s v="Credit Card"/>
  </r>
  <r>
    <s v="ORD100415"/>
    <s v="2025-04-08"/>
    <x v="0"/>
    <s v="North"/>
    <s v="Punjab"/>
    <s v="Chandigarh"/>
    <x v="1"/>
    <x v="5"/>
    <s v="CUST1038"/>
    <s v="SP_02"/>
    <n v="4"/>
    <n v="9594.68"/>
    <n v="38378.720000000001"/>
    <n v="31765.77"/>
    <n v="6612.95"/>
    <s v="Net Banking"/>
  </r>
  <r>
    <s v="ORD100416"/>
    <s v="2025-02-15"/>
    <x v="8"/>
    <s v="North"/>
    <s v="Uttar Pradesh"/>
    <s v="Lucknow"/>
    <x v="3"/>
    <x v="11"/>
    <s v="CUST1481"/>
    <s v="SP_02"/>
    <n v="6"/>
    <n v="116.17"/>
    <n v="697.02"/>
    <n v="372.59"/>
    <n v="324.43"/>
    <s v="Credit Card"/>
  </r>
  <r>
    <s v="ORD100417"/>
    <s v="2025-02-04"/>
    <x v="8"/>
    <s v="North"/>
    <s v="Uttar Pradesh"/>
    <s v="Lucknow"/>
    <x v="3"/>
    <x v="11"/>
    <s v="CUST1987"/>
    <s v="SP_04"/>
    <n v="4"/>
    <n v="123.28"/>
    <n v="493.12"/>
    <n v="249.01"/>
    <n v="244.11"/>
    <s v="UPI"/>
  </r>
  <r>
    <s v="ORD100418"/>
    <s v="2025-03-12"/>
    <x v="4"/>
    <s v="North"/>
    <s v="Delhi"/>
    <s v="Delhi"/>
    <x v="1"/>
    <x v="5"/>
    <s v="CUST1312"/>
    <s v="SP_04"/>
    <n v="1"/>
    <n v="9018.42"/>
    <n v="9018.42"/>
    <n v="7256.61"/>
    <n v="1761.81"/>
    <s v="Cash"/>
  </r>
  <r>
    <s v="ORD100419"/>
    <s v="2025-06-26"/>
    <x v="2"/>
    <s v="West"/>
    <s v="Maharashtra"/>
    <s v="Mumbai"/>
    <x v="3"/>
    <x v="11"/>
    <s v="CUST1454"/>
    <s v="SP_03"/>
    <n v="2"/>
    <n v="123.19"/>
    <n v="246.38"/>
    <n v="124.09"/>
    <n v="122.29"/>
    <s v="Debit Card"/>
  </r>
  <r>
    <s v="ORD100420"/>
    <s v="2025-01-11"/>
    <x v="9"/>
    <s v="South"/>
    <s v="Tamil Nadu"/>
    <s v="Chennai"/>
    <x v="0"/>
    <x v="9"/>
    <s v="CUST1626"/>
    <s v="SP_04"/>
    <n v="5"/>
    <n v="7647.96"/>
    <n v="38239.800000000003"/>
    <n v="25493.31"/>
    <n v="12746.49"/>
    <s v="Cash"/>
  </r>
  <r>
    <s v="ORD100421"/>
    <s v="2025-04-06"/>
    <x v="0"/>
    <s v="South"/>
    <s v="Telangana"/>
    <s v="Hyderabad"/>
    <x v="2"/>
    <x v="2"/>
    <s v="CUST1660"/>
    <s v="SP_12"/>
    <n v="3"/>
    <n v="40968.239999999998"/>
    <n v="122904.72"/>
    <n v="101846.67"/>
    <n v="21058.05"/>
    <s v="Cash"/>
  </r>
  <r>
    <s v="ORD100422"/>
    <s v="2025-02-08"/>
    <x v="8"/>
    <s v="South"/>
    <s v="Tamil Nadu"/>
    <s v="Chennai"/>
    <x v="3"/>
    <x v="11"/>
    <s v="CUST1848"/>
    <s v="SP_03"/>
    <n v="8"/>
    <n v="131.86000000000001"/>
    <n v="1054.8800000000001"/>
    <n v="459.22"/>
    <n v="595.66"/>
    <s v="Net Banking"/>
  </r>
  <r>
    <s v="ORD100423"/>
    <s v="2025-12-23"/>
    <x v="7"/>
    <s v="South"/>
    <s v="Tamil Nadu"/>
    <s v="Chennai"/>
    <x v="1"/>
    <x v="5"/>
    <s v="CUST1556"/>
    <s v="SP_10"/>
    <n v="7"/>
    <n v="10089.08"/>
    <n v="70623.56"/>
    <n v="52280.22"/>
    <n v="18343.34"/>
    <s v="Cash"/>
  </r>
  <r>
    <s v="ORD100424"/>
    <s v="2025-09-20"/>
    <x v="5"/>
    <s v="North"/>
    <s v="Delhi"/>
    <s v="Delhi"/>
    <x v="1"/>
    <x v="6"/>
    <s v="CUST1332"/>
    <s v="SP_05"/>
    <n v="2"/>
    <n v="3015.61"/>
    <n v="6031.22"/>
    <n v="4957.28"/>
    <n v="1073.94"/>
    <s v="Net Banking"/>
  </r>
  <r>
    <s v="ORD100425"/>
    <s v="2025-07-15"/>
    <x v="6"/>
    <s v="West"/>
    <s v="Gujarat"/>
    <s v="Ahmedabad"/>
    <x v="0"/>
    <x v="0"/>
    <s v="CUST1511"/>
    <s v="SP_09"/>
    <n v="1"/>
    <n v="3159.75"/>
    <n v="3159.75"/>
    <n v="2140.41"/>
    <n v="1019.34"/>
    <s v="UPI"/>
  </r>
  <r>
    <s v="ORD100426"/>
    <s v="2025-04-30"/>
    <x v="0"/>
    <s v="West"/>
    <s v="Rajasthan"/>
    <s v="Jaipur"/>
    <x v="2"/>
    <x v="4"/>
    <s v="CUST1002"/>
    <s v="SP_09"/>
    <n v="4"/>
    <n v="2741.54"/>
    <n v="10966.16"/>
    <n v="6505.52"/>
    <n v="4460.6400000000003"/>
    <s v="Debit Card"/>
  </r>
  <r>
    <s v="ORD100427"/>
    <s v="2025-07-16"/>
    <x v="6"/>
    <s v="South"/>
    <s v="Telangana"/>
    <s v="Hyderabad"/>
    <x v="3"/>
    <x v="7"/>
    <s v="CUST1432"/>
    <s v="SP_05"/>
    <n v="1"/>
    <n v="12404.71"/>
    <n v="12404.71"/>
    <n v="8951.65"/>
    <n v="3453.06"/>
    <s v="Net Banking"/>
  </r>
  <r>
    <s v="ORD100428"/>
    <s v="2025-11-14"/>
    <x v="10"/>
    <s v="South"/>
    <s v="Tamil Nadu"/>
    <s v="Chennai"/>
    <x v="2"/>
    <x v="4"/>
    <s v="CUST1895"/>
    <s v="SP_08"/>
    <n v="4"/>
    <n v="2355.92"/>
    <n v="9423.68"/>
    <n v="6593.09"/>
    <n v="2830.59"/>
    <s v="Cash"/>
  </r>
  <r>
    <s v="ORD100429"/>
    <s v="2025-09-14"/>
    <x v="5"/>
    <s v="North"/>
    <s v="Punjab"/>
    <s v="Chandigarh"/>
    <x v="0"/>
    <x v="8"/>
    <s v="CUST1796"/>
    <s v="SP_03"/>
    <n v="8"/>
    <n v="23211.56"/>
    <n v="185692.48"/>
    <n v="134968.54999999999"/>
    <n v="50723.93"/>
    <s v="Debit Card"/>
  </r>
  <r>
    <s v="ORD100430"/>
    <s v="2025-09-23"/>
    <x v="5"/>
    <s v="South"/>
    <s v="Karnataka"/>
    <s v="Bengaluru"/>
    <x v="3"/>
    <x v="11"/>
    <s v="CUST1281"/>
    <s v="SP_07"/>
    <n v="2"/>
    <n v="120.61"/>
    <n v="241.22"/>
    <n v="114.4"/>
    <n v="126.82"/>
    <s v="Cash"/>
  </r>
  <r>
    <s v="ORD100431"/>
    <s v="2025-11-26"/>
    <x v="10"/>
    <s v="North"/>
    <s v="Delhi"/>
    <s v="Delhi"/>
    <x v="2"/>
    <x v="4"/>
    <s v="CUST1941"/>
    <s v="SP_09"/>
    <n v="5"/>
    <n v="2577.13"/>
    <n v="12885.65"/>
    <n v="8122.91"/>
    <n v="4762.74"/>
    <s v="Debit Card"/>
  </r>
  <r>
    <s v="ORD100432"/>
    <s v="2025-03-22"/>
    <x v="4"/>
    <s v="East"/>
    <s v="Odisha"/>
    <s v="Bhubaneswar"/>
    <x v="3"/>
    <x v="3"/>
    <s v="CUST1899"/>
    <s v="SP_11"/>
    <n v="8"/>
    <n v="27.25"/>
    <n v="218"/>
    <n v="80.040000000000006"/>
    <n v="137.96"/>
    <s v="Net Banking"/>
  </r>
  <r>
    <s v="ORD100433"/>
    <s v="2025-10-18"/>
    <x v="1"/>
    <s v="North"/>
    <s v="Delhi"/>
    <s v="Delhi"/>
    <x v="2"/>
    <x v="4"/>
    <s v="CUST1308"/>
    <s v="SP_01"/>
    <n v="4"/>
    <n v="2746.6"/>
    <n v="10986.4"/>
    <n v="6164.96"/>
    <n v="4821.4399999999996"/>
    <s v="UPI"/>
  </r>
  <r>
    <s v="ORD100434"/>
    <s v="2025-03-03"/>
    <x v="4"/>
    <s v="South"/>
    <s v="Telangana"/>
    <s v="Hyderabad"/>
    <x v="1"/>
    <x v="1"/>
    <s v="CUST1092"/>
    <s v="SP_01"/>
    <n v="3"/>
    <n v="2852.78"/>
    <n v="8558.34"/>
    <n v="5764.2"/>
    <n v="2794.14"/>
    <s v="Net Banking"/>
  </r>
  <r>
    <s v="ORD100435"/>
    <s v="2025-02-15"/>
    <x v="8"/>
    <s v="North"/>
    <s v="Uttar Pradesh"/>
    <s v="Lucknow"/>
    <x v="0"/>
    <x v="8"/>
    <s v="CUST1845"/>
    <s v="SP_10"/>
    <n v="8"/>
    <n v="22175.19"/>
    <n v="177401.52"/>
    <n v="133039.67999999999"/>
    <n v="44361.84"/>
    <s v="UPI"/>
  </r>
  <r>
    <s v="ORD100436"/>
    <s v="2025-10-14"/>
    <x v="1"/>
    <s v="North"/>
    <s v="Punjab"/>
    <s v="Chandigarh"/>
    <x v="3"/>
    <x v="7"/>
    <s v="CUST1982"/>
    <s v="SP_10"/>
    <n v="7"/>
    <n v="12087.23"/>
    <n v="84610.61"/>
    <n v="61837.99"/>
    <n v="22772.62"/>
    <s v="Net Banking"/>
  </r>
  <r>
    <s v="ORD100437"/>
    <s v="2025-09-17"/>
    <x v="5"/>
    <s v="East"/>
    <s v="Odisha"/>
    <s v="Bhubaneswar"/>
    <x v="2"/>
    <x v="2"/>
    <s v="CUST1413"/>
    <s v="SP_13"/>
    <n v="2"/>
    <n v="40700.25"/>
    <n v="81400.5"/>
    <n v="71100.039999999994"/>
    <n v="10300.459999999999"/>
    <s v="Credit Card"/>
  </r>
  <r>
    <s v="ORD100438"/>
    <s v="2025-11-27"/>
    <x v="10"/>
    <s v="North"/>
    <s v="Punjab"/>
    <s v="Chandigarh"/>
    <x v="3"/>
    <x v="3"/>
    <s v="CUST1254"/>
    <s v="SP_12"/>
    <n v="4"/>
    <n v="25.79"/>
    <n v="103.16"/>
    <n v="40.450000000000003"/>
    <n v="62.71"/>
    <s v="UPI"/>
  </r>
  <r>
    <s v="ORD100439"/>
    <s v="2025-10-28"/>
    <x v="1"/>
    <s v="North"/>
    <s v="Uttar Pradesh"/>
    <s v="Lucknow"/>
    <x v="2"/>
    <x v="4"/>
    <s v="CUST1949"/>
    <s v="SP_07"/>
    <n v="1"/>
    <n v="2540.4699999999998"/>
    <n v="2540.4699999999998"/>
    <n v="1527.56"/>
    <n v="1012.91"/>
    <s v="UPI"/>
  </r>
  <r>
    <s v="ORD100440"/>
    <s v="2025-05-11"/>
    <x v="3"/>
    <s v="East"/>
    <s v="Bihar"/>
    <s v="Patna"/>
    <x v="3"/>
    <x v="7"/>
    <s v="CUST1195"/>
    <s v="SP_01"/>
    <n v="1"/>
    <n v="10862.91"/>
    <n v="10862.91"/>
    <n v="8559.65"/>
    <n v="2303.2600000000002"/>
    <s v="Credit Card"/>
  </r>
  <r>
    <s v="ORD100441"/>
    <s v="2025-06-11"/>
    <x v="2"/>
    <s v="East"/>
    <s v="West Bengal"/>
    <s v="Kolkata"/>
    <x v="1"/>
    <x v="6"/>
    <s v="CUST1105"/>
    <s v="SP_04"/>
    <n v="2"/>
    <n v="3080.48"/>
    <n v="6160.96"/>
    <n v="4789.3900000000003"/>
    <n v="1371.57"/>
    <s v="Cash"/>
  </r>
  <r>
    <s v="ORD100442"/>
    <s v="2025-03-14"/>
    <x v="4"/>
    <s v="North"/>
    <s v="Punjab"/>
    <s v="Chandigarh"/>
    <x v="3"/>
    <x v="3"/>
    <s v="CUST1733"/>
    <s v="SP_02"/>
    <n v="1"/>
    <n v="23.93"/>
    <n v="23.93"/>
    <n v="10.38"/>
    <n v="13.55"/>
    <s v="Net Banking"/>
  </r>
  <r>
    <s v="ORD100443"/>
    <s v="2025-06-17"/>
    <x v="2"/>
    <s v="South"/>
    <s v="Tamil Nadu"/>
    <s v="Chennai"/>
    <x v="3"/>
    <x v="3"/>
    <s v="CUST1161"/>
    <s v="SP_13"/>
    <n v="3"/>
    <n v="27.12"/>
    <n v="81.36"/>
    <n v="29.42"/>
    <n v="51.94"/>
    <s v="Net Banking"/>
  </r>
  <r>
    <s v="ORD100444"/>
    <s v="2025-11-10"/>
    <x v="10"/>
    <s v="West"/>
    <s v="Rajasthan"/>
    <s v="Jaipur"/>
    <x v="0"/>
    <x v="0"/>
    <s v="CUST1109"/>
    <s v="SP_03"/>
    <n v="7"/>
    <n v="3588.37"/>
    <n v="25118.59"/>
    <n v="15144.08"/>
    <n v="9974.51"/>
    <s v="Credit Card"/>
  </r>
  <r>
    <s v="ORD100445"/>
    <s v="2025-02-18"/>
    <x v="8"/>
    <s v="South"/>
    <s v="Tamil Nadu"/>
    <s v="Chennai"/>
    <x v="1"/>
    <x v="5"/>
    <s v="CUST1728"/>
    <s v="SP_11"/>
    <n v="1"/>
    <n v="8592.16"/>
    <n v="8592.16"/>
    <n v="7520.92"/>
    <n v="1071.24"/>
    <s v="Credit Card"/>
  </r>
  <r>
    <s v="ORD100446"/>
    <s v="2025-09-03"/>
    <x v="5"/>
    <s v="West"/>
    <s v="Maharashtra"/>
    <s v="Mumbai"/>
    <x v="1"/>
    <x v="6"/>
    <s v="CUST1605"/>
    <s v="SP_06"/>
    <n v="7"/>
    <n v="3466.16"/>
    <n v="24263.119999999999"/>
    <n v="16962.52"/>
    <n v="7300.6"/>
    <s v="Debit Card"/>
  </r>
  <r>
    <s v="ORD100447"/>
    <s v="2025-12-25"/>
    <x v="7"/>
    <s v="West"/>
    <s v="Gujarat"/>
    <s v="Ahmedabad"/>
    <x v="1"/>
    <x v="1"/>
    <s v="CUST1694"/>
    <s v="SP_06"/>
    <n v="3"/>
    <n v="2990.14"/>
    <n v="8970.42"/>
    <n v="5723.08"/>
    <n v="3247.34"/>
    <s v="Cash"/>
  </r>
  <r>
    <s v="ORD100448"/>
    <s v="2025-06-04"/>
    <x v="2"/>
    <s v="South"/>
    <s v="Tamil Nadu"/>
    <s v="Chennai"/>
    <x v="3"/>
    <x v="11"/>
    <s v="CUST1066"/>
    <s v="SP_14"/>
    <n v="7"/>
    <n v="110.2"/>
    <n v="771.4"/>
    <n v="418.61"/>
    <n v="352.79"/>
    <s v="Cash"/>
  </r>
  <r>
    <s v="ORD100449"/>
    <s v="2025-10-31"/>
    <x v="1"/>
    <s v="West"/>
    <s v="Maharashtra"/>
    <s v="Mumbai"/>
    <x v="3"/>
    <x v="7"/>
    <s v="CUST1446"/>
    <s v="SP_05"/>
    <n v="2"/>
    <n v="12950.41"/>
    <n v="25900.82"/>
    <n v="17880.52"/>
    <n v="8020.3"/>
    <s v="Net Banking"/>
  </r>
  <r>
    <s v="ORD100450"/>
    <s v="2025-12-20"/>
    <x v="7"/>
    <s v="East"/>
    <s v="Odisha"/>
    <s v="Bhubaneswar"/>
    <x v="2"/>
    <x v="4"/>
    <s v="CUST1795"/>
    <s v="SP_15"/>
    <n v="6"/>
    <n v="2427.58"/>
    <n v="14565.48"/>
    <n v="9693.34"/>
    <n v="4872.1400000000003"/>
    <s v="Cash"/>
  </r>
  <r>
    <s v="ORD100451"/>
    <s v="2025-07-27"/>
    <x v="6"/>
    <s v="West"/>
    <s v="Rajasthan"/>
    <s v="Jaipur"/>
    <x v="1"/>
    <x v="5"/>
    <s v="CUST1283"/>
    <s v="SP_05"/>
    <n v="5"/>
    <n v="8982.91"/>
    <n v="44914.55"/>
    <n v="36706.080000000002"/>
    <n v="8208.4699999999993"/>
    <s v="Cash"/>
  </r>
  <r>
    <s v="ORD100452"/>
    <s v="2025-11-17"/>
    <x v="10"/>
    <s v="South"/>
    <s v="Telangana"/>
    <s v="Hyderabad"/>
    <x v="2"/>
    <x v="4"/>
    <s v="CUST1920"/>
    <s v="SP_11"/>
    <n v="5"/>
    <n v="2398.34"/>
    <n v="11991.7"/>
    <n v="8351.24"/>
    <n v="3640.46"/>
    <s v="Debit Card"/>
  </r>
  <r>
    <s v="ORD100453"/>
    <s v="2025-08-06"/>
    <x v="11"/>
    <s v="East"/>
    <s v="Odisha"/>
    <s v="Bhubaneswar"/>
    <x v="3"/>
    <x v="7"/>
    <s v="CUST1025"/>
    <s v="SP_07"/>
    <n v="6"/>
    <n v="12348.78"/>
    <n v="74092.679999999993"/>
    <n v="54108.99"/>
    <n v="19983.689999999999"/>
    <s v="Net Banking"/>
  </r>
  <r>
    <s v="ORD100454"/>
    <s v="2025-10-03"/>
    <x v="1"/>
    <s v="West"/>
    <s v="Maharashtra"/>
    <s v="Mumbai"/>
    <x v="0"/>
    <x v="9"/>
    <s v="CUST1011"/>
    <s v="SP_02"/>
    <n v="5"/>
    <n v="7528.19"/>
    <n v="37640.949999999997"/>
    <n v="24227.13"/>
    <n v="13413.82"/>
    <s v="Credit Card"/>
  </r>
  <r>
    <s v="ORD100455"/>
    <s v="2025-07-06"/>
    <x v="6"/>
    <s v="North"/>
    <s v="Punjab"/>
    <s v="Chandigarh"/>
    <x v="0"/>
    <x v="9"/>
    <s v="CUST1955"/>
    <s v="SP_11"/>
    <n v="1"/>
    <n v="6420.36"/>
    <n v="6420.36"/>
    <n v="4894.63"/>
    <n v="1525.73"/>
    <s v="UPI"/>
  </r>
  <r>
    <s v="ORD100456"/>
    <s v="2025-04-22"/>
    <x v="0"/>
    <s v="South"/>
    <s v="Karnataka"/>
    <s v="Bengaluru"/>
    <x v="0"/>
    <x v="8"/>
    <s v="CUST1827"/>
    <s v="SP_12"/>
    <n v="3"/>
    <n v="21969.11"/>
    <n v="65907.33"/>
    <n v="53473.3"/>
    <n v="12434.03"/>
    <s v="UPI"/>
  </r>
  <r>
    <s v="ORD100457"/>
    <s v="2025-06-28"/>
    <x v="2"/>
    <s v="North"/>
    <s v="Uttar Pradesh"/>
    <s v="Lucknow"/>
    <x v="2"/>
    <x v="2"/>
    <s v="CUST1006"/>
    <s v="SP_10"/>
    <n v="1"/>
    <n v="40741.25"/>
    <n v="40741.25"/>
    <n v="33677.440000000002"/>
    <n v="7063.81"/>
    <s v="Cash"/>
  </r>
  <r>
    <s v="ORD100458"/>
    <s v="2025-09-07"/>
    <x v="5"/>
    <s v="West"/>
    <s v="Gujarat"/>
    <s v="Ahmedabad"/>
    <x v="2"/>
    <x v="2"/>
    <s v="CUST1220"/>
    <s v="SP_09"/>
    <n v="3"/>
    <n v="47178.2"/>
    <n v="141534.6"/>
    <n v="107140.9"/>
    <n v="34393.699999999997"/>
    <s v="Net Banking"/>
  </r>
  <r>
    <s v="ORD100459"/>
    <s v="2025-09-25"/>
    <x v="5"/>
    <s v="South"/>
    <s v="Telangana"/>
    <s v="Hyderabad"/>
    <x v="1"/>
    <x v="6"/>
    <s v="CUST1631"/>
    <s v="SP_10"/>
    <n v="5"/>
    <n v="3057.66"/>
    <n v="15288.3"/>
    <n v="12270.03"/>
    <n v="3018.27"/>
    <s v="UPI"/>
  </r>
  <r>
    <s v="ORD100460"/>
    <s v="2025-01-31"/>
    <x v="9"/>
    <s v="South"/>
    <s v="Karnataka"/>
    <s v="Bengaluru"/>
    <x v="1"/>
    <x v="6"/>
    <s v="CUST1062"/>
    <s v="SP_13"/>
    <n v="2"/>
    <n v="3188.35"/>
    <n v="6376.7"/>
    <n v="4582.74"/>
    <n v="1793.96"/>
    <s v="Credit Card"/>
  </r>
  <r>
    <s v="ORD100461"/>
    <s v="2025-04-26"/>
    <x v="0"/>
    <s v="North"/>
    <s v="Delhi"/>
    <s v="Delhi"/>
    <x v="0"/>
    <x v="9"/>
    <s v="CUST1849"/>
    <s v="SP_04"/>
    <n v="4"/>
    <n v="6661.72"/>
    <n v="26646.880000000001"/>
    <n v="19310.740000000002"/>
    <n v="7336.14"/>
    <s v="UPI"/>
  </r>
  <r>
    <s v="ORD100462"/>
    <s v="2025-05-04"/>
    <x v="3"/>
    <s v="North"/>
    <s v="Delhi"/>
    <s v="Delhi"/>
    <x v="0"/>
    <x v="8"/>
    <s v="CUST1432"/>
    <s v="SP_08"/>
    <n v="7"/>
    <n v="22256.79"/>
    <n v="155797.53"/>
    <n v="116515.41"/>
    <n v="39282.120000000003"/>
    <s v="Cash"/>
  </r>
  <r>
    <s v="ORD100463"/>
    <s v="2025-04-28"/>
    <x v="0"/>
    <s v="North"/>
    <s v="Uttar Pradesh"/>
    <s v="Lucknow"/>
    <x v="0"/>
    <x v="8"/>
    <s v="CUST1807"/>
    <s v="SP_15"/>
    <n v="6"/>
    <n v="20000.16"/>
    <n v="120000.96000000001"/>
    <n v="99843.78"/>
    <n v="20157.18"/>
    <s v="UPI"/>
  </r>
  <r>
    <s v="ORD100464"/>
    <s v="2025-08-10"/>
    <x v="11"/>
    <s v="West"/>
    <s v="Gujarat"/>
    <s v="Ahmedabad"/>
    <x v="3"/>
    <x v="11"/>
    <s v="CUST1143"/>
    <s v="SP_15"/>
    <n v="5"/>
    <n v="119.93"/>
    <n v="599.65"/>
    <n v="313.05"/>
    <n v="286.60000000000002"/>
    <s v="Net Banking"/>
  </r>
  <r>
    <s v="ORD100465"/>
    <s v="2025-04-03"/>
    <x v="0"/>
    <s v="North"/>
    <s v="Punjab"/>
    <s v="Chandigarh"/>
    <x v="0"/>
    <x v="8"/>
    <s v="CUST1894"/>
    <s v="SP_15"/>
    <n v="8"/>
    <n v="20915.66"/>
    <n v="167325.28"/>
    <n v="142118.96"/>
    <n v="25206.32"/>
    <s v="Credit Card"/>
  </r>
  <r>
    <s v="ORD100466"/>
    <s v="2025-10-19"/>
    <x v="1"/>
    <s v="West"/>
    <s v="Maharashtra"/>
    <s v="Mumbai"/>
    <x v="2"/>
    <x v="2"/>
    <s v="CUST1170"/>
    <s v="SP_13"/>
    <n v="7"/>
    <n v="43360.38"/>
    <n v="303522.65999999997"/>
    <n v="253528.92"/>
    <n v="49993.74"/>
    <s v="Credit Card"/>
  </r>
  <r>
    <s v="ORD100467"/>
    <s v="2025-07-04"/>
    <x v="6"/>
    <s v="North"/>
    <s v="Uttar Pradesh"/>
    <s v="Lucknow"/>
    <x v="0"/>
    <x v="0"/>
    <s v="CUST1991"/>
    <s v="SP_11"/>
    <n v="8"/>
    <n v="3323.85"/>
    <n v="26590.799999999999"/>
    <n v="17903.45"/>
    <n v="8687.35"/>
    <s v="UPI"/>
  </r>
  <r>
    <s v="ORD100468"/>
    <s v="2025-11-16"/>
    <x v="10"/>
    <s v="East"/>
    <s v="Odisha"/>
    <s v="Bhubaneswar"/>
    <x v="1"/>
    <x v="5"/>
    <s v="CUST1860"/>
    <s v="SP_10"/>
    <n v="5"/>
    <n v="9094.91"/>
    <n v="45474.55"/>
    <n v="38988.870000000003"/>
    <n v="6485.68"/>
    <s v="Credit Card"/>
  </r>
  <r>
    <s v="ORD100469"/>
    <s v="2025-06-25"/>
    <x v="2"/>
    <s v="West"/>
    <s v="Gujarat"/>
    <s v="Ahmedabad"/>
    <x v="0"/>
    <x v="9"/>
    <s v="CUST1728"/>
    <s v="SP_11"/>
    <n v="3"/>
    <n v="6878.9"/>
    <n v="20636.7"/>
    <n v="14368.27"/>
    <n v="6268.43"/>
    <s v="Debit Card"/>
  </r>
  <r>
    <s v="ORD100470"/>
    <s v="2025-03-30"/>
    <x v="4"/>
    <s v="North"/>
    <s v="Delhi"/>
    <s v="Delhi"/>
    <x v="2"/>
    <x v="2"/>
    <s v="CUST1316"/>
    <s v="SP_13"/>
    <n v="7"/>
    <n v="48968.76"/>
    <n v="342781.32"/>
    <n v="245611.65"/>
    <n v="97169.67"/>
    <s v="Cash"/>
  </r>
  <r>
    <s v="ORD100471"/>
    <s v="2025-11-24"/>
    <x v="10"/>
    <s v="North"/>
    <s v="Delhi"/>
    <s v="Delhi"/>
    <x v="1"/>
    <x v="5"/>
    <s v="CUST1580"/>
    <s v="SP_04"/>
    <n v="2"/>
    <n v="9422.2900000000009"/>
    <n v="18844.580000000002"/>
    <n v="15631.42"/>
    <n v="3213.16"/>
    <s v="UPI"/>
  </r>
  <r>
    <s v="ORD100472"/>
    <s v="2025-08-26"/>
    <x v="11"/>
    <s v="North"/>
    <s v="Punjab"/>
    <s v="Chandigarh"/>
    <x v="0"/>
    <x v="8"/>
    <s v="CUST1533"/>
    <s v="SP_06"/>
    <n v="3"/>
    <n v="21301.26"/>
    <n v="63903.78"/>
    <n v="51213.19"/>
    <n v="12690.59"/>
    <s v="Cash"/>
  </r>
  <r>
    <s v="ORD100473"/>
    <s v="2025-08-12"/>
    <x v="11"/>
    <s v="North"/>
    <s v="Punjab"/>
    <s v="Chandigarh"/>
    <x v="2"/>
    <x v="4"/>
    <s v="CUST1737"/>
    <s v="SP_08"/>
    <n v="6"/>
    <n v="2502.4499999999998"/>
    <n v="15014.7"/>
    <n v="9711.7900000000009"/>
    <n v="5302.91"/>
    <s v="Net Banking"/>
  </r>
  <r>
    <s v="ORD100474"/>
    <s v="2025-03-01"/>
    <x v="4"/>
    <s v="North"/>
    <s v="Delhi"/>
    <s v="Delhi"/>
    <x v="3"/>
    <x v="11"/>
    <s v="CUST1466"/>
    <s v="SP_14"/>
    <n v="6"/>
    <n v="113.19"/>
    <n v="679.14"/>
    <n v="373.07"/>
    <n v="306.07"/>
    <s v="Cash"/>
  </r>
  <r>
    <s v="ORD100475"/>
    <s v="2025-06-26"/>
    <x v="2"/>
    <s v="West"/>
    <s v="Rajasthan"/>
    <s v="Jaipur"/>
    <x v="2"/>
    <x v="4"/>
    <s v="CUST1410"/>
    <s v="SP_03"/>
    <n v="8"/>
    <n v="2732.97"/>
    <n v="21863.759999999998"/>
    <n v="12937.13"/>
    <n v="8926.6299999999992"/>
    <s v="UPI"/>
  </r>
  <r>
    <s v="ORD100476"/>
    <s v="2025-11-22"/>
    <x v="10"/>
    <s v="East"/>
    <s v="Odisha"/>
    <s v="Bhubaneswar"/>
    <x v="1"/>
    <x v="6"/>
    <s v="CUST1009"/>
    <s v="SP_07"/>
    <n v="8"/>
    <n v="3188.31"/>
    <n v="25506.48"/>
    <n v="19152.55"/>
    <n v="6353.93"/>
    <s v="UPI"/>
  </r>
  <r>
    <s v="ORD100477"/>
    <s v="2025-01-22"/>
    <x v="9"/>
    <s v="East"/>
    <s v="Odisha"/>
    <s v="Bhubaneswar"/>
    <x v="2"/>
    <x v="2"/>
    <s v="CUST1758"/>
    <s v="SP_01"/>
    <n v="4"/>
    <n v="41480.400000000001"/>
    <n v="165921.60000000001"/>
    <n v="133690.07"/>
    <n v="32231.53"/>
    <s v="UPI"/>
  </r>
  <r>
    <s v="ORD100478"/>
    <s v="2025-12-31"/>
    <x v="7"/>
    <s v="East"/>
    <s v="Bihar"/>
    <s v="Patna"/>
    <x v="1"/>
    <x v="5"/>
    <s v="CUST1086"/>
    <s v="SP_05"/>
    <n v="4"/>
    <n v="9471.66"/>
    <n v="37886.639999999999"/>
    <n v="29099.23"/>
    <n v="8787.41"/>
    <s v="Cash"/>
  </r>
  <r>
    <s v="ORD100479"/>
    <s v="2025-04-20"/>
    <x v="0"/>
    <s v="East"/>
    <s v="Odisha"/>
    <s v="Bhubaneswar"/>
    <x v="0"/>
    <x v="0"/>
    <s v="CUST1791"/>
    <s v="SP_04"/>
    <n v="8"/>
    <n v="3631.02"/>
    <n v="29048.16"/>
    <n v="18282.09"/>
    <n v="10766.07"/>
    <s v="UPI"/>
  </r>
  <r>
    <s v="ORD100480"/>
    <s v="2025-05-23"/>
    <x v="3"/>
    <s v="East"/>
    <s v="Bihar"/>
    <s v="Patna"/>
    <x v="2"/>
    <x v="2"/>
    <s v="CUST1115"/>
    <s v="SP_10"/>
    <n v="2"/>
    <n v="42670.26"/>
    <n v="85340.52"/>
    <n v="71322.559999999998"/>
    <n v="14017.96"/>
    <s v="UPI"/>
  </r>
  <r>
    <s v="ORD100481"/>
    <s v="2025-02-08"/>
    <x v="8"/>
    <s v="North"/>
    <s v="Delhi"/>
    <s v="Delhi"/>
    <x v="0"/>
    <x v="0"/>
    <s v="CUST1066"/>
    <s v="SP_03"/>
    <n v="2"/>
    <n v="3584.58"/>
    <n v="7169.16"/>
    <n v="4596.92"/>
    <n v="2572.2399999999998"/>
    <s v="UPI"/>
  </r>
  <r>
    <s v="ORD100482"/>
    <s v="2025-07-20"/>
    <x v="6"/>
    <s v="North"/>
    <s v="Punjab"/>
    <s v="Chandigarh"/>
    <x v="1"/>
    <x v="6"/>
    <s v="CUST1042"/>
    <s v="SP_01"/>
    <n v="6"/>
    <n v="3191.87"/>
    <n v="19151.22"/>
    <n v="14574.21"/>
    <n v="4577.01"/>
    <s v="Credit Card"/>
  </r>
  <r>
    <s v="ORD100483"/>
    <s v="2025-01-18"/>
    <x v="9"/>
    <s v="South"/>
    <s v="Tamil Nadu"/>
    <s v="Chennai"/>
    <x v="1"/>
    <x v="5"/>
    <s v="CUST1465"/>
    <s v="SP_15"/>
    <n v="7"/>
    <n v="9981.86"/>
    <n v="69873.02"/>
    <n v="53704.65"/>
    <n v="16168.37"/>
    <s v="UPI"/>
  </r>
  <r>
    <s v="ORD100484"/>
    <s v="2025-01-24"/>
    <x v="9"/>
    <s v="West"/>
    <s v="Maharashtra"/>
    <s v="Mumbai"/>
    <x v="1"/>
    <x v="6"/>
    <s v="CUST1618"/>
    <s v="SP_02"/>
    <n v="5"/>
    <n v="3290.31"/>
    <n v="16451.55"/>
    <n v="12366.01"/>
    <n v="4085.54"/>
    <s v="Cash"/>
  </r>
  <r>
    <s v="ORD100485"/>
    <s v="2025-04-12"/>
    <x v="0"/>
    <s v="South"/>
    <s v="Telangana"/>
    <s v="Hyderabad"/>
    <x v="0"/>
    <x v="9"/>
    <s v="CUST1997"/>
    <s v="SP_05"/>
    <n v="3"/>
    <n v="6464.03"/>
    <n v="19392.09"/>
    <n v="15466.1"/>
    <n v="3925.99"/>
    <s v="Cash"/>
  </r>
  <r>
    <s v="ORD100486"/>
    <s v="2025-06-30"/>
    <x v="2"/>
    <s v="South"/>
    <s v="Telangana"/>
    <s v="Hyderabad"/>
    <x v="1"/>
    <x v="1"/>
    <s v="CUST1957"/>
    <s v="SP_15"/>
    <n v="5"/>
    <n v="2870.02"/>
    <n v="14350.1"/>
    <n v="9966.2000000000007"/>
    <n v="4383.8999999999996"/>
    <s v="Net Banking"/>
  </r>
  <r>
    <s v="ORD100487"/>
    <s v="2025-06-14"/>
    <x v="2"/>
    <s v="West"/>
    <s v="Rajasthan"/>
    <s v="Jaipur"/>
    <x v="3"/>
    <x v="7"/>
    <s v="CUST1566"/>
    <s v="SP_05"/>
    <n v="3"/>
    <n v="12450.36"/>
    <n v="37351.08"/>
    <n v="26316.7"/>
    <n v="11034.38"/>
    <s v="Credit Card"/>
  </r>
  <r>
    <s v="ORD100488"/>
    <s v="2025-10-20"/>
    <x v="1"/>
    <s v="North"/>
    <s v="Delhi"/>
    <s v="Delhi"/>
    <x v="3"/>
    <x v="11"/>
    <s v="CUST1088"/>
    <s v="SP_03"/>
    <n v="6"/>
    <n v="114.69"/>
    <n v="688.14"/>
    <n v="356.47"/>
    <n v="331.67"/>
    <s v="Net Banking"/>
  </r>
  <r>
    <s v="ORD100489"/>
    <s v="2025-07-18"/>
    <x v="6"/>
    <s v="South"/>
    <s v="Tamil Nadu"/>
    <s v="Chennai"/>
    <x v="0"/>
    <x v="9"/>
    <s v="CUST1494"/>
    <s v="SP_13"/>
    <n v="2"/>
    <n v="6550.73"/>
    <n v="13101.46"/>
    <n v="9514.48"/>
    <n v="3586.98"/>
    <s v="Net Banking"/>
  </r>
  <r>
    <s v="ORD100490"/>
    <s v="2025-12-09"/>
    <x v="7"/>
    <s v="East"/>
    <s v="West Bengal"/>
    <s v="Kolkata"/>
    <x v="1"/>
    <x v="5"/>
    <s v="CUST1018"/>
    <s v="SP_02"/>
    <n v="3"/>
    <n v="8698.08"/>
    <n v="26094.240000000002"/>
    <n v="23610.85"/>
    <n v="2483.39"/>
    <s v="Credit Card"/>
  </r>
  <r>
    <s v="ORD100491"/>
    <s v="2025-06-06"/>
    <x v="2"/>
    <s v="North"/>
    <s v="Delhi"/>
    <s v="Delhi"/>
    <x v="0"/>
    <x v="9"/>
    <s v="CUST1445"/>
    <s v="SP_04"/>
    <n v="7"/>
    <n v="6425.42"/>
    <n v="44977.94"/>
    <n v="34453.35"/>
    <n v="10524.59"/>
    <s v="UPI"/>
  </r>
  <r>
    <s v="ORD100492"/>
    <s v="2025-04-15"/>
    <x v="0"/>
    <s v="North"/>
    <s v="Delhi"/>
    <s v="Delhi"/>
    <x v="1"/>
    <x v="1"/>
    <s v="CUST1819"/>
    <s v="SP_07"/>
    <n v="3"/>
    <n v="2734.97"/>
    <n v="8204.91"/>
    <n v="5713.77"/>
    <n v="2491.14"/>
    <s v="UPI"/>
  </r>
  <r>
    <s v="ORD100493"/>
    <s v="2025-10-01"/>
    <x v="1"/>
    <s v="North"/>
    <s v="Uttar Pradesh"/>
    <s v="Lucknow"/>
    <x v="3"/>
    <x v="11"/>
    <s v="CUST1813"/>
    <s v="SP_01"/>
    <n v="8"/>
    <n v="119.33"/>
    <n v="954.64"/>
    <n v="484.51"/>
    <n v="470.13"/>
    <s v="Debit Card"/>
  </r>
  <r>
    <s v="ORD100494"/>
    <s v="2025-07-07"/>
    <x v="6"/>
    <s v="North"/>
    <s v="Delhi"/>
    <s v="Delhi"/>
    <x v="1"/>
    <x v="6"/>
    <s v="CUST1494"/>
    <s v="SP_09"/>
    <n v="2"/>
    <n v="3314.34"/>
    <n v="6628.68"/>
    <n v="4768.32"/>
    <n v="1860.36"/>
    <s v="Credit Card"/>
  </r>
  <r>
    <s v="ORD100495"/>
    <s v="2025-11-15"/>
    <x v="10"/>
    <s v="East"/>
    <s v="Odisha"/>
    <s v="Bhubaneswar"/>
    <x v="3"/>
    <x v="7"/>
    <s v="CUST1173"/>
    <s v="SP_02"/>
    <n v="6"/>
    <n v="11899.25"/>
    <n v="71395.5"/>
    <n v="53099.82"/>
    <n v="18295.68"/>
    <s v="Debit Card"/>
  </r>
  <r>
    <s v="ORD100496"/>
    <s v="2025-05-08"/>
    <x v="3"/>
    <s v="North"/>
    <s v="Uttar Pradesh"/>
    <s v="Lucknow"/>
    <x v="2"/>
    <x v="4"/>
    <s v="CUST1123"/>
    <s v="SP_04"/>
    <n v="6"/>
    <n v="2370.4499999999998"/>
    <n v="14222.7"/>
    <n v="9260.07"/>
    <n v="4962.63"/>
    <s v="Credit Card"/>
  </r>
  <r>
    <s v="ORD100497"/>
    <s v="2025-07-21"/>
    <x v="6"/>
    <s v="North"/>
    <s v="Delhi"/>
    <s v="Delhi"/>
    <x v="1"/>
    <x v="5"/>
    <s v="CUST1305"/>
    <s v="SP_13"/>
    <n v="3"/>
    <n v="9825.58"/>
    <n v="29476.74"/>
    <n v="22355.18"/>
    <n v="7121.56"/>
    <s v="UPI"/>
  </r>
  <r>
    <s v="ORD100498"/>
    <s v="2025-04-07"/>
    <x v="0"/>
    <s v="North"/>
    <s v="Punjab"/>
    <s v="Chandigarh"/>
    <x v="3"/>
    <x v="11"/>
    <s v="CUST1167"/>
    <s v="SP_04"/>
    <n v="7"/>
    <n v="128.82"/>
    <n v="901.74"/>
    <n v="412.72"/>
    <n v="489.02"/>
    <s v="Cash"/>
  </r>
  <r>
    <s v="ORD100499"/>
    <s v="2025-10-14"/>
    <x v="1"/>
    <s v="South"/>
    <s v="Karnataka"/>
    <s v="Bengaluru"/>
    <x v="3"/>
    <x v="7"/>
    <s v="CUST1210"/>
    <s v="SP_09"/>
    <n v="8"/>
    <n v="11465.29"/>
    <n v="91722.32"/>
    <n v="69225.740000000005"/>
    <n v="22496.58"/>
    <s v="Net Banking"/>
  </r>
  <r>
    <s v="ORD100500"/>
    <s v="2025-03-03"/>
    <x v="4"/>
    <s v="East"/>
    <s v="West Bengal"/>
    <s v="Kolkata"/>
    <x v="1"/>
    <x v="6"/>
    <s v="CUST1800"/>
    <s v="SP_12"/>
    <n v="6"/>
    <n v="2954.63"/>
    <n v="17727.78"/>
    <n v="14965.56"/>
    <n v="2762.22"/>
    <s v="UPI"/>
  </r>
  <r>
    <s v="ORD100501"/>
    <s v="2025-12-27"/>
    <x v="7"/>
    <s v="West"/>
    <s v="Maharashtra"/>
    <s v="Mumbai"/>
    <x v="2"/>
    <x v="10"/>
    <s v="CUST1091"/>
    <s v="SP_12"/>
    <n v="6"/>
    <n v="17142.55"/>
    <n v="102855.3"/>
    <n v="86302.24"/>
    <n v="16553.060000000001"/>
    <s v="Debit Card"/>
  </r>
  <r>
    <s v="ORD100502"/>
    <s v="2025-03-08"/>
    <x v="4"/>
    <s v="East"/>
    <s v="West Bengal"/>
    <s v="Kolkata"/>
    <x v="2"/>
    <x v="2"/>
    <s v="CUST1730"/>
    <s v="SP_05"/>
    <n v="8"/>
    <n v="44785.05"/>
    <n v="358280.4"/>
    <n v="280145.15000000002"/>
    <n v="78135.25"/>
    <s v="Credit Card"/>
  </r>
  <r>
    <s v="ORD100503"/>
    <s v="2025-09-02"/>
    <x v="5"/>
    <s v="South"/>
    <s v="Karnataka"/>
    <s v="Bengaluru"/>
    <x v="1"/>
    <x v="6"/>
    <s v="CUST1218"/>
    <s v="SP_01"/>
    <n v="4"/>
    <n v="2972.56"/>
    <n v="11890.24"/>
    <n v="9499.7099999999991"/>
    <n v="2390.5300000000002"/>
    <s v="UPI"/>
  </r>
  <r>
    <s v="ORD100504"/>
    <s v="2025-03-03"/>
    <x v="4"/>
    <s v="South"/>
    <s v="Telangana"/>
    <s v="Hyderabad"/>
    <x v="2"/>
    <x v="2"/>
    <s v="CUST1644"/>
    <s v="SP_12"/>
    <n v="8"/>
    <n v="45679.199999999997"/>
    <n v="365433.59999999998"/>
    <n v="266791.34999999998"/>
    <n v="98642.25"/>
    <s v="Cash"/>
  </r>
  <r>
    <s v="ORD100505"/>
    <s v="2025-09-20"/>
    <x v="5"/>
    <s v="North"/>
    <s v="Uttar Pradesh"/>
    <s v="Lucknow"/>
    <x v="3"/>
    <x v="11"/>
    <s v="CUST1520"/>
    <s v="SP_06"/>
    <n v="6"/>
    <n v="128.38999999999999"/>
    <n v="770.34"/>
    <n v="363.49"/>
    <n v="406.85"/>
    <s v="Credit Card"/>
  </r>
  <r>
    <s v="ORD100506"/>
    <s v="2025-03-22"/>
    <x v="4"/>
    <s v="North"/>
    <s v="Uttar Pradesh"/>
    <s v="Lucknow"/>
    <x v="0"/>
    <x v="0"/>
    <s v="CUST1402"/>
    <s v="SP_02"/>
    <n v="2"/>
    <n v="3600.11"/>
    <n v="7200.22"/>
    <n v="4435.7299999999996"/>
    <n v="2764.49"/>
    <s v="Credit Card"/>
  </r>
  <r>
    <s v="ORD100507"/>
    <s v="2025-01-09"/>
    <x v="9"/>
    <s v="North"/>
    <s v="Delhi"/>
    <s v="Delhi"/>
    <x v="3"/>
    <x v="3"/>
    <s v="CUST1029"/>
    <s v="SP_04"/>
    <n v="5"/>
    <n v="26.16"/>
    <n v="130.80000000000001"/>
    <n v="48.1"/>
    <n v="82.7"/>
    <s v="Net Banking"/>
  </r>
  <r>
    <s v="ORD100508"/>
    <s v="2025-03-26"/>
    <x v="4"/>
    <s v="West"/>
    <s v="Maharashtra"/>
    <s v="Mumbai"/>
    <x v="0"/>
    <x v="8"/>
    <s v="CUST1078"/>
    <s v="SP_05"/>
    <n v="3"/>
    <n v="22619.25"/>
    <n v="67857.75"/>
    <n v="53429.93"/>
    <n v="14427.82"/>
    <s v="Cash"/>
  </r>
  <r>
    <s v="ORD100509"/>
    <s v="2025-05-01"/>
    <x v="3"/>
    <s v="East"/>
    <s v="West Bengal"/>
    <s v="Kolkata"/>
    <x v="0"/>
    <x v="0"/>
    <s v="CUST1763"/>
    <s v="SP_02"/>
    <n v="8"/>
    <n v="3679.61"/>
    <n v="29436.880000000001"/>
    <n v="17638.45"/>
    <n v="11798.43"/>
    <s v="Debit Card"/>
  </r>
  <r>
    <s v="ORD100510"/>
    <s v="2025-02-05"/>
    <x v="8"/>
    <s v="South"/>
    <s v="Telangana"/>
    <s v="Hyderabad"/>
    <x v="3"/>
    <x v="7"/>
    <s v="CUST1494"/>
    <s v="SP_08"/>
    <n v="5"/>
    <n v="11578.83"/>
    <n v="57894.15"/>
    <n v="45008.94"/>
    <n v="12885.21"/>
    <s v="UPI"/>
  </r>
  <r>
    <s v="ORD100511"/>
    <s v="2025-03-29"/>
    <x v="4"/>
    <s v="West"/>
    <s v="Rajasthan"/>
    <s v="Jaipur"/>
    <x v="2"/>
    <x v="10"/>
    <s v="CUST1461"/>
    <s v="SP_03"/>
    <n v="6"/>
    <n v="16903.23"/>
    <n v="101419.38"/>
    <n v="84134.74"/>
    <n v="17284.64"/>
    <s v="UPI"/>
  </r>
  <r>
    <s v="ORD100512"/>
    <s v="2025-11-20"/>
    <x v="10"/>
    <s v="North"/>
    <s v="Uttar Pradesh"/>
    <s v="Lucknow"/>
    <x v="1"/>
    <x v="1"/>
    <s v="CUST1765"/>
    <s v="SP_08"/>
    <n v="2"/>
    <n v="2848.34"/>
    <n v="5696.68"/>
    <n v="3966.85"/>
    <n v="1729.83"/>
    <s v="Net Banking"/>
  </r>
  <r>
    <s v="ORD100513"/>
    <s v="2025-12-04"/>
    <x v="7"/>
    <s v="East"/>
    <s v="Odisha"/>
    <s v="Bhubaneswar"/>
    <x v="2"/>
    <x v="4"/>
    <s v="CUST1683"/>
    <s v="SP_04"/>
    <n v="2"/>
    <n v="2401.65"/>
    <n v="4803.3"/>
    <n v="3169.04"/>
    <n v="1634.26"/>
    <s v="UPI"/>
  </r>
  <r>
    <s v="ORD100514"/>
    <s v="2025-02-27"/>
    <x v="8"/>
    <s v="West"/>
    <s v="Rajasthan"/>
    <s v="Jaipur"/>
    <x v="0"/>
    <x v="9"/>
    <s v="CUST1972"/>
    <s v="SP_06"/>
    <n v="5"/>
    <n v="7096.56"/>
    <n v="35482.800000000003"/>
    <n v="25757.87"/>
    <n v="9724.93"/>
    <s v="UPI"/>
  </r>
  <r>
    <s v="ORD100515"/>
    <s v="2025-06-01"/>
    <x v="2"/>
    <s v="South"/>
    <s v="Tamil Nadu"/>
    <s v="Chennai"/>
    <x v="2"/>
    <x v="10"/>
    <s v="CUST1453"/>
    <s v="SP_11"/>
    <n v="5"/>
    <n v="18229.36"/>
    <n v="91146.8"/>
    <n v="67321.990000000005"/>
    <n v="23824.81"/>
    <s v="Credit Card"/>
  </r>
  <r>
    <s v="ORD100516"/>
    <s v="2025-12-08"/>
    <x v="7"/>
    <s v="North"/>
    <s v="Punjab"/>
    <s v="Chandigarh"/>
    <x v="2"/>
    <x v="10"/>
    <s v="CUST1622"/>
    <s v="SP_10"/>
    <n v="7"/>
    <n v="16557.07"/>
    <n v="115899.49"/>
    <n v="99408.85"/>
    <n v="16490.64"/>
    <s v="Cash"/>
  </r>
  <r>
    <s v="ORD100517"/>
    <s v="2025-02-21"/>
    <x v="8"/>
    <s v="North"/>
    <s v="Uttar Pradesh"/>
    <s v="Lucknow"/>
    <x v="0"/>
    <x v="0"/>
    <s v="CUST1700"/>
    <s v="SP_01"/>
    <n v="4"/>
    <n v="3528.13"/>
    <n v="14112.52"/>
    <n v="8853.75"/>
    <n v="5258.77"/>
    <s v="Debit Card"/>
  </r>
  <r>
    <s v="ORD100518"/>
    <s v="2025-11-25"/>
    <x v="10"/>
    <s v="East"/>
    <s v="Bihar"/>
    <s v="Patna"/>
    <x v="0"/>
    <x v="9"/>
    <s v="CUST1227"/>
    <s v="SP_06"/>
    <n v="6"/>
    <n v="7613.14"/>
    <n v="45678.84"/>
    <n v="31213.599999999999"/>
    <n v="14465.24"/>
    <s v="Debit Card"/>
  </r>
  <r>
    <s v="ORD100519"/>
    <s v="2025-11-14"/>
    <x v="10"/>
    <s v="East"/>
    <s v="West Bengal"/>
    <s v="Kolkata"/>
    <x v="0"/>
    <x v="8"/>
    <s v="CUST1751"/>
    <s v="SP_03"/>
    <n v="6"/>
    <n v="20577.740000000002"/>
    <n v="123466.44"/>
    <n v="100532.47"/>
    <n v="22933.97"/>
    <s v="Credit Card"/>
  </r>
  <r>
    <s v="ORD100520"/>
    <s v="2025-02-08"/>
    <x v="8"/>
    <s v="West"/>
    <s v="Maharashtra"/>
    <s v="Mumbai"/>
    <x v="3"/>
    <x v="7"/>
    <s v="CUST1240"/>
    <s v="SP_09"/>
    <n v="6"/>
    <n v="10947.86"/>
    <n v="65687.16"/>
    <n v="53901.68"/>
    <n v="11785.48"/>
    <s v="Credit Card"/>
  </r>
  <r>
    <s v="ORD100521"/>
    <s v="2025-08-23"/>
    <x v="11"/>
    <s v="East"/>
    <s v="Odisha"/>
    <s v="Bhubaneswar"/>
    <x v="2"/>
    <x v="10"/>
    <s v="CUST1537"/>
    <s v="SP_09"/>
    <n v="7"/>
    <n v="18367.86"/>
    <n v="128575.02"/>
    <n v="95115.79"/>
    <n v="33459.230000000003"/>
    <s v="Credit Card"/>
  </r>
  <r>
    <s v="ORD100522"/>
    <s v="2025-08-24"/>
    <x v="11"/>
    <s v="South"/>
    <s v="Karnataka"/>
    <s v="Bengaluru"/>
    <x v="0"/>
    <x v="9"/>
    <s v="CUST1105"/>
    <s v="SP_04"/>
    <n v="8"/>
    <n v="7210.37"/>
    <n v="57682.96"/>
    <n v="39279.81"/>
    <n v="18403.150000000001"/>
    <s v="Net Banking"/>
  </r>
  <r>
    <s v="ORD100523"/>
    <s v="2025-07-13"/>
    <x v="6"/>
    <s v="North"/>
    <s v="Punjab"/>
    <s v="Chandigarh"/>
    <x v="3"/>
    <x v="11"/>
    <s v="CUST1086"/>
    <s v="SP_10"/>
    <n v="4"/>
    <n v="124.17"/>
    <n v="496.68"/>
    <n v="231.27"/>
    <n v="265.41000000000003"/>
    <s v="UPI"/>
  </r>
  <r>
    <s v="ORD100524"/>
    <s v="2025-03-20"/>
    <x v="4"/>
    <s v="West"/>
    <s v="Maharashtra"/>
    <s v="Mumbai"/>
    <x v="1"/>
    <x v="5"/>
    <s v="CUST1975"/>
    <s v="SP_15"/>
    <n v="1"/>
    <n v="9325.7999999999993"/>
    <n v="9325.7999999999993"/>
    <n v="7933.16"/>
    <n v="1392.64"/>
    <s v="Debit Card"/>
  </r>
  <r>
    <s v="ORD100525"/>
    <s v="2025-11-23"/>
    <x v="10"/>
    <s v="West"/>
    <s v="Maharashtra"/>
    <s v="Mumbai"/>
    <x v="2"/>
    <x v="4"/>
    <s v="CUST1291"/>
    <s v="SP_10"/>
    <n v="8"/>
    <n v="2680.78"/>
    <n v="21446.240000000002"/>
    <n v="12406.13"/>
    <n v="9040.11"/>
    <s v="Net Banking"/>
  </r>
  <r>
    <s v="ORD100526"/>
    <s v="2025-04-15"/>
    <x v="0"/>
    <s v="North"/>
    <s v="Punjab"/>
    <s v="Chandigarh"/>
    <x v="3"/>
    <x v="3"/>
    <s v="CUST1200"/>
    <s v="SP_14"/>
    <n v="1"/>
    <n v="24.14"/>
    <n v="24.14"/>
    <n v="10.48"/>
    <n v="13.66"/>
    <s v="Cash"/>
  </r>
  <r>
    <s v="ORD100527"/>
    <s v="2025-05-08"/>
    <x v="3"/>
    <s v="South"/>
    <s v="Telangana"/>
    <s v="Hyderabad"/>
    <x v="0"/>
    <x v="0"/>
    <s v="CUST1576"/>
    <s v="SP_07"/>
    <n v="6"/>
    <n v="3819.82"/>
    <n v="22918.92"/>
    <n v="13370.48"/>
    <n v="9548.44"/>
    <s v="Debit Card"/>
  </r>
  <r>
    <s v="ORD100528"/>
    <s v="2025-07-19"/>
    <x v="6"/>
    <s v="North"/>
    <s v="Delhi"/>
    <s v="Delhi"/>
    <x v="2"/>
    <x v="2"/>
    <s v="CUST1795"/>
    <s v="SP_08"/>
    <n v="4"/>
    <n v="40797.050000000003"/>
    <n v="163188.20000000001"/>
    <n v="142910.43"/>
    <n v="20277.77"/>
    <s v="UPI"/>
  </r>
  <r>
    <s v="ORD100529"/>
    <s v="2025-04-16"/>
    <x v="0"/>
    <s v="North"/>
    <s v="Delhi"/>
    <s v="Delhi"/>
    <x v="1"/>
    <x v="1"/>
    <s v="CUST1128"/>
    <s v="SP_12"/>
    <n v="4"/>
    <n v="2913.8"/>
    <n v="11655.2"/>
    <n v="7577.11"/>
    <n v="4078.09"/>
    <s v="Cash"/>
  </r>
  <r>
    <s v="ORD100530"/>
    <s v="2025-06-19"/>
    <x v="2"/>
    <s v="East"/>
    <s v="Odisha"/>
    <s v="Bhubaneswar"/>
    <x v="0"/>
    <x v="9"/>
    <s v="CUST1192"/>
    <s v="SP_11"/>
    <n v="7"/>
    <n v="6952.19"/>
    <n v="48665.33"/>
    <n v="34357.800000000003"/>
    <n v="14307.53"/>
    <s v="Net Banking"/>
  </r>
  <r>
    <s v="ORD100531"/>
    <s v="2025-01-06"/>
    <x v="9"/>
    <s v="South"/>
    <s v="Telangana"/>
    <s v="Hyderabad"/>
    <x v="3"/>
    <x v="3"/>
    <s v="CUST1955"/>
    <s v="SP_13"/>
    <n v="4"/>
    <n v="24.16"/>
    <n v="96.64"/>
    <n v="38.130000000000003"/>
    <n v="58.51"/>
    <s v="UPI"/>
  </r>
  <r>
    <s v="ORD100532"/>
    <s v="2025-03-16"/>
    <x v="4"/>
    <s v="West"/>
    <s v="Rajasthan"/>
    <s v="Jaipur"/>
    <x v="1"/>
    <x v="6"/>
    <s v="CUST1866"/>
    <s v="SP_12"/>
    <n v="1"/>
    <n v="3213.46"/>
    <n v="3213.46"/>
    <n v="2482.25"/>
    <n v="731.21"/>
    <s v="Credit Card"/>
  </r>
  <r>
    <s v="ORD100533"/>
    <s v="2025-05-03"/>
    <x v="3"/>
    <s v="East"/>
    <s v="West Bengal"/>
    <s v="Kolkata"/>
    <x v="3"/>
    <x v="3"/>
    <s v="CUST1782"/>
    <s v="SP_11"/>
    <n v="4"/>
    <n v="23.66"/>
    <n v="94.64"/>
    <n v="38.83"/>
    <n v="55.81"/>
    <s v="Debit Card"/>
  </r>
  <r>
    <s v="ORD100534"/>
    <s v="2025-12-21"/>
    <x v="7"/>
    <s v="South"/>
    <s v="Karnataka"/>
    <s v="Bengaluru"/>
    <x v="1"/>
    <x v="5"/>
    <s v="CUST1432"/>
    <s v="SP_07"/>
    <n v="3"/>
    <n v="9957.32"/>
    <n v="29871.96"/>
    <n v="23058.34"/>
    <n v="6813.62"/>
    <s v="Debit Card"/>
  </r>
  <r>
    <s v="ORD100535"/>
    <s v="2025-12-16"/>
    <x v="7"/>
    <s v="East"/>
    <s v="Bihar"/>
    <s v="Patna"/>
    <x v="1"/>
    <x v="5"/>
    <s v="CUST1257"/>
    <s v="SP_01"/>
    <n v="1"/>
    <n v="10134.67"/>
    <n v="10134.67"/>
    <n v="7372.64"/>
    <n v="2762.03"/>
    <s v="Net Banking"/>
  </r>
  <r>
    <s v="ORD100536"/>
    <s v="2025-03-20"/>
    <x v="4"/>
    <s v="West"/>
    <s v="Maharashtra"/>
    <s v="Mumbai"/>
    <x v="1"/>
    <x v="1"/>
    <s v="CUST1565"/>
    <s v="SP_02"/>
    <n v="7"/>
    <n v="2856.99"/>
    <n v="19998.93"/>
    <n v="12827.1"/>
    <n v="7171.83"/>
    <s v="Cash"/>
  </r>
  <r>
    <s v="ORD100537"/>
    <s v="2025-05-17"/>
    <x v="3"/>
    <s v="South"/>
    <s v="Tamil Nadu"/>
    <s v="Chennai"/>
    <x v="0"/>
    <x v="8"/>
    <s v="CUST1884"/>
    <s v="SP_03"/>
    <n v="8"/>
    <n v="20347.439999999999"/>
    <n v="162779.51999999999"/>
    <n v="132409.57999999999"/>
    <n v="30369.94"/>
    <s v="Net Banking"/>
  </r>
  <r>
    <s v="ORD100538"/>
    <s v="2025-09-26"/>
    <x v="5"/>
    <s v="North"/>
    <s v="Delhi"/>
    <s v="Delhi"/>
    <x v="2"/>
    <x v="10"/>
    <s v="CUST1189"/>
    <s v="SP_11"/>
    <n v="7"/>
    <n v="19652.55"/>
    <n v="137567.85"/>
    <n v="96840.06"/>
    <n v="40727.79"/>
    <s v="Cash"/>
  </r>
  <r>
    <s v="ORD100539"/>
    <s v="2025-02-07"/>
    <x v="8"/>
    <s v="South"/>
    <s v="Karnataka"/>
    <s v="Bengaluru"/>
    <x v="3"/>
    <x v="7"/>
    <s v="CUST1271"/>
    <s v="SP_04"/>
    <n v="4"/>
    <n v="10990.46"/>
    <n v="43961.84"/>
    <n v="35465.22"/>
    <n v="8496.6200000000008"/>
    <s v="Cash"/>
  </r>
  <r>
    <s v="ORD100540"/>
    <s v="2025-06-02"/>
    <x v="2"/>
    <s v="North"/>
    <s v="Punjab"/>
    <s v="Chandigarh"/>
    <x v="3"/>
    <x v="7"/>
    <s v="CUST1810"/>
    <s v="SP_11"/>
    <n v="1"/>
    <n v="11305.75"/>
    <n v="11305.75"/>
    <n v="8863.9500000000007"/>
    <n v="2441.8000000000002"/>
    <s v="Net Banking"/>
  </r>
  <r>
    <s v="ORD100541"/>
    <s v="2025-09-12"/>
    <x v="5"/>
    <s v="South"/>
    <s v="Tamil Nadu"/>
    <s v="Chennai"/>
    <x v="2"/>
    <x v="4"/>
    <s v="CUST1209"/>
    <s v="SP_12"/>
    <n v="8"/>
    <n v="2643.28"/>
    <n v="21146.240000000002"/>
    <n v="12392.18"/>
    <n v="8754.06"/>
    <s v="Net Banking"/>
  </r>
  <r>
    <s v="ORD100542"/>
    <s v="2025-02-28"/>
    <x v="8"/>
    <s v="South"/>
    <s v="Tamil Nadu"/>
    <s v="Chennai"/>
    <x v="2"/>
    <x v="4"/>
    <s v="CUST1793"/>
    <s v="SP_04"/>
    <n v="6"/>
    <n v="2556.48"/>
    <n v="15338.88"/>
    <n v="9357.74"/>
    <n v="5981.14"/>
    <s v="Credit Card"/>
  </r>
  <r>
    <s v="ORD100543"/>
    <s v="2025-08-09"/>
    <x v="11"/>
    <s v="East"/>
    <s v="West Bengal"/>
    <s v="Kolkata"/>
    <x v="0"/>
    <x v="8"/>
    <s v="CUST1775"/>
    <s v="SP_04"/>
    <n v="2"/>
    <n v="21708.85"/>
    <n v="43417.7"/>
    <n v="34648.949999999997"/>
    <n v="8768.75"/>
    <s v="Net Banking"/>
  </r>
  <r>
    <s v="ORD100544"/>
    <s v="2025-08-09"/>
    <x v="11"/>
    <s v="South"/>
    <s v="Telangana"/>
    <s v="Hyderabad"/>
    <x v="3"/>
    <x v="3"/>
    <s v="CUST1246"/>
    <s v="SP_01"/>
    <n v="3"/>
    <n v="26.78"/>
    <n v="80.34"/>
    <n v="29.96"/>
    <n v="50.38"/>
    <s v="Debit Card"/>
  </r>
  <r>
    <s v="ORD100545"/>
    <s v="2025-02-12"/>
    <x v="8"/>
    <s v="West"/>
    <s v="Maharashtra"/>
    <s v="Mumbai"/>
    <x v="3"/>
    <x v="7"/>
    <s v="CUST1084"/>
    <s v="SP_13"/>
    <n v="2"/>
    <n v="11264.11"/>
    <n v="22528.22"/>
    <n v="17778.88"/>
    <n v="4749.34"/>
    <s v="UPI"/>
  </r>
  <r>
    <s v="ORD100546"/>
    <s v="2025-01-06"/>
    <x v="9"/>
    <s v="East"/>
    <s v="Odisha"/>
    <s v="Bhubaneswar"/>
    <x v="3"/>
    <x v="7"/>
    <s v="CUST1147"/>
    <s v="SP_10"/>
    <n v="2"/>
    <n v="11407.33"/>
    <n v="22814.66"/>
    <n v="17201.990000000002"/>
    <n v="5612.67"/>
    <s v="UPI"/>
  </r>
  <r>
    <s v="ORD100547"/>
    <s v="2025-12-23"/>
    <x v="7"/>
    <s v="North"/>
    <s v="Uttar Pradesh"/>
    <s v="Lucknow"/>
    <x v="0"/>
    <x v="0"/>
    <s v="CUST1448"/>
    <s v="SP_02"/>
    <n v="7"/>
    <n v="3794.27"/>
    <n v="26559.89"/>
    <n v="14797.05"/>
    <n v="11762.84"/>
    <s v="Debit Card"/>
  </r>
  <r>
    <s v="ORD100548"/>
    <s v="2025-06-12"/>
    <x v="2"/>
    <s v="East"/>
    <s v="Odisha"/>
    <s v="Bhubaneswar"/>
    <x v="1"/>
    <x v="6"/>
    <s v="CUST1681"/>
    <s v="SP_13"/>
    <n v="2"/>
    <n v="3062.63"/>
    <n v="6125.26"/>
    <n v="4694.13"/>
    <n v="1431.13"/>
    <s v="Net Banking"/>
  </r>
  <r>
    <s v="ORD100549"/>
    <s v="2025-03-29"/>
    <x v="4"/>
    <s v="East"/>
    <s v="Bihar"/>
    <s v="Patna"/>
    <x v="3"/>
    <x v="3"/>
    <s v="CUST1843"/>
    <s v="SP_11"/>
    <n v="2"/>
    <n v="23.31"/>
    <n v="46.62"/>
    <n v="20.02"/>
    <n v="26.6"/>
    <s v="Cash"/>
  </r>
  <r>
    <s v="ORD100550"/>
    <s v="2025-05-10"/>
    <x v="3"/>
    <s v="North"/>
    <s v="Uttar Pradesh"/>
    <s v="Lucknow"/>
    <x v="2"/>
    <x v="4"/>
    <s v="CUST1804"/>
    <s v="SP_04"/>
    <n v="3"/>
    <n v="2484.9499999999998"/>
    <n v="7454.85"/>
    <n v="4891.3"/>
    <n v="2563.5500000000002"/>
    <s v="UPI"/>
  </r>
  <r>
    <s v="ORD100551"/>
    <s v="2025-05-26"/>
    <x v="3"/>
    <s v="North"/>
    <s v="Uttar Pradesh"/>
    <s v="Lucknow"/>
    <x v="0"/>
    <x v="8"/>
    <s v="CUST1003"/>
    <s v="SP_05"/>
    <n v="5"/>
    <n v="21102.51"/>
    <n v="105512.55"/>
    <n v="82461.63"/>
    <n v="23050.92"/>
    <s v="Net Banking"/>
  </r>
  <r>
    <s v="ORD100552"/>
    <s v="2025-07-02"/>
    <x v="6"/>
    <s v="South"/>
    <s v="Telangana"/>
    <s v="Hyderabad"/>
    <x v="3"/>
    <x v="11"/>
    <s v="CUST1017"/>
    <s v="SP_08"/>
    <n v="5"/>
    <n v="118.65"/>
    <n v="593.25"/>
    <n v="312.33999999999997"/>
    <n v="280.91000000000003"/>
    <s v="UPI"/>
  </r>
  <r>
    <s v="ORD100553"/>
    <s v="2025-10-22"/>
    <x v="1"/>
    <s v="North"/>
    <s v="Delhi"/>
    <s v="Delhi"/>
    <x v="2"/>
    <x v="2"/>
    <s v="CUST1151"/>
    <s v="SP_08"/>
    <n v="5"/>
    <n v="44472.45"/>
    <n v="222362.25"/>
    <n v="174686.13"/>
    <n v="47676.12"/>
    <s v="Net Banking"/>
  </r>
  <r>
    <s v="ORD100554"/>
    <s v="2025-02-13"/>
    <x v="8"/>
    <s v="South"/>
    <s v="Telangana"/>
    <s v="Hyderabad"/>
    <x v="0"/>
    <x v="9"/>
    <s v="CUST1168"/>
    <s v="SP_13"/>
    <n v="1"/>
    <n v="7373.39"/>
    <n v="7373.39"/>
    <n v="4945.42"/>
    <n v="2427.9699999999998"/>
    <s v="Debit Card"/>
  </r>
  <r>
    <s v="ORD100555"/>
    <s v="2025-03-21"/>
    <x v="4"/>
    <s v="South"/>
    <s v="Tamil Nadu"/>
    <s v="Chennai"/>
    <x v="2"/>
    <x v="2"/>
    <s v="CUST1596"/>
    <s v="SP_10"/>
    <n v="5"/>
    <n v="49284.97"/>
    <n v="246424.85"/>
    <n v="181590.17"/>
    <n v="64834.68"/>
    <s v="Cash"/>
  </r>
  <r>
    <s v="ORD100556"/>
    <s v="2025-06-03"/>
    <x v="2"/>
    <s v="South"/>
    <s v="Karnataka"/>
    <s v="Bengaluru"/>
    <x v="3"/>
    <x v="3"/>
    <s v="CUST1457"/>
    <s v="SP_14"/>
    <n v="8"/>
    <n v="23.66"/>
    <n v="189.28"/>
    <n v="83"/>
    <n v="106.28"/>
    <s v="Net Banking"/>
  </r>
  <r>
    <s v="ORD100557"/>
    <s v="2025-03-05"/>
    <x v="4"/>
    <s v="North"/>
    <s v="Punjab"/>
    <s v="Chandigarh"/>
    <x v="2"/>
    <x v="4"/>
    <s v="CUST1192"/>
    <s v="SP_15"/>
    <n v="6"/>
    <n v="2396.13"/>
    <n v="14376.78"/>
    <n v="9404.1"/>
    <n v="4972.68"/>
    <s v="Net Banking"/>
  </r>
  <r>
    <s v="ORD100558"/>
    <s v="2025-08-30"/>
    <x v="11"/>
    <s v="South"/>
    <s v="Tamil Nadu"/>
    <s v="Chennai"/>
    <x v="1"/>
    <x v="6"/>
    <s v="CUST1460"/>
    <s v="SP_02"/>
    <n v="5"/>
    <n v="3436.2"/>
    <n v="17181"/>
    <n v="12359.05"/>
    <n v="4821.95"/>
    <s v="Net Banking"/>
  </r>
  <r>
    <s v="ORD100559"/>
    <s v="2025-01-05"/>
    <x v="9"/>
    <s v="East"/>
    <s v="West Bengal"/>
    <s v="Kolkata"/>
    <x v="0"/>
    <x v="9"/>
    <s v="CUST1654"/>
    <s v="SP_07"/>
    <n v="7"/>
    <n v="7559.22"/>
    <n v="52914.54"/>
    <n v="36306.629999999997"/>
    <n v="16607.91"/>
    <s v="Net Banking"/>
  </r>
  <r>
    <s v="ORD100560"/>
    <s v="2025-11-06"/>
    <x v="10"/>
    <s v="South"/>
    <s v="Telangana"/>
    <s v="Hyderabad"/>
    <x v="2"/>
    <x v="2"/>
    <s v="CUST1226"/>
    <s v="SP_15"/>
    <n v="4"/>
    <n v="46015.040000000001"/>
    <n v="184060.16"/>
    <n v="141155.46"/>
    <n v="42904.7"/>
    <s v="Cash"/>
  </r>
  <r>
    <s v="ORD100561"/>
    <s v="2025-09-10"/>
    <x v="5"/>
    <s v="South"/>
    <s v="Telangana"/>
    <s v="Hyderabad"/>
    <x v="3"/>
    <x v="7"/>
    <s v="CUST1287"/>
    <s v="SP_13"/>
    <n v="7"/>
    <n v="12071.79"/>
    <n v="84502.53"/>
    <n v="64268.51"/>
    <n v="20234.02"/>
    <s v="Credit Card"/>
  </r>
  <r>
    <s v="ORD100562"/>
    <s v="2025-09-23"/>
    <x v="5"/>
    <s v="East"/>
    <s v="Bihar"/>
    <s v="Patna"/>
    <x v="3"/>
    <x v="11"/>
    <s v="CUST1789"/>
    <s v="SP_09"/>
    <n v="8"/>
    <n v="122.47"/>
    <n v="979.76"/>
    <n v="489.96"/>
    <n v="489.8"/>
    <s v="Credit Card"/>
  </r>
  <r>
    <s v="ORD100563"/>
    <s v="2025-06-03"/>
    <x v="2"/>
    <s v="East"/>
    <s v="West Bengal"/>
    <s v="Kolkata"/>
    <x v="1"/>
    <x v="1"/>
    <s v="CUST1622"/>
    <s v="SP_15"/>
    <n v="5"/>
    <n v="2544.89"/>
    <n v="12724.45"/>
    <n v="9649.59"/>
    <n v="3074.86"/>
    <s v="UPI"/>
  </r>
  <r>
    <s v="ORD100564"/>
    <s v="2025-01-07"/>
    <x v="9"/>
    <s v="West"/>
    <s v="Rajasthan"/>
    <s v="Jaipur"/>
    <x v="3"/>
    <x v="3"/>
    <s v="CUST1418"/>
    <s v="SP_04"/>
    <n v="8"/>
    <n v="26.2"/>
    <n v="209.6"/>
    <n v="77.53"/>
    <n v="132.07"/>
    <s v="Cash"/>
  </r>
  <r>
    <s v="ORD100565"/>
    <s v="2025-06-12"/>
    <x v="2"/>
    <s v="North"/>
    <s v="Delhi"/>
    <s v="Delhi"/>
    <x v="1"/>
    <x v="1"/>
    <s v="CUST1815"/>
    <s v="SP_07"/>
    <n v="2"/>
    <n v="2632.03"/>
    <n v="5264.06"/>
    <n v="3716.13"/>
    <n v="1547.93"/>
    <s v="Debit Card"/>
  </r>
  <r>
    <s v="ORD100566"/>
    <s v="2025-03-04"/>
    <x v="4"/>
    <s v="West"/>
    <s v="Gujarat"/>
    <s v="Ahmedabad"/>
    <x v="2"/>
    <x v="4"/>
    <s v="CUST1808"/>
    <s v="SP_03"/>
    <n v="4"/>
    <n v="2716.57"/>
    <n v="10866.28"/>
    <n v="6212.25"/>
    <n v="4654.03"/>
    <s v="Credit Card"/>
  </r>
  <r>
    <s v="ORD100567"/>
    <s v="2025-02-14"/>
    <x v="8"/>
    <s v="North"/>
    <s v="Delhi"/>
    <s v="Delhi"/>
    <x v="0"/>
    <x v="9"/>
    <s v="CUST1770"/>
    <s v="SP_12"/>
    <n v="4"/>
    <n v="7518.44"/>
    <n v="30073.759999999998"/>
    <n v="20949.939999999999"/>
    <n v="9123.82"/>
    <s v="Credit Card"/>
  </r>
  <r>
    <s v="ORD100568"/>
    <s v="2025-03-19"/>
    <x v="4"/>
    <s v="West"/>
    <s v="Gujarat"/>
    <s v="Ahmedabad"/>
    <x v="0"/>
    <x v="9"/>
    <s v="CUST1200"/>
    <s v="SP_10"/>
    <n v="4"/>
    <n v="7247.68"/>
    <n v="28990.720000000001"/>
    <n v="19203.009999999998"/>
    <n v="9787.7099999999991"/>
    <s v="Cash"/>
  </r>
  <r>
    <s v="ORD100569"/>
    <s v="2025-04-12"/>
    <x v="0"/>
    <s v="South"/>
    <s v="Tamil Nadu"/>
    <s v="Chennai"/>
    <x v="2"/>
    <x v="10"/>
    <s v="CUST1119"/>
    <s v="SP_14"/>
    <n v="6"/>
    <n v="18293.009999999998"/>
    <n v="109758.06"/>
    <n v="85025.39"/>
    <n v="24732.67"/>
    <s v="Net Banking"/>
  </r>
  <r>
    <s v="ORD100570"/>
    <s v="2025-01-04"/>
    <x v="9"/>
    <s v="West"/>
    <s v="Gujarat"/>
    <s v="Ahmedabad"/>
    <x v="0"/>
    <x v="0"/>
    <s v="CUST1926"/>
    <s v="SP_11"/>
    <n v="6"/>
    <n v="3417.91"/>
    <n v="20507.46"/>
    <n v="12979.79"/>
    <n v="7527.67"/>
    <s v="UPI"/>
  </r>
  <r>
    <s v="ORD100571"/>
    <s v="2025-09-29"/>
    <x v="5"/>
    <s v="North"/>
    <s v="Punjab"/>
    <s v="Chandigarh"/>
    <x v="3"/>
    <x v="7"/>
    <s v="CUST1870"/>
    <s v="SP_05"/>
    <n v="6"/>
    <n v="12435.89"/>
    <n v="74615.34"/>
    <n v="54649.99"/>
    <n v="19965.349999999999"/>
    <s v="UPI"/>
  </r>
  <r>
    <s v="ORD100572"/>
    <s v="2025-11-07"/>
    <x v="10"/>
    <s v="East"/>
    <s v="West Bengal"/>
    <s v="Kolkata"/>
    <x v="1"/>
    <x v="6"/>
    <s v="CUST1793"/>
    <s v="SP_07"/>
    <n v="1"/>
    <n v="3217.35"/>
    <n v="3217.35"/>
    <n v="2306.7199999999998"/>
    <n v="910.63"/>
    <s v="Debit Card"/>
  </r>
  <r>
    <s v="ORD100573"/>
    <s v="2025-09-27"/>
    <x v="5"/>
    <s v="South"/>
    <s v="Karnataka"/>
    <s v="Bengaluru"/>
    <x v="1"/>
    <x v="5"/>
    <s v="CUST1666"/>
    <s v="SP_08"/>
    <n v="2"/>
    <n v="9702.5300000000007"/>
    <n v="19405.060000000001"/>
    <n v="14472.97"/>
    <n v="4932.09"/>
    <s v="Credit Card"/>
  </r>
  <r>
    <s v="ORD100574"/>
    <s v="2025-10-21"/>
    <x v="1"/>
    <s v="West"/>
    <s v="Gujarat"/>
    <s v="Ahmedabad"/>
    <x v="2"/>
    <x v="4"/>
    <s v="CUST1215"/>
    <s v="SP_12"/>
    <n v="7"/>
    <n v="2697.24"/>
    <n v="18880.68"/>
    <n v="11139.26"/>
    <n v="7741.42"/>
    <s v="Cash"/>
  </r>
  <r>
    <s v="ORD100575"/>
    <s v="2025-04-21"/>
    <x v="0"/>
    <s v="West"/>
    <s v="Rajasthan"/>
    <s v="Jaipur"/>
    <x v="2"/>
    <x v="10"/>
    <s v="CUST1138"/>
    <s v="SP_07"/>
    <n v="6"/>
    <n v="17946.37"/>
    <n v="107678.22"/>
    <n v="80649.990000000005"/>
    <n v="27028.23"/>
    <s v="Credit Card"/>
  </r>
  <r>
    <s v="ORD100576"/>
    <s v="2025-10-12"/>
    <x v="1"/>
    <s v="South"/>
    <s v="Telangana"/>
    <s v="Hyderabad"/>
    <x v="2"/>
    <x v="2"/>
    <s v="CUST1009"/>
    <s v="SP_09"/>
    <n v="7"/>
    <n v="40512.870000000003"/>
    <n v="283590.09000000003"/>
    <n v="254617.74"/>
    <n v="28972.35"/>
    <s v="Debit Card"/>
  </r>
  <r>
    <s v="ORD100577"/>
    <s v="2025-03-19"/>
    <x v="4"/>
    <s v="West"/>
    <s v="Rajasthan"/>
    <s v="Jaipur"/>
    <x v="0"/>
    <x v="9"/>
    <s v="CUST1676"/>
    <s v="SP_01"/>
    <n v="2"/>
    <n v="7142.67"/>
    <n v="14285.34"/>
    <n v="10489.38"/>
    <n v="3795.96"/>
    <s v="Debit Card"/>
  </r>
  <r>
    <s v="ORD100578"/>
    <s v="2025-01-15"/>
    <x v="9"/>
    <s v="South"/>
    <s v="Karnataka"/>
    <s v="Bengaluru"/>
    <x v="3"/>
    <x v="3"/>
    <s v="CUST1687"/>
    <s v="SP_03"/>
    <n v="2"/>
    <n v="26.39"/>
    <n v="52.78"/>
    <n v="20.51"/>
    <n v="32.270000000000003"/>
    <s v="Debit Card"/>
  </r>
  <r>
    <s v="ORD100579"/>
    <s v="2025-12-25"/>
    <x v="7"/>
    <s v="South"/>
    <s v="Tamil Nadu"/>
    <s v="Chennai"/>
    <x v="2"/>
    <x v="4"/>
    <s v="CUST1244"/>
    <s v="SP_12"/>
    <n v="7"/>
    <n v="2716.3"/>
    <n v="19014.099999999999"/>
    <n v="11448.09"/>
    <n v="7566.01"/>
    <s v="Credit Card"/>
  </r>
  <r>
    <s v="ORD100580"/>
    <s v="2025-02-11"/>
    <x v="8"/>
    <s v="West"/>
    <s v="Maharashtra"/>
    <s v="Mumbai"/>
    <x v="2"/>
    <x v="2"/>
    <s v="CUST1734"/>
    <s v="SP_04"/>
    <n v="8"/>
    <n v="47538.12"/>
    <n v="380304.96"/>
    <n v="287865.34000000003"/>
    <n v="92439.62"/>
    <s v="Net Banking"/>
  </r>
  <r>
    <s v="ORD100581"/>
    <s v="2025-04-17"/>
    <x v="0"/>
    <s v="West"/>
    <s v="Maharashtra"/>
    <s v="Mumbai"/>
    <x v="2"/>
    <x v="2"/>
    <s v="CUST1528"/>
    <s v="SP_13"/>
    <n v="7"/>
    <n v="48690.46"/>
    <n v="340833.22"/>
    <n v="244969.9"/>
    <n v="95863.32"/>
    <s v="Debit Card"/>
  </r>
  <r>
    <s v="ORD100582"/>
    <s v="2025-09-07"/>
    <x v="5"/>
    <s v="North"/>
    <s v="Uttar Pradesh"/>
    <s v="Lucknow"/>
    <x v="3"/>
    <x v="7"/>
    <s v="CUST1483"/>
    <s v="SP_10"/>
    <n v="3"/>
    <n v="12597.44"/>
    <n v="37792.32"/>
    <n v="27871.89"/>
    <n v="9920.43"/>
    <s v="UPI"/>
  </r>
  <r>
    <s v="ORD100583"/>
    <s v="2025-10-06"/>
    <x v="1"/>
    <s v="West"/>
    <s v="Maharashtra"/>
    <s v="Mumbai"/>
    <x v="2"/>
    <x v="2"/>
    <s v="CUST1915"/>
    <s v="SP_10"/>
    <n v="8"/>
    <n v="46628.85"/>
    <n v="373030.8"/>
    <n v="283175.2"/>
    <n v="89855.6"/>
    <s v="Debit Card"/>
  </r>
  <r>
    <s v="ORD100584"/>
    <s v="2025-08-10"/>
    <x v="11"/>
    <s v="West"/>
    <s v="Gujarat"/>
    <s v="Ahmedabad"/>
    <x v="1"/>
    <x v="1"/>
    <s v="CUST1373"/>
    <s v="SP_11"/>
    <n v="7"/>
    <n v="2926.39"/>
    <n v="20484.73"/>
    <n v="13394.22"/>
    <n v="7090.51"/>
    <s v="UPI"/>
  </r>
  <r>
    <s v="ORD100585"/>
    <s v="2025-10-05"/>
    <x v="1"/>
    <s v="South"/>
    <s v="Telangana"/>
    <s v="Hyderabad"/>
    <x v="2"/>
    <x v="2"/>
    <s v="CUST1766"/>
    <s v="SP_07"/>
    <n v="6"/>
    <n v="45777.46"/>
    <n v="274664.76"/>
    <n v="219498.37"/>
    <n v="55166.39"/>
    <s v="Cash"/>
  </r>
  <r>
    <s v="ORD100586"/>
    <s v="2025-02-24"/>
    <x v="8"/>
    <s v="North"/>
    <s v="Delhi"/>
    <s v="Delhi"/>
    <x v="2"/>
    <x v="10"/>
    <s v="CUST1089"/>
    <s v="SP_03"/>
    <n v="1"/>
    <n v="17307.34"/>
    <n v="17307.34"/>
    <n v="14041.06"/>
    <n v="3266.28"/>
    <s v="Credit Card"/>
  </r>
  <r>
    <s v="ORD100587"/>
    <s v="2025-05-26"/>
    <x v="3"/>
    <s v="East"/>
    <s v="Odisha"/>
    <s v="Bhubaneswar"/>
    <x v="0"/>
    <x v="0"/>
    <s v="CUST1559"/>
    <s v="SP_03"/>
    <n v="1"/>
    <n v="3832.54"/>
    <n v="3832.54"/>
    <n v="2155.63"/>
    <n v="1676.91"/>
    <s v="Credit Card"/>
  </r>
  <r>
    <s v="ORD100588"/>
    <s v="2025-08-05"/>
    <x v="11"/>
    <s v="North"/>
    <s v="Delhi"/>
    <s v="Delhi"/>
    <x v="1"/>
    <x v="1"/>
    <s v="CUST1076"/>
    <s v="SP_11"/>
    <n v="1"/>
    <n v="2591.0100000000002"/>
    <n v="2591.0100000000002"/>
    <n v="1979.16"/>
    <n v="611.85"/>
    <s v="Credit Card"/>
  </r>
  <r>
    <s v="ORD100589"/>
    <s v="2025-06-20"/>
    <x v="2"/>
    <s v="West"/>
    <s v="Gujarat"/>
    <s v="Ahmedabad"/>
    <x v="3"/>
    <x v="3"/>
    <s v="CUST1040"/>
    <s v="SP_05"/>
    <n v="5"/>
    <n v="22.71"/>
    <n v="113.55"/>
    <n v="48.63"/>
    <n v="64.92"/>
    <s v="Cash"/>
  </r>
  <r>
    <s v="ORD100590"/>
    <s v="2025-08-23"/>
    <x v="11"/>
    <s v="West"/>
    <s v="Rajasthan"/>
    <s v="Jaipur"/>
    <x v="3"/>
    <x v="3"/>
    <s v="CUST1843"/>
    <s v="SP_07"/>
    <n v="8"/>
    <n v="26.16"/>
    <n v="209.28"/>
    <n v="77.38"/>
    <n v="131.9"/>
    <s v="UPI"/>
  </r>
  <r>
    <s v="ORD100591"/>
    <s v="2025-03-31"/>
    <x v="4"/>
    <s v="East"/>
    <s v="Bihar"/>
    <s v="Patna"/>
    <x v="0"/>
    <x v="9"/>
    <s v="CUST1448"/>
    <s v="SP_12"/>
    <n v="5"/>
    <n v="6990.63"/>
    <n v="34953.15"/>
    <n v="25935.8"/>
    <n v="9017.35"/>
    <s v="UPI"/>
  </r>
  <r>
    <s v="ORD100592"/>
    <s v="2025-01-06"/>
    <x v="9"/>
    <s v="West"/>
    <s v="Gujarat"/>
    <s v="Ahmedabad"/>
    <x v="1"/>
    <x v="1"/>
    <s v="CUST1013"/>
    <s v="SP_10"/>
    <n v="2"/>
    <n v="2906.55"/>
    <n v="5813.1"/>
    <n v="3690.59"/>
    <n v="2122.5100000000002"/>
    <s v="UPI"/>
  </r>
  <r>
    <s v="ORD100593"/>
    <s v="2025-05-26"/>
    <x v="3"/>
    <s v="West"/>
    <s v="Maharashtra"/>
    <s v="Mumbai"/>
    <x v="2"/>
    <x v="4"/>
    <s v="CUST1802"/>
    <s v="SP_14"/>
    <n v="7"/>
    <n v="2579.58"/>
    <n v="18057.060000000001"/>
    <n v="11125.22"/>
    <n v="6931.84"/>
    <s v="Cash"/>
  </r>
  <r>
    <s v="ORD100594"/>
    <s v="2025-03-07"/>
    <x v="4"/>
    <s v="West"/>
    <s v="Maharashtra"/>
    <s v="Mumbai"/>
    <x v="1"/>
    <x v="5"/>
    <s v="CUST1910"/>
    <s v="SP_13"/>
    <n v="3"/>
    <n v="9035.5400000000009"/>
    <n v="27106.62"/>
    <n v="23663.46"/>
    <n v="3443.16"/>
    <s v="Debit Card"/>
  </r>
  <r>
    <s v="ORD100595"/>
    <s v="2025-03-19"/>
    <x v="4"/>
    <s v="East"/>
    <s v="Bihar"/>
    <s v="Patna"/>
    <x v="2"/>
    <x v="4"/>
    <s v="CUST1367"/>
    <s v="SP_04"/>
    <n v="3"/>
    <n v="2263.02"/>
    <n v="6789.06"/>
    <n v="4938.67"/>
    <n v="1850.39"/>
    <s v="UPI"/>
  </r>
  <r>
    <s v="ORD100596"/>
    <s v="2025-04-29"/>
    <x v="0"/>
    <s v="North"/>
    <s v="Uttar Pradesh"/>
    <s v="Lucknow"/>
    <x v="0"/>
    <x v="9"/>
    <s v="CUST1693"/>
    <s v="SP_03"/>
    <n v="4"/>
    <n v="6510.33"/>
    <n v="26041.32"/>
    <n v="19585.16"/>
    <n v="6456.16"/>
    <s v="Debit Card"/>
  </r>
  <r>
    <s v="ORD100597"/>
    <s v="2025-07-10"/>
    <x v="6"/>
    <s v="South"/>
    <s v="Tamil Nadu"/>
    <s v="Chennai"/>
    <x v="2"/>
    <x v="10"/>
    <s v="CUST1485"/>
    <s v="SP_07"/>
    <n v="5"/>
    <n v="18395.25"/>
    <n v="91976.25"/>
    <n v="72871.259999999995"/>
    <n v="19104.990000000002"/>
    <s v="Debit Card"/>
  </r>
  <r>
    <s v="ORD100598"/>
    <s v="2025-06-13"/>
    <x v="2"/>
    <s v="South"/>
    <s v="Tamil Nadu"/>
    <s v="Chennai"/>
    <x v="3"/>
    <x v="7"/>
    <s v="CUST1651"/>
    <s v="SP_12"/>
    <n v="7"/>
    <n v="12055.31"/>
    <n v="84387.17"/>
    <n v="62364.83"/>
    <n v="22022.34"/>
    <s v="Net Banking"/>
  </r>
  <r>
    <s v="ORD100599"/>
    <s v="2025-04-03"/>
    <x v="0"/>
    <s v="North"/>
    <s v="Punjab"/>
    <s v="Chandigarh"/>
    <x v="0"/>
    <x v="9"/>
    <s v="CUST1631"/>
    <s v="SP_03"/>
    <n v="8"/>
    <n v="7526.46"/>
    <n v="60211.68"/>
    <n v="39872.160000000003"/>
    <n v="20339.52"/>
    <s v="Debit Card"/>
  </r>
  <r>
    <s v="ORD100600"/>
    <s v="2025-10-25"/>
    <x v="1"/>
    <s v="East"/>
    <s v="Bihar"/>
    <s v="Patna"/>
    <x v="1"/>
    <x v="5"/>
    <s v="CUST1850"/>
    <s v="SP_07"/>
    <n v="2"/>
    <n v="10360.5"/>
    <n v="20721"/>
    <n v="15036.92"/>
    <n v="5684.08"/>
    <s v="UPI"/>
  </r>
  <r>
    <s v="ORD100601"/>
    <s v="2025-12-18"/>
    <x v="7"/>
    <s v="West"/>
    <s v="Rajasthan"/>
    <s v="Jaipur"/>
    <x v="2"/>
    <x v="2"/>
    <s v="CUST1945"/>
    <s v="SP_05"/>
    <n v="4"/>
    <n v="49244.41"/>
    <n v="196977.64"/>
    <n v="135969.49"/>
    <n v="61008.15"/>
    <s v="Net Banking"/>
  </r>
  <r>
    <s v="ORD100602"/>
    <s v="2025-10-12"/>
    <x v="1"/>
    <s v="North"/>
    <s v="Punjab"/>
    <s v="Chandigarh"/>
    <x v="3"/>
    <x v="11"/>
    <s v="CUST1250"/>
    <s v="SP_09"/>
    <n v="1"/>
    <n v="125.17"/>
    <n v="125.17"/>
    <n v="61.84"/>
    <n v="63.33"/>
    <s v="Cash"/>
  </r>
  <r>
    <s v="ORD100603"/>
    <s v="2025-07-15"/>
    <x v="6"/>
    <s v="South"/>
    <s v="Karnataka"/>
    <s v="Bengaluru"/>
    <x v="0"/>
    <x v="8"/>
    <s v="CUST1856"/>
    <s v="SP_06"/>
    <n v="8"/>
    <n v="20663.8"/>
    <n v="165310.39999999999"/>
    <n v="130842.71"/>
    <n v="34467.69"/>
    <s v="Net Banking"/>
  </r>
  <r>
    <s v="ORD100604"/>
    <s v="2025-08-08"/>
    <x v="11"/>
    <s v="North"/>
    <s v="Punjab"/>
    <s v="Chandigarh"/>
    <x v="0"/>
    <x v="0"/>
    <s v="CUST1669"/>
    <s v="SP_02"/>
    <n v="4"/>
    <n v="3749.19"/>
    <n v="14996.76"/>
    <n v="9062.26"/>
    <n v="5934.5"/>
    <s v="Net Banking"/>
  </r>
  <r>
    <s v="ORD100605"/>
    <s v="2025-04-01"/>
    <x v="0"/>
    <s v="South"/>
    <s v="Tamil Nadu"/>
    <s v="Chennai"/>
    <x v="2"/>
    <x v="10"/>
    <s v="CUST1352"/>
    <s v="SP_14"/>
    <n v="5"/>
    <n v="16401.2"/>
    <n v="82006"/>
    <n v="72301.279999999999"/>
    <n v="9704.7199999999993"/>
    <s v="Debit Card"/>
  </r>
  <r>
    <s v="ORD100606"/>
    <s v="2025-10-29"/>
    <x v="1"/>
    <s v="West"/>
    <s v="Rajasthan"/>
    <s v="Jaipur"/>
    <x v="3"/>
    <x v="3"/>
    <s v="CUST1087"/>
    <s v="SP_12"/>
    <n v="1"/>
    <n v="23.98"/>
    <n v="23.98"/>
    <n v="10.35"/>
    <n v="13.63"/>
    <s v="Credit Card"/>
  </r>
  <r>
    <s v="ORD100607"/>
    <s v="2025-04-01"/>
    <x v="0"/>
    <s v="West"/>
    <s v="Gujarat"/>
    <s v="Ahmedabad"/>
    <x v="2"/>
    <x v="2"/>
    <s v="CUST1865"/>
    <s v="SP_14"/>
    <n v="1"/>
    <n v="42950.11"/>
    <n v="42950.11"/>
    <n v="36353.919999999998"/>
    <n v="6596.19"/>
    <s v="Credit Card"/>
  </r>
  <r>
    <s v="ORD100608"/>
    <s v="2025-10-20"/>
    <x v="1"/>
    <s v="West"/>
    <s v="Gujarat"/>
    <s v="Ahmedabad"/>
    <x v="3"/>
    <x v="11"/>
    <s v="CUST1158"/>
    <s v="SP_05"/>
    <n v="7"/>
    <n v="110.76"/>
    <n v="775.32"/>
    <n v="428.19"/>
    <n v="347.13"/>
    <s v="Debit Card"/>
  </r>
  <r>
    <s v="ORD100609"/>
    <s v="2025-01-27"/>
    <x v="9"/>
    <s v="West"/>
    <s v="Rajasthan"/>
    <s v="Jaipur"/>
    <x v="3"/>
    <x v="7"/>
    <s v="CUST1360"/>
    <s v="SP_03"/>
    <n v="7"/>
    <n v="10935.37"/>
    <n v="76547.59"/>
    <n v="62614.42"/>
    <n v="13933.17"/>
    <s v="Net Banking"/>
  </r>
  <r>
    <s v="ORD100610"/>
    <s v="2025-11-02"/>
    <x v="10"/>
    <s v="East"/>
    <s v="Odisha"/>
    <s v="Bhubaneswar"/>
    <x v="0"/>
    <x v="9"/>
    <s v="CUST1966"/>
    <s v="SP_05"/>
    <n v="1"/>
    <n v="6771.19"/>
    <n v="6771.19"/>
    <n v="5227.1400000000003"/>
    <n v="1544.05"/>
    <s v="Net Banking"/>
  </r>
  <r>
    <s v="ORD100611"/>
    <s v="2025-01-11"/>
    <x v="9"/>
    <s v="North"/>
    <s v="Delhi"/>
    <s v="Delhi"/>
    <x v="3"/>
    <x v="7"/>
    <s v="CUST1459"/>
    <s v="SP_01"/>
    <n v="3"/>
    <n v="11567.28"/>
    <n v="34701.839999999997"/>
    <n v="25741.21"/>
    <n v="8960.6299999999992"/>
    <s v="Credit Card"/>
  </r>
  <r>
    <s v="ORD100612"/>
    <s v="2025-12-20"/>
    <x v="7"/>
    <s v="West"/>
    <s v="Rajasthan"/>
    <s v="Jaipur"/>
    <x v="1"/>
    <x v="5"/>
    <s v="CUST1445"/>
    <s v="SP_03"/>
    <n v="7"/>
    <n v="9993.82"/>
    <n v="69956.740000000005"/>
    <n v="50855.22"/>
    <n v="19101.52"/>
    <s v="Debit Card"/>
  </r>
  <r>
    <s v="ORD100613"/>
    <s v="2025-09-24"/>
    <x v="5"/>
    <s v="East"/>
    <s v="West Bengal"/>
    <s v="Kolkata"/>
    <x v="1"/>
    <x v="6"/>
    <s v="CUST1366"/>
    <s v="SP_10"/>
    <n v="8"/>
    <n v="3269.75"/>
    <n v="26158"/>
    <n v="18600.939999999999"/>
    <n v="7557.06"/>
    <s v="UPI"/>
  </r>
  <r>
    <s v="ORD100614"/>
    <s v="2025-01-17"/>
    <x v="9"/>
    <s v="East"/>
    <s v="Bihar"/>
    <s v="Patna"/>
    <x v="2"/>
    <x v="4"/>
    <s v="CUST1210"/>
    <s v="SP_15"/>
    <n v="6"/>
    <n v="2421.09"/>
    <n v="14526.54"/>
    <n v="10072.64"/>
    <n v="4453.8999999999996"/>
    <s v="UPI"/>
  </r>
  <r>
    <s v="ORD100615"/>
    <s v="2025-02-23"/>
    <x v="8"/>
    <s v="West"/>
    <s v="Gujarat"/>
    <s v="Ahmedabad"/>
    <x v="3"/>
    <x v="11"/>
    <s v="CUST1729"/>
    <s v="SP_05"/>
    <n v="6"/>
    <n v="117.87"/>
    <n v="707.22"/>
    <n v="377.05"/>
    <n v="330.17"/>
    <s v="Cash"/>
  </r>
  <r>
    <s v="ORD100616"/>
    <s v="2025-09-24"/>
    <x v="5"/>
    <s v="East"/>
    <s v="Odisha"/>
    <s v="Bhubaneswar"/>
    <x v="1"/>
    <x v="1"/>
    <s v="CUST1823"/>
    <s v="SP_11"/>
    <n v="8"/>
    <n v="3048.69"/>
    <n v="24389.52"/>
    <n v="14631.83"/>
    <n v="9757.69"/>
    <s v="Net Banking"/>
  </r>
  <r>
    <s v="ORD100617"/>
    <s v="2025-10-11"/>
    <x v="1"/>
    <s v="East"/>
    <s v="Odisha"/>
    <s v="Bhubaneswar"/>
    <x v="2"/>
    <x v="4"/>
    <s v="CUST1590"/>
    <s v="SP_06"/>
    <n v="2"/>
    <n v="2298.04"/>
    <n v="4596.08"/>
    <n v="3284.93"/>
    <n v="1311.15"/>
    <s v="Debit Card"/>
  </r>
  <r>
    <s v="ORD100618"/>
    <s v="2025-09-11"/>
    <x v="5"/>
    <s v="North"/>
    <s v="Uttar Pradesh"/>
    <s v="Lucknow"/>
    <x v="2"/>
    <x v="2"/>
    <s v="CUST1455"/>
    <s v="SP_11"/>
    <n v="8"/>
    <n v="45731.24"/>
    <n v="365849.92"/>
    <n v="278081.36"/>
    <n v="87768.56"/>
    <s v="Net Banking"/>
  </r>
  <r>
    <s v="ORD100619"/>
    <s v="2025-08-07"/>
    <x v="11"/>
    <s v="South"/>
    <s v="Telangana"/>
    <s v="Hyderabad"/>
    <x v="0"/>
    <x v="8"/>
    <s v="CUST1355"/>
    <s v="SP_08"/>
    <n v="7"/>
    <n v="22503.3"/>
    <n v="157523.1"/>
    <n v="114011.27"/>
    <n v="43511.83"/>
    <s v="Net Banking"/>
  </r>
  <r>
    <s v="ORD100620"/>
    <s v="2025-06-29"/>
    <x v="2"/>
    <s v="North"/>
    <s v="Delhi"/>
    <s v="Delhi"/>
    <x v="1"/>
    <x v="1"/>
    <s v="CUST1064"/>
    <s v="SP_13"/>
    <n v="6"/>
    <n v="3005.43"/>
    <n v="18032.580000000002"/>
    <n v="11112.68"/>
    <n v="6919.9"/>
    <s v="Cash"/>
  </r>
  <r>
    <s v="ORD100621"/>
    <s v="2025-07-13"/>
    <x v="6"/>
    <s v="East"/>
    <s v="West Bengal"/>
    <s v="Kolkata"/>
    <x v="3"/>
    <x v="11"/>
    <s v="CUST1946"/>
    <s v="SP_15"/>
    <n v="3"/>
    <n v="119.61"/>
    <n v="358.83"/>
    <n v="182.65"/>
    <n v="176.18"/>
    <s v="Credit Card"/>
  </r>
  <r>
    <s v="ORD100622"/>
    <s v="2025-11-15"/>
    <x v="10"/>
    <s v="West"/>
    <s v="Rajasthan"/>
    <s v="Jaipur"/>
    <x v="3"/>
    <x v="11"/>
    <s v="CUST1801"/>
    <s v="SP_07"/>
    <n v="8"/>
    <n v="119.75"/>
    <n v="958"/>
    <n v="458.82"/>
    <n v="499.18"/>
    <s v="UPI"/>
  </r>
  <r>
    <s v="ORD100623"/>
    <s v="2025-12-24"/>
    <x v="7"/>
    <s v="South"/>
    <s v="Karnataka"/>
    <s v="Bengaluru"/>
    <x v="2"/>
    <x v="10"/>
    <s v="CUST1081"/>
    <s v="SP_03"/>
    <n v="6"/>
    <n v="16522.09"/>
    <n v="99132.54"/>
    <n v="82009.5"/>
    <n v="17123.04"/>
    <s v="UPI"/>
  </r>
  <r>
    <s v="ORD100624"/>
    <s v="2025-06-05"/>
    <x v="2"/>
    <s v="South"/>
    <s v="Telangana"/>
    <s v="Hyderabad"/>
    <x v="2"/>
    <x v="10"/>
    <s v="CUST1389"/>
    <s v="SP_15"/>
    <n v="5"/>
    <n v="16538.63"/>
    <n v="82693.149999999994"/>
    <n v="66539.97"/>
    <n v="16153.18"/>
    <s v="Debit Card"/>
  </r>
  <r>
    <s v="ORD100625"/>
    <s v="2025-03-30"/>
    <x v="4"/>
    <s v="South"/>
    <s v="Karnataka"/>
    <s v="Bengaluru"/>
    <x v="2"/>
    <x v="4"/>
    <s v="CUST1248"/>
    <s v="SP_08"/>
    <n v="3"/>
    <n v="2714.45"/>
    <n v="8143.35"/>
    <n v="4858.33"/>
    <n v="3285.02"/>
    <s v="Debit Card"/>
  </r>
  <r>
    <s v="ORD100626"/>
    <s v="2025-05-12"/>
    <x v="3"/>
    <s v="North"/>
    <s v="Punjab"/>
    <s v="Chandigarh"/>
    <x v="1"/>
    <x v="1"/>
    <s v="CUST1259"/>
    <s v="SP_15"/>
    <n v="8"/>
    <n v="2924.5"/>
    <n v="23396"/>
    <n v="15251.95"/>
    <n v="8144.05"/>
    <s v="UPI"/>
  </r>
  <r>
    <s v="ORD100627"/>
    <s v="2025-01-04"/>
    <x v="9"/>
    <s v="North"/>
    <s v="Uttar Pradesh"/>
    <s v="Lucknow"/>
    <x v="1"/>
    <x v="1"/>
    <s v="CUST1702"/>
    <s v="SP_01"/>
    <n v="6"/>
    <n v="2528.9899999999998"/>
    <n v="15173.94"/>
    <n v="11345.82"/>
    <n v="3828.12"/>
    <s v="Debit Card"/>
  </r>
  <r>
    <s v="ORD100628"/>
    <s v="2025-07-10"/>
    <x v="6"/>
    <s v="East"/>
    <s v="West Bengal"/>
    <s v="Kolkata"/>
    <x v="3"/>
    <x v="7"/>
    <s v="CUST1712"/>
    <s v="SP_11"/>
    <n v="4"/>
    <n v="13080.98"/>
    <n v="52323.92"/>
    <n v="37789.449999999997"/>
    <n v="14534.47"/>
    <s v="UPI"/>
  </r>
  <r>
    <s v="ORD100629"/>
    <s v="2025-09-20"/>
    <x v="5"/>
    <s v="South"/>
    <s v="Karnataka"/>
    <s v="Bengaluru"/>
    <x v="3"/>
    <x v="7"/>
    <s v="CUST1314"/>
    <s v="SP_03"/>
    <n v="2"/>
    <n v="12024.41"/>
    <n v="24048.82"/>
    <n v="17119.810000000001"/>
    <n v="6929.01"/>
    <s v="Net Banking"/>
  </r>
  <r>
    <s v="ORD100630"/>
    <s v="2025-07-19"/>
    <x v="6"/>
    <s v="South"/>
    <s v="Tamil Nadu"/>
    <s v="Chennai"/>
    <x v="0"/>
    <x v="8"/>
    <s v="CUST1736"/>
    <s v="SP_01"/>
    <n v="2"/>
    <n v="22498.15"/>
    <n v="44996.3"/>
    <n v="35621.050000000003"/>
    <n v="9375.25"/>
    <s v="Net Banking"/>
  </r>
  <r>
    <s v="ORD100631"/>
    <s v="2025-07-08"/>
    <x v="6"/>
    <s v="North"/>
    <s v="Uttar Pradesh"/>
    <s v="Lucknow"/>
    <x v="0"/>
    <x v="8"/>
    <s v="CUST1232"/>
    <s v="SP_09"/>
    <n v="6"/>
    <n v="23595.99"/>
    <n v="141575.94"/>
    <n v="104845.05"/>
    <n v="36730.89"/>
    <s v="Credit Card"/>
  </r>
  <r>
    <s v="ORD100632"/>
    <s v="2025-05-28"/>
    <x v="3"/>
    <s v="South"/>
    <s v="Telangana"/>
    <s v="Hyderabad"/>
    <x v="0"/>
    <x v="8"/>
    <s v="CUST1569"/>
    <s v="SP_13"/>
    <n v="5"/>
    <n v="21853.71"/>
    <n v="109268.55"/>
    <n v="88274.46"/>
    <n v="20994.09"/>
    <s v="Net Banking"/>
  </r>
  <r>
    <s v="ORD100633"/>
    <s v="2025-10-26"/>
    <x v="1"/>
    <s v="East"/>
    <s v="Odisha"/>
    <s v="Bhubaneswar"/>
    <x v="3"/>
    <x v="11"/>
    <s v="CUST1926"/>
    <s v="SP_14"/>
    <n v="5"/>
    <n v="110.8"/>
    <n v="554"/>
    <n v="296.57"/>
    <n v="257.43"/>
    <s v="Credit Card"/>
  </r>
  <r>
    <s v="ORD100634"/>
    <s v="2025-08-04"/>
    <x v="11"/>
    <s v="West"/>
    <s v="Maharashtra"/>
    <s v="Mumbai"/>
    <x v="0"/>
    <x v="9"/>
    <s v="CUST1988"/>
    <s v="SP_07"/>
    <n v="2"/>
    <n v="6939"/>
    <n v="13878"/>
    <n v="9777.2900000000009"/>
    <n v="4100.71"/>
    <s v="Credit Card"/>
  </r>
  <r>
    <s v="ORD100635"/>
    <s v="2025-06-28"/>
    <x v="2"/>
    <s v="North"/>
    <s v="Punjab"/>
    <s v="Chandigarh"/>
    <x v="0"/>
    <x v="8"/>
    <s v="CUST1435"/>
    <s v="SP_13"/>
    <n v="3"/>
    <n v="21191.13"/>
    <n v="63573.39"/>
    <n v="52813.87"/>
    <n v="10759.52"/>
    <s v="Debit Card"/>
  </r>
  <r>
    <s v="ORD100636"/>
    <s v="2025-10-22"/>
    <x v="1"/>
    <s v="East"/>
    <s v="Odisha"/>
    <s v="Bhubaneswar"/>
    <x v="2"/>
    <x v="2"/>
    <s v="CUST1973"/>
    <s v="SP_09"/>
    <n v="6"/>
    <n v="45764.56"/>
    <n v="274587.36"/>
    <n v="218872.44"/>
    <n v="55714.92"/>
    <s v="Cash"/>
  </r>
  <r>
    <s v="ORD100637"/>
    <s v="2025-04-17"/>
    <x v="0"/>
    <s v="West"/>
    <s v="Gujarat"/>
    <s v="Ahmedabad"/>
    <x v="1"/>
    <x v="6"/>
    <s v="CUST1708"/>
    <s v="SP_11"/>
    <n v="7"/>
    <n v="3278.31"/>
    <n v="22948.17"/>
    <n v="17193.27"/>
    <n v="5754.9"/>
    <s v="Net Banking"/>
  </r>
  <r>
    <s v="ORD100638"/>
    <s v="2025-02-19"/>
    <x v="8"/>
    <s v="West"/>
    <s v="Gujarat"/>
    <s v="Ahmedabad"/>
    <x v="3"/>
    <x v="3"/>
    <s v="CUST1783"/>
    <s v="SP_05"/>
    <n v="7"/>
    <n v="26"/>
    <n v="182"/>
    <n v="69.3"/>
    <n v="112.7"/>
    <s v="UPI"/>
  </r>
  <r>
    <s v="ORD100639"/>
    <s v="2025-03-15"/>
    <x v="4"/>
    <s v="North"/>
    <s v="Delhi"/>
    <s v="Delhi"/>
    <x v="1"/>
    <x v="5"/>
    <s v="CUST1656"/>
    <s v="SP_13"/>
    <n v="1"/>
    <n v="9887.51"/>
    <n v="9887.51"/>
    <n v="7297.37"/>
    <n v="2590.14"/>
    <s v="Cash"/>
  </r>
  <r>
    <s v="ORD100640"/>
    <s v="2025-05-09"/>
    <x v="3"/>
    <s v="East"/>
    <s v="West Bengal"/>
    <s v="Kolkata"/>
    <x v="3"/>
    <x v="7"/>
    <s v="CUST1683"/>
    <s v="SP_10"/>
    <n v="7"/>
    <n v="11950.33"/>
    <n v="83652.31"/>
    <n v="60651.43"/>
    <n v="23000.880000000001"/>
    <s v="Debit Card"/>
  </r>
  <r>
    <s v="ORD100641"/>
    <s v="2025-02-04"/>
    <x v="8"/>
    <s v="East"/>
    <s v="Odisha"/>
    <s v="Bhubaneswar"/>
    <x v="1"/>
    <x v="1"/>
    <s v="CUST1310"/>
    <s v="SP_15"/>
    <n v="6"/>
    <n v="2563.5"/>
    <n v="15381"/>
    <n v="11877.76"/>
    <n v="3503.24"/>
    <s v="Cash"/>
  </r>
  <r>
    <s v="ORD100642"/>
    <s v="2025-03-05"/>
    <x v="4"/>
    <s v="South"/>
    <s v="Telangana"/>
    <s v="Hyderabad"/>
    <x v="0"/>
    <x v="0"/>
    <s v="CUST1024"/>
    <s v="SP_10"/>
    <n v="1"/>
    <n v="3776.8"/>
    <n v="3776.8"/>
    <n v="2309.02"/>
    <n v="1467.78"/>
    <s v="Cash"/>
  </r>
  <r>
    <s v="ORD100643"/>
    <s v="2025-07-10"/>
    <x v="6"/>
    <s v="South"/>
    <s v="Telangana"/>
    <s v="Hyderabad"/>
    <x v="1"/>
    <x v="1"/>
    <s v="CUST1736"/>
    <s v="SP_12"/>
    <n v="5"/>
    <n v="2636.48"/>
    <n v="13182.4"/>
    <n v="9566.01"/>
    <n v="3616.39"/>
    <s v="Debit Card"/>
  </r>
  <r>
    <s v="ORD100644"/>
    <s v="2025-07-13"/>
    <x v="6"/>
    <s v="East"/>
    <s v="West Bengal"/>
    <s v="Kolkata"/>
    <x v="3"/>
    <x v="11"/>
    <s v="CUST1763"/>
    <s v="SP_11"/>
    <n v="6"/>
    <n v="117.38"/>
    <n v="704.28"/>
    <n v="365.05"/>
    <n v="339.23"/>
    <s v="Cash"/>
  </r>
  <r>
    <s v="ORD100645"/>
    <s v="2025-08-17"/>
    <x v="11"/>
    <s v="East"/>
    <s v="West Bengal"/>
    <s v="Kolkata"/>
    <x v="0"/>
    <x v="0"/>
    <s v="CUST1292"/>
    <s v="SP_13"/>
    <n v="3"/>
    <n v="3708.99"/>
    <n v="11126.97"/>
    <n v="6628.57"/>
    <n v="4498.3999999999996"/>
    <s v="Net Banking"/>
  </r>
  <r>
    <s v="ORD100646"/>
    <s v="2025-08-06"/>
    <x v="11"/>
    <s v="South"/>
    <s v="Karnataka"/>
    <s v="Bengaluru"/>
    <x v="0"/>
    <x v="8"/>
    <s v="CUST1351"/>
    <s v="SP_09"/>
    <n v="1"/>
    <n v="23024.3"/>
    <n v="23024.3"/>
    <n v="16929.099999999999"/>
    <n v="6095.2"/>
    <s v="Credit Card"/>
  </r>
  <r>
    <s v="ORD100647"/>
    <s v="2025-01-26"/>
    <x v="9"/>
    <s v="West"/>
    <s v="Gujarat"/>
    <s v="Ahmedabad"/>
    <x v="2"/>
    <x v="4"/>
    <s v="CUST1229"/>
    <s v="SP_13"/>
    <n v="5"/>
    <n v="2574.3000000000002"/>
    <n v="12871.5"/>
    <n v="8368.0499999999993"/>
    <n v="4503.45"/>
    <s v="Credit Card"/>
  </r>
  <r>
    <s v="ORD100648"/>
    <s v="2025-09-10"/>
    <x v="5"/>
    <s v="South"/>
    <s v="Tamil Nadu"/>
    <s v="Chennai"/>
    <x v="0"/>
    <x v="8"/>
    <s v="CUST1717"/>
    <s v="SP_09"/>
    <n v="2"/>
    <n v="22650.39"/>
    <n v="45300.78"/>
    <n v="34032.800000000003"/>
    <n v="11267.98"/>
    <s v="UPI"/>
  </r>
  <r>
    <s v="ORD100649"/>
    <s v="2025-05-15"/>
    <x v="3"/>
    <s v="South"/>
    <s v="Karnataka"/>
    <s v="Bengaluru"/>
    <x v="2"/>
    <x v="2"/>
    <s v="CUST1365"/>
    <s v="SP_05"/>
    <n v="1"/>
    <n v="43951.44"/>
    <n v="43951.44"/>
    <n v="35252.89"/>
    <n v="8698.5499999999993"/>
    <s v="Credit Card"/>
  </r>
  <r>
    <s v="ORD100650"/>
    <s v="2025-07-29"/>
    <x v="6"/>
    <s v="West"/>
    <s v="Rajasthan"/>
    <s v="Jaipur"/>
    <x v="1"/>
    <x v="5"/>
    <s v="CUST1666"/>
    <s v="SP_06"/>
    <n v="2"/>
    <n v="9493.91"/>
    <n v="18987.82"/>
    <n v="15340.96"/>
    <n v="3646.86"/>
    <s v="UPI"/>
  </r>
  <r>
    <s v="ORD100651"/>
    <s v="2025-03-25"/>
    <x v="4"/>
    <s v="South"/>
    <s v="Telangana"/>
    <s v="Hyderabad"/>
    <x v="3"/>
    <x v="3"/>
    <s v="CUST1004"/>
    <s v="SP_14"/>
    <n v="5"/>
    <n v="24.79"/>
    <n v="123.95"/>
    <n v="50.35"/>
    <n v="73.599999999999994"/>
    <s v="Cash"/>
  </r>
  <r>
    <s v="ORD100652"/>
    <s v="2025-04-29"/>
    <x v="0"/>
    <s v="West"/>
    <s v="Rajasthan"/>
    <s v="Jaipur"/>
    <x v="3"/>
    <x v="11"/>
    <s v="CUST1638"/>
    <s v="SP_02"/>
    <n v="1"/>
    <n v="119.47"/>
    <n v="119.47"/>
    <n v="59.88"/>
    <n v="59.59"/>
    <s v="Credit Card"/>
  </r>
  <r>
    <s v="ORD100653"/>
    <s v="2025-03-10"/>
    <x v="4"/>
    <s v="South"/>
    <s v="Telangana"/>
    <s v="Hyderabad"/>
    <x v="0"/>
    <x v="9"/>
    <s v="CUST1360"/>
    <s v="SP_02"/>
    <n v="4"/>
    <n v="7685.83"/>
    <n v="30743.32"/>
    <n v="20937.689999999999"/>
    <n v="9805.6299999999992"/>
    <s v="Net Banking"/>
  </r>
  <r>
    <s v="ORD100654"/>
    <s v="2025-01-23"/>
    <x v="9"/>
    <s v="East"/>
    <s v="West Bengal"/>
    <s v="Kolkata"/>
    <x v="2"/>
    <x v="4"/>
    <s v="CUST1195"/>
    <s v="SP_09"/>
    <n v="8"/>
    <n v="2627.55"/>
    <n v="21020.400000000001"/>
    <n v="12796.68"/>
    <n v="8223.7199999999993"/>
    <s v="Debit Card"/>
  </r>
  <r>
    <s v="ORD100655"/>
    <s v="2025-11-14"/>
    <x v="10"/>
    <s v="West"/>
    <s v="Gujarat"/>
    <s v="Ahmedabad"/>
    <x v="3"/>
    <x v="11"/>
    <s v="CUST1311"/>
    <s v="SP_09"/>
    <n v="6"/>
    <n v="114.8"/>
    <n v="688.8"/>
    <n v="368.46"/>
    <n v="320.33999999999997"/>
    <s v="Credit Card"/>
  </r>
  <r>
    <s v="ORD100656"/>
    <s v="2025-08-24"/>
    <x v="11"/>
    <s v="South"/>
    <s v="Telangana"/>
    <s v="Hyderabad"/>
    <x v="0"/>
    <x v="9"/>
    <s v="CUST1502"/>
    <s v="SP_14"/>
    <n v="7"/>
    <n v="7360.38"/>
    <n v="51522.66"/>
    <n v="35410.43"/>
    <n v="16112.23"/>
    <s v="Net Banking"/>
  </r>
  <r>
    <s v="ORD100657"/>
    <s v="2025-10-31"/>
    <x v="1"/>
    <s v="East"/>
    <s v="Odisha"/>
    <s v="Bhubaneswar"/>
    <x v="0"/>
    <x v="9"/>
    <s v="CUST1327"/>
    <s v="SP_09"/>
    <n v="3"/>
    <n v="6492.45"/>
    <n v="19477.349999999999"/>
    <n v="15587.72"/>
    <n v="3889.63"/>
    <s v="Credit Card"/>
  </r>
  <r>
    <s v="ORD100658"/>
    <s v="2025-06-06"/>
    <x v="2"/>
    <s v="West"/>
    <s v="Gujarat"/>
    <s v="Ahmedabad"/>
    <x v="1"/>
    <x v="1"/>
    <s v="CUST1156"/>
    <s v="SP_08"/>
    <n v="3"/>
    <n v="2880.79"/>
    <n v="8642.3700000000008"/>
    <n v="5624.73"/>
    <n v="3017.64"/>
    <s v="UPI"/>
  </r>
  <r>
    <s v="ORD100659"/>
    <s v="2025-01-18"/>
    <x v="9"/>
    <s v="South"/>
    <s v="Telangana"/>
    <s v="Hyderabad"/>
    <x v="2"/>
    <x v="10"/>
    <s v="CUST1618"/>
    <s v="SP_02"/>
    <n v="7"/>
    <n v="16911.14"/>
    <n v="118377.98"/>
    <n v="100034.81"/>
    <n v="18343.169999999998"/>
    <s v="Debit Card"/>
  </r>
  <r>
    <s v="ORD100660"/>
    <s v="2025-07-11"/>
    <x v="6"/>
    <s v="North"/>
    <s v="Punjab"/>
    <s v="Chandigarh"/>
    <x v="2"/>
    <x v="4"/>
    <s v="CUST1159"/>
    <s v="SP_06"/>
    <n v="6"/>
    <n v="2581.87"/>
    <n v="15491.22"/>
    <n v="9694.9599999999991"/>
    <n v="5796.26"/>
    <s v="Credit Card"/>
  </r>
  <r>
    <s v="ORD100661"/>
    <s v="2025-11-06"/>
    <x v="10"/>
    <s v="East"/>
    <s v="West Bengal"/>
    <s v="Kolkata"/>
    <x v="0"/>
    <x v="8"/>
    <s v="CUST1280"/>
    <s v="SP_14"/>
    <n v="3"/>
    <n v="23859.58"/>
    <n v="71578.740000000005"/>
    <n v="50761.47"/>
    <n v="20817.27"/>
    <s v="Debit Card"/>
  </r>
  <r>
    <s v="ORD100662"/>
    <s v="2025-04-02"/>
    <x v="0"/>
    <s v="North"/>
    <s v="Uttar Pradesh"/>
    <s v="Lucknow"/>
    <x v="0"/>
    <x v="8"/>
    <s v="CUST1628"/>
    <s v="SP_06"/>
    <n v="5"/>
    <n v="24125.93"/>
    <n v="120629.65"/>
    <n v="86230.84"/>
    <n v="34398.81"/>
    <s v="Credit Card"/>
  </r>
  <r>
    <s v="ORD100663"/>
    <s v="2025-05-23"/>
    <x v="3"/>
    <s v="West"/>
    <s v="Rajasthan"/>
    <s v="Jaipur"/>
    <x v="2"/>
    <x v="10"/>
    <s v="CUST1137"/>
    <s v="SP_03"/>
    <n v="3"/>
    <n v="18424.48"/>
    <n v="55273.440000000002"/>
    <n v="42552.81"/>
    <n v="12720.63"/>
    <s v="Net Banking"/>
  </r>
  <r>
    <s v="ORD100664"/>
    <s v="2025-11-15"/>
    <x v="10"/>
    <s v="East"/>
    <s v="Odisha"/>
    <s v="Bhubaneswar"/>
    <x v="2"/>
    <x v="2"/>
    <s v="CUST1527"/>
    <s v="SP_09"/>
    <n v="2"/>
    <n v="44620.33"/>
    <n v="89240.66"/>
    <n v="70762.81"/>
    <n v="18477.849999999999"/>
    <s v="Net Banking"/>
  </r>
  <r>
    <s v="ORD100665"/>
    <s v="2025-03-05"/>
    <x v="4"/>
    <s v="East"/>
    <s v="Odisha"/>
    <s v="Bhubaneswar"/>
    <x v="1"/>
    <x v="1"/>
    <s v="CUST1721"/>
    <s v="SP_06"/>
    <n v="6"/>
    <n v="2710.15"/>
    <n v="16260.9"/>
    <n v="11922.01"/>
    <n v="4338.8900000000003"/>
    <s v="Cash"/>
  </r>
  <r>
    <s v="ORD100666"/>
    <s v="2025-07-25"/>
    <x v="6"/>
    <s v="East"/>
    <s v="West Bengal"/>
    <s v="Kolkata"/>
    <x v="3"/>
    <x v="3"/>
    <s v="CUST1645"/>
    <s v="SP_10"/>
    <n v="3"/>
    <n v="23.65"/>
    <n v="70.95"/>
    <n v="29.44"/>
    <n v="41.51"/>
    <s v="Credit Card"/>
  </r>
  <r>
    <s v="ORD100667"/>
    <s v="2025-06-21"/>
    <x v="2"/>
    <s v="West"/>
    <s v="Rajasthan"/>
    <s v="Jaipur"/>
    <x v="0"/>
    <x v="0"/>
    <s v="CUST1513"/>
    <s v="SP_03"/>
    <n v="5"/>
    <n v="3830.82"/>
    <n v="19154.099999999999"/>
    <n v="10759.5"/>
    <n v="8394.6"/>
    <s v="Cash"/>
  </r>
  <r>
    <s v="ORD100668"/>
    <s v="2025-06-30"/>
    <x v="2"/>
    <s v="North"/>
    <s v="Delhi"/>
    <s v="Delhi"/>
    <x v="1"/>
    <x v="5"/>
    <s v="CUST1414"/>
    <s v="SP_01"/>
    <n v="8"/>
    <n v="9166.2999999999993"/>
    <n v="73330.399999999994"/>
    <n v="63525.23"/>
    <n v="9805.17"/>
    <s v="Debit Card"/>
  </r>
  <r>
    <s v="ORD100669"/>
    <s v="2025-01-16"/>
    <x v="9"/>
    <s v="North"/>
    <s v="Uttar Pradesh"/>
    <s v="Lucknow"/>
    <x v="3"/>
    <x v="7"/>
    <s v="CUST1947"/>
    <s v="SP_01"/>
    <n v="5"/>
    <n v="12106.81"/>
    <n v="60534.05"/>
    <n v="42962.95"/>
    <n v="17571.099999999999"/>
    <s v="Debit Card"/>
  </r>
  <r>
    <s v="ORD100670"/>
    <s v="2025-02-10"/>
    <x v="8"/>
    <s v="South"/>
    <s v="Tamil Nadu"/>
    <s v="Chennai"/>
    <x v="1"/>
    <x v="5"/>
    <s v="CUST1808"/>
    <s v="SP_13"/>
    <n v="5"/>
    <n v="9527.51"/>
    <n v="47637.55"/>
    <n v="36936.53"/>
    <n v="10701.02"/>
    <s v="Net Banking"/>
  </r>
  <r>
    <s v="ORD100671"/>
    <s v="2025-03-08"/>
    <x v="4"/>
    <s v="East"/>
    <s v="West Bengal"/>
    <s v="Kolkata"/>
    <x v="0"/>
    <x v="0"/>
    <s v="CUST1826"/>
    <s v="SP_06"/>
    <n v="5"/>
    <n v="3576.66"/>
    <n v="17883.3"/>
    <n v="10956.97"/>
    <n v="6926.33"/>
    <s v="Credit Card"/>
  </r>
  <r>
    <s v="ORD100672"/>
    <s v="2025-01-15"/>
    <x v="9"/>
    <s v="South"/>
    <s v="Telangana"/>
    <s v="Hyderabad"/>
    <x v="1"/>
    <x v="6"/>
    <s v="CUST1419"/>
    <s v="SP_09"/>
    <n v="5"/>
    <n v="3462.6"/>
    <n v="17313"/>
    <n v="11745.73"/>
    <n v="5567.27"/>
    <s v="UPI"/>
  </r>
  <r>
    <s v="ORD100673"/>
    <s v="2025-04-14"/>
    <x v="0"/>
    <s v="East"/>
    <s v="Bihar"/>
    <s v="Patna"/>
    <x v="1"/>
    <x v="6"/>
    <s v="CUST1903"/>
    <s v="SP_15"/>
    <n v="8"/>
    <n v="3441.29"/>
    <n v="27530.32"/>
    <n v="20017.349999999999"/>
    <n v="7512.97"/>
    <s v="Cash"/>
  </r>
  <r>
    <s v="ORD100674"/>
    <s v="2025-07-17"/>
    <x v="6"/>
    <s v="East"/>
    <s v="Odisha"/>
    <s v="Bhubaneswar"/>
    <x v="2"/>
    <x v="4"/>
    <s v="CUST1410"/>
    <s v="SP_07"/>
    <n v="4"/>
    <n v="2702.28"/>
    <n v="10809.12"/>
    <n v="6174.36"/>
    <n v="4634.76"/>
    <s v="Net Banking"/>
  </r>
  <r>
    <s v="ORD100675"/>
    <s v="2025-08-18"/>
    <x v="11"/>
    <s v="East"/>
    <s v="Bihar"/>
    <s v="Patna"/>
    <x v="3"/>
    <x v="7"/>
    <s v="CUST1218"/>
    <s v="SP_05"/>
    <n v="6"/>
    <n v="11140.5"/>
    <n v="66843"/>
    <n v="54854.19"/>
    <n v="11988.81"/>
    <s v="Credit Card"/>
  </r>
  <r>
    <s v="ORD100676"/>
    <s v="2025-07-27"/>
    <x v="6"/>
    <s v="North"/>
    <s v="Delhi"/>
    <s v="Delhi"/>
    <x v="0"/>
    <x v="8"/>
    <s v="CUST1720"/>
    <s v="SP_09"/>
    <n v="3"/>
    <n v="24002.21"/>
    <n v="72006.63"/>
    <n v="51780.19"/>
    <n v="20226.439999999999"/>
    <s v="Credit Card"/>
  </r>
  <r>
    <s v="ORD100677"/>
    <s v="2025-11-19"/>
    <x v="10"/>
    <s v="East"/>
    <s v="Bihar"/>
    <s v="Patna"/>
    <x v="1"/>
    <x v="5"/>
    <s v="CUST1492"/>
    <s v="SP_10"/>
    <n v="4"/>
    <n v="9315.4599999999991"/>
    <n v="37261.839999999997"/>
    <n v="30378.75"/>
    <n v="6883.09"/>
    <s v="Debit Card"/>
  </r>
  <r>
    <s v="ORD100678"/>
    <s v="2025-08-07"/>
    <x v="11"/>
    <s v="South"/>
    <s v="Telangana"/>
    <s v="Hyderabad"/>
    <x v="0"/>
    <x v="9"/>
    <s v="CUST1195"/>
    <s v="SP_15"/>
    <n v="2"/>
    <n v="7411.29"/>
    <n v="14822.58"/>
    <n v="10045.120000000001"/>
    <n v="4777.46"/>
    <s v="UPI"/>
  </r>
  <r>
    <s v="ORD100679"/>
    <s v="2025-03-16"/>
    <x v="4"/>
    <s v="South"/>
    <s v="Telangana"/>
    <s v="Hyderabad"/>
    <x v="2"/>
    <x v="2"/>
    <s v="CUST1768"/>
    <s v="SP_13"/>
    <n v="8"/>
    <n v="43629.04"/>
    <n v="349032.32"/>
    <n v="288290.55"/>
    <n v="60741.77"/>
    <s v="Cash"/>
  </r>
  <r>
    <s v="ORD100680"/>
    <s v="2025-07-09"/>
    <x v="6"/>
    <s v="East"/>
    <s v="Odisha"/>
    <s v="Bhubaneswar"/>
    <x v="0"/>
    <x v="9"/>
    <s v="CUST1372"/>
    <s v="SP_01"/>
    <n v="4"/>
    <n v="7035.03"/>
    <n v="28140.12"/>
    <n v="19953.34"/>
    <n v="8186.78"/>
    <s v="UPI"/>
  </r>
  <r>
    <s v="ORD100681"/>
    <s v="2025-12-21"/>
    <x v="7"/>
    <s v="South"/>
    <s v="Telangana"/>
    <s v="Hyderabad"/>
    <x v="1"/>
    <x v="1"/>
    <s v="CUST1189"/>
    <s v="SP_09"/>
    <n v="4"/>
    <n v="3012.83"/>
    <n v="12051.32"/>
    <n v="7954.79"/>
    <n v="4096.53"/>
    <s v="UPI"/>
  </r>
  <r>
    <s v="ORD100682"/>
    <s v="2025-02-15"/>
    <x v="8"/>
    <s v="West"/>
    <s v="Rajasthan"/>
    <s v="Jaipur"/>
    <x v="1"/>
    <x v="6"/>
    <s v="CUST1885"/>
    <s v="SP_09"/>
    <n v="8"/>
    <n v="3136.31"/>
    <n v="25090.48"/>
    <n v="18614.23"/>
    <n v="6476.25"/>
    <s v="Debit Card"/>
  </r>
  <r>
    <s v="ORD100683"/>
    <s v="2025-02-06"/>
    <x v="8"/>
    <s v="South"/>
    <s v="Karnataka"/>
    <s v="Bengaluru"/>
    <x v="3"/>
    <x v="3"/>
    <s v="CUST1816"/>
    <s v="SP_10"/>
    <n v="4"/>
    <n v="23.92"/>
    <n v="95.68"/>
    <n v="41.06"/>
    <n v="54.62"/>
    <s v="UPI"/>
  </r>
  <r>
    <s v="ORD100684"/>
    <s v="2025-06-04"/>
    <x v="2"/>
    <s v="West"/>
    <s v="Maharashtra"/>
    <s v="Mumbai"/>
    <x v="0"/>
    <x v="0"/>
    <s v="CUST1152"/>
    <s v="SP_07"/>
    <n v="8"/>
    <n v="3586.72"/>
    <n v="28693.759999999998"/>
    <n v="17110.02"/>
    <n v="11583.74"/>
    <s v="Cash"/>
  </r>
  <r>
    <s v="ORD100685"/>
    <s v="2025-10-04"/>
    <x v="1"/>
    <s v="West"/>
    <s v="Gujarat"/>
    <s v="Ahmedabad"/>
    <x v="1"/>
    <x v="1"/>
    <s v="CUST1575"/>
    <s v="SP_12"/>
    <n v="1"/>
    <n v="2709.48"/>
    <n v="2709.48"/>
    <n v="1925.65"/>
    <n v="783.83"/>
    <s v="Credit Card"/>
  </r>
  <r>
    <s v="ORD100686"/>
    <s v="2025-03-17"/>
    <x v="4"/>
    <s v="East"/>
    <s v="West Bengal"/>
    <s v="Kolkata"/>
    <x v="1"/>
    <x v="6"/>
    <s v="CUST1529"/>
    <s v="SP_05"/>
    <n v="7"/>
    <n v="2980.23"/>
    <n v="20861.61"/>
    <n v="16398.46"/>
    <n v="4463.1499999999996"/>
    <s v="Cash"/>
  </r>
  <r>
    <s v="ORD100687"/>
    <s v="2025-08-27"/>
    <x v="11"/>
    <s v="West"/>
    <s v="Rajasthan"/>
    <s v="Jaipur"/>
    <x v="3"/>
    <x v="3"/>
    <s v="CUST1857"/>
    <s v="SP_15"/>
    <n v="4"/>
    <n v="26.05"/>
    <n v="104.2"/>
    <n v="40.14"/>
    <n v="64.06"/>
    <s v="UPI"/>
  </r>
  <r>
    <s v="ORD100688"/>
    <s v="2025-07-03"/>
    <x v="6"/>
    <s v="East"/>
    <s v="West Bengal"/>
    <s v="Kolkata"/>
    <x v="3"/>
    <x v="11"/>
    <s v="CUST1201"/>
    <s v="SP_11"/>
    <n v="2"/>
    <n v="108.65"/>
    <n v="217.3"/>
    <n v="121.59"/>
    <n v="95.71"/>
    <s v="Cash"/>
  </r>
  <r>
    <s v="ORD100689"/>
    <s v="2025-04-26"/>
    <x v="0"/>
    <s v="East"/>
    <s v="Bihar"/>
    <s v="Patna"/>
    <x v="0"/>
    <x v="8"/>
    <s v="CUST1916"/>
    <s v="SP_07"/>
    <n v="8"/>
    <n v="20090.88"/>
    <n v="160727.04000000001"/>
    <n v="137256.94"/>
    <n v="23470.1"/>
    <s v="Cash"/>
  </r>
  <r>
    <s v="ORD100690"/>
    <s v="2025-10-19"/>
    <x v="1"/>
    <s v="North"/>
    <s v="Punjab"/>
    <s v="Chandigarh"/>
    <x v="2"/>
    <x v="4"/>
    <s v="CUST1107"/>
    <s v="SP_05"/>
    <n v="8"/>
    <n v="2623.06"/>
    <n v="20984.48"/>
    <n v="12226.28"/>
    <n v="8758.2000000000007"/>
    <s v="Debit Card"/>
  </r>
  <r>
    <s v="ORD100691"/>
    <s v="2025-08-27"/>
    <x v="11"/>
    <s v="West"/>
    <s v="Gujarat"/>
    <s v="Ahmedabad"/>
    <x v="1"/>
    <x v="1"/>
    <s v="CUST1157"/>
    <s v="SP_07"/>
    <n v="1"/>
    <n v="2977.56"/>
    <n v="2977.56"/>
    <n v="1834.43"/>
    <n v="1143.1300000000001"/>
    <s v="Credit Card"/>
  </r>
  <r>
    <s v="ORD100692"/>
    <s v="2025-08-13"/>
    <x v="11"/>
    <s v="East"/>
    <s v="Odisha"/>
    <s v="Bhubaneswar"/>
    <x v="1"/>
    <x v="6"/>
    <s v="CUST1714"/>
    <s v="SP_15"/>
    <n v="5"/>
    <n v="3118.67"/>
    <n v="15593.35"/>
    <n v="11609.51"/>
    <n v="3983.84"/>
    <s v="UPI"/>
  </r>
  <r>
    <s v="ORD100693"/>
    <s v="2025-03-14"/>
    <x v="4"/>
    <s v="West"/>
    <s v="Gujarat"/>
    <s v="Ahmedabad"/>
    <x v="1"/>
    <x v="5"/>
    <s v="CUST1123"/>
    <s v="SP_08"/>
    <n v="4"/>
    <n v="9794.24"/>
    <n v="39176.959999999999"/>
    <n v="29252.9"/>
    <n v="9924.06"/>
    <s v="Credit Card"/>
  </r>
  <r>
    <s v="ORD100694"/>
    <s v="2025-08-25"/>
    <x v="11"/>
    <s v="North"/>
    <s v="Uttar Pradesh"/>
    <s v="Lucknow"/>
    <x v="0"/>
    <x v="0"/>
    <s v="CUST1200"/>
    <s v="SP_06"/>
    <n v="2"/>
    <n v="3775.95"/>
    <n v="7551.9"/>
    <n v="4521.0200000000004"/>
    <n v="3030.88"/>
    <s v="Credit Card"/>
  </r>
  <r>
    <s v="ORD100695"/>
    <s v="2025-03-16"/>
    <x v="4"/>
    <s v="East"/>
    <s v="Bihar"/>
    <s v="Patna"/>
    <x v="0"/>
    <x v="8"/>
    <s v="CUST1003"/>
    <s v="SP_14"/>
    <n v="5"/>
    <n v="22796.03"/>
    <n v="113980.15"/>
    <n v="85514.7"/>
    <n v="28465.45"/>
    <s v="Debit Card"/>
  </r>
  <r>
    <s v="ORD100696"/>
    <s v="2025-02-15"/>
    <x v="8"/>
    <s v="North"/>
    <s v="Uttar Pradesh"/>
    <s v="Lucknow"/>
    <x v="2"/>
    <x v="2"/>
    <s v="CUST1934"/>
    <s v="SP_14"/>
    <n v="2"/>
    <n v="47208.43"/>
    <n v="94416.86"/>
    <n v="67818.720000000001"/>
    <n v="26598.14"/>
    <s v="Net Banking"/>
  </r>
  <r>
    <s v="ORD100697"/>
    <s v="2025-05-18"/>
    <x v="3"/>
    <s v="North"/>
    <s v="Delhi"/>
    <s v="Delhi"/>
    <x v="2"/>
    <x v="4"/>
    <s v="CUST1116"/>
    <s v="SP_05"/>
    <n v="7"/>
    <n v="2620.8000000000002"/>
    <n v="18345.599999999999"/>
    <n v="11152.33"/>
    <n v="7193.27"/>
    <s v="Credit Card"/>
  </r>
  <r>
    <s v="ORD100698"/>
    <s v="2025-03-04"/>
    <x v="4"/>
    <s v="West"/>
    <s v="Rajasthan"/>
    <s v="Jaipur"/>
    <x v="3"/>
    <x v="11"/>
    <s v="CUST1592"/>
    <s v="SP_01"/>
    <n v="1"/>
    <n v="113.27"/>
    <n v="113.27"/>
    <n v="59.93"/>
    <n v="53.34"/>
    <s v="Credit Card"/>
  </r>
  <r>
    <s v="ORD100699"/>
    <s v="2025-10-31"/>
    <x v="1"/>
    <s v="South"/>
    <s v="Karnataka"/>
    <s v="Bengaluru"/>
    <x v="1"/>
    <x v="5"/>
    <s v="CUST1917"/>
    <s v="SP_02"/>
    <n v="1"/>
    <n v="10354.73"/>
    <n v="10354.73"/>
    <n v="7471.23"/>
    <n v="2883.5"/>
    <s v="Net Banking"/>
  </r>
  <r>
    <s v="ORD100700"/>
    <s v="2025-02-02"/>
    <x v="8"/>
    <s v="West"/>
    <s v="Maharashtra"/>
    <s v="Mumbai"/>
    <x v="3"/>
    <x v="3"/>
    <s v="CUST1299"/>
    <s v="SP_14"/>
    <n v="7"/>
    <n v="23.35"/>
    <n v="163.44999999999999"/>
    <n v="72.05"/>
    <n v="91.4"/>
    <s v="Debit Card"/>
  </r>
  <r>
    <s v="ORD100701"/>
    <s v="2025-11-08"/>
    <x v="10"/>
    <s v="West"/>
    <s v="Maharashtra"/>
    <s v="Mumbai"/>
    <x v="1"/>
    <x v="1"/>
    <s v="CUST1054"/>
    <s v="SP_12"/>
    <n v="4"/>
    <n v="2646.56"/>
    <n v="10586.24"/>
    <n v="7272.52"/>
    <n v="3313.72"/>
    <s v="UPI"/>
  </r>
  <r>
    <s v="ORD100702"/>
    <s v="2025-06-11"/>
    <x v="2"/>
    <s v="North"/>
    <s v="Punjab"/>
    <s v="Chandigarh"/>
    <x v="2"/>
    <x v="4"/>
    <s v="CUST1688"/>
    <s v="SP_02"/>
    <n v="4"/>
    <n v="2618.67"/>
    <n v="10474.68"/>
    <n v="6627.79"/>
    <n v="3846.89"/>
    <s v="UPI"/>
  </r>
  <r>
    <s v="ORD100703"/>
    <s v="2025-08-26"/>
    <x v="11"/>
    <s v="West"/>
    <s v="Gujarat"/>
    <s v="Ahmedabad"/>
    <x v="2"/>
    <x v="10"/>
    <s v="CUST1145"/>
    <s v="SP_12"/>
    <n v="6"/>
    <n v="18977.23"/>
    <n v="113863.38"/>
    <n v="86264.05"/>
    <n v="27599.33"/>
    <s v="Debit Card"/>
  </r>
  <r>
    <s v="ORD100704"/>
    <s v="2025-11-24"/>
    <x v="10"/>
    <s v="South"/>
    <s v="Telangana"/>
    <s v="Hyderabad"/>
    <x v="3"/>
    <x v="11"/>
    <s v="CUST1305"/>
    <s v="SP_07"/>
    <n v="4"/>
    <n v="112.83"/>
    <n v="451.32"/>
    <n v="250.12"/>
    <n v="201.2"/>
    <s v="Cash"/>
  </r>
  <r>
    <s v="ORD100705"/>
    <s v="2025-09-29"/>
    <x v="5"/>
    <s v="South"/>
    <s v="Telangana"/>
    <s v="Hyderabad"/>
    <x v="3"/>
    <x v="3"/>
    <s v="CUST1551"/>
    <s v="SP_08"/>
    <n v="4"/>
    <n v="27.01"/>
    <n v="108.04"/>
    <n v="38.799999999999997"/>
    <n v="69.239999999999995"/>
    <s v="Debit Card"/>
  </r>
  <r>
    <s v="ORD100706"/>
    <s v="2025-05-02"/>
    <x v="3"/>
    <s v="South"/>
    <s v="Karnataka"/>
    <s v="Bengaluru"/>
    <x v="2"/>
    <x v="10"/>
    <s v="CUST1085"/>
    <s v="SP_07"/>
    <n v="2"/>
    <n v="18441.939999999999"/>
    <n v="36883.879999999997"/>
    <n v="29352.91"/>
    <n v="7530.97"/>
    <s v="UPI"/>
  </r>
  <r>
    <s v="ORD100707"/>
    <s v="2025-12-20"/>
    <x v="7"/>
    <s v="South"/>
    <s v="Tamil Nadu"/>
    <s v="Chennai"/>
    <x v="1"/>
    <x v="1"/>
    <s v="CUST1236"/>
    <s v="SP_01"/>
    <n v="5"/>
    <n v="2537.02"/>
    <n v="12685.1"/>
    <n v="9929.18"/>
    <n v="2755.92"/>
    <s v="UPI"/>
  </r>
  <r>
    <s v="ORD100708"/>
    <s v="2025-03-19"/>
    <x v="4"/>
    <s v="North"/>
    <s v="Delhi"/>
    <s v="Delhi"/>
    <x v="3"/>
    <x v="11"/>
    <s v="CUST1568"/>
    <s v="SP_01"/>
    <n v="4"/>
    <n v="109.07"/>
    <n v="436.28"/>
    <n v="236.15"/>
    <n v="200.13"/>
    <s v="Credit Card"/>
  </r>
  <r>
    <s v="ORD100709"/>
    <s v="2025-12-04"/>
    <x v="7"/>
    <s v="East"/>
    <s v="West Bengal"/>
    <s v="Kolkata"/>
    <x v="1"/>
    <x v="5"/>
    <s v="CUST1816"/>
    <s v="SP_05"/>
    <n v="5"/>
    <n v="9652.64"/>
    <n v="48263.199999999997"/>
    <n v="36805.769999999997"/>
    <n v="11457.43"/>
    <s v="UPI"/>
  </r>
  <r>
    <s v="ORD100710"/>
    <s v="2025-01-08"/>
    <x v="9"/>
    <s v="East"/>
    <s v="Odisha"/>
    <s v="Bhubaneswar"/>
    <x v="0"/>
    <x v="8"/>
    <s v="CUST1216"/>
    <s v="SP_09"/>
    <n v="2"/>
    <n v="23570.61"/>
    <n v="47141.22"/>
    <n v="34423.300000000003"/>
    <n v="12717.92"/>
    <s v="UPI"/>
  </r>
  <r>
    <s v="ORD100711"/>
    <s v="2025-06-03"/>
    <x v="2"/>
    <s v="North"/>
    <s v="Delhi"/>
    <s v="Delhi"/>
    <x v="1"/>
    <x v="6"/>
    <s v="CUST1897"/>
    <s v="SP_13"/>
    <n v="1"/>
    <n v="3259.93"/>
    <n v="3259.93"/>
    <n v="2515.2600000000002"/>
    <n v="744.67"/>
    <s v="Credit Card"/>
  </r>
  <r>
    <s v="ORD100712"/>
    <s v="2025-10-30"/>
    <x v="1"/>
    <s v="South"/>
    <s v="Telangana"/>
    <s v="Hyderabad"/>
    <x v="0"/>
    <x v="8"/>
    <s v="CUST1264"/>
    <s v="SP_01"/>
    <n v="5"/>
    <n v="22519.53"/>
    <n v="112597.65"/>
    <n v="86730.82"/>
    <n v="25866.83"/>
    <s v="Cash"/>
  </r>
  <r>
    <s v="ORD100713"/>
    <s v="2025-07-22"/>
    <x v="6"/>
    <s v="South"/>
    <s v="Tamil Nadu"/>
    <s v="Chennai"/>
    <x v="0"/>
    <x v="0"/>
    <s v="CUST1965"/>
    <s v="SP_02"/>
    <n v="3"/>
    <n v="3743.83"/>
    <n v="11231.49"/>
    <n v="6391.39"/>
    <n v="4840.1000000000004"/>
    <s v="Cash"/>
  </r>
  <r>
    <s v="ORD100714"/>
    <s v="2025-02-20"/>
    <x v="8"/>
    <s v="North"/>
    <s v="Punjab"/>
    <s v="Chandigarh"/>
    <x v="0"/>
    <x v="8"/>
    <s v="CUST1779"/>
    <s v="SP_09"/>
    <n v="6"/>
    <n v="21922.31"/>
    <n v="131533.85999999999"/>
    <n v="103693.08"/>
    <n v="27840.78"/>
    <s v="UPI"/>
  </r>
  <r>
    <s v="ORD100715"/>
    <s v="2025-04-22"/>
    <x v="0"/>
    <s v="North"/>
    <s v="Uttar Pradesh"/>
    <s v="Lucknow"/>
    <x v="3"/>
    <x v="11"/>
    <s v="CUST1821"/>
    <s v="SP_04"/>
    <n v="7"/>
    <n v="119.2"/>
    <n v="834.4"/>
    <n v="440.79"/>
    <n v="393.61"/>
    <s v="Cash"/>
  </r>
  <r>
    <s v="ORD100716"/>
    <s v="2025-11-04"/>
    <x v="10"/>
    <s v="North"/>
    <s v="Punjab"/>
    <s v="Chandigarh"/>
    <x v="1"/>
    <x v="6"/>
    <s v="CUST1338"/>
    <s v="SP_03"/>
    <n v="5"/>
    <n v="3286.09"/>
    <n v="16430.45"/>
    <n v="11824.65"/>
    <n v="4605.8"/>
    <s v="UPI"/>
  </r>
  <r>
    <s v="ORD100717"/>
    <s v="2025-10-18"/>
    <x v="1"/>
    <s v="North"/>
    <s v="Punjab"/>
    <s v="Chandigarh"/>
    <x v="3"/>
    <x v="7"/>
    <s v="CUST1587"/>
    <s v="SP_13"/>
    <n v="4"/>
    <n v="12139.04"/>
    <n v="48556.160000000003"/>
    <n v="34914.639999999999"/>
    <n v="13641.52"/>
    <s v="Credit Card"/>
  </r>
  <r>
    <s v="ORD100718"/>
    <s v="2025-07-24"/>
    <x v="6"/>
    <s v="West"/>
    <s v="Maharashtra"/>
    <s v="Mumbai"/>
    <x v="1"/>
    <x v="5"/>
    <s v="CUST1320"/>
    <s v="SP_06"/>
    <n v="8"/>
    <n v="9370.92"/>
    <n v="74967.360000000001"/>
    <n v="59590.37"/>
    <n v="15376.99"/>
    <s v="UPI"/>
  </r>
  <r>
    <s v="ORD100719"/>
    <s v="2025-10-11"/>
    <x v="1"/>
    <s v="East"/>
    <s v="Odisha"/>
    <s v="Bhubaneswar"/>
    <x v="2"/>
    <x v="2"/>
    <s v="CUST1056"/>
    <s v="SP_07"/>
    <n v="2"/>
    <n v="42168.6"/>
    <n v="84337.2"/>
    <n v="73249.509999999995"/>
    <n v="11087.69"/>
    <s v="Cash"/>
  </r>
  <r>
    <s v="ORD100720"/>
    <s v="2025-02-10"/>
    <x v="8"/>
    <s v="North"/>
    <s v="Delhi"/>
    <s v="Delhi"/>
    <x v="3"/>
    <x v="7"/>
    <s v="CUST1760"/>
    <s v="SP_09"/>
    <n v="2"/>
    <n v="11750.12"/>
    <n v="23500.240000000002"/>
    <n v="18142.91"/>
    <n v="5357.33"/>
    <s v="Cash"/>
  </r>
  <r>
    <s v="ORD100721"/>
    <s v="2025-04-29"/>
    <x v="0"/>
    <s v="West"/>
    <s v="Maharashtra"/>
    <s v="Mumbai"/>
    <x v="0"/>
    <x v="0"/>
    <s v="CUST1482"/>
    <s v="SP_01"/>
    <n v="1"/>
    <n v="3163.95"/>
    <n v="3163.95"/>
    <n v="2144.44"/>
    <n v="1019.51"/>
    <s v="Debit Card"/>
  </r>
  <r>
    <s v="ORD100722"/>
    <s v="2025-10-14"/>
    <x v="1"/>
    <s v="North"/>
    <s v="Punjab"/>
    <s v="Chandigarh"/>
    <x v="1"/>
    <x v="6"/>
    <s v="CUST1961"/>
    <s v="SP_07"/>
    <n v="6"/>
    <n v="3004.23"/>
    <n v="18025.38"/>
    <n v="14482.45"/>
    <n v="3542.93"/>
    <s v="Debit Card"/>
  </r>
  <r>
    <s v="ORD100723"/>
    <s v="2025-11-21"/>
    <x v="10"/>
    <s v="South"/>
    <s v="Tamil Nadu"/>
    <s v="Chennai"/>
    <x v="2"/>
    <x v="4"/>
    <s v="CUST1095"/>
    <s v="SP_03"/>
    <n v="2"/>
    <n v="2740.2"/>
    <n v="5480.4"/>
    <n v="3178.88"/>
    <n v="2301.52"/>
    <s v="Debit Card"/>
  </r>
  <r>
    <s v="ORD100724"/>
    <s v="2025-01-18"/>
    <x v="9"/>
    <s v="West"/>
    <s v="Rajasthan"/>
    <s v="Jaipur"/>
    <x v="1"/>
    <x v="5"/>
    <s v="CUST1858"/>
    <s v="SP_03"/>
    <n v="8"/>
    <n v="10153.870000000001"/>
    <n v="81230.960000000006"/>
    <n v="62942.35"/>
    <n v="18288.61"/>
    <s v="Credit Card"/>
  </r>
  <r>
    <s v="ORD100725"/>
    <s v="2025-02-23"/>
    <x v="8"/>
    <s v="North"/>
    <s v="Delhi"/>
    <s v="Delhi"/>
    <x v="3"/>
    <x v="7"/>
    <s v="CUST1080"/>
    <s v="SP_03"/>
    <n v="3"/>
    <n v="12789.63"/>
    <n v="38368.89"/>
    <n v="27832.15"/>
    <n v="10536.74"/>
    <s v="Cash"/>
  </r>
  <r>
    <s v="ORD100726"/>
    <s v="2025-06-14"/>
    <x v="2"/>
    <s v="South"/>
    <s v="Telangana"/>
    <s v="Hyderabad"/>
    <x v="0"/>
    <x v="9"/>
    <s v="CUST1155"/>
    <s v="SP_13"/>
    <n v="2"/>
    <n v="7258.4"/>
    <n v="14516.8"/>
    <n v="9985.99"/>
    <n v="4530.8100000000004"/>
    <s v="Debit Card"/>
  </r>
  <r>
    <s v="ORD100727"/>
    <s v="2025-01-16"/>
    <x v="9"/>
    <s v="East"/>
    <s v="Bihar"/>
    <s v="Patna"/>
    <x v="1"/>
    <x v="1"/>
    <s v="CUST1417"/>
    <s v="SP_02"/>
    <n v="2"/>
    <n v="2822.84"/>
    <n v="5645.68"/>
    <n v="3657.56"/>
    <n v="1988.12"/>
    <s v="UPI"/>
  </r>
  <r>
    <s v="ORD100728"/>
    <s v="2025-01-07"/>
    <x v="9"/>
    <s v="East"/>
    <s v="Odisha"/>
    <s v="Bhubaneswar"/>
    <x v="0"/>
    <x v="8"/>
    <s v="CUST1748"/>
    <s v="SP_15"/>
    <n v="7"/>
    <n v="20902.63"/>
    <n v="146318.41"/>
    <n v="120812.47"/>
    <n v="25505.94"/>
    <s v="Credit Card"/>
  </r>
  <r>
    <s v="ORD100729"/>
    <s v="2025-11-24"/>
    <x v="10"/>
    <s v="West"/>
    <s v="Maharashtra"/>
    <s v="Mumbai"/>
    <x v="1"/>
    <x v="6"/>
    <s v="CUST1617"/>
    <s v="SP_01"/>
    <n v="2"/>
    <n v="3411.65"/>
    <n v="6823.3"/>
    <n v="4648.96"/>
    <n v="2174.34"/>
    <s v="UPI"/>
  </r>
  <r>
    <s v="ORD100730"/>
    <s v="2025-12-06"/>
    <x v="7"/>
    <s v="West"/>
    <s v="Maharashtra"/>
    <s v="Mumbai"/>
    <x v="1"/>
    <x v="6"/>
    <s v="CUST1186"/>
    <s v="SP_04"/>
    <n v="5"/>
    <n v="3182.83"/>
    <n v="15914.15"/>
    <n v="12252.19"/>
    <n v="3661.96"/>
    <s v="Credit Card"/>
  </r>
  <r>
    <s v="ORD100731"/>
    <s v="2025-03-18"/>
    <x v="4"/>
    <s v="North"/>
    <s v="Delhi"/>
    <s v="Delhi"/>
    <x v="3"/>
    <x v="11"/>
    <s v="CUST1753"/>
    <s v="SP_01"/>
    <n v="8"/>
    <n v="109.07"/>
    <n v="872.56"/>
    <n v="500.59"/>
    <n v="371.97"/>
    <s v="Debit Card"/>
  </r>
  <r>
    <s v="ORD100732"/>
    <s v="2025-01-18"/>
    <x v="9"/>
    <s v="East"/>
    <s v="West Bengal"/>
    <s v="Kolkata"/>
    <x v="0"/>
    <x v="0"/>
    <s v="CUST1410"/>
    <s v="SP_04"/>
    <n v="3"/>
    <n v="3437.69"/>
    <n v="10313.07"/>
    <n v="6571.62"/>
    <n v="3741.45"/>
    <s v="Debit Card"/>
  </r>
  <r>
    <s v="ORD100733"/>
    <s v="2025-09-18"/>
    <x v="5"/>
    <s v="North"/>
    <s v="Delhi"/>
    <s v="Delhi"/>
    <x v="0"/>
    <x v="0"/>
    <s v="CUST1598"/>
    <s v="SP_08"/>
    <n v="6"/>
    <n v="3320.53"/>
    <n v="19923.18"/>
    <n v="13856.01"/>
    <n v="6067.17"/>
    <s v="UPI"/>
  </r>
  <r>
    <s v="ORD100734"/>
    <s v="2025-01-24"/>
    <x v="9"/>
    <s v="West"/>
    <s v="Gujarat"/>
    <s v="Ahmedabad"/>
    <x v="0"/>
    <x v="0"/>
    <s v="CUST1393"/>
    <s v="SP_03"/>
    <n v="6"/>
    <n v="3634.72"/>
    <n v="21808.32"/>
    <n v="13197.01"/>
    <n v="8611.31"/>
    <s v="Net Banking"/>
  </r>
  <r>
    <s v="ORD100735"/>
    <s v="2025-12-04"/>
    <x v="7"/>
    <s v="South"/>
    <s v="Karnataka"/>
    <s v="Bengaluru"/>
    <x v="0"/>
    <x v="0"/>
    <s v="CUST1411"/>
    <s v="SP_03"/>
    <n v="4"/>
    <n v="3678.96"/>
    <n v="14715.84"/>
    <n v="8499.59"/>
    <n v="6216.25"/>
    <s v="UPI"/>
  </r>
  <r>
    <s v="ORD100736"/>
    <s v="2025-06-03"/>
    <x v="2"/>
    <s v="West"/>
    <s v="Rajasthan"/>
    <s v="Jaipur"/>
    <x v="2"/>
    <x v="4"/>
    <s v="CUST1689"/>
    <s v="SP_01"/>
    <n v="8"/>
    <n v="2584.54"/>
    <n v="20676.32"/>
    <n v="12498.02"/>
    <n v="8178.3"/>
    <s v="Cash"/>
  </r>
  <r>
    <s v="ORD100737"/>
    <s v="2025-03-17"/>
    <x v="4"/>
    <s v="East"/>
    <s v="West Bengal"/>
    <s v="Kolkata"/>
    <x v="0"/>
    <x v="0"/>
    <s v="CUST1591"/>
    <s v="SP_02"/>
    <n v="7"/>
    <n v="3577.33"/>
    <n v="25041.31"/>
    <n v="15735.08"/>
    <n v="9306.23"/>
    <s v="Cash"/>
  </r>
  <r>
    <s v="ORD100738"/>
    <s v="2025-05-30"/>
    <x v="3"/>
    <s v="South"/>
    <s v="Telangana"/>
    <s v="Hyderabad"/>
    <x v="2"/>
    <x v="10"/>
    <s v="CUST1632"/>
    <s v="SP_06"/>
    <n v="2"/>
    <n v="18442.07"/>
    <n v="36884.14"/>
    <n v="27221.59"/>
    <n v="9662.5499999999993"/>
    <s v="UPI"/>
  </r>
  <r>
    <s v="ORD100739"/>
    <s v="2025-01-01"/>
    <x v="9"/>
    <s v="North"/>
    <s v="Uttar Pradesh"/>
    <s v="Lucknow"/>
    <x v="0"/>
    <x v="8"/>
    <s v="CUST1909"/>
    <s v="SP_07"/>
    <n v="4"/>
    <n v="23691.23"/>
    <n v="94764.92"/>
    <n v="69930.03"/>
    <n v="24834.89"/>
    <s v="Debit Card"/>
  </r>
  <r>
    <s v="ORD100740"/>
    <s v="2025-08-04"/>
    <x v="11"/>
    <s v="North"/>
    <s v="Uttar Pradesh"/>
    <s v="Lucknow"/>
    <x v="2"/>
    <x v="2"/>
    <s v="CUST1818"/>
    <s v="SP_02"/>
    <n v="8"/>
    <n v="46390.06"/>
    <n v="371120.48"/>
    <n v="288016.09000000003"/>
    <n v="83104.39"/>
    <s v="Debit Card"/>
  </r>
  <r>
    <s v="ORD100741"/>
    <s v="2025-05-30"/>
    <x v="3"/>
    <s v="North"/>
    <s v="Uttar Pradesh"/>
    <s v="Lucknow"/>
    <x v="0"/>
    <x v="9"/>
    <s v="CUST1643"/>
    <s v="SP_15"/>
    <n v="3"/>
    <n v="6330.49"/>
    <n v="18991.47"/>
    <n v="15506.09"/>
    <n v="3485.38"/>
    <s v="UPI"/>
  </r>
  <r>
    <s v="ORD100742"/>
    <s v="2025-10-28"/>
    <x v="1"/>
    <s v="East"/>
    <s v="Bihar"/>
    <s v="Patna"/>
    <x v="0"/>
    <x v="9"/>
    <s v="CUST1255"/>
    <s v="SP_05"/>
    <n v="5"/>
    <n v="6855.26"/>
    <n v="34276.300000000003"/>
    <n v="24896.1"/>
    <n v="9380.2000000000007"/>
    <s v="Debit Card"/>
  </r>
  <r>
    <s v="ORD100743"/>
    <s v="2025-08-12"/>
    <x v="11"/>
    <s v="West"/>
    <s v="Gujarat"/>
    <s v="Ahmedabad"/>
    <x v="3"/>
    <x v="3"/>
    <s v="CUST1041"/>
    <s v="SP_06"/>
    <n v="8"/>
    <n v="23.78"/>
    <n v="190.24"/>
    <n v="81.97"/>
    <n v="108.27"/>
    <s v="Credit Card"/>
  </r>
  <r>
    <s v="ORD100744"/>
    <s v="2025-04-06"/>
    <x v="0"/>
    <s v="North"/>
    <s v="Uttar Pradesh"/>
    <s v="Lucknow"/>
    <x v="3"/>
    <x v="3"/>
    <s v="CUST1827"/>
    <s v="SP_10"/>
    <n v="6"/>
    <n v="24.94"/>
    <n v="149.63999999999999"/>
    <n v="60.68"/>
    <n v="88.96"/>
    <s v="Credit Card"/>
  </r>
  <r>
    <s v="ORD100745"/>
    <s v="2025-10-25"/>
    <x v="1"/>
    <s v="West"/>
    <s v="Gujarat"/>
    <s v="Ahmedabad"/>
    <x v="1"/>
    <x v="6"/>
    <s v="CUST1273"/>
    <s v="SP_12"/>
    <n v="1"/>
    <n v="3195.9"/>
    <n v="3195.9"/>
    <n v="2405.08"/>
    <n v="790.82"/>
    <s v="Credit Card"/>
  </r>
  <r>
    <s v="ORD100746"/>
    <s v="2025-06-02"/>
    <x v="2"/>
    <s v="South"/>
    <s v="Karnataka"/>
    <s v="Bengaluru"/>
    <x v="0"/>
    <x v="9"/>
    <s v="CUST1599"/>
    <s v="SP_05"/>
    <n v="6"/>
    <n v="7493.55"/>
    <n v="44961.3"/>
    <n v="31180.98"/>
    <n v="13780.32"/>
    <s v="Cash"/>
  </r>
  <r>
    <s v="ORD100747"/>
    <s v="2025-02-19"/>
    <x v="8"/>
    <s v="West"/>
    <s v="Maharashtra"/>
    <s v="Mumbai"/>
    <x v="1"/>
    <x v="5"/>
    <s v="CUST1577"/>
    <s v="SP_06"/>
    <n v="8"/>
    <n v="9622.66"/>
    <n v="76981.279999999999"/>
    <n v="61782.49"/>
    <n v="15198.79"/>
    <s v="Cash"/>
  </r>
  <r>
    <s v="ORD100748"/>
    <s v="2025-01-10"/>
    <x v="9"/>
    <s v="North"/>
    <s v="Punjab"/>
    <s v="Chandigarh"/>
    <x v="3"/>
    <x v="7"/>
    <s v="CUST1456"/>
    <s v="SP_09"/>
    <n v="8"/>
    <n v="12322.56"/>
    <n v="98580.479999999996"/>
    <n v="69496.320000000007"/>
    <n v="29084.16"/>
    <s v="Net Banking"/>
  </r>
  <r>
    <s v="ORD100749"/>
    <s v="2025-01-17"/>
    <x v="9"/>
    <s v="East"/>
    <s v="Bihar"/>
    <s v="Patna"/>
    <x v="1"/>
    <x v="6"/>
    <s v="CUST1836"/>
    <s v="SP_12"/>
    <n v="2"/>
    <n v="3317.33"/>
    <n v="6634.66"/>
    <n v="4911.6400000000003"/>
    <n v="1723.02"/>
    <s v="UPI"/>
  </r>
  <r>
    <s v="ORD100750"/>
    <s v="2025-04-04"/>
    <x v="0"/>
    <s v="East"/>
    <s v="Odisha"/>
    <s v="Bhubaneswar"/>
    <x v="0"/>
    <x v="9"/>
    <s v="CUST1314"/>
    <s v="SP_12"/>
    <n v="2"/>
    <n v="7534.58"/>
    <n v="15069.16"/>
    <n v="9647.59"/>
    <n v="5421.57"/>
    <s v="Credit Card"/>
  </r>
  <r>
    <s v="ORD100751"/>
    <s v="2025-04-17"/>
    <x v="0"/>
    <s v="East"/>
    <s v="Odisha"/>
    <s v="Bhubaneswar"/>
    <x v="1"/>
    <x v="5"/>
    <s v="CUST1231"/>
    <s v="SP_04"/>
    <n v="6"/>
    <n v="10273.469999999999"/>
    <n v="61640.82"/>
    <n v="46149.4"/>
    <n v="15491.42"/>
    <s v="Credit Card"/>
  </r>
  <r>
    <s v="ORD100752"/>
    <s v="2025-08-28"/>
    <x v="11"/>
    <s v="East"/>
    <s v="Bihar"/>
    <s v="Patna"/>
    <x v="2"/>
    <x v="4"/>
    <s v="CUST1346"/>
    <s v="SP_14"/>
    <n v="7"/>
    <n v="2658.61"/>
    <n v="18610.27"/>
    <n v="11547.84"/>
    <n v="7062.43"/>
    <s v="Net Banking"/>
  </r>
  <r>
    <s v="ORD100753"/>
    <s v="2025-07-19"/>
    <x v="6"/>
    <s v="North"/>
    <s v="Punjab"/>
    <s v="Chandigarh"/>
    <x v="3"/>
    <x v="3"/>
    <s v="CUST1069"/>
    <s v="SP_14"/>
    <n v="2"/>
    <n v="24.2"/>
    <n v="48.4"/>
    <n v="20.92"/>
    <n v="27.48"/>
    <s v="Net Banking"/>
  </r>
  <r>
    <s v="ORD100754"/>
    <s v="2025-09-29"/>
    <x v="5"/>
    <s v="East"/>
    <s v="Odisha"/>
    <s v="Bhubaneswar"/>
    <x v="3"/>
    <x v="3"/>
    <s v="CUST1587"/>
    <s v="SP_02"/>
    <n v="3"/>
    <n v="27.01"/>
    <n v="81.03"/>
    <n v="30.89"/>
    <n v="50.14"/>
    <s v="Net Banking"/>
  </r>
  <r>
    <s v="ORD100755"/>
    <s v="2025-12-11"/>
    <x v="7"/>
    <s v="North"/>
    <s v="Uttar Pradesh"/>
    <s v="Lucknow"/>
    <x v="1"/>
    <x v="5"/>
    <s v="CUST1664"/>
    <s v="SP_11"/>
    <n v="3"/>
    <n v="9145.2099999999991"/>
    <n v="27435.63"/>
    <n v="23417.75"/>
    <n v="4017.88"/>
    <s v="Cash"/>
  </r>
  <r>
    <s v="ORD100756"/>
    <s v="2025-04-13"/>
    <x v="0"/>
    <s v="South"/>
    <s v="Karnataka"/>
    <s v="Bengaluru"/>
    <x v="1"/>
    <x v="1"/>
    <s v="CUST1905"/>
    <s v="SP_14"/>
    <n v="1"/>
    <n v="3000.18"/>
    <n v="3000.18"/>
    <n v="1879.98"/>
    <n v="1120.2"/>
    <s v="Credit Card"/>
  </r>
  <r>
    <s v="ORD100757"/>
    <s v="2025-08-31"/>
    <x v="11"/>
    <s v="South"/>
    <s v="Tamil Nadu"/>
    <s v="Chennai"/>
    <x v="2"/>
    <x v="2"/>
    <s v="CUST1160"/>
    <s v="SP_09"/>
    <n v="4"/>
    <n v="41924.050000000003"/>
    <n v="167696.20000000001"/>
    <n v="146018.37"/>
    <n v="21677.83"/>
    <s v="Credit Card"/>
  </r>
  <r>
    <s v="ORD100758"/>
    <s v="2025-05-02"/>
    <x v="3"/>
    <s v="West"/>
    <s v="Maharashtra"/>
    <s v="Mumbai"/>
    <x v="1"/>
    <x v="1"/>
    <s v="CUST1613"/>
    <s v="SP_01"/>
    <n v="2"/>
    <n v="2825.91"/>
    <n v="5651.82"/>
    <n v="3872.65"/>
    <n v="1779.17"/>
    <s v="Credit Card"/>
  </r>
  <r>
    <s v="ORD100759"/>
    <s v="2025-08-01"/>
    <x v="11"/>
    <s v="South"/>
    <s v="Tamil Nadu"/>
    <s v="Chennai"/>
    <x v="3"/>
    <x v="7"/>
    <s v="CUST1072"/>
    <s v="SP_04"/>
    <n v="2"/>
    <n v="11938.22"/>
    <n v="23876.44"/>
    <n v="18509.75"/>
    <n v="5366.69"/>
    <s v="Cash"/>
  </r>
  <r>
    <s v="ORD100760"/>
    <s v="2025-05-16"/>
    <x v="3"/>
    <s v="North"/>
    <s v="Delhi"/>
    <s v="Delhi"/>
    <x v="2"/>
    <x v="10"/>
    <s v="CUST1233"/>
    <s v="SP_11"/>
    <n v="5"/>
    <n v="18325.169999999998"/>
    <n v="91625.85"/>
    <n v="68040.960000000006"/>
    <n v="23584.89"/>
    <s v="Credit Card"/>
  </r>
  <r>
    <s v="ORD100761"/>
    <s v="2025-07-04"/>
    <x v="6"/>
    <s v="North"/>
    <s v="Uttar Pradesh"/>
    <s v="Lucknow"/>
    <x v="2"/>
    <x v="10"/>
    <s v="CUST1520"/>
    <s v="SP_05"/>
    <n v="2"/>
    <n v="16885.8"/>
    <n v="33771.599999999999"/>
    <n v="27471.26"/>
    <n v="6300.34"/>
    <s v="UPI"/>
  </r>
  <r>
    <s v="ORD100762"/>
    <s v="2025-02-05"/>
    <x v="8"/>
    <s v="South"/>
    <s v="Tamil Nadu"/>
    <s v="Chennai"/>
    <x v="2"/>
    <x v="2"/>
    <s v="CUST1526"/>
    <s v="SP_13"/>
    <n v="6"/>
    <n v="41709.5"/>
    <n v="250257"/>
    <n v="210217.95"/>
    <n v="40039.050000000003"/>
    <s v="Net Banking"/>
  </r>
  <r>
    <s v="ORD100763"/>
    <s v="2025-08-28"/>
    <x v="11"/>
    <s v="South"/>
    <s v="Karnataka"/>
    <s v="Bengaluru"/>
    <x v="1"/>
    <x v="6"/>
    <s v="CUST1942"/>
    <s v="SP_04"/>
    <n v="2"/>
    <n v="3517.54"/>
    <n v="7035.08"/>
    <n v="4980.55"/>
    <n v="2054.5300000000002"/>
    <s v="Credit Card"/>
  </r>
  <r>
    <s v="ORD100764"/>
    <s v="2025-11-07"/>
    <x v="10"/>
    <s v="North"/>
    <s v="Punjab"/>
    <s v="Chandigarh"/>
    <x v="2"/>
    <x v="4"/>
    <s v="CUST1413"/>
    <s v="SP_10"/>
    <n v="2"/>
    <n v="2636"/>
    <n v="5272"/>
    <n v="3141.35"/>
    <n v="2130.65"/>
    <s v="Cash"/>
  </r>
  <r>
    <s v="ORD100765"/>
    <s v="2025-02-22"/>
    <x v="8"/>
    <s v="North"/>
    <s v="Uttar Pradesh"/>
    <s v="Lucknow"/>
    <x v="1"/>
    <x v="5"/>
    <s v="CUST1070"/>
    <s v="SP_11"/>
    <n v="6"/>
    <n v="9228.64"/>
    <n v="55371.839999999997"/>
    <n v="44127.46"/>
    <n v="11244.38"/>
    <s v="Debit Card"/>
  </r>
  <r>
    <s v="ORD100766"/>
    <s v="2025-11-11"/>
    <x v="10"/>
    <s v="West"/>
    <s v="Maharashtra"/>
    <s v="Mumbai"/>
    <x v="3"/>
    <x v="11"/>
    <s v="CUST1893"/>
    <s v="SP_05"/>
    <n v="5"/>
    <n v="108.62"/>
    <n v="543.1"/>
    <n v="287.64999999999998"/>
    <n v="255.45"/>
    <s v="Debit Card"/>
  </r>
  <r>
    <s v="ORD100767"/>
    <s v="2025-02-25"/>
    <x v="8"/>
    <s v="South"/>
    <s v="Tamil Nadu"/>
    <s v="Chennai"/>
    <x v="3"/>
    <x v="7"/>
    <s v="CUST1166"/>
    <s v="SP_04"/>
    <n v="3"/>
    <n v="11775.89"/>
    <n v="35327.67"/>
    <n v="27736.79"/>
    <n v="7590.88"/>
    <s v="Cash"/>
  </r>
  <r>
    <s v="ORD100768"/>
    <s v="2025-06-03"/>
    <x v="2"/>
    <s v="East"/>
    <s v="Odisha"/>
    <s v="Bhubaneswar"/>
    <x v="2"/>
    <x v="2"/>
    <s v="CUST1344"/>
    <s v="SP_08"/>
    <n v="2"/>
    <n v="46851.09"/>
    <n v="93702.18"/>
    <n v="70340.78"/>
    <n v="23361.4"/>
    <s v="Net Banking"/>
  </r>
  <r>
    <s v="ORD100769"/>
    <s v="2025-07-16"/>
    <x v="6"/>
    <s v="South"/>
    <s v="Karnataka"/>
    <s v="Bengaluru"/>
    <x v="2"/>
    <x v="2"/>
    <s v="CUST1481"/>
    <s v="SP_01"/>
    <n v="5"/>
    <n v="46533.120000000003"/>
    <n v="232665.60000000001"/>
    <n v="177329.42"/>
    <n v="55336.18"/>
    <s v="Net Banking"/>
  </r>
  <r>
    <s v="ORD100770"/>
    <s v="2025-05-27"/>
    <x v="3"/>
    <s v="East"/>
    <s v="West Bengal"/>
    <s v="Kolkata"/>
    <x v="2"/>
    <x v="2"/>
    <s v="CUST1028"/>
    <s v="SP_13"/>
    <n v="6"/>
    <n v="43241.11"/>
    <n v="259446.66"/>
    <n v="202811.01"/>
    <n v="56635.65"/>
    <s v="Net Banking"/>
  </r>
  <r>
    <s v="ORD100771"/>
    <s v="2025-12-17"/>
    <x v="7"/>
    <s v="East"/>
    <s v="West Bengal"/>
    <s v="Kolkata"/>
    <x v="2"/>
    <x v="2"/>
    <s v="CUST1945"/>
    <s v="SP_05"/>
    <n v="7"/>
    <n v="41465.839999999997"/>
    <n v="290260.88"/>
    <n v="246143.28"/>
    <n v="44117.599999999999"/>
    <s v="UPI"/>
  </r>
  <r>
    <s v="ORD100772"/>
    <s v="2025-11-20"/>
    <x v="10"/>
    <s v="East"/>
    <s v="Odisha"/>
    <s v="Bhubaneswar"/>
    <x v="3"/>
    <x v="11"/>
    <s v="CUST1590"/>
    <s v="SP_13"/>
    <n v="6"/>
    <n v="130.27000000000001"/>
    <n v="781.62"/>
    <n v="355.56"/>
    <n v="426.06"/>
    <s v="Debit Card"/>
  </r>
  <r>
    <s v="ORD100773"/>
    <s v="2025-07-19"/>
    <x v="6"/>
    <s v="West"/>
    <s v="Maharashtra"/>
    <s v="Mumbai"/>
    <x v="1"/>
    <x v="6"/>
    <s v="CUST1277"/>
    <s v="SP_15"/>
    <n v="3"/>
    <n v="3147.97"/>
    <n v="9443.91"/>
    <n v="7031.36"/>
    <n v="2412.5500000000002"/>
    <s v="Credit Card"/>
  </r>
  <r>
    <s v="ORD100774"/>
    <s v="2025-05-07"/>
    <x v="3"/>
    <s v="East"/>
    <s v="West Bengal"/>
    <s v="Kolkata"/>
    <x v="0"/>
    <x v="9"/>
    <s v="CUST1956"/>
    <s v="SP_12"/>
    <n v="8"/>
    <n v="7171.78"/>
    <n v="57374.239999999998"/>
    <n v="39368.769999999997"/>
    <n v="18005.47"/>
    <s v="Net Banking"/>
  </r>
  <r>
    <s v="ORD100775"/>
    <s v="2025-04-03"/>
    <x v="0"/>
    <s v="East"/>
    <s v="Bihar"/>
    <s v="Patna"/>
    <x v="2"/>
    <x v="10"/>
    <s v="CUST1200"/>
    <s v="SP_08"/>
    <n v="1"/>
    <n v="17809.560000000001"/>
    <n v="17809.560000000001"/>
    <n v="13781.79"/>
    <n v="4027.77"/>
    <s v="UPI"/>
  </r>
  <r>
    <s v="ORD100776"/>
    <s v="2025-12-28"/>
    <x v="7"/>
    <s v="South"/>
    <s v="Karnataka"/>
    <s v="Bengaluru"/>
    <x v="1"/>
    <x v="6"/>
    <s v="CUST1148"/>
    <s v="SP_12"/>
    <n v="2"/>
    <n v="3272.94"/>
    <n v="6545.88"/>
    <n v="4828.68"/>
    <n v="1717.2"/>
    <s v="Cash"/>
  </r>
  <r>
    <s v="ORD100777"/>
    <s v="2025-04-19"/>
    <x v="0"/>
    <s v="South"/>
    <s v="Tamil Nadu"/>
    <s v="Chennai"/>
    <x v="0"/>
    <x v="0"/>
    <s v="CUST1916"/>
    <s v="SP_09"/>
    <n v="5"/>
    <n v="3668.76"/>
    <n v="18343.8"/>
    <n v="11247.5"/>
    <n v="7096.3"/>
    <s v="Debit Card"/>
  </r>
  <r>
    <s v="ORD100778"/>
    <s v="2025-08-21"/>
    <x v="11"/>
    <s v="West"/>
    <s v="Gujarat"/>
    <s v="Ahmedabad"/>
    <x v="1"/>
    <x v="1"/>
    <s v="CUST1430"/>
    <s v="SP_02"/>
    <n v="7"/>
    <n v="2671.38"/>
    <n v="18699.66"/>
    <n v="13481.06"/>
    <n v="5218.6000000000004"/>
    <s v="Cash"/>
  </r>
  <r>
    <s v="ORD100779"/>
    <s v="2025-08-03"/>
    <x v="11"/>
    <s v="South"/>
    <s v="Tamil Nadu"/>
    <s v="Chennai"/>
    <x v="2"/>
    <x v="4"/>
    <s v="CUST1515"/>
    <s v="SP_15"/>
    <n v="8"/>
    <n v="2674.3"/>
    <n v="21394.400000000001"/>
    <n v="12848.22"/>
    <n v="8546.18"/>
    <s v="Debit Card"/>
  </r>
  <r>
    <s v="ORD100780"/>
    <s v="2025-04-11"/>
    <x v="0"/>
    <s v="South"/>
    <s v="Karnataka"/>
    <s v="Bengaluru"/>
    <x v="3"/>
    <x v="3"/>
    <s v="CUST1261"/>
    <s v="SP_11"/>
    <n v="5"/>
    <n v="26.34"/>
    <n v="131.69999999999999"/>
    <n v="48.74"/>
    <n v="82.96"/>
    <s v="Cash"/>
  </r>
  <r>
    <s v="ORD100781"/>
    <s v="2025-08-09"/>
    <x v="11"/>
    <s v="North"/>
    <s v="Delhi"/>
    <s v="Delhi"/>
    <x v="0"/>
    <x v="0"/>
    <s v="CUST1745"/>
    <s v="SP_03"/>
    <n v="5"/>
    <n v="3297.94"/>
    <n v="16489.7"/>
    <n v="10710.3"/>
    <n v="5779.4"/>
    <s v="Credit Card"/>
  </r>
  <r>
    <s v="ORD100782"/>
    <s v="2025-09-18"/>
    <x v="5"/>
    <s v="West"/>
    <s v="Maharashtra"/>
    <s v="Mumbai"/>
    <x v="2"/>
    <x v="10"/>
    <s v="CUST1299"/>
    <s v="SP_01"/>
    <n v="7"/>
    <n v="18511.2"/>
    <n v="129578.4"/>
    <n v="99361.61"/>
    <n v="30216.79"/>
    <s v="Cash"/>
  </r>
  <r>
    <s v="ORD100783"/>
    <s v="2025-12-17"/>
    <x v="7"/>
    <s v="West"/>
    <s v="Maharashtra"/>
    <s v="Mumbai"/>
    <x v="1"/>
    <x v="1"/>
    <s v="CUST1197"/>
    <s v="SP_08"/>
    <n v="2"/>
    <n v="2578.41"/>
    <n v="5156.82"/>
    <n v="3692.03"/>
    <n v="1464.79"/>
    <s v="UPI"/>
  </r>
  <r>
    <s v="ORD100784"/>
    <s v="2025-12-19"/>
    <x v="7"/>
    <s v="North"/>
    <s v="Uttar Pradesh"/>
    <s v="Lucknow"/>
    <x v="2"/>
    <x v="10"/>
    <s v="CUST1758"/>
    <s v="SP_04"/>
    <n v="4"/>
    <n v="17439.88"/>
    <n v="69759.520000000004"/>
    <n v="57993.81"/>
    <n v="11765.71"/>
    <s v="Cash"/>
  </r>
  <r>
    <s v="ORD100785"/>
    <s v="2025-09-01"/>
    <x v="5"/>
    <s v="South"/>
    <s v="Karnataka"/>
    <s v="Bengaluru"/>
    <x v="0"/>
    <x v="8"/>
    <s v="CUST1729"/>
    <s v="SP_07"/>
    <n v="6"/>
    <n v="23632.44"/>
    <n v="141794.64000000001"/>
    <n v="99660.54"/>
    <n v="42134.1"/>
    <s v="Cash"/>
  </r>
  <r>
    <s v="ORD100786"/>
    <s v="2025-11-22"/>
    <x v="10"/>
    <s v="North"/>
    <s v="Delhi"/>
    <s v="Delhi"/>
    <x v="2"/>
    <x v="4"/>
    <s v="CUST1931"/>
    <s v="SP_02"/>
    <n v="1"/>
    <n v="2421.35"/>
    <n v="2421.35"/>
    <n v="1553.89"/>
    <n v="867.46"/>
    <s v="Debit Card"/>
  </r>
  <r>
    <s v="ORD100787"/>
    <s v="2025-02-19"/>
    <x v="8"/>
    <s v="North"/>
    <s v="Uttar Pradesh"/>
    <s v="Lucknow"/>
    <x v="3"/>
    <x v="11"/>
    <s v="CUST1452"/>
    <s v="SP_01"/>
    <n v="6"/>
    <n v="121.17"/>
    <n v="727.02"/>
    <n v="366.01"/>
    <n v="361.01"/>
    <s v="Debit Card"/>
  </r>
  <r>
    <s v="ORD100788"/>
    <s v="2025-07-04"/>
    <x v="6"/>
    <s v="South"/>
    <s v="Telangana"/>
    <s v="Hyderabad"/>
    <x v="0"/>
    <x v="0"/>
    <s v="CUST1863"/>
    <s v="SP_04"/>
    <n v="5"/>
    <n v="3242.58"/>
    <n v="16212.9"/>
    <n v="10779.08"/>
    <n v="5433.82"/>
    <s v="Credit Card"/>
  </r>
  <r>
    <s v="ORD100789"/>
    <s v="2025-05-04"/>
    <x v="3"/>
    <s v="North"/>
    <s v="Delhi"/>
    <s v="Delhi"/>
    <x v="1"/>
    <x v="5"/>
    <s v="CUST1887"/>
    <s v="SP_14"/>
    <n v="7"/>
    <n v="9612.0400000000009"/>
    <n v="67284.28"/>
    <n v="54179.67"/>
    <n v="13104.61"/>
    <s v="UPI"/>
  </r>
  <r>
    <s v="ORD100790"/>
    <s v="2025-01-04"/>
    <x v="9"/>
    <s v="North"/>
    <s v="Punjab"/>
    <s v="Chandigarh"/>
    <x v="0"/>
    <x v="9"/>
    <s v="CUST1059"/>
    <s v="SP_11"/>
    <n v="4"/>
    <n v="7179.85"/>
    <n v="28719.4"/>
    <n v="20231.349999999999"/>
    <n v="8488.0499999999993"/>
    <s v="Debit Card"/>
  </r>
  <r>
    <s v="ORD100791"/>
    <s v="2025-01-20"/>
    <x v="9"/>
    <s v="East"/>
    <s v="Bihar"/>
    <s v="Patna"/>
    <x v="1"/>
    <x v="5"/>
    <s v="CUST1874"/>
    <s v="SP_05"/>
    <n v="1"/>
    <n v="9730.82"/>
    <n v="9730.82"/>
    <n v="7609.13"/>
    <n v="2121.69"/>
    <s v="UPI"/>
  </r>
  <r>
    <s v="ORD100792"/>
    <s v="2025-01-28"/>
    <x v="9"/>
    <s v="West"/>
    <s v="Gujarat"/>
    <s v="Ahmedabad"/>
    <x v="2"/>
    <x v="2"/>
    <s v="CUST1585"/>
    <s v="SP_02"/>
    <n v="5"/>
    <n v="46224.38"/>
    <n v="231121.9"/>
    <n v="182010.43"/>
    <n v="49111.47"/>
    <s v="Net Banking"/>
  </r>
  <r>
    <s v="ORD100793"/>
    <s v="2025-03-02"/>
    <x v="4"/>
    <s v="East"/>
    <s v="Bihar"/>
    <s v="Patna"/>
    <x v="0"/>
    <x v="0"/>
    <s v="CUST1036"/>
    <s v="SP_15"/>
    <n v="7"/>
    <n v="3813.32"/>
    <n v="26693.24"/>
    <n v="14693.14"/>
    <n v="12000.1"/>
    <s v="Credit Card"/>
  </r>
  <r>
    <s v="ORD100794"/>
    <s v="2025-01-30"/>
    <x v="9"/>
    <s v="East"/>
    <s v="Odisha"/>
    <s v="Bhubaneswar"/>
    <x v="1"/>
    <x v="6"/>
    <s v="CUST1815"/>
    <s v="SP_05"/>
    <n v="4"/>
    <n v="2881.28"/>
    <n v="11525.12"/>
    <n v="9452.2999999999993"/>
    <n v="2072.8200000000002"/>
    <s v="Debit Card"/>
  </r>
  <r>
    <s v="ORD100795"/>
    <s v="2025-01-18"/>
    <x v="9"/>
    <s v="East"/>
    <s v="Odisha"/>
    <s v="Bhubaneswar"/>
    <x v="2"/>
    <x v="4"/>
    <s v="CUST1604"/>
    <s v="SP_09"/>
    <n v="6"/>
    <n v="2608.0700000000002"/>
    <n v="15648.42"/>
    <n v="9955.01"/>
    <n v="5693.41"/>
    <s v="Debit Card"/>
  </r>
  <r>
    <s v="ORD100796"/>
    <s v="2025-02-27"/>
    <x v="8"/>
    <s v="South"/>
    <s v="Telangana"/>
    <s v="Hyderabad"/>
    <x v="0"/>
    <x v="0"/>
    <s v="CUST1918"/>
    <s v="SP_03"/>
    <n v="5"/>
    <n v="3619.69"/>
    <n v="18098.45"/>
    <n v="11377.29"/>
    <n v="6721.16"/>
    <s v="Cash"/>
  </r>
  <r>
    <s v="ORD100797"/>
    <s v="2025-09-21"/>
    <x v="5"/>
    <s v="South"/>
    <s v="Telangana"/>
    <s v="Hyderabad"/>
    <x v="1"/>
    <x v="6"/>
    <s v="CUST1698"/>
    <s v="SP_10"/>
    <n v="3"/>
    <n v="2965.25"/>
    <n v="8895.75"/>
    <n v="7433.94"/>
    <n v="1461.81"/>
    <s v="Net Banking"/>
  </r>
  <r>
    <s v="ORD100798"/>
    <s v="2025-05-10"/>
    <x v="3"/>
    <s v="North"/>
    <s v="Uttar Pradesh"/>
    <s v="Lucknow"/>
    <x v="0"/>
    <x v="9"/>
    <s v="CUST1228"/>
    <s v="SP_02"/>
    <n v="1"/>
    <n v="7317.81"/>
    <n v="7317.81"/>
    <n v="5165.41"/>
    <n v="2152.4"/>
    <s v="Net Banking"/>
  </r>
  <r>
    <s v="ORD100799"/>
    <s v="2025-06-20"/>
    <x v="2"/>
    <s v="South"/>
    <s v="Karnataka"/>
    <s v="Bengaluru"/>
    <x v="1"/>
    <x v="5"/>
    <s v="CUST1200"/>
    <s v="SP_07"/>
    <n v="3"/>
    <n v="8989.31"/>
    <n v="26967.93"/>
    <n v="23852.84"/>
    <n v="3115.09"/>
    <s v="Debit Card"/>
  </r>
  <r>
    <s v="ORD100800"/>
    <s v="2025-08-28"/>
    <x v="11"/>
    <s v="West"/>
    <s v="Rajasthan"/>
    <s v="Jaipur"/>
    <x v="2"/>
    <x v="10"/>
    <s v="CUST1568"/>
    <s v="SP_05"/>
    <n v="8"/>
    <n v="17377.439999999999"/>
    <n v="139019.51999999999"/>
    <n v="109435.53"/>
    <n v="29583.99"/>
    <s v="UPI"/>
  </r>
  <r>
    <s v="ORD100801"/>
    <s v="2025-05-21"/>
    <x v="3"/>
    <s v="South"/>
    <s v="Telangana"/>
    <s v="Hyderabad"/>
    <x v="2"/>
    <x v="4"/>
    <s v="CUST1479"/>
    <s v="SP_04"/>
    <n v="3"/>
    <n v="2607.23"/>
    <n v="7821.69"/>
    <n v="4630.51"/>
    <n v="3191.18"/>
    <s v="Net Banking"/>
  </r>
  <r>
    <s v="ORD100802"/>
    <s v="2025-02-08"/>
    <x v="8"/>
    <s v="North"/>
    <s v="Uttar Pradesh"/>
    <s v="Lucknow"/>
    <x v="0"/>
    <x v="8"/>
    <s v="CUST1807"/>
    <s v="SP_07"/>
    <n v="7"/>
    <n v="23321.02"/>
    <n v="163247.14000000001"/>
    <n v="124024.68"/>
    <n v="39222.46"/>
    <s v="Credit Card"/>
  </r>
  <r>
    <s v="ORD100803"/>
    <s v="2025-12-28"/>
    <x v="7"/>
    <s v="East"/>
    <s v="West Bengal"/>
    <s v="Kolkata"/>
    <x v="2"/>
    <x v="10"/>
    <s v="CUST1805"/>
    <s v="SP_05"/>
    <n v="1"/>
    <n v="17048.32"/>
    <n v="17048.32"/>
    <n v="14670.32"/>
    <n v="2378"/>
    <s v="Net Banking"/>
  </r>
  <r>
    <s v="ORD100804"/>
    <s v="2025-01-29"/>
    <x v="9"/>
    <s v="North"/>
    <s v="Uttar Pradesh"/>
    <s v="Lucknow"/>
    <x v="1"/>
    <x v="5"/>
    <s v="CUST1241"/>
    <s v="SP_15"/>
    <n v="2"/>
    <n v="9621.2999999999993"/>
    <n v="19242.599999999999"/>
    <n v="15755.94"/>
    <n v="3486.66"/>
    <s v="Debit Card"/>
  </r>
  <r>
    <s v="ORD100805"/>
    <s v="2025-10-10"/>
    <x v="1"/>
    <s v="East"/>
    <s v="West Bengal"/>
    <s v="Kolkata"/>
    <x v="0"/>
    <x v="0"/>
    <s v="CUST1820"/>
    <s v="SP_03"/>
    <n v="5"/>
    <n v="3452.99"/>
    <n v="17264.95"/>
    <n v="11389.87"/>
    <n v="5875.08"/>
    <s v="Credit Card"/>
  </r>
  <r>
    <s v="ORD100806"/>
    <s v="2025-09-03"/>
    <x v="5"/>
    <s v="South"/>
    <s v="Tamil Nadu"/>
    <s v="Chennai"/>
    <x v="1"/>
    <x v="6"/>
    <s v="CUST1719"/>
    <s v="SP_08"/>
    <n v="3"/>
    <n v="3179.77"/>
    <n v="9539.31"/>
    <n v="7488.64"/>
    <n v="2050.67"/>
    <s v="Net Banking"/>
  </r>
  <r>
    <s v="ORD100807"/>
    <s v="2025-10-19"/>
    <x v="1"/>
    <s v="East"/>
    <s v="Odisha"/>
    <s v="Bhubaneswar"/>
    <x v="0"/>
    <x v="0"/>
    <s v="CUST1323"/>
    <s v="SP_07"/>
    <n v="3"/>
    <n v="3315.87"/>
    <n v="9947.61"/>
    <n v="6428.37"/>
    <n v="3519.24"/>
    <s v="Cash"/>
  </r>
  <r>
    <s v="ORD100808"/>
    <s v="2025-08-02"/>
    <x v="11"/>
    <s v="North"/>
    <s v="Uttar Pradesh"/>
    <s v="Lucknow"/>
    <x v="1"/>
    <x v="5"/>
    <s v="CUST1012"/>
    <s v="SP_10"/>
    <n v="2"/>
    <n v="8641.67"/>
    <n v="17283.34"/>
    <n v="15824.8"/>
    <n v="1458.54"/>
    <s v="Debit Card"/>
  </r>
  <r>
    <s v="ORD100809"/>
    <s v="2025-06-07"/>
    <x v="2"/>
    <s v="South"/>
    <s v="Karnataka"/>
    <s v="Bengaluru"/>
    <x v="3"/>
    <x v="11"/>
    <s v="CUST1531"/>
    <s v="SP_11"/>
    <n v="3"/>
    <n v="109.66"/>
    <n v="328.98"/>
    <n v="184.56"/>
    <n v="144.41999999999999"/>
    <s v="UPI"/>
  </r>
  <r>
    <s v="ORD100810"/>
    <s v="2025-10-12"/>
    <x v="1"/>
    <s v="South"/>
    <s v="Karnataka"/>
    <s v="Bengaluru"/>
    <x v="1"/>
    <x v="1"/>
    <s v="CUST1198"/>
    <s v="SP_06"/>
    <n v="6"/>
    <n v="2838.11"/>
    <n v="17028.66"/>
    <n v="11203.7"/>
    <n v="5824.96"/>
    <s v="Debit Card"/>
  </r>
  <r>
    <s v="ORD100811"/>
    <s v="2025-07-07"/>
    <x v="6"/>
    <s v="East"/>
    <s v="West Bengal"/>
    <s v="Kolkata"/>
    <x v="0"/>
    <x v="8"/>
    <s v="CUST1846"/>
    <s v="SP_11"/>
    <n v="3"/>
    <n v="22154.35"/>
    <n v="66463.05"/>
    <n v="49157.97"/>
    <n v="17305.080000000002"/>
    <s v="Net Banking"/>
  </r>
  <r>
    <s v="ORD100812"/>
    <s v="2025-06-13"/>
    <x v="2"/>
    <s v="South"/>
    <s v="Telangana"/>
    <s v="Hyderabad"/>
    <x v="2"/>
    <x v="2"/>
    <s v="CUST1528"/>
    <s v="SP_14"/>
    <n v="2"/>
    <n v="42933.16"/>
    <n v="85866.32"/>
    <n v="71305.45"/>
    <n v="14560.87"/>
    <s v="Credit Card"/>
  </r>
  <r>
    <s v="ORD100813"/>
    <s v="2025-09-23"/>
    <x v="5"/>
    <s v="South"/>
    <s v="Karnataka"/>
    <s v="Bengaluru"/>
    <x v="0"/>
    <x v="9"/>
    <s v="CUST1576"/>
    <s v="SP_11"/>
    <n v="2"/>
    <n v="7031.41"/>
    <n v="14062.82"/>
    <n v="10426.89"/>
    <n v="3635.93"/>
    <s v="Credit Card"/>
  </r>
  <r>
    <s v="ORD100814"/>
    <s v="2025-07-12"/>
    <x v="6"/>
    <s v="West"/>
    <s v="Gujarat"/>
    <s v="Ahmedabad"/>
    <x v="1"/>
    <x v="6"/>
    <s v="CUST1572"/>
    <s v="SP_05"/>
    <n v="3"/>
    <n v="3114.07"/>
    <n v="9342.2099999999991"/>
    <n v="7084.12"/>
    <n v="2258.09"/>
    <s v="Credit Card"/>
  </r>
  <r>
    <s v="ORD100815"/>
    <s v="2025-10-26"/>
    <x v="1"/>
    <s v="South"/>
    <s v="Telangana"/>
    <s v="Hyderabad"/>
    <x v="0"/>
    <x v="0"/>
    <s v="CUST1529"/>
    <s v="SP_06"/>
    <n v="4"/>
    <n v="3307.99"/>
    <n v="13231.96"/>
    <n v="8632.49"/>
    <n v="4599.47"/>
    <s v="UPI"/>
  </r>
  <r>
    <s v="ORD100816"/>
    <s v="2025-03-23"/>
    <x v="4"/>
    <s v="West"/>
    <s v="Gujarat"/>
    <s v="Ahmedabad"/>
    <x v="2"/>
    <x v="10"/>
    <s v="CUST1185"/>
    <s v="SP_11"/>
    <n v="8"/>
    <n v="18928.849999999999"/>
    <n v="151430.79999999999"/>
    <n v="112815.03999999999"/>
    <n v="38615.760000000002"/>
    <s v="UPI"/>
  </r>
  <r>
    <s v="ORD100817"/>
    <s v="2025-07-26"/>
    <x v="6"/>
    <s v="East"/>
    <s v="Bihar"/>
    <s v="Patna"/>
    <x v="3"/>
    <x v="11"/>
    <s v="CUST1962"/>
    <s v="SP_10"/>
    <n v="1"/>
    <n v="130.38999999999999"/>
    <n v="130.38999999999999"/>
    <n v="62.32"/>
    <n v="68.069999999999993"/>
    <s v="Cash"/>
  </r>
  <r>
    <s v="ORD100818"/>
    <s v="2025-08-08"/>
    <x v="11"/>
    <s v="West"/>
    <s v="Rajasthan"/>
    <s v="Jaipur"/>
    <x v="1"/>
    <x v="5"/>
    <s v="CUST1660"/>
    <s v="SP_12"/>
    <n v="1"/>
    <n v="9318.93"/>
    <n v="9318.93"/>
    <n v="7290.38"/>
    <n v="2028.55"/>
    <s v="Credit Card"/>
  </r>
  <r>
    <s v="ORD100819"/>
    <s v="2025-08-07"/>
    <x v="11"/>
    <s v="West"/>
    <s v="Rajasthan"/>
    <s v="Jaipur"/>
    <x v="3"/>
    <x v="7"/>
    <s v="CUST1901"/>
    <s v="SP_07"/>
    <n v="2"/>
    <n v="11138.64"/>
    <n v="22277.279999999999"/>
    <n v="17992.59"/>
    <n v="4284.6899999999996"/>
    <s v="UPI"/>
  </r>
  <r>
    <s v="ORD100820"/>
    <s v="2025-04-29"/>
    <x v="0"/>
    <s v="East"/>
    <s v="Odisha"/>
    <s v="Bhubaneswar"/>
    <x v="2"/>
    <x v="2"/>
    <s v="CUST1519"/>
    <s v="SP_10"/>
    <n v="4"/>
    <n v="46176.21"/>
    <n v="184704.84"/>
    <n v="146855.6"/>
    <n v="37849.24"/>
    <s v="UPI"/>
  </r>
  <r>
    <s v="ORD100821"/>
    <s v="2025-05-30"/>
    <x v="3"/>
    <s v="North"/>
    <s v="Punjab"/>
    <s v="Chandigarh"/>
    <x v="3"/>
    <x v="3"/>
    <s v="CUST1163"/>
    <s v="SP_08"/>
    <n v="6"/>
    <n v="27.37"/>
    <n v="164.22"/>
    <n v="60.99"/>
    <n v="103.23"/>
    <s v="Credit Card"/>
  </r>
  <r>
    <s v="ORD100822"/>
    <s v="2025-01-03"/>
    <x v="9"/>
    <s v="East"/>
    <s v="Bihar"/>
    <s v="Patna"/>
    <x v="0"/>
    <x v="0"/>
    <s v="CUST1893"/>
    <s v="SP_07"/>
    <n v="2"/>
    <n v="3153.89"/>
    <n v="6307.78"/>
    <n v="4605.17"/>
    <n v="1702.61"/>
    <s v="Debit Card"/>
  </r>
  <r>
    <s v="ORD100823"/>
    <s v="2025-11-17"/>
    <x v="10"/>
    <s v="West"/>
    <s v="Gujarat"/>
    <s v="Ahmedabad"/>
    <x v="1"/>
    <x v="1"/>
    <s v="CUST1675"/>
    <s v="SP_05"/>
    <n v="3"/>
    <n v="2783.63"/>
    <n v="8350.89"/>
    <n v="5641.94"/>
    <n v="2708.95"/>
    <s v="Net Banking"/>
  </r>
  <r>
    <s v="ORD100824"/>
    <s v="2025-02-13"/>
    <x v="8"/>
    <s v="North"/>
    <s v="Punjab"/>
    <s v="Chandigarh"/>
    <x v="0"/>
    <x v="9"/>
    <s v="CUST1605"/>
    <s v="SP_10"/>
    <n v="6"/>
    <n v="7051.27"/>
    <n v="42307.62"/>
    <n v="29575.18"/>
    <n v="12732.44"/>
    <s v="UPI"/>
  </r>
  <r>
    <s v="ORD100825"/>
    <s v="2025-07-12"/>
    <x v="6"/>
    <s v="West"/>
    <s v="Gujarat"/>
    <s v="Ahmedabad"/>
    <x v="3"/>
    <x v="11"/>
    <s v="CUST1880"/>
    <s v="SP_11"/>
    <n v="5"/>
    <n v="113.16"/>
    <n v="565.79999999999995"/>
    <n v="300.18"/>
    <n v="265.62"/>
    <s v="UPI"/>
  </r>
  <r>
    <s v="ORD100826"/>
    <s v="2025-07-17"/>
    <x v="6"/>
    <s v="North"/>
    <s v="Punjab"/>
    <s v="Chandigarh"/>
    <x v="1"/>
    <x v="1"/>
    <s v="CUST1534"/>
    <s v="SP_10"/>
    <n v="5"/>
    <n v="2854.05"/>
    <n v="14270.25"/>
    <n v="9237.3799999999992"/>
    <n v="5032.87"/>
    <s v="Cash"/>
  </r>
  <r>
    <s v="ORD100827"/>
    <s v="2025-01-08"/>
    <x v="9"/>
    <s v="North"/>
    <s v="Punjab"/>
    <s v="Chandigarh"/>
    <x v="2"/>
    <x v="10"/>
    <s v="CUST1321"/>
    <s v="SP_02"/>
    <n v="3"/>
    <n v="17978.560000000001"/>
    <n v="53935.68"/>
    <n v="40127.74"/>
    <n v="13807.94"/>
    <s v="UPI"/>
  </r>
  <r>
    <s v="ORD100828"/>
    <s v="2025-06-14"/>
    <x v="2"/>
    <s v="East"/>
    <s v="Odisha"/>
    <s v="Bhubaneswar"/>
    <x v="1"/>
    <x v="5"/>
    <s v="CUST1850"/>
    <s v="SP_03"/>
    <n v="1"/>
    <n v="10223.41"/>
    <n v="10223.41"/>
    <n v="7235.75"/>
    <n v="2987.66"/>
    <s v="UPI"/>
  </r>
  <r>
    <s v="ORD100829"/>
    <s v="2025-07-17"/>
    <x v="6"/>
    <s v="East"/>
    <s v="West Bengal"/>
    <s v="Kolkata"/>
    <x v="0"/>
    <x v="8"/>
    <s v="CUST1789"/>
    <s v="SP_09"/>
    <n v="8"/>
    <n v="20667.82"/>
    <n v="165342.56"/>
    <n v="129417.14"/>
    <n v="35925.42"/>
    <s v="Debit Card"/>
  </r>
  <r>
    <s v="ORD100830"/>
    <s v="2025-10-03"/>
    <x v="1"/>
    <s v="East"/>
    <s v="Odisha"/>
    <s v="Bhubaneswar"/>
    <x v="3"/>
    <x v="3"/>
    <s v="CUST1437"/>
    <s v="SP_06"/>
    <n v="8"/>
    <n v="27.45"/>
    <n v="219.6"/>
    <n v="79.53"/>
    <n v="140.07"/>
    <s v="UPI"/>
  </r>
  <r>
    <s v="ORD100831"/>
    <s v="2025-07-07"/>
    <x v="6"/>
    <s v="North"/>
    <s v="Punjab"/>
    <s v="Chandigarh"/>
    <x v="3"/>
    <x v="3"/>
    <s v="CUST1913"/>
    <s v="SP_14"/>
    <n v="4"/>
    <n v="22.6"/>
    <n v="90.4"/>
    <n v="38.409999999999997"/>
    <n v="51.99"/>
    <s v="Debit Card"/>
  </r>
  <r>
    <s v="ORD100832"/>
    <s v="2025-01-26"/>
    <x v="9"/>
    <s v="West"/>
    <s v="Rajasthan"/>
    <s v="Jaipur"/>
    <x v="2"/>
    <x v="4"/>
    <s v="CUST1129"/>
    <s v="SP_05"/>
    <n v="2"/>
    <n v="2358.65"/>
    <n v="4717.3"/>
    <n v="3081.49"/>
    <n v="1635.81"/>
    <s v="Cash"/>
  </r>
  <r>
    <s v="ORD100833"/>
    <s v="2025-12-10"/>
    <x v="7"/>
    <s v="South"/>
    <s v="Telangana"/>
    <s v="Hyderabad"/>
    <x v="0"/>
    <x v="0"/>
    <s v="CUST1293"/>
    <s v="SP_06"/>
    <n v="2"/>
    <n v="3602.92"/>
    <n v="7205.84"/>
    <n v="4524.18"/>
    <n v="2681.66"/>
    <s v="Credit Card"/>
  </r>
  <r>
    <s v="ORD100834"/>
    <s v="2025-01-10"/>
    <x v="9"/>
    <s v="East"/>
    <s v="Bihar"/>
    <s v="Patna"/>
    <x v="3"/>
    <x v="3"/>
    <s v="CUST1643"/>
    <s v="SP_01"/>
    <n v="3"/>
    <n v="27.13"/>
    <n v="81.39"/>
    <n v="28.9"/>
    <n v="52.49"/>
    <s v="Cash"/>
  </r>
  <r>
    <s v="ORD100835"/>
    <s v="2025-09-05"/>
    <x v="5"/>
    <s v="East"/>
    <s v="Bihar"/>
    <s v="Patna"/>
    <x v="1"/>
    <x v="1"/>
    <s v="CUST1036"/>
    <s v="SP_11"/>
    <n v="7"/>
    <n v="3058.36"/>
    <n v="21408.52"/>
    <n v="12928.54"/>
    <n v="8479.98"/>
    <s v="Cash"/>
  </r>
  <r>
    <s v="ORD100836"/>
    <s v="2025-05-27"/>
    <x v="3"/>
    <s v="South"/>
    <s v="Telangana"/>
    <s v="Hyderabad"/>
    <x v="3"/>
    <x v="3"/>
    <s v="CUST1996"/>
    <s v="SP_09"/>
    <n v="5"/>
    <n v="26.69"/>
    <n v="133.44999999999999"/>
    <n v="47.57"/>
    <n v="85.88"/>
    <s v="Net Banking"/>
  </r>
  <r>
    <s v="ORD100837"/>
    <s v="2025-11-05"/>
    <x v="10"/>
    <s v="West"/>
    <s v="Rajasthan"/>
    <s v="Jaipur"/>
    <x v="3"/>
    <x v="7"/>
    <s v="CUST1198"/>
    <s v="SP_09"/>
    <n v="7"/>
    <n v="12927.62"/>
    <n v="90493.34"/>
    <n v="62502.34"/>
    <n v="27991"/>
    <s v="UPI"/>
  </r>
  <r>
    <s v="ORD100838"/>
    <s v="2025-02-28"/>
    <x v="8"/>
    <s v="East"/>
    <s v="Bihar"/>
    <s v="Patna"/>
    <x v="2"/>
    <x v="2"/>
    <s v="CUST1525"/>
    <s v="SP_01"/>
    <n v="4"/>
    <n v="41176.03"/>
    <n v="164704.12"/>
    <n v="138469.60999999999"/>
    <n v="26234.51"/>
    <s v="Net Banking"/>
  </r>
  <r>
    <s v="ORD100839"/>
    <s v="2025-01-10"/>
    <x v="9"/>
    <s v="South"/>
    <s v="Telangana"/>
    <s v="Hyderabad"/>
    <x v="0"/>
    <x v="8"/>
    <s v="CUST1008"/>
    <s v="SP_02"/>
    <n v="1"/>
    <n v="23168.25"/>
    <n v="23168.25"/>
    <n v="17283.14"/>
    <n v="5885.11"/>
    <s v="UPI"/>
  </r>
  <r>
    <s v="ORD100840"/>
    <s v="2025-01-10"/>
    <x v="9"/>
    <s v="East"/>
    <s v="Bihar"/>
    <s v="Patna"/>
    <x v="3"/>
    <x v="11"/>
    <s v="CUST1712"/>
    <s v="SP_06"/>
    <n v="4"/>
    <n v="115.36"/>
    <n v="461.44"/>
    <n v="242.28"/>
    <n v="219.16"/>
    <s v="UPI"/>
  </r>
  <r>
    <s v="ORD100841"/>
    <s v="2025-07-21"/>
    <x v="6"/>
    <s v="South"/>
    <s v="Telangana"/>
    <s v="Hyderabad"/>
    <x v="3"/>
    <x v="11"/>
    <s v="CUST1160"/>
    <s v="SP_07"/>
    <n v="2"/>
    <n v="126.82"/>
    <n v="253.64"/>
    <n v="114.42"/>
    <n v="139.22"/>
    <s v="Debit Card"/>
  </r>
  <r>
    <s v="ORD100842"/>
    <s v="2025-01-20"/>
    <x v="9"/>
    <s v="North"/>
    <s v="Uttar Pradesh"/>
    <s v="Lucknow"/>
    <x v="0"/>
    <x v="9"/>
    <s v="CUST1238"/>
    <s v="SP_15"/>
    <n v="6"/>
    <n v="6744.04"/>
    <n v="40464.239999999998"/>
    <n v="30100.58"/>
    <n v="10363.66"/>
    <s v="Credit Card"/>
  </r>
  <r>
    <s v="ORD100843"/>
    <s v="2025-12-26"/>
    <x v="7"/>
    <s v="West"/>
    <s v="Gujarat"/>
    <s v="Ahmedabad"/>
    <x v="3"/>
    <x v="7"/>
    <s v="CUST1604"/>
    <s v="SP_04"/>
    <n v="2"/>
    <n v="11379.78"/>
    <n v="22759.56"/>
    <n v="18489.18"/>
    <n v="4270.38"/>
    <s v="Cash"/>
  </r>
  <r>
    <s v="ORD100844"/>
    <s v="2025-11-11"/>
    <x v="10"/>
    <s v="South"/>
    <s v="Tamil Nadu"/>
    <s v="Chennai"/>
    <x v="3"/>
    <x v="11"/>
    <s v="CUST1834"/>
    <s v="SP_02"/>
    <n v="5"/>
    <n v="116.9"/>
    <n v="584.5"/>
    <n v="302.20999999999998"/>
    <n v="282.29000000000002"/>
    <s v="Credit Card"/>
  </r>
  <r>
    <s v="ORD100845"/>
    <s v="2025-01-31"/>
    <x v="9"/>
    <s v="South"/>
    <s v="Tamil Nadu"/>
    <s v="Chennai"/>
    <x v="1"/>
    <x v="6"/>
    <s v="CUST1267"/>
    <s v="SP_13"/>
    <n v="6"/>
    <n v="3155"/>
    <n v="18930"/>
    <n v="14266.5"/>
    <n v="4663.5"/>
    <s v="Credit Card"/>
  </r>
  <r>
    <s v="ORD100846"/>
    <s v="2025-06-27"/>
    <x v="2"/>
    <s v="North"/>
    <s v="Punjab"/>
    <s v="Chandigarh"/>
    <x v="0"/>
    <x v="9"/>
    <s v="CUST1459"/>
    <s v="SP_11"/>
    <n v="1"/>
    <n v="6756.59"/>
    <n v="6756.59"/>
    <n v="4808.49"/>
    <n v="1948.1"/>
    <s v="Cash"/>
  </r>
  <r>
    <s v="ORD100847"/>
    <s v="2025-07-06"/>
    <x v="6"/>
    <s v="East"/>
    <s v="West Bengal"/>
    <s v="Kolkata"/>
    <x v="1"/>
    <x v="1"/>
    <s v="CUST1278"/>
    <s v="SP_12"/>
    <n v="2"/>
    <n v="2567.31"/>
    <n v="5134.62"/>
    <n v="3859.09"/>
    <n v="1275.53"/>
    <s v="Credit Card"/>
  </r>
  <r>
    <s v="ORD100848"/>
    <s v="2025-09-03"/>
    <x v="5"/>
    <s v="West"/>
    <s v="Gujarat"/>
    <s v="Ahmedabad"/>
    <x v="1"/>
    <x v="5"/>
    <s v="CUST1328"/>
    <s v="SP_15"/>
    <n v="3"/>
    <n v="9491.1200000000008"/>
    <n v="28473.360000000001"/>
    <n v="22618.03"/>
    <n v="5855.33"/>
    <s v="Debit Card"/>
  </r>
  <r>
    <s v="ORD100849"/>
    <s v="2025-04-23"/>
    <x v="0"/>
    <s v="North"/>
    <s v="Uttar Pradesh"/>
    <s v="Lucknow"/>
    <x v="1"/>
    <x v="5"/>
    <s v="CUST1825"/>
    <s v="SP_07"/>
    <n v="4"/>
    <n v="9122.2199999999993"/>
    <n v="36488.879999999997"/>
    <n v="31295.17"/>
    <n v="5193.71"/>
    <s v="Cash"/>
  </r>
  <r>
    <s v="ORD100850"/>
    <s v="2025-12-16"/>
    <x v="7"/>
    <s v="West"/>
    <s v="Maharashtra"/>
    <s v="Mumbai"/>
    <x v="1"/>
    <x v="5"/>
    <s v="CUST1081"/>
    <s v="SP_07"/>
    <n v="1"/>
    <n v="10222.42"/>
    <n v="10222.42"/>
    <n v="7916.37"/>
    <n v="2306.0500000000002"/>
    <s v="Credit Card"/>
  </r>
  <r>
    <s v="ORD100851"/>
    <s v="2025-12-16"/>
    <x v="7"/>
    <s v="East"/>
    <s v="Odisha"/>
    <s v="Bhubaneswar"/>
    <x v="0"/>
    <x v="9"/>
    <s v="CUST1932"/>
    <s v="SP_04"/>
    <n v="8"/>
    <n v="7551.68"/>
    <n v="60413.440000000002"/>
    <n v="40983.53"/>
    <n v="19429.91"/>
    <s v="Net Banking"/>
  </r>
  <r>
    <s v="ORD100852"/>
    <s v="2025-01-25"/>
    <x v="9"/>
    <s v="South"/>
    <s v="Karnataka"/>
    <s v="Bengaluru"/>
    <x v="2"/>
    <x v="2"/>
    <s v="CUST1478"/>
    <s v="SP_07"/>
    <n v="2"/>
    <n v="49102.9"/>
    <n v="98205.8"/>
    <n v="72690.58"/>
    <n v="25515.22"/>
    <s v="Cash"/>
  </r>
  <r>
    <s v="ORD100853"/>
    <s v="2025-09-02"/>
    <x v="5"/>
    <s v="West"/>
    <s v="Maharashtra"/>
    <s v="Mumbai"/>
    <x v="0"/>
    <x v="8"/>
    <s v="CUST1592"/>
    <s v="SP_14"/>
    <n v="6"/>
    <n v="21319.99"/>
    <n v="127919.94"/>
    <n v="97657.46"/>
    <n v="30262.48"/>
    <s v="Cash"/>
  </r>
  <r>
    <s v="ORD100854"/>
    <s v="2025-01-20"/>
    <x v="9"/>
    <s v="South"/>
    <s v="Karnataka"/>
    <s v="Bengaluru"/>
    <x v="1"/>
    <x v="5"/>
    <s v="CUST1959"/>
    <s v="SP_11"/>
    <n v="4"/>
    <n v="9996.01"/>
    <n v="39984.04"/>
    <n v="31252.48"/>
    <n v="8731.56"/>
    <s v="Cash"/>
  </r>
  <r>
    <s v="ORD100855"/>
    <s v="2025-04-04"/>
    <x v="0"/>
    <s v="West"/>
    <s v="Rajasthan"/>
    <s v="Jaipur"/>
    <x v="2"/>
    <x v="4"/>
    <s v="CUST1197"/>
    <s v="SP_14"/>
    <n v="1"/>
    <n v="2532.94"/>
    <n v="2532.94"/>
    <n v="1565.8"/>
    <n v="967.14"/>
    <s v="Credit Card"/>
  </r>
  <r>
    <s v="ORD100856"/>
    <s v="2025-09-04"/>
    <x v="5"/>
    <s v="South"/>
    <s v="Tamil Nadu"/>
    <s v="Chennai"/>
    <x v="0"/>
    <x v="0"/>
    <s v="CUST1226"/>
    <s v="SP_06"/>
    <n v="5"/>
    <n v="3817.64"/>
    <n v="19088.2"/>
    <n v="10901.83"/>
    <n v="8186.37"/>
    <s v="Debit Card"/>
  </r>
  <r>
    <s v="ORD100857"/>
    <s v="2025-07-29"/>
    <x v="6"/>
    <s v="East"/>
    <s v="Bihar"/>
    <s v="Patna"/>
    <x v="2"/>
    <x v="4"/>
    <s v="CUST1337"/>
    <s v="SP_05"/>
    <n v="4"/>
    <n v="2560.92"/>
    <n v="10243.68"/>
    <n v="6528.49"/>
    <n v="3715.19"/>
    <s v="UPI"/>
  </r>
  <r>
    <s v="ORD100858"/>
    <s v="2025-11-21"/>
    <x v="10"/>
    <s v="West"/>
    <s v="Maharashtra"/>
    <s v="Mumbai"/>
    <x v="2"/>
    <x v="2"/>
    <s v="CUST1308"/>
    <s v="SP_11"/>
    <n v="4"/>
    <n v="48377.19"/>
    <n v="193508.76"/>
    <n v="142467.93"/>
    <n v="51040.83"/>
    <s v="Debit Card"/>
  </r>
  <r>
    <s v="ORD100859"/>
    <s v="2025-04-29"/>
    <x v="0"/>
    <s v="West"/>
    <s v="Rajasthan"/>
    <s v="Jaipur"/>
    <x v="1"/>
    <x v="6"/>
    <s v="CUST1145"/>
    <s v="SP_12"/>
    <n v="6"/>
    <n v="2928.37"/>
    <n v="17570.22"/>
    <n v="13689.16"/>
    <n v="3881.06"/>
    <s v="Credit Card"/>
  </r>
  <r>
    <s v="ORD100860"/>
    <s v="2025-07-22"/>
    <x v="6"/>
    <s v="West"/>
    <s v="Rajasthan"/>
    <s v="Jaipur"/>
    <x v="3"/>
    <x v="11"/>
    <s v="CUST1175"/>
    <s v="SP_08"/>
    <n v="6"/>
    <n v="118.47"/>
    <n v="710.82"/>
    <n v="367.51"/>
    <n v="343.31"/>
    <s v="Net Banking"/>
  </r>
  <r>
    <s v="ORD100861"/>
    <s v="2025-06-14"/>
    <x v="2"/>
    <s v="East"/>
    <s v="Odisha"/>
    <s v="Bhubaneswar"/>
    <x v="1"/>
    <x v="1"/>
    <s v="CUST1254"/>
    <s v="SP_15"/>
    <n v="2"/>
    <n v="3026.83"/>
    <n v="6053.66"/>
    <n v="3750.38"/>
    <n v="2303.2800000000002"/>
    <s v="UPI"/>
  </r>
  <r>
    <s v="ORD100862"/>
    <s v="2025-05-06"/>
    <x v="3"/>
    <s v="East"/>
    <s v="Bihar"/>
    <s v="Patna"/>
    <x v="1"/>
    <x v="1"/>
    <s v="CUST1655"/>
    <s v="SP_03"/>
    <n v="7"/>
    <n v="2552.64"/>
    <n v="17868.48"/>
    <n v="13411.58"/>
    <n v="4456.8999999999996"/>
    <s v="Debit Card"/>
  </r>
  <r>
    <s v="ORD100863"/>
    <s v="2025-02-26"/>
    <x v="8"/>
    <s v="North"/>
    <s v="Uttar Pradesh"/>
    <s v="Lucknow"/>
    <x v="0"/>
    <x v="0"/>
    <s v="CUST1377"/>
    <s v="SP_10"/>
    <n v="8"/>
    <n v="3455.96"/>
    <n v="27647.68"/>
    <n v="17033.05"/>
    <n v="10614.63"/>
    <s v="Credit Card"/>
  </r>
  <r>
    <s v="ORD100864"/>
    <s v="2025-06-29"/>
    <x v="2"/>
    <s v="South"/>
    <s v="Telangana"/>
    <s v="Hyderabad"/>
    <x v="0"/>
    <x v="9"/>
    <s v="CUST1054"/>
    <s v="SP_12"/>
    <n v="5"/>
    <n v="7336.55"/>
    <n v="36682.75"/>
    <n v="25556.53"/>
    <n v="11126.22"/>
    <s v="Credit Card"/>
  </r>
  <r>
    <s v="ORD100865"/>
    <s v="2025-12-15"/>
    <x v="7"/>
    <s v="South"/>
    <s v="Tamil Nadu"/>
    <s v="Chennai"/>
    <x v="2"/>
    <x v="2"/>
    <s v="CUST1194"/>
    <s v="SP_08"/>
    <n v="3"/>
    <n v="46007.61"/>
    <n v="138022.82999999999"/>
    <n v="101970.2"/>
    <n v="36052.629999999997"/>
    <s v="Cash"/>
  </r>
  <r>
    <s v="ORD100866"/>
    <s v="2025-04-22"/>
    <x v="0"/>
    <s v="North"/>
    <s v="Punjab"/>
    <s v="Chandigarh"/>
    <x v="2"/>
    <x v="10"/>
    <s v="CUST1690"/>
    <s v="SP_13"/>
    <n v="1"/>
    <n v="16876.93"/>
    <n v="16876.93"/>
    <n v="13912.63"/>
    <n v="2964.3"/>
    <s v="UPI"/>
  </r>
  <r>
    <s v="ORD100867"/>
    <s v="2025-06-06"/>
    <x v="2"/>
    <s v="North"/>
    <s v="Uttar Pradesh"/>
    <s v="Lucknow"/>
    <x v="3"/>
    <x v="11"/>
    <s v="CUST1262"/>
    <s v="SP_09"/>
    <n v="6"/>
    <n v="122.46"/>
    <n v="734.76"/>
    <n v="349.61"/>
    <n v="385.15"/>
    <s v="Credit Card"/>
  </r>
  <r>
    <s v="ORD100868"/>
    <s v="2025-12-11"/>
    <x v="7"/>
    <s v="East"/>
    <s v="West Bengal"/>
    <s v="Kolkata"/>
    <x v="0"/>
    <x v="8"/>
    <s v="CUST1176"/>
    <s v="SP_14"/>
    <n v="7"/>
    <n v="22165.52"/>
    <n v="155158.64000000001"/>
    <n v="120392.72"/>
    <n v="34765.919999999998"/>
    <s v="Credit Card"/>
  </r>
  <r>
    <s v="ORD100869"/>
    <s v="2025-02-25"/>
    <x v="8"/>
    <s v="West"/>
    <s v="Gujarat"/>
    <s v="Ahmedabad"/>
    <x v="1"/>
    <x v="5"/>
    <s v="CUST1275"/>
    <s v="SP_15"/>
    <n v="8"/>
    <n v="8713.25"/>
    <n v="69706"/>
    <n v="62567.63"/>
    <n v="7138.37"/>
    <s v="Debit Card"/>
  </r>
  <r>
    <s v="ORD100870"/>
    <s v="2025-03-27"/>
    <x v="4"/>
    <s v="West"/>
    <s v="Gujarat"/>
    <s v="Ahmedabad"/>
    <x v="0"/>
    <x v="0"/>
    <s v="CUST1584"/>
    <s v="SP_03"/>
    <n v="1"/>
    <n v="3818.16"/>
    <n v="3818.16"/>
    <n v="2283.0500000000002"/>
    <n v="1535.11"/>
    <s v="Debit Card"/>
  </r>
  <r>
    <s v="ORD100871"/>
    <s v="2025-12-08"/>
    <x v="7"/>
    <s v="East"/>
    <s v="Odisha"/>
    <s v="Bhubaneswar"/>
    <x v="3"/>
    <x v="11"/>
    <s v="CUST1960"/>
    <s v="SP_01"/>
    <n v="6"/>
    <n v="124.36"/>
    <n v="746.16"/>
    <n v="370.43"/>
    <n v="375.73"/>
    <s v="Credit Card"/>
  </r>
  <r>
    <s v="ORD100872"/>
    <s v="2025-01-19"/>
    <x v="9"/>
    <s v="East"/>
    <s v="Odisha"/>
    <s v="Bhubaneswar"/>
    <x v="1"/>
    <x v="1"/>
    <s v="CUST1514"/>
    <s v="SP_05"/>
    <n v="7"/>
    <n v="2817.64"/>
    <n v="19723.48"/>
    <n v="12760.07"/>
    <n v="6963.41"/>
    <s v="Cash"/>
  </r>
  <r>
    <s v="ORD100873"/>
    <s v="2025-07-30"/>
    <x v="6"/>
    <s v="East"/>
    <s v="West Bengal"/>
    <s v="Kolkata"/>
    <x v="0"/>
    <x v="9"/>
    <s v="CUST1310"/>
    <s v="SP_08"/>
    <n v="8"/>
    <n v="6989.95"/>
    <n v="55919.6"/>
    <n v="41039.050000000003"/>
    <n v="14880.55"/>
    <s v="Credit Card"/>
  </r>
  <r>
    <s v="ORD100874"/>
    <s v="2025-06-07"/>
    <x v="2"/>
    <s v="South"/>
    <s v="Telangana"/>
    <s v="Hyderabad"/>
    <x v="0"/>
    <x v="0"/>
    <s v="CUST1454"/>
    <s v="SP_10"/>
    <n v="8"/>
    <n v="3478.81"/>
    <n v="27830.48"/>
    <n v="17038.38"/>
    <n v="10792.1"/>
    <s v="Debit Card"/>
  </r>
  <r>
    <s v="ORD100875"/>
    <s v="2025-08-25"/>
    <x v="11"/>
    <s v="South"/>
    <s v="Karnataka"/>
    <s v="Bengaluru"/>
    <x v="2"/>
    <x v="2"/>
    <s v="CUST1680"/>
    <s v="SP_11"/>
    <n v="1"/>
    <n v="40586.47"/>
    <n v="40586.47"/>
    <n v="34040.519999999997"/>
    <n v="6545.95"/>
    <s v="Cash"/>
  </r>
  <r>
    <s v="ORD100876"/>
    <s v="2025-08-26"/>
    <x v="11"/>
    <s v="South"/>
    <s v="Tamil Nadu"/>
    <s v="Chennai"/>
    <x v="1"/>
    <x v="1"/>
    <s v="CUST1240"/>
    <s v="SP_08"/>
    <n v="1"/>
    <n v="2923.03"/>
    <n v="2923.03"/>
    <n v="1894.27"/>
    <n v="1028.76"/>
    <s v="Cash"/>
  </r>
  <r>
    <s v="ORD100877"/>
    <s v="2025-08-31"/>
    <x v="11"/>
    <s v="West"/>
    <s v="Gujarat"/>
    <s v="Ahmedabad"/>
    <x v="2"/>
    <x v="4"/>
    <s v="CUST1712"/>
    <s v="SP_03"/>
    <n v="8"/>
    <n v="2464.42"/>
    <n v="19715.36"/>
    <n v="13174.84"/>
    <n v="6540.52"/>
    <s v="Debit Card"/>
  </r>
  <r>
    <s v="ORD100878"/>
    <s v="2025-04-20"/>
    <x v="0"/>
    <s v="West"/>
    <s v="Gujarat"/>
    <s v="Ahmedabad"/>
    <x v="3"/>
    <x v="7"/>
    <s v="CUST1573"/>
    <s v="SP_14"/>
    <n v="5"/>
    <n v="11320.03"/>
    <n v="56600.15"/>
    <n v="44251.96"/>
    <n v="12348.19"/>
    <s v="Debit Card"/>
  </r>
  <r>
    <s v="ORD100879"/>
    <s v="2025-08-26"/>
    <x v="11"/>
    <s v="West"/>
    <s v="Gujarat"/>
    <s v="Ahmedabad"/>
    <x v="1"/>
    <x v="1"/>
    <s v="CUST1905"/>
    <s v="SP_08"/>
    <n v="6"/>
    <n v="2618.1999999999998"/>
    <n v="15709.2"/>
    <n v="11411.59"/>
    <n v="4297.6099999999997"/>
    <s v="Debit Card"/>
  </r>
  <r>
    <s v="ORD100880"/>
    <s v="2025-10-15"/>
    <x v="1"/>
    <s v="North"/>
    <s v="Punjab"/>
    <s v="Chandigarh"/>
    <x v="3"/>
    <x v="11"/>
    <s v="CUST1790"/>
    <s v="SP_14"/>
    <n v="7"/>
    <n v="116.88"/>
    <n v="818.16"/>
    <n v="438.81"/>
    <n v="379.35"/>
    <s v="UPI"/>
  </r>
  <r>
    <s v="ORD100881"/>
    <s v="2025-09-09"/>
    <x v="5"/>
    <s v="North"/>
    <s v="Punjab"/>
    <s v="Chandigarh"/>
    <x v="3"/>
    <x v="11"/>
    <s v="CUST1284"/>
    <s v="SP_07"/>
    <n v="6"/>
    <n v="128.91999999999999"/>
    <n v="773.52"/>
    <n v="344.7"/>
    <n v="428.82"/>
    <s v="Credit Card"/>
  </r>
  <r>
    <s v="ORD100882"/>
    <s v="2025-08-05"/>
    <x v="11"/>
    <s v="South"/>
    <s v="Telangana"/>
    <s v="Hyderabad"/>
    <x v="2"/>
    <x v="10"/>
    <s v="CUST1386"/>
    <s v="SP_14"/>
    <n v="1"/>
    <n v="19651.509999999998"/>
    <n v="19651.509999999998"/>
    <n v="13790.71"/>
    <n v="5860.8"/>
    <s v="UPI"/>
  </r>
  <r>
    <s v="ORD100883"/>
    <s v="2025-09-23"/>
    <x v="5"/>
    <s v="West"/>
    <s v="Maharashtra"/>
    <s v="Mumbai"/>
    <x v="3"/>
    <x v="11"/>
    <s v="CUST1312"/>
    <s v="SP_09"/>
    <n v="1"/>
    <n v="124.4"/>
    <n v="124.4"/>
    <n v="60.2"/>
    <n v="64.2"/>
    <s v="Credit Card"/>
  </r>
  <r>
    <s v="ORD100884"/>
    <s v="2025-04-21"/>
    <x v="0"/>
    <s v="North"/>
    <s v="Delhi"/>
    <s v="Delhi"/>
    <x v="3"/>
    <x v="3"/>
    <s v="CUST1665"/>
    <s v="SP_12"/>
    <n v="2"/>
    <n v="23.53"/>
    <n v="47.06"/>
    <n v="19.43"/>
    <n v="27.63"/>
    <s v="Cash"/>
  </r>
  <r>
    <s v="ORD100885"/>
    <s v="2025-01-07"/>
    <x v="9"/>
    <s v="West"/>
    <s v="Maharashtra"/>
    <s v="Mumbai"/>
    <x v="0"/>
    <x v="8"/>
    <s v="CUST1378"/>
    <s v="SP_01"/>
    <n v="4"/>
    <n v="23780.82"/>
    <n v="95123.28"/>
    <n v="66606.19"/>
    <n v="28517.09"/>
    <s v="UPI"/>
  </r>
  <r>
    <s v="ORD100886"/>
    <s v="2025-07-08"/>
    <x v="6"/>
    <s v="North"/>
    <s v="Delhi"/>
    <s v="Delhi"/>
    <x v="0"/>
    <x v="0"/>
    <s v="CUST1406"/>
    <s v="SP_09"/>
    <n v="8"/>
    <n v="3787.81"/>
    <n v="30302.48"/>
    <n v="17636.38"/>
    <n v="12666.1"/>
    <s v="UPI"/>
  </r>
  <r>
    <s v="ORD100887"/>
    <s v="2025-06-05"/>
    <x v="2"/>
    <s v="West"/>
    <s v="Maharashtra"/>
    <s v="Mumbai"/>
    <x v="1"/>
    <x v="5"/>
    <s v="CUST1230"/>
    <s v="SP_09"/>
    <n v="4"/>
    <n v="9275.16"/>
    <n v="37100.639999999999"/>
    <n v="29291.49"/>
    <n v="7809.15"/>
    <s v="Credit Card"/>
  </r>
  <r>
    <s v="ORD100888"/>
    <s v="2025-05-24"/>
    <x v="3"/>
    <s v="South"/>
    <s v="Karnataka"/>
    <s v="Bengaluru"/>
    <x v="3"/>
    <x v="7"/>
    <s v="CUST1797"/>
    <s v="SP_08"/>
    <n v="3"/>
    <n v="13041.06"/>
    <n v="39123.18"/>
    <n v="26282.67"/>
    <n v="12840.51"/>
    <s v="Cash"/>
  </r>
  <r>
    <s v="ORD100889"/>
    <s v="2025-10-07"/>
    <x v="1"/>
    <s v="West"/>
    <s v="Maharashtra"/>
    <s v="Mumbai"/>
    <x v="1"/>
    <x v="6"/>
    <s v="CUST1378"/>
    <s v="SP_09"/>
    <n v="3"/>
    <n v="3131"/>
    <n v="9393"/>
    <n v="7370.08"/>
    <n v="2022.92"/>
    <s v="Credit Card"/>
  </r>
  <r>
    <s v="ORD100890"/>
    <s v="2025-08-16"/>
    <x v="11"/>
    <s v="South"/>
    <s v="Telangana"/>
    <s v="Hyderabad"/>
    <x v="3"/>
    <x v="3"/>
    <s v="CUST1335"/>
    <s v="SP_13"/>
    <n v="3"/>
    <n v="27.28"/>
    <n v="81.84"/>
    <n v="30.8"/>
    <n v="51.04"/>
    <s v="UPI"/>
  </r>
  <r>
    <s v="ORD100891"/>
    <s v="2025-10-26"/>
    <x v="1"/>
    <s v="West"/>
    <s v="Gujarat"/>
    <s v="Ahmedabad"/>
    <x v="1"/>
    <x v="1"/>
    <s v="CUST1950"/>
    <s v="SP_04"/>
    <n v="7"/>
    <n v="2551.71"/>
    <n v="17861.97"/>
    <n v="12829.37"/>
    <n v="5032.6000000000004"/>
    <s v="Net Banking"/>
  </r>
  <r>
    <s v="ORD100892"/>
    <s v="2025-10-25"/>
    <x v="1"/>
    <s v="North"/>
    <s v="Delhi"/>
    <s v="Delhi"/>
    <x v="2"/>
    <x v="10"/>
    <s v="CUST1031"/>
    <s v="SP_05"/>
    <n v="8"/>
    <n v="18468.45"/>
    <n v="147747.6"/>
    <n v="113377.23"/>
    <n v="34370.370000000003"/>
    <s v="Net Banking"/>
  </r>
  <r>
    <s v="ORD100893"/>
    <s v="2025-03-18"/>
    <x v="4"/>
    <s v="North"/>
    <s v="Uttar Pradesh"/>
    <s v="Lucknow"/>
    <x v="1"/>
    <x v="6"/>
    <s v="CUST1655"/>
    <s v="SP_03"/>
    <n v="8"/>
    <n v="3240.78"/>
    <n v="25926.240000000002"/>
    <n v="19361.62"/>
    <n v="6564.62"/>
    <s v="Debit Card"/>
  </r>
  <r>
    <s v="ORD100894"/>
    <s v="2025-02-11"/>
    <x v="8"/>
    <s v="West"/>
    <s v="Gujarat"/>
    <s v="Ahmedabad"/>
    <x v="2"/>
    <x v="10"/>
    <s v="CUST1594"/>
    <s v="SP_01"/>
    <n v="5"/>
    <n v="17132.41"/>
    <n v="85662.05"/>
    <n v="67979.899999999994"/>
    <n v="17682.150000000001"/>
    <s v="Net Banking"/>
  </r>
  <r>
    <s v="ORD100895"/>
    <s v="2025-08-30"/>
    <x v="11"/>
    <s v="South"/>
    <s v="Telangana"/>
    <s v="Hyderabad"/>
    <x v="1"/>
    <x v="5"/>
    <s v="CUST1249"/>
    <s v="SP_15"/>
    <n v="4"/>
    <n v="9424.58"/>
    <n v="37698.32"/>
    <n v="30626.42"/>
    <n v="7071.9"/>
    <s v="Net Banking"/>
  </r>
  <r>
    <s v="ORD100896"/>
    <s v="2025-10-20"/>
    <x v="1"/>
    <s v="South"/>
    <s v="Tamil Nadu"/>
    <s v="Chennai"/>
    <x v="2"/>
    <x v="10"/>
    <s v="CUST1578"/>
    <s v="SP_11"/>
    <n v="4"/>
    <n v="16887.88"/>
    <n v="67551.520000000004"/>
    <n v="53854.33"/>
    <n v="13697.19"/>
    <s v="UPI"/>
  </r>
  <r>
    <s v="ORD100897"/>
    <s v="2025-10-13"/>
    <x v="1"/>
    <s v="South"/>
    <s v="Tamil Nadu"/>
    <s v="Chennai"/>
    <x v="0"/>
    <x v="9"/>
    <s v="CUST1044"/>
    <s v="SP_10"/>
    <n v="4"/>
    <n v="7135.36"/>
    <n v="28541.439999999999"/>
    <n v="19507.75"/>
    <n v="9033.69"/>
    <s v="Net Banking"/>
  </r>
  <r>
    <s v="ORD100898"/>
    <s v="2025-08-20"/>
    <x v="11"/>
    <s v="North"/>
    <s v="Uttar Pradesh"/>
    <s v="Lucknow"/>
    <x v="2"/>
    <x v="10"/>
    <s v="CUST1447"/>
    <s v="SP_05"/>
    <n v="5"/>
    <n v="18937.2"/>
    <n v="94686"/>
    <n v="72268.53"/>
    <n v="22417.47"/>
    <s v="Net Banking"/>
  </r>
  <r>
    <s v="ORD100899"/>
    <s v="2025-10-25"/>
    <x v="1"/>
    <s v="North"/>
    <s v="Uttar Pradesh"/>
    <s v="Lucknow"/>
    <x v="0"/>
    <x v="8"/>
    <s v="CUST1248"/>
    <s v="SP_05"/>
    <n v="4"/>
    <n v="22983.85"/>
    <n v="91935.4"/>
    <n v="71095.34"/>
    <n v="20840.060000000001"/>
    <s v="UPI"/>
  </r>
  <r>
    <s v="ORD100900"/>
    <s v="2025-03-29"/>
    <x v="4"/>
    <s v="West"/>
    <s v="Gujarat"/>
    <s v="Ahmedabad"/>
    <x v="1"/>
    <x v="1"/>
    <s v="CUST1878"/>
    <s v="SP_01"/>
    <n v="8"/>
    <n v="2775.33"/>
    <n v="22202.639999999999"/>
    <n v="15133.33"/>
    <n v="7069.31"/>
    <s v="Cash"/>
  </r>
  <r>
    <s v="ORD100901"/>
    <s v="2025-07-26"/>
    <x v="6"/>
    <s v="East"/>
    <s v="Bihar"/>
    <s v="Patna"/>
    <x v="0"/>
    <x v="0"/>
    <s v="CUST1462"/>
    <s v="SP_12"/>
    <n v="3"/>
    <n v="3546.98"/>
    <n v="10640.94"/>
    <n v="6489.93"/>
    <n v="4151.01"/>
    <s v="Debit Card"/>
  </r>
  <r>
    <s v="ORD100902"/>
    <s v="2025-07-08"/>
    <x v="6"/>
    <s v="South"/>
    <s v="Karnataka"/>
    <s v="Bengaluru"/>
    <x v="1"/>
    <x v="5"/>
    <s v="CUST1321"/>
    <s v="SP_03"/>
    <n v="5"/>
    <n v="10045.83"/>
    <n v="50229.15"/>
    <n v="38113.89"/>
    <n v="12115.26"/>
    <s v="Debit Card"/>
  </r>
  <r>
    <s v="ORD100903"/>
    <s v="2025-03-22"/>
    <x v="4"/>
    <s v="West"/>
    <s v="Maharashtra"/>
    <s v="Mumbai"/>
    <x v="1"/>
    <x v="6"/>
    <s v="CUST1490"/>
    <s v="SP_13"/>
    <n v="2"/>
    <n v="3076.55"/>
    <n v="6153.1"/>
    <n v="4854.84"/>
    <n v="1298.26"/>
    <s v="Credit Card"/>
  </r>
  <r>
    <s v="ORD100904"/>
    <s v="2025-07-12"/>
    <x v="6"/>
    <s v="West"/>
    <s v="Gujarat"/>
    <s v="Ahmedabad"/>
    <x v="1"/>
    <x v="6"/>
    <s v="CUST1747"/>
    <s v="SP_04"/>
    <n v="1"/>
    <n v="3067.75"/>
    <n v="3067.75"/>
    <n v="2372.9499999999998"/>
    <n v="694.8"/>
    <s v="Cash"/>
  </r>
  <r>
    <s v="ORD100905"/>
    <s v="2025-07-12"/>
    <x v="6"/>
    <s v="East"/>
    <s v="Bihar"/>
    <s v="Patna"/>
    <x v="2"/>
    <x v="10"/>
    <s v="CUST1333"/>
    <s v="SP_15"/>
    <n v="2"/>
    <n v="17573.45"/>
    <n v="35146.9"/>
    <n v="28679.41"/>
    <n v="6467.49"/>
    <s v="Net Banking"/>
  </r>
  <r>
    <s v="ORD100906"/>
    <s v="2025-03-10"/>
    <x v="4"/>
    <s v="West"/>
    <s v="Maharashtra"/>
    <s v="Mumbai"/>
    <x v="1"/>
    <x v="6"/>
    <s v="CUST1653"/>
    <s v="SP_12"/>
    <n v="5"/>
    <n v="3392.35"/>
    <n v="16961.75"/>
    <n v="11435.11"/>
    <n v="5526.64"/>
    <s v="Credit Card"/>
  </r>
  <r>
    <s v="ORD100907"/>
    <s v="2025-11-26"/>
    <x v="10"/>
    <s v="South"/>
    <s v="Tamil Nadu"/>
    <s v="Chennai"/>
    <x v="0"/>
    <x v="8"/>
    <s v="CUST1422"/>
    <s v="SP_08"/>
    <n v="3"/>
    <n v="20925.509999999998"/>
    <n v="62776.53"/>
    <n v="48863.66"/>
    <n v="13912.87"/>
    <s v="Debit Card"/>
  </r>
  <r>
    <s v="ORD100908"/>
    <s v="2025-01-13"/>
    <x v="9"/>
    <s v="West"/>
    <s v="Maharashtra"/>
    <s v="Mumbai"/>
    <x v="3"/>
    <x v="7"/>
    <s v="CUST1287"/>
    <s v="SP_08"/>
    <n v="2"/>
    <n v="12045.92"/>
    <n v="24091.84"/>
    <n v="18132.349999999999"/>
    <n v="5959.49"/>
    <s v="Credit Card"/>
  </r>
  <r>
    <s v="ORD100909"/>
    <s v="2025-09-03"/>
    <x v="5"/>
    <s v="South"/>
    <s v="Tamil Nadu"/>
    <s v="Chennai"/>
    <x v="2"/>
    <x v="10"/>
    <s v="CUST1851"/>
    <s v="SP_14"/>
    <n v="8"/>
    <n v="17077.669999999998"/>
    <n v="136621.35999999999"/>
    <n v="107371.75"/>
    <n v="29249.61"/>
    <s v="Cash"/>
  </r>
  <r>
    <s v="ORD100910"/>
    <s v="2025-11-02"/>
    <x v="10"/>
    <s v="North"/>
    <s v="Uttar Pradesh"/>
    <s v="Lucknow"/>
    <x v="1"/>
    <x v="5"/>
    <s v="CUST1611"/>
    <s v="SP_04"/>
    <n v="2"/>
    <n v="9139.64"/>
    <n v="18279.28"/>
    <n v="15094.78"/>
    <n v="3184.5"/>
    <s v="Debit Card"/>
  </r>
  <r>
    <s v="ORD100911"/>
    <s v="2025-02-15"/>
    <x v="8"/>
    <s v="East"/>
    <s v="West Bengal"/>
    <s v="Kolkata"/>
    <x v="1"/>
    <x v="1"/>
    <s v="CUST1577"/>
    <s v="SP_15"/>
    <n v="8"/>
    <n v="3001.37"/>
    <n v="24010.959999999999"/>
    <n v="15014.51"/>
    <n v="8996.4500000000007"/>
    <s v="Credit Card"/>
  </r>
  <r>
    <s v="ORD100912"/>
    <s v="2025-06-02"/>
    <x v="2"/>
    <s v="North"/>
    <s v="Uttar Pradesh"/>
    <s v="Lucknow"/>
    <x v="2"/>
    <x v="4"/>
    <s v="CUST1135"/>
    <s v="SP_09"/>
    <n v="7"/>
    <n v="2336.1999999999998"/>
    <n v="16353.4"/>
    <n v="11180.88"/>
    <n v="5172.5200000000004"/>
    <s v="Cash"/>
  </r>
  <r>
    <s v="ORD100913"/>
    <s v="2025-09-08"/>
    <x v="5"/>
    <s v="West"/>
    <s v="Rajasthan"/>
    <s v="Jaipur"/>
    <x v="0"/>
    <x v="0"/>
    <s v="CUST1373"/>
    <s v="SP_14"/>
    <n v="1"/>
    <n v="3570.79"/>
    <n v="3570.79"/>
    <n v="2231.96"/>
    <n v="1338.83"/>
    <s v="UPI"/>
  </r>
  <r>
    <s v="ORD100914"/>
    <s v="2025-07-05"/>
    <x v="6"/>
    <s v="East"/>
    <s v="Odisha"/>
    <s v="Bhubaneswar"/>
    <x v="3"/>
    <x v="7"/>
    <s v="CUST1210"/>
    <s v="SP_04"/>
    <n v="1"/>
    <n v="12971.81"/>
    <n v="12971.81"/>
    <n v="8869.9"/>
    <n v="4101.91"/>
    <s v="Cash"/>
  </r>
  <r>
    <s v="ORD100915"/>
    <s v="2025-06-04"/>
    <x v="2"/>
    <s v="South"/>
    <s v="Telangana"/>
    <s v="Hyderabad"/>
    <x v="1"/>
    <x v="5"/>
    <s v="CUST1066"/>
    <s v="SP_07"/>
    <n v="4"/>
    <n v="10323.469999999999"/>
    <n v="41293.879999999997"/>
    <n v="29648.25"/>
    <n v="11645.63"/>
    <s v="Debit Card"/>
  </r>
  <r>
    <s v="ORD100916"/>
    <s v="2025-02-22"/>
    <x v="8"/>
    <s v="North"/>
    <s v="Uttar Pradesh"/>
    <s v="Lucknow"/>
    <x v="2"/>
    <x v="10"/>
    <s v="CUST1698"/>
    <s v="SP_09"/>
    <n v="1"/>
    <n v="19290.47"/>
    <n v="19290.47"/>
    <n v="14211.26"/>
    <n v="5079.21"/>
    <s v="Credit Card"/>
  </r>
  <r>
    <s v="ORD100917"/>
    <s v="2025-10-12"/>
    <x v="1"/>
    <s v="North"/>
    <s v="Uttar Pradesh"/>
    <s v="Lucknow"/>
    <x v="2"/>
    <x v="2"/>
    <s v="CUST1336"/>
    <s v="SP_05"/>
    <n v="5"/>
    <n v="45473.48"/>
    <n v="227367.4"/>
    <n v="171723.97"/>
    <n v="55643.43"/>
    <s v="UPI"/>
  </r>
  <r>
    <s v="ORD100918"/>
    <s v="2025-11-17"/>
    <x v="10"/>
    <s v="West"/>
    <s v="Maharashtra"/>
    <s v="Mumbai"/>
    <x v="1"/>
    <x v="5"/>
    <s v="CUST1385"/>
    <s v="SP_05"/>
    <n v="7"/>
    <n v="9641.69"/>
    <n v="67491.83"/>
    <n v="51306.06"/>
    <n v="16185.77"/>
    <s v="Cash"/>
  </r>
  <r>
    <s v="ORD100919"/>
    <s v="2025-10-22"/>
    <x v="1"/>
    <s v="South"/>
    <s v="Tamil Nadu"/>
    <s v="Chennai"/>
    <x v="3"/>
    <x v="3"/>
    <s v="CUST1647"/>
    <s v="SP_09"/>
    <n v="3"/>
    <n v="26.1"/>
    <n v="78.3"/>
    <n v="31.43"/>
    <n v="46.87"/>
    <s v="Net Banking"/>
  </r>
  <r>
    <s v="ORD100920"/>
    <s v="2025-12-06"/>
    <x v="7"/>
    <s v="North"/>
    <s v="Delhi"/>
    <s v="Delhi"/>
    <x v="2"/>
    <x v="4"/>
    <s v="CUST1143"/>
    <s v="SP_13"/>
    <n v="2"/>
    <n v="2689.63"/>
    <n v="5379.26"/>
    <n v="3342.56"/>
    <n v="2036.7"/>
    <s v="Debit Card"/>
  </r>
  <r>
    <s v="ORD100921"/>
    <s v="2025-07-23"/>
    <x v="6"/>
    <s v="North"/>
    <s v="Uttar Pradesh"/>
    <s v="Lucknow"/>
    <x v="1"/>
    <x v="6"/>
    <s v="CUST1142"/>
    <s v="SP_10"/>
    <n v="8"/>
    <n v="3427.41"/>
    <n v="27419.279999999999"/>
    <n v="19823.07"/>
    <n v="7596.21"/>
    <s v="Debit Card"/>
  </r>
  <r>
    <s v="ORD100922"/>
    <s v="2025-10-27"/>
    <x v="1"/>
    <s v="East"/>
    <s v="Bihar"/>
    <s v="Patna"/>
    <x v="0"/>
    <x v="8"/>
    <s v="CUST1185"/>
    <s v="SP_09"/>
    <n v="5"/>
    <n v="19843.080000000002"/>
    <n v="99215.4"/>
    <n v="84851.75"/>
    <n v="14363.65"/>
    <s v="Debit Card"/>
  </r>
  <r>
    <s v="ORD100923"/>
    <s v="2025-05-09"/>
    <x v="3"/>
    <s v="North"/>
    <s v="Uttar Pradesh"/>
    <s v="Lucknow"/>
    <x v="1"/>
    <x v="5"/>
    <s v="CUST1175"/>
    <s v="SP_05"/>
    <n v="4"/>
    <n v="9712.02"/>
    <n v="38848.080000000002"/>
    <n v="30267.55"/>
    <n v="8580.5300000000007"/>
    <s v="UPI"/>
  </r>
  <r>
    <s v="ORD100924"/>
    <s v="2025-01-18"/>
    <x v="9"/>
    <s v="West"/>
    <s v="Maharashtra"/>
    <s v="Mumbai"/>
    <x v="1"/>
    <x v="6"/>
    <s v="CUST1045"/>
    <s v="SP_05"/>
    <n v="1"/>
    <n v="3429.04"/>
    <n v="3429.04"/>
    <n v="2420.8000000000002"/>
    <n v="1008.24"/>
    <s v="Credit Card"/>
  </r>
  <r>
    <s v="ORD100925"/>
    <s v="2025-06-08"/>
    <x v="2"/>
    <s v="North"/>
    <s v="Punjab"/>
    <s v="Chandigarh"/>
    <x v="0"/>
    <x v="8"/>
    <s v="CUST1285"/>
    <s v="SP_14"/>
    <n v="5"/>
    <n v="22363.71"/>
    <n v="111818.55"/>
    <n v="85893.03"/>
    <n v="25925.52"/>
    <s v="Credit Card"/>
  </r>
  <r>
    <s v="ORD100926"/>
    <s v="2025-03-16"/>
    <x v="4"/>
    <s v="North"/>
    <s v="Delhi"/>
    <s v="Delhi"/>
    <x v="0"/>
    <x v="0"/>
    <s v="CUST1246"/>
    <s v="SP_02"/>
    <n v="6"/>
    <n v="3707.73"/>
    <n v="22246.38"/>
    <n v="13614.08"/>
    <n v="8632.2999999999993"/>
    <s v="Net Banking"/>
  </r>
  <r>
    <s v="ORD100927"/>
    <s v="2025-06-23"/>
    <x v="2"/>
    <s v="East"/>
    <s v="Odisha"/>
    <s v="Bhubaneswar"/>
    <x v="1"/>
    <x v="1"/>
    <s v="CUST1131"/>
    <s v="SP_10"/>
    <n v="5"/>
    <n v="2994.19"/>
    <n v="14970.95"/>
    <n v="9627.94"/>
    <n v="5343.01"/>
    <s v="Debit Card"/>
  </r>
  <r>
    <s v="ORD100928"/>
    <s v="2025-03-25"/>
    <x v="4"/>
    <s v="West"/>
    <s v="Gujarat"/>
    <s v="Ahmedabad"/>
    <x v="3"/>
    <x v="11"/>
    <s v="CUST1984"/>
    <s v="SP_15"/>
    <n v="4"/>
    <n v="120.93"/>
    <n v="483.72"/>
    <n v="237.08"/>
    <n v="246.64"/>
    <s v="Cash"/>
  </r>
  <r>
    <s v="ORD100929"/>
    <s v="2025-03-29"/>
    <x v="4"/>
    <s v="East"/>
    <s v="Odisha"/>
    <s v="Bhubaneswar"/>
    <x v="1"/>
    <x v="1"/>
    <s v="CUST1003"/>
    <s v="SP_08"/>
    <n v="4"/>
    <n v="2646.29"/>
    <n v="10585.16"/>
    <n v="7852.23"/>
    <n v="2732.93"/>
    <s v="Cash"/>
  </r>
  <r>
    <s v="ORD100930"/>
    <s v="2025-07-28"/>
    <x v="6"/>
    <s v="West"/>
    <s v="Rajasthan"/>
    <s v="Jaipur"/>
    <x v="3"/>
    <x v="3"/>
    <s v="CUST1419"/>
    <s v="SP_05"/>
    <n v="3"/>
    <n v="25.43"/>
    <n v="76.290000000000006"/>
    <n v="28.96"/>
    <n v="47.33"/>
    <s v="UPI"/>
  </r>
  <r>
    <s v="ORD100931"/>
    <s v="2025-12-28"/>
    <x v="7"/>
    <s v="West"/>
    <s v="Maharashtra"/>
    <s v="Mumbai"/>
    <x v="2"/>
    <x v="10"/>
    <s v="CUST1679"/>
    <s v="SP_06"/>
    <n v="6"/>
    <n v="18051.2"/>
    <n v="108307.2"/>
    <n v="86072.71"/>
    <n v="22234.49"/>
    <s v="Net Banking"/>
  </r>
  <r>
    <s v="ORD100932"/>
    <s v="2025-09-09"/>
    <x v="5"/>
    <s v="West"/>
    <s v="Gujarat"/>
    <s v="Ahmedabad"/>
    <x v="1"/>
    <x v="1"/>
    <s v="CUST1497"/>
    <s v="SP_07"/>
    <n v="2"/>
    <n v="2698.68"/>
    <n v="5397.36"/>
    <n v="3855.21"/>
    <n v="1542.15"/>
    <s v="Cash"/>
  </r>
  <r>
    <s v="ORD100933"/>
    <s v="2025-03-04"/>
    <x v="4"/>
    <s v="East"/>
    <s v="West Bengal"/>
    <s v="Kolkata"/>
    <x v="1"/>
    <x v="5"/>
    <s v="CUST1832"/>
    <s v="SP_12"/>
    <n v="8"/>
    <n v="9425.77"/>
    <n v="75406.16"/>
    <n v="58096.19"/>
    <n v="17309.97"/>
    <s v="Credit Card"/>
  </r>
  <r>
    <s v="ORD100934"/>
    <s v="2025-08-24"/>
    <x v="11"/>
    <s v="East"/>
    <s v="Odisha"/>
    <s v="Bhubaneswar"/>
    <x v="1"/>
    <x v="5"/>
    <s v="CUST1161"/>
    <s v="SP_04"/>
    <n v="1"/>
    <n v="8621.6"/>
    <n v="8621.6"/>
    <n v="7525.11"/>
    <n v="1096.49"/>
    <s v="Debit Card"/>
  </r>
  <r>
    <s v="ORD100935"/>
    <s v="2025-03-11"/>
    <x v="4"/>
    <s v="East"/>
    <s v="Odisha"/>
    <s v="Bhubaneswar"/>
    <x v="1"/>
    <x v="1"/>
    <s v="CUST1686"/>
    <s v="SP_01"/>
    <n v="4"/>
    <n v="2700.23"/>
    <n v="10800.92"/>
    <n v="7413.4"/>
    <n v="3387.52"/>
    <s v="Cash"/>
  </r>
  <r>
    <s v="ORD100936"/>
    <s v="2025-12-26"/>
    <x v="7"/>
    <s v="West"/>
    <s v="Rajasthan"/>
    <s v="Jaipur"/>
    <x v="1"/>
    <x v="6"/>
    <s v="CUST1211"/>
    <s v="SP_05"/>
    <n v="5"/>
    <n v="3406.53"/>
    <n v="17032.650000000001"/>
    <n v="12170.83"/>
    <n v="4861.82"/>
    <s v="Debit Card"/>
  </r>
  <r>
    <s v="ORD100937"/>
    <s v="2025-02-12"/>
    <x v="8"/>
    <s v="East"/>
    <s v="Odisha"/>
    <s v="Bhubaneswar"/>
    <x v="2"/>
    <x v="4"/>
    <s v="CUST1168"/>
    <s v="SP_03"/>
    <n v="7"/>
    <n v="2659.2"/>
    <n v="18614.400000000001"/>
    <n v="11591.36"/>
    <n v="7023.04"/>
    <s v="Debit Card"/>
  </r>
  <r>
    <s v="ORD100938"/>
    <s v="2025-03-02"/>
    <x v="4"/>
    <s v="East"/>
    <s v="West Bengal"/>
    <s v="Kolkata"/>
    <x v="3"/>
    <x v="7"/>
    <s v="CUST1487"/>
    <s v="SP_14"/>
    <n v="6"/>
    <n v="12671.45"/>
    <n v="76028.7"/>
    <n v="54831.23"/>
    <n v="21197.47"/>
    <s v="UPI"/>
  </r>
  <r>
    <s v="ORD100939"/>
    <s v="2025-09-10"/>
    <x v="5"/>
    <s v="West"/>
    <s v="Rajasthan"/>
    <s v="Jaipur"/>
    <x v="2"/>
    <x v="10"/>
    <s v="CUST1763"/>
    <s v="SP_11"/>
    <n v="3"/>
    <n v="16649.490000000002"/>
    <n v="49948.47"/>
    <n v="43617.89"/>
    <n v="6330.58"/>
    <s v="Debit Card"/>
  </r>
  <r>
    <s v="ORD100940"/>
    <s v="2025-05-14"/>
    <x v="3"/>
    <s v="South"/>
    <s v="Telangana"/>
    <s v="Hyderabad"/>
    <x v="0"/>
    <x v="0"/>
    <s v="CUST1141"/>
    <s v="SP_13"/>
    <n v="3"/>
    <n v="3177.78"/>
    <n v="9533.34"/>
    <n v="6710.32"/>
    <n v="2823.02"/>
    <s v="Credit Card"/>
  </r>
  <r>
    <s v="ORD100941"/>
    <s v="2025-07-14"/>
    <x v="6"/>
    <s v="East"/>
    <s v="West Bengal"/>
    <s v="Kolkata"/>
    <x v="1"/>
    <x v="1"/>
    <s v="CUST1919"/>
    <s v="SP_02"/>
    <n v="8"/>
    <n v="2938.1"/>
    <n v="23504.799999999999"/>
    <n v="15719.25"/>
    <n v="7785.55"/>
    <s v="UPI"/>
  </r>
  <r>
    <s v="ORD100942"/>
    <s v="2025-08-23"/>
    <x v="11"/>
    <s v="East"/>
    <s v="Odisha"/>
    <s v="Bhubaneswar"/>
    <x v="0"/>
    <x v="8"/>
    <s v="CUST1118"/>
    <s v="SP_07"/>
    <n v="2"/>
    <n v="20712.349999999999"/>
    <n v="41424.699999999997"/>
    <n v="33461.379999999997"/>
    <n v="7963.32"/>
    <s v="Debit Card"/>
  </r>
  <r>
    <s v="ORD100943"/>
    <s v="2025-08-30"/>
    <x v="11"/>
    <s v="South"/>
    <s v="Karnataka"/>
    <s v="Bengaluru"/>
    <x v="0"/>
    <x v="9"/>
    <s v="CUST1427"/>
    <s v="SP_14"/>
    <n v="8"/>
    <n v="7235.09"/>
    <n v="57880.72"/>
    <n v="39884.39"/>
    <n v="17996.330000000002"/>
    <s v="Debit Card"/>
  </r>
  <r>
    <s v="ORD100944"/>
    <s v="2025-07-26"/>
    <x v="6"/>
    <s v="East"/>
    <s v="Bihar"/>
    <s v="Patna"/>
    <x v="1"/>
    <x v="5"/>
    <s v="CUST1342"/>
    <s v="SP_14"/>
    <n v="3"/>
    <n v="9668.07"/>
    <n v="29004.21"/>
    <n v="22646.68"/>
    <n v="6357.53"/>
    <s v="Debit Card"/>
  </r>
  <r>
    <s v="ORD100945"/>
    <s v="2025-12-21"/>
    <x v="7"/>
    <s v="West"/>
    <s v="Gujarat"/>
    <s v="Ahmedabad"/>
    <x v="1"/>
    <x v="5"/>
    <s v="CUST1445"/>
    <s v="SP_13"/>
    <n v="4"/>
    <n v="8712.23"/>
    <n v="34848.92"/>
    <n v="29783.96"/>
    <n v="5064.96"/>
    <s v="Net Banking"/>
  </r>
  <r>
    <s v="ORD100946"/>
    <s v="2025-06-18"/>
    <x v="2"/>
    <s v="North"/>
    <s v="Punjab"/>
    <s v="Chandigarh"/>
    <x v="3"/>
    <x v="3"/>
    <s v="CUST1124"/>
    <s v="SP_06"/>
    <n v="2"/>
    <n v="26.73"/>
    <n v="53.46"/>
    <n v="19.78"/>
    <n v="33.68"/>
    <s v="Credit Card"/>
  </r>
  <r>
    <s v="ORD100947"/>
    <s v="2025-07-31"/>
    <x v="6"/>
    <s v="East"/>
    <s v="Odisha"/>
    <s v="Bhubaneswar"/>
    <x v="3"/>
    <x v="7"/>
    <s v="CUST1426"/>
    <s v="SP_06"/>
    <n v="8"/>
    <n v="12971.19"/>
    <n v="103769.52"/>
    <n v="73889.759999999995"/>
    <n v="29879.759999999998"/>
    <s v="Net Banking"/>
  </r>
  <r>
    <s v="ORD100948"/>
    <s v="2025-08-05"/>
    <x v="11"/>
    <s v="South"/>
    <s v="Telangana"/>
    <s v="Hyderabad"/>
    <x v="2"/>
    <x v="2"/>
    <s v="CUST1800"/>
    <s v="SP_11"/>
    <n v="7"/>
    <n v="46290.2"/>
    <n v="324031.40000000002"/>
    <n v="232839.44"/>
    <n v="91191.96"/>
    <s v="Debit Card"/>
  </r>
  <r>
    <s v="ORD100949"/>
    <s v="2025-10-25"/>
    <x v="1"/>
    <s v="South"/>
    <s v="Tamil Nadu"/>
    <s v="Chennai"/>
    <x v="1"/>
    <x v="1"/>
    <s v="CUST1997"/>
    <s v="SP_01"/>
    <n v="5"/>
    <n v="2570.1"/>
    <n v="12850.5"/>
    <n v="9066.42"/>
    <n v="3784.08"/>
    <s v="Net Banking"/>
  </r>
  <r>
    <s v="ORD100950"/>
    <s v="2025-09-17"/>
    <x v="5"/>
    <s v="East"/>
    <s v="Odisha"/>
    <s v="Bhubaneswar"/>
    <x v="3"/>
    <x v="11"/>
    <s v="CUST1017"/>
    <s v="SP_11"/>
    <n v="4"/>
    <n v="117.48"/>
    <n v="469.92"/>
    <n v="228.4"/>
    <n v="241.52"/>
    <s v="Net Banking"/>
  </r>
  <r>
    <s v="ORD100951"/>
    <s v="2025-06-22"/>
    <x v="2"/>
    <s v="South"/>
    <s v="Tamil Nadu"/>
    <s v="Chennai"/>
    <x v="2"/>
    <x v="10"/>
    <s v="CUST1526"/>
    <s v="SP_12"/>
    <n v="1"/>
    <n v="17653.259999999998"/>
    <n v="17653.259999999998"/>
    <n v="13337.85"/>
    <n v="4315.41"/>
    <s v="Cash"/>
  </r>
  <r>
    <s v="ORD100952"/>
    <s v="2025-04-30"/>
    <x v="0"/>
    <s v="West"/>
    <s v="Maharashtra"/>
    <s v="Mumbai"/>
    <x v="0"/>
    <x v="9"/>
    <s v="CUST1391"/>
    <s v="SP_04"/>
    <n v="4"/>
    <n v="6812.6"/>
    <n v="27250.400000000001"/>
    <n v="20504.650000000001"/>
    <n v="6745.75"/>
    <s v="Net Banking"/>
  </r>
  <r>
    <s v="ORD100953"/>
    <s v="2025-08-25"/>
    <x v="11"/>
    <s v="East"/>
    <s v="Odisha"/>
    <s v="Bhubaneswar"/>
    <x v="2"/>
    <x v="10"/>
    <s v="CUST1167"/>
    <s v="SP_07"/>
    <n v="8"/>
    <n v="19786.53"/>
    <n v="158292.24"/>
    <n v="110403.12"/>
    <n v="47889.120000000003"/>
    <s v="Net Banking"/>
  </r>
  <r>
    <s v="ORD100954"/>
    <s v="2025-08-01"/>
    <x v="11"/>
    <s v="South"/>
    <s v="Telangana"/>
    <s v="Hyderabad"/>
    <x v="2"/>
    <x v="10"/>
    <s v="CUST1934"/>
    <s v="SP_04"/>
    <n v="1"/>
    <n v="17477.150000000001"/>
    <n v="17477.150000000001"/>
    <n v="13705.48"/>
    <n v="3771.67"/>
    <s v="Credit Card"/>
  </r>
  <r>
    <s v="ORD100955"/>
    <s v="2025-01-18"/>
    <x v="9"/>
    <s v="West"/>
    <s v="Rajasthan"/>
    <s v="Jaipur"/>
    <x v="1"/>
    <x v="5"/>
    <s v="CUST1551"/>
    <s v="SP_13"/>
    <n v="8"/>
    <n v="8595.32"/>
    <n v="68762.559999999998"/>
    <n v="60421.45"/>
    <n v="8341.11"/>
    <s v="UPI"/>
  </r>
  <r>
    <s v="ORD100956"/>
    <s v="2025-11-18"/>
    <x v="10"/>
    <s v="South"/>
    <s v="Telangana"/>
    <s v="Hyderabad"/>
    <x v="3"/>
    <x v="11"/>
    <s v="CUST1041"/>
    <s v="SP_08"/>
    <n v="5"/>
    <n v="111.03"/>
    <n v="555.15"/>
    <n v="310.08"/>
    <n v="245.07"/>
    <s v="Credit Card"/>
  </r>
  <r>
    <s v="ORD100957"/>
    <s v="2025-01-02"/>
    <x v="9"/>
    <s v="North"/>
    <s v="Punjab"/>
    <s v="Chandigarh"/>
    <x v="0"/>
    <x v="8"/>
    <s v="CUST1395"/>
    <s v="SP_12"/>
    <n v="8"/>
    <n v="20533.009999999998"/>
    <n v="164264.07999999999"/>
    <n v="129823.36"/>
    <n v="34440.720000000001"/>
    <s v="Debit Card"/>
  </r>
  <r>
    <s v="ORD100958"/>
    <s v="2025-01-21"/>
    <x v="9"/>
    <s v="North"/>
    <s v="Uttar Pradesh"/>
    <s v="Lucknow"/>
    <x v="1"/>
    <x v="6"/>
    <s v="CUST1487"/>
    <s v="SP_04"/>
    <n v="2"/>
    <n v="2917.12"/>
    <n v="5834.24"/>
    <n v="4737.05"/>
    <n v="1097.19"/>
    <s v="UPI"/>
  </r>
  <r>
    <s v="ORD100959"/>
    <s v="2025-09-10"/>
    <x v="5"/>
    <s v="South"/>
    <s v="Telangana"/>
    <s v="Hyderabad"/>
    <x v="2"/>
    <x v="4"/>
    <s v="CUST1843"/>
    <s v="SP_08"/>
    <n v="6"/>
    <n v="2365.79"/>
    <n v="14194.74"/>
    <n v="9709.83"/>
    <n v="4484.91"/>
    <s v="Net Banking"/>
  </r>
  <r>
    <s v="ORD100960"/>
    <s v="2025-01-15"/>
    <x v="9"/>
    <s v="North"/>
    <s v="Punjab"/>
    <s v="Chandigarh"/>
    <x v="2"/>
    <x v="4"/>
    <s v="CUST1399"/>
    <s v="SP_03"/>
    <n v="5"/>
    <n v="2281.9"/>
    <n v="11409.5"/>
    <n v="7829.9"/>
    <n v="3579.6"/>
    <s v="Debit Card"/>
  </r>
  <r>
    <s v="ORD100961"/>
    <s v="2025-01-15"/>
    <x v="9"/>
    <s v="East"/>
    <s v="Bihar"/>
    <s v="Patna"/>
    <x v="1"/>
    <x v="1"/>
    <s v="CUST1368"/>
    <s v="SP_13"/>
    <n v="1"/>
    <n v="3047.38"/>
    <n v="3047.38"/>
    <n v="1987.52"/>
    <n v="1059.8599999999999"/>
    <s v="UPI"/>
  </r>
  <r>
    <s v="ORD100962"/>
    <s v="2025-07-22"/>
    <x v="6"/>
    <s v="East"/>
    <s v="West Bengal"/>
    <s v="Kolkata"/>
    <x v="3"/>
    <x v="11"/>
    <s v="CUST1788"/>
    <s v="SP_14"/>
    <n v="8"/>
    <n v="116.88"/>
    <n v="935.04"/>
    <n v="485.18"/>
    <n v="449.86"/>
    <s v="Credit Card"/>
  </r>
  <r>
    <s v="ORD100963"/>
    <s v="2025-07-21"/>
    <x v="6"/>
    <s v="East"/>
    <s v="Bihar"/>
    <s v="Patna"/>
    <x v="0"/>
    <x v="0"/>
    <s v="CUST1088"/>
    <s v="SP_03"/>
    <n v="5"/>
    <n v="3511.26"/>
    <n v="17556.3"/>
    <n v="11076.89"/>
    <n v="6479.41"/>
    <s v="Net Banking"/>
  </r>
  <r>
    <s v="ORD100964"/>
    <s v="2025-01-31"/>
    <x v="9"/>
    <s v="North"/>
    <s v="Punjab"/>
    <s v="Chandigarh"/>
    <x v="0"/>
    <x v="0"/>
    <s v="CUST1517"/>
    <s v="SP_10"/>
    <n v="3"/>
    <n v="3844.65"/>
    <n v="11533.95"/>
    <n v="6817.92"/>
    <n v="4716.03"/>
    <s v="Net Banking"/>
  </r>
  <r>
    <s v="ORD100965"/>
    <s v="2025-04-25"/>
    <x v="0"/>
    <s v="West"/>
    <s v="Gujarat"/>
    <s v="Ahmedabad"/>
    <x v="3"/>
    <x v="11"/>
    <s v="CUST1671"/>
    <s v="SP_10"/>
    <n v="4"/>
    <n v="129.93"/>
    <n v="519.72"/>
    <n v="232.59"/>
    <n v="287.13"/>
    <s v="Debit Card"/>
  </r>
  <r>
    <s v="ORD100966"/>
    <s v="2025-07-10"/>
    <x v="6"/>
    <s v="West"/>
    <s v="Rajasthan"/>
    <s v="Jaipur"/>
    <x v="2"/>
    <x v="4"/>
    <s v="CUST1925"/>
    <s v="SP_03"/>
    <n v="4"/>
    <n v="2291.39"/>
    <n v="9165.56"/>
    <n v="6484.71"/>
    <n v="2680.85"/>
    <s v="Credit Card"/>
  </r>
  <r>
    <s v="ORD100967"/>
    <s v="2025-04-05"/>
    <x v="0"/>
    <s v="West"/>
    <s v="Gujarat"/>
    <s v="Ahmedabad"/>
    <x v="0"/>
    <x v="8"/>
    <s v="CUST1485"/>
    <s v="SP_14"/>
    <n v="2"/>
    <n v="21114.21"/>
    <n v="42228.42"/>
    <n v="35660.97"/>
    <n v="6567.45"/>
    <s v="Cash"/>
  </r>
  <r>
    <s v="ORD100968"/>
    <s v="2025-02-07"/>
    <x v="8"/>
    <s v="North"/>
    <s v="Delhi"/>
    <s v="Delhi"/>
    <x v="0"/>
    <x v="8"/>
    <s v="CUST1909"/>
    <s v="SP_09"/>
    <n v="3"/>
    <n v="23569.52"/>
    <n v="70708.56"/>
    <n v="53294.6"/>
    <n v="17413.96"/>
    <s v="Debit Card"/>
  </r>
  <r>
    <s v="ORD100969"/>
    <s v="2025-09-06"/>
    <x v="5"/>
    <s v="East"/>
    <s v="Odisha"/>
    <s v="Bhubaneswar"/>
    <x v="3"/>
    <x v="7"/>
    <s v="CUST1778"/>
    <s v="SP_11"/>
    <n v="3"/>
    <n v="11614.52"/>
    <n v="34843.56"/>
    <n v="26777.32"/>
    <n v="8066.24"/>
    <s v="Cash"/>
  </r>
  <r>
    <s v="ORD100970"/>
    <s v="2025-09-11"/>
    <x v="5"/>
    <s v="East"/>
    <s v="West Bengal"/>
    <s v="Kolkata"/>
    <x v="2"/>
    <x v="4"/>
    <s v="CUST1312"/>
    <s v="SP_11"/>
    <n v="4"/>
    <n v="2346.65"/>
    <n v="9386.6"/>
    <n v="6515.42"/>
    <n v="2871.18"/>
    <s v="Cash"/>
  </r>
  <r>
    <s v="ORD100971"/>
    <s v="2025-01-21"/>
    <x v="9"/>
    <s v="North"/>
    <s v="Delhi"/>
    <s v="Delhi"/>
    <x v="2"/>
    <x v="10"/>
    <s v="CUST1957"/>
    <s v="SP_04"/>
    <n v="2"/>
    <n v="19245.599999999999"/>
    <n v="38491.199999999997"/>
    <n v="29221.41"/>
    <n v="9269.7900000000009"/>
    <s v="Debit Card"/>
  </r>
  <r>
    <s v="ORD100972"/>
    <s v="2025-01-10"/>
    <x v="9"/>
    <s v="East"/>
    <s v="West Bengal"/>
    <s v="Kolkata"/>
    <x v="0"/>
    <x v="9"/>
    <s v="CUST1539"/>
    <s v="SP_04"/>
    <n v="2"/>
    <n v="6607.08"/>
    <n v="13214.16"/>
    <n v="9579.2000000000007"/>
    <n v="3634.96"/>
    <s v="Cash"/>
  </r>
  <r>
    <s v="ORD100973"/>
    <s v="2025-02-14"/>
    <x v="8"/>
    <s v="North"/>
    <s v="Delhi"/>
    <s v="Delhi"/>
    <x v="1"/>
    <x v="1"/>
    <s v="CUST1590"/>
    <s v="SP_06"/>
    <n v="3"/>
    <n v="2705.68"/>
    <n v="8117.04"/>
    <n v="5948.08"/>
    <n v="2168.96"/>
    <s v="Credit Card"/>
  </r>
  <r>
    <s v="ORD100974"/>
    <s v="2025-09-11"/>
    <x v="5"/>
    <s v="West"/>
    <s v="Maharashtra"/>
    <s v="Mumbai"/>
    <x v="0"/>
    <x v="8"/>
    <s v="CUST1286"/>
    <s v="SP_11"/>
    <n v="4"/>
    <n v="21775.87"/>
    <n v="87103.48"/>
    <n v="67825.11"/>
    <n v="19278.37"/>
    <s v="Net Banking"/>
  </r>
  <r>
    <s v="ORD100975"/>
    <s v="2025-01-21"/>
    <x v="9"/>
    <s v="North"/>
    <s v="Delhi"/>
    <s v="Delhi"/>
    <x v="3"/>
    <x v="7"/>
    <s v="CUST1737"/>
    <s v="SP_05"/>
    <n v="4"/>
    <n v="10837.66"/>
    <n v="43350.64"/>
    <n v="37140"/>
    <n v="6210.64"/>
    <s v="Credit Card"/>
  </r>
  <r>
    <s v="ORD100976"/>
    <s v="2025-08-30"/>
    <x v="11"/>
    <s v="North"/>
    <s v="Uttar Pradesh"/>
    <s v="Lucknow"/>
    <x v="1"/>
    <x v="5"/>
    <s v="CUST1769"/>
    <s v="SP_02"/>
    <n v="1"/>
    <n v="8756.16"/>
    <n v="8756.16"/>
    <n v="7606.31"/>
    <n v="1149.8499999999999"/>
    <s v="Cash"/>
  </r>
  <r>
    <s v="ORD100977"/>
    <s v="2025-09-25"/>
    <x v="5"/>
    <s v="South"/>
    <s v="Telangana"/>
    <s v="Hyderabad"/>
    <x v="3"/>
    <x v="7"/>
    <s v="CUST1157"/>
    <s v="SP_15"/>
    <n v="4"/>
    <n v="11999.47"/>
    <n v="47997.88"/>
    <n v="35284.410000000003"/>
    <n v="12713.47"/>
    <s v="UPI"/>
  </r>
  <r>
    <s v="ORD100978"/>
    <s v="2025-08-14"/>
    <x v="11"/>
    <s v="North"/>
    <s v="Uttar Pradesh"/>
    <s v="Lucknow"/>
    <x v="1"/>
    <x v="5"/>
    <s v="CUST1606"/>
    <s v="SP_10"/>
    <n v="6"/>
    <n v="8592.93"/>
    <n v="51557.58"/>
    <n v="46294.37"/>
    <n v="5263.21"/>
    <s v="Cash"/>
  </r>
  <r>
    <s v="ORD100979"/>
    <s v="2025-04-26"/>
    <x v="0"/>
    <s v="North"/>
    <s v="Delhi"/>
    <s v="Delhi"/>
    <x v="2"/>
    <x v="4"/>
    <s v="CUST1243"/>
    <s v="SP_08"/>
    <n v="2"/>
    <n v="2513.06"/>
    <n v="5026.12"/>
    <n v="3330.72"/>
    <n v="1695.4"/>
    <s v="UPI"/>
  </r>
  <r>
    <s v="ORD100980"/>
    <s v="2025-05-24"/>
    <x v="3"/>
    <s v="South"/>
    <s v="Karnataka"/>
    <s v="Bengaluru"/>
    <x v="3"/>
    <x v="7"/>
    <s v="CUST1194"/>
    <s v="SP_13"/>
    <n v="6"/>
    <n v="10963.52"/>
    <n v="65781.119999999995"/>
    <n v="55692.58"/>
    <n v="10088.540000000001"/>
    <s v="Debit Card"/>
  </r>
  <r>
    <s v="ORD100981"/>
    <s v="2025-05-01"/>
    <x v="3"/>
    <s v="West"/>
    <s v="Maharashtra"/>
    <s v="Mumbai"/>
    <x v="2"/>
    <x v="10"/>
    <s v="CUST1055"/>
    <s v="SP_11"/>
    <n v="6"/>
    <n v="16441.23"/>
    <n v="98647.38"/>
    <n v="83001.77"/>
    <n v="15645.61"/>
    <s v="UPI"/>
  </r>
  <r>
    <s v="ORD100982"/>
    <s v="2025-07-16"/>
    <x v="6"/>
    <s v="South"/>
    <s v="Tamil Nadu"/>
    <s v="Chennai"/>
    <x v="1"/>
    <x v="5"/>
    <s v="CUST1988"/>
    <s v="SP_08"/>
    <n v="6"/>
    <n v="9025.02"/>
    <n v="54150.12"/>
    <n v="46409.919999999998"/>
    <n v="7740.2"/>
    <s v="Net Banking"/>
  </r>
  <r>
    <s v="ORD100983"/>
    <s v="2025-11-09"/>
    <x v="10"/>
    <s v="East"/>
    <s v="Bihar"/>
    <s v="Patna"/>
    <x v="1"/>
    <x v="1"/>
    <s v="CUST1818"/>
    <s v="SP_06"/>
    <n v="8"/>
    <n v="2912.47"/>
    <n v="23299.759999999998"/>
    <n v="15901.23"/>
    <n v="7398.53"/>
    <s v="Credit Card"/>
  </r>
  <r>
    <s v="ORD100984"/>
    <s v="2025-05-20"/>
    <x v="3"/>
    <s v="West"/>
    <s v="Maharashtra"/>
    <s v="Mumbai"/>
    <x v="3"/>
    <x v="11"/>
    <s v="CUST1942"/>
    <s v="SP_01"/>
    <n v="4"/>
    <n v="120.3"/>
    <n v="481.2"/>
    <n v="238.37"/>
    <n v="242.83"/>
    <s v="Cash"/>
  </r>
  <r>
    <s v="ORD100985"/>
    <s v="2025-12-12"/>
    <x v="7"/>
    <s v="East"/>
    <s v="West Bengal"/>
    <s v="Kolkata"/>
    <x v="1"/>
    <x v="6"/>
    <s v="CUST1929"/>
    <s v="SP_12"/>
    <n v="3"/>
    <n v="3457.26"/>
    <n v="10371.780000000001"/>
    <n v="6877.44"/>
    <n v="3494.34"/>
    <s v="UPI"/>
  </r>
  <r>
    <s v="ORD100986"/>
    <s v="2025-01-13"/>
    <x v="9"/>
    <s v="North"/>
    <s v="Punjab"/>
    <s v="Chandigarh"/>
    <x v="1"/>
    <x v="5"/>
    <s v="CUST1440"/>
    <s v="SP_07"/>
    <n v="3"/>
    <n v="8922.0300000000007"/>
    <n v="26766.09"/>
    <n v="22958.17"/>
    <n v="3807.92"/>
    <s v="Net Banking"/>
  </r>
  <r>
    <s v="ORD100987"/>
    <s v="2025-11-08"/>
    <x v="10"/>
    <s v="South"/>
    <s v="Telangana"/>
    <s v="Hyderabad"/>
    <x v="3"/>
    <x v="7"/>
    <s v="CUST1226"/>
    <s v="SP_14"/>
    <n v="1"/>
    <n v="11786.22"/>
    <n v="11786.22"/>
    <n v="9321.26"/>
    <n v="2464.96"/>
    <s v="Net Banking"/>
  </r>
  <r>
    <s v="ORD100988"/>
    <s v="2025-12-13"/>
    <x v="7"/>
    <s v="North"/>
    <s v="Delhi"/>
    <s v="Delhi"/>
    <x v="3"/>
    <x v="7"/>
    <s v="CUST1482"/>
    <s v="SP_05"/>
    <n v="6"/>
    <n v="13115.79"/>
    <n v="78694.740000000005"/>
    <n v="56549.760000000002"/>
    <n v="22144.98"/>
    <s v="Net Banking"/>
  </r>
  <r>
    <s v="ORD100989"/>
    <s v="2025-05-22"/>
    <x v="3"/>
    <s v="South"/>
    <s v="Telangana"/>
    <s v="Hyderabad"/>
    <x v="2"/>
    <x v="10"/>
    <s v="CUST1495"/>
    <s v="SP_06"/>
    <n v="3"/>
    <n v="19540.75"/>
    <n v="58622.25"/>
    <n v="40869.089999999997"/>
    <n v="17753.16"/>
    <s v="Credit Card"/>
  </r>
  <r>
    <s v="ORD100990"/>
    <s v="2025-08-14"/>
    <x v="11"/>
    <s v="West"/>
    <s v="Maharashtra"/>
    <s v="Mumbai"/>
    <x v="3"/>
    <x v="7"/>
    <s v="CUST1433"/>
    <s v="SP_02"/>
    <n v="2"/>
    <n v="12823.39"/>
    <n v="25646.78"/>
    <n v="17158.66"/>
    <n v="8488.1200000000008"/>
    <s v="UPI"/>
  </r>
  <r>
    <s v="ORD100991"/>
    <s v="2025-06-22"/>
    <x v="2"/>
    <s v="North"/>
    <s v="Delhi"/>
    <s v="Delhi"/>
    <x v="1"/>
    <x v="6"/>
    <s v="CUST1982"/>
    <s v="SP_03"/>
    <n v="1"/>
    <n v="2923.27"/>
    <n v="2923.27"/>
    <n v="2290.79"/>
    <n v="632.48"/>
    <s v="Net Banking"/>
  </r>
  <r>
    <s v="ORD100992"/>
    <s v="2025-02-17"/>
    <x v="8"/>
    <s v="South"/>
    <s v="Karnataka"/>
    <s v="Bengaluru"/>
    <x v="1"/>
    <x v="5"/>
    <s v="CUST1443"/>
    <s v="SP_05"/>
    <n v="1"/>
    <n v="8816.1"/>
    <n v="8816.1"/>
    <n v="7419.56"/>
    <n v="1396.54"/>
    <s v="Cash"/>
  </r>
  <r>
    <s v="ORD100993"/>
    <s v="2025-03-19"/>
    <x v="4"/>
    <s v="West"/>
    <s v="Gujarat"/>
    <s v="Ahmedabad"/>
    <x v="3"/>
    <x v="11"/>
    <s v="CUST1434"/>
    <s v="SP_07"/>
    <n v="5"/>
    <n v="129.30000000000001"/>
    <n v="646.5"/>
    <n v="299.61"/>
    <n v="346.89"/>
    <s v="Debit Card"/>
  </r>
  <r>
    <s v="ORD100994"/>
    <s v="2025-11-23"/>
    <x v="10"/>
    <s v="East"/>
    <s v="Odisha"/>
    <s v="Bhubaneswar"/>
    <x v="2"/>
    <x v="4"/>
    <s v="CUST1288"/>
    <s v="SP_12"/>
    <n v="2"/>
    <n v="2587.69"/>
    <n v="5175.38"/>
    <n v="3165.06"/>
    <n v="2010.32"/>
    <s v="UPI"/>
  </r>
  <r>
    <s v="ORD100995"/>
    <s v="2025-01-20"/>
    <x v="9"/>
    <s v="East"/>
    <s v="Bihar"/>
    <s v="Patna"/>
    <x v="3"/>
    <x v="3"/>
    <s v="CUST1531"/>
    <s v="SP_03"/>
    <n v="8"/>
    <n v="27.3"/>
    <n v="218.4"/>
    <n v="82.23"/>
    <n v="136.16999999999999"/>
    <s v="Cash"/>
  </r>
  <r>
    <s v="ORD100996"/>
    <s v="2025-01-07"/>
    <x v="9"/>
    <s v="North"/>
    <s v="Uttar Pradesh"/>
    <s v="Lucknow"/>
    <x v="3"/>
    <x v="3"/>
    <s v="CUST1938"/>
    <s v="SP_06"/>
    <n v="4"/>
    <n v="25.11"/>
    <n v="100.44"/>
    <n v="39.700000000000003"/>
    <n v="60.74"/>
    <s v="Debit Card"/>
  </r>
  <r>
    <s v="ORD100997"/>
    <s v="2025-07-16"/>
    <x v="6"/>
    <s v="North"/>
    <s v="Punjab"/>
    <s v="Chandigarh"/>
    <x v="0"/>
    <x v="8"/>
    <s v="CUST1561"/>
    <s v="SP_13"/>
    <n v="6"/>
    <n v="19979.07"/>
    <n v="119874.42"/>
    <n v="97663.91"/>
    <n v="22210.51"/>
    <s v="UPI"/>
  </r>
  <r>
    <s v="ORD100998"/>
    <s v="2025-03-07"/>
    <x v="4"/>
    <s v="West"/>
    <s v="Rajasthan"/>
    <s v="Jaipur"/>
    <x v="2"/>
    <x v="10"/>
    <s v="CUST1458"/>
    <s v="SP_13"/>
    <n v="4"/>
    <n v="19010.57"/>
    <n v="76042.28"/>
    <n v="54143.85"/>
    <n v="21898.43"/>
    <s v="Cash"/>
  </r>
  <r>
    <s v="ORD100999"/>
    <s v="2025-02-21"/>
    <x v="8"/>
    <s v="South"/>
    <s v="Karnataka"/>
    <s v="Bengaluru"/>
    <x v="2"/>
    <x v="2"/>
    <s v="CUST1169"/>
    <s v="SP_08"/>
    <n v="5"/>
    <n v="42829.35"/>
    <n v="214146.75"/>
    <n v="166399.45000000001"/>
    <n v="47747.3"/>
    <s v="UPI"/>
  </r>
  <r>
    <s v="ORD101000"/>
    <s v="2025-02-21"/>
    <x v="8"/>
    <s v="East"/>
    <s v="Bihar"/>
    <s v="Patna"/>
    <x v="2"/>
    <x v="4"/>
    <s v="CUST1358"/>
    <s v="SP_10"/>
    <n v="8"/>
    <n v="2706.25"/>
    <n v="21650"/>
    <n v="13366.37"/>
    <n v="8283.6299999999992"/>
    <s v="Net Banking"/>
  </r>
  <r>
    <s v="ORD101001"/>
    <s v="2025-09-19"/>
    <x v="5"/>
    <s v="South"/>
    <s v="Karnataka"/>
    <s v="Bengaluru"/>
    <x v="3"/>
    <x v="11"/>
    <s v="CUST1562"/>
    <s v="SP_03"/>
    <n v="6"/>
    <n v="123.85"/>
    <n v="743.1"/>
    <n v="344.54"/>
    <n v="398.56"/>
    <s v="Net Banking"/>
  </r>
  <r>
    <s v="ORD101002"/>
    <s v="2025-02-05"/>
    <x v="8"/>
    <s v="North"/>
    <s v="Delhi"/>
    <s v="Delhi"/>
    <x v="0"/>
    <x v="9"/>
    <s v="CUST1904"/>
    <s v="SP_02"/>
    <n v="3"/>
    <n v="6902.86"/>
    <n v="20708.580000000002"/>
    <n v="14934.47"/>
    <n v="5774.11"/>
    <s v="UPI"/>
  </r>
  <r>
    <s v="ORD101003"/>
    <s v="2025-12-30"/>
    <x v="7"/>
    <s v="North"/>
    <s v="Punjab"/>
    <s v="Chandigarh"/>
    <x v="1"/>
    <x v="5"/>
    <s v="CUST1532"/>
    <s v="SP_15"/>
    <n v="6"/>
    <n v="9952.5300000000007"/>
    <n v="59715.18"/>
    <n v="45272.08"/>
    <n v="14443.1"/>
    <s v="Debit Card"/>
  </r>
  <r>
    <s v="ORD101004"/>
    <s v="2025-12-26"/>
    <x v="7"/>
    <s v="South"/>
    <s v="Tamil Nadu"/>
    <s v="Chennai"/>
    <x v="1"/>
    <x v="6"/>
    <s v="CUST1842"/>
    <s v="SP_13"/>
    <n v="7"/>
    <n v="3317.06"/>
    <n v="23219.42"/>
    <n v="17621.060000000001"/>
    <n v="5598.36"/>
    <s v="UPI"/>
  </r>
  <r>
    <s v="ORD101005"/>
    <s v="2025-09-16"/>
    <x v="5"/>
    <s v="East"/>
    <s v="Bihar"/>
    <s v="Patna"/>
    <x v="1"/>
    <x v="5"/>
    <s v="CUST1410"/>
    <s v="SP_01"/>
    <n v="5"/>
    <n v="10383.93"/>
    <n v="51919.65"/>
    <n v="39318.67"/>
    <n v="12600.98"/>
    <s v="Net Banking"/>
  </r>
  <r>
    <s v="ORD101006"/>
    <s v="2025-08-06"/>
    <x v="11"/>
    <s v="East"/>
    <s v="West Bengal"/>
    <s v="Kolkata"/>
    <x v="3"/>
    <x v="3"/>
    <s v="CUST1774"/>
    <s v="SP_08"/>
    <n v="3"/>
    <n v="23.37"/>
    <n v="70.11"/>
    <n v="29.15"/>
    <n v="40.96"/>
    <s v="Debit Card"/>
  </r>
  <r>
    <s v="ORD101007"/>
    <s v="2025-03-06"/>
    <x v="4"/>
    <s v="South"/>
    <s v="Karnataka"/>
    <s v="Bengaluru"/>
    <x v="3"/>
    <x v="11"/>
    <s v="CUST1658"/>
    <s v="SP_02"/>
    <n v="3"/>
    <n v="116.68"/>
    <n v="350.04"/>
    <n v="175.83"/>
    <n v="174.21"/>
    <s v="Cash"/>
  </r>
  <r>
    <s v="ORD101008"/>
    <s v="2025-04-02"/>
    <x v="0"/>
    <s v="South"/>
    <s v="Karnataka"/>
    <s v="Bengaluru"/>
    <x v="3"/>
    <x v="3"/>
    <s v="CUST1280"/>
    <s v="SP_09"/>
    <n v="6"/>
    <n v="24.88"/>
    <n v="149.28"/>
    <n v="62.99"/>
    <n v="86.29"/>
    <s v="Credit Card"/>
  </r>
  <r>
    <s v="ORD101009"/>
    <s v="2025-02-09"/>
    <x v="8"/>
    <s v="North"/>
    <s v="Uttar Pradesh"/>
    <s v="Lucknow"/>
    <x v="0"/>
    <x v="0"/>
    <s v="CUST1237"/>
    <s v="SP_04"/>
    <n v="8"/>
    <n v="3301.77"/>
    <n v="26414.16"/>
    <n v="17466.09"/>
    <n v="8948.07"/>
    <s v="Credit Card"/>
  </r>
  <r>
    <s v="ORD101010"/>
    <s v="2025-01-02"/>
    <x v="9"/>
    <s v="West"/>
    <s v="Rajasthan"/>
    <s v="Jaipur"/>
    <x v="1"/>
    <x v="6"/>
    <s v="CUST1125"/>
    <s v="SP_13"/>
    <n v="4"/>
    <n v="2997.88"/>
    <n v="11991.52"/>
    <n v="9958.68"/>
    <n v="2032.84"/>
    <s v="Cash"/>
  </r>
  <r>
    <s v="ORD101011"/>
    <s v="2025-12-11"/>
    <x v="7"/>
    <s v="West"/>
    <s v="Gujarat"/>
    <s v="Ahmedabad"/>
    <x v="3"/>
    <x v="3"/>
    <s v="CUST1767"/>
    <s v="SP_02"/>
    <n v="8"/>
    <n v="26.75"/>
    <n v="214"/>
    <n v="80.739999999999995"/>
    <n v="133.26"/>
    <s v="Debit Card"/>
  </r>
  <r>
    <s v="ORD101012"/>
    <s v="2025-03-12"/>
    <x v="4"/>
    <s v="North"/>
    <s v="Uttar Pradesh"/>
    <s v="Lucknow"/>
    <x v="3"/>
    <x v="11"/>
    <s v="CUST1668"/>
    <s v="SP_07"/>
    <n v="3"/>
    <n v="125.01"/>
    <n v="375.03"/>
    <n v="176.9"/>
    <n v="198.13"/>
    <s v="Debit Card"/>
  </r>
  <r>
    <s v="ORD101013"/>
    <s v="2025-08-20"/>
    <x v="11"/>
    <s v="East"/>
    <s v="Bihar"/>
    <s v="Patna"/>
    <x v="2"/>
    <x v="2"/>
    <s v="CUST1219"/>
    <s v="SP_14"/>
    <n v="1"/>
    <n v="40714.720000000001"/>
    <n v="40714.720000000001"/>
    <n v="35082.28"/>
    <n v="5632.44"/>
    <s v="Cash"/>
  </r>
  <r>
    <s v="ORD101014"/>
    <s v="2025-01-07"/>
    <x v="9"/>
    <s v="South"/>
    <s v="Tamil Nadu"/>
    <s v="Chennai"/>
    <x v="3"/>
    <x v="11"/>
    <s v="CUST1160"/>
    <s v="SP_13"/>
    <n v="5"/>
    <n v="124.85"/>
    <n v="624.25"/>
    <n v="308.12"/>
    <n v="316.13"/>
    <s v="Debit Card"/>
  </r>
  <r>
    <s v="ORD101015"/>
    <s v="2025-01-31"/>
    <x v="9"/>
    <s v="West"/>
    <s v="Rajasthan"/>
    <s v="Jaipur"/>
    <x v="1"/>
    <x v="1"/>
    <s v="CUST1338"/>
    <s v="SP_06"/>
    <n v="4"/>
    <n v="2734.14"/>
    <n v="10936.56"/>
    <n v="7370.11"/>
    <n v="3566.45"/>
    <s v="Net Banking"/>
  </r>
  <r>
    <s v="ORD101016"/>
    <s v="2025-10-02"/>
    <x v="1"/>
    <s v="East"/>
    <s v="Odisha"/>
    <s v="Bhubaneswar"/>
    <x v="1"/>
    <x v="5"/>
    <s v="CUST1764"/>
    <s v="SP_11"/>
    <n v="5"/>
    <n v="9333.0400000000009"/>
    <n v="46665.2"/>
    <n v="36809.1"/>
    <n v="9856.1"/>
    <s v="Cash"/>
  </r>
  <r>
    <s v="ORD101017"/>
    <s v="2025-04-12"/>
    <x v="0"/>
    <s v="North"/>
    <s v="Delhi"/>
    <s v="Delhi"/>
    <x v="3"/>
    <x v="7"/>
    <s v="CUST1882"/>
    <s v="SP_05"/>
    <n v="6"/>
    <n v="11847.46"/>
    <n v="71084.759999999995"/>
    <n v="53364.66"/>
    <n v="17720.099999999999"/>
    <s v="Net Banking"/>
  </r>
  <r>
    <s v="ORD101018"/>
    <s v="2025-09-15"/>
    <x v="5"/>
    <s v="East"/>
    <s v="Odisha"/>
    <s v="Bhubaneswar"/>
    <x v="2"/>
    <x v="4"/>
    <s v="CUST1356"/>
    <s v="SP_14"/>
    <n v="4"/>
    <n v="2379.0100000000002"/>
    <n v="9516.0400000000009"/>
    <n v="6560.58"/>
    <n v="2955.46"/>
    <s v="Cash"/>
  </r>
  <r>
    <s v="ORD101019"/>
    <s v="2025-04-09"/>
    <x v="0"/>
    <s v="South"/>
    <s v="Tamil Nadu"/>
    <s v="Chennai"/>
    <x v="3"/>
    <x v="3"/>
    <s v="CUST1256"/>
    <s v="SP_07"/>
    <n v="4"/>
    <n v="24.55"/>
    <n v="98.2"/>
    <n v="40.06"/>
    <n v="58.14"/>
    <s v="Cash"/>
  </r>
  <r>
    <s v="ORD101020"/>
    <s v="2025-10-17"/>
    <x v="1"/>
    <s v="West"/>
    <s v="Maharashtra"/>
    <s v="Mumbai"/>
    <x v="3"/>
    <x v="3"/>
    <s v="CUST1637"/>
    <s v="SP_10"/>
    <n v="7"/>
    <n v="24.91"/>
    <n v="174.37"/>
    <n v="69.97"/>
    <n v="104.4"/>
    <s v="Debit Card"/>
  </r>
  <r>
    <s v="ORD101021"/>
    <s v="2025-11-29"/>
    <x v="10"/>
    <s v="West"/>
    <s v="Maharashtra"/>
    <s v="Mumbai"/>
    <x v="0"/>
    <x v="9"/>
    <s v="CUST1967"/>
    <s v="SP_03"/>
    <n v="5"/>
    <n v="7375.62"/>
    <n v="36878.1"/>
    <n v="24216.17"/>
    <n v="12661.93"/>
    <s v="Debit Card"/>
  </r>
  <r>
    <s v="ORD101022"/>
    <s v="2025-03-27"/>
    <x v="4"/>
    <s v="South"/>
    <s v="Telangana"/>
    <s v="Hyderabad"/>
    <x v="3"/>
    <x v="3"/>
    <s v="CUST1242"/>
    <s v="SP_12"/>
    <n v="6"/>
    <n v="25.25"/>
    <n v="151.5"/>
    <n v="61.62"/>
    <n v="89.88"/>
    <s v="Net Banking"/>
  </r>
  <r>
    <s v="ORD101023"/>
    <s v="2025-04-17"/>
    <x v="0"/>
    <s v="South"/>
    <s v="Tamil Nadu"/>
    <s v="Chennai"/>
    <x v="2"/>
    <x v="2"/>
    <s v="CUST1834"/>
    <s v="SP_12"/>
    <n v="4"/>
    <n v="46805.64"/>
    <n v="187222.56"/>
    <n v="140510.59"/>
    <n v="46711.97"/>
    <s v="Net Banking"/>
  </r>
  <r>
    <s v="ORD101024"/>
    <s v="2025-10-20"/>
    <x v="1"/>
    <s v="West"/>
    <s v="Rajasthan"/>
    <s v="Jaipur"/>
    <x v="1"/>
    <x v="5"/>
    <s v="CUST1963"/>
    <s v="SP_01"/>
    <n v="2"/>
    <n v="9223.3799999999992"/>
    <n v="18446.759999999998"/>
    <n v="15624.44"/>
    <n v="2822.32"/>
    <s v="Debit Card"/>
  </r>
  <r>
    <s v="ORD101025"/>
    <s v="2025-04-08"/>
    <x v="0"/>
    <s v="West"/>
    <s v="Rajasthan"/>
    <s v="Jaipur"/>
    <x v="0"/>
    <x v="0"/>
    <s v="CUST1521"/>
    <s v="SP_12"/>
    <n v="1"/>
    <n v="3610.28"/>
    <n v="3610.28"/>
    <n v="2276.23"/>
    <n v="1334.05"/>
    <s v="Credit Card"/>
  </r>
  <r>
    <s v="ORD101026"/>
    <s v="2025-05-21"/>
    <x v="3"/>
    <s v="North"/>
    <s v="Punjab"/>
    <s v="Chandigarh"/>
    <x v="2"/>
    <x v="10"/>
    <s v="CUST1915"/>
    <s v="SP_14"/>
    <n v="8"/>
    <n v="17532.66"/>
    <n v="140261.28"/>
    <n v="112512.82"/>
    <n v="27748.46"/>
    <s v="Cash"/>
  </r>
  <r>
    <s v="ORD101027"/>
    <s v="2025-08-14"/>
    <x v="11"/>
    <s v="East"/>
    <s v="Bihar"/>
    <s v="Patna"/>
    <x v="3"/>
    <x v="7"/>
    <s v="CUST1057"/>
    <s v="SP_04"/>
    <n v="2"/>
    <n v="10807.34"/>
    <n v="21614.68"/>
    <n v="17443.8"/>
    <n v="4170.88"/>
    <s v="Credit Card"/>
  </r>
  <r>
    <s v="ORD101028"/>
    <s v="2025-01-15"/>
    <x v="9"/>
    <s v="North"/>
    <s v="Punjab"/>
    <s v="Chandigarh"/>
    <x v="0"/>
    <x v="8"/>
    <s v="CUST1611"/>
    <s v="SP_01"/>
    <n v="3"/>
    <n v="21945.72"/>
    <n v="65837.16"/>
    <n v="52276.6"/>
    <n v="13560.56"/>
    <s v="Debit Card"/>
  </r>
  <r>
    <s v="ORD101029"/>
    <s v="2025-01-26"/>
    <x v="9"/>
    <s v="North"/>
    <s v="Punjab"/>
    <s v="Chandigarh"/>
    <x v="0"/>
    <x v="0"/>
    <s v="CUST1691"/>
    <s v="SP_12"/>
    <n v="4"/>
    <n v="3411.06"/>
    <n v="13644.24"/>
    <n v="9007.31"/>
    <n v="4636.93"/>
    <s v="Net Banking"/>
  </r>
  <r>
    <s v="ORD101030"/>
    <s v="2025-06-05"/>
    <x v="2"/>
    <s v="West"/>
    <s v="Maharashtra"/>
    <s v="Mumbai"/>
    <x v="2"/>
    <x v="4"/>
    <s v="CUST1066"/>
    <s v="SP_05"/>
    <n v="1"/>
    <n v="2435.71"/>
    <n v="2435.71"/>
    <n v="1582.12"/>
    <n v="853.59"/>
    <s v="Net Banking"/>
  </r>
  <r>
    <s v="ORD101031"/>
    <s v="2025-12-16"/>
    <x v="7"/>
    <s v="West"/>
    <s v="Maharashtra"/>
    <s v="Mumbai"/>
    <x v="2"/>
    <x v="2"/>
    <s v="CUST1139"/>
    <s v="SP_10"/>
    <n v="4"/>
    <n v="46908.38"/>
    <n v="187633.52"/>
    <n v="143274.76999999999"/>
    <n v="44358.75"/>
    <s v="Net Banking"/>
  </r>
  <r>
    <s v="ORD101032"/>
    <s v="2025-08-22"/>
    <x v="11"/>
    <s v="West"/>
    <s v="Maharashtra"/>
    <s v="Mumbai"/>
    <x v="0"/>
    <x v="0"/>
    <s v="CUST1907"/>
    <s v="SP_03"/>
    <n v="4"/>
    <n v="3527.75"/>
    <n v="14111"/>
    <n v="8933.0400000000009"/>
    <n v="5177.96"/>
    <s v="Cash"/>
  </r>
  <r>
    <s v="ORD101033"/>
    <s v="2025-11-17"/>
    <x v="10"/>
    <s v="West"/>
    <s v="Maharashtra"/>
    <s v="Mumbai"/>
    <x v="0"/>
    <x v="9"/>
    <s v="CUST1105"/>
    <s v="SP_07"/>
    <n v="1"/>
    <n v="7279.02"/>
    <n v="7279.02"/>
    <n v="5045.0600000000004"/>
    <n v="2233.96"/>
    <s v="Debit Card"/>
  </r>
  <r>
    <s v="ORD101034"/>
    <s v="2025-07-16"/>
    <x v="6"/>
    <s v="South"/>
    <s v="Tamil Nadu"/>
    <s v="Chennai"/>
    <x v="2"/>
    <x v="2"/>
    <s v="CUST1081"/>
    <s v="SP_06"/>
    <n v="3"/>
    <n v="42782.51"/>
    <n v="128347.53"/>
    <n v="103956.47"/>
    <n v="24391.06"/>
    <s v="Debit Card"/>
  </r>
  <r>
    <s v="ORD101035"/>
    <s v="2025-10-30"/>
    <x v="1"/>
    <s v="West"/>
    <s v="Gujarat"/>
    <s v="Ahmedabad"/>
    <x v="3"/>
    <x v="7"/>
    <s v="CUST1574"/>
    <s v="SP_07"/>
    <n v="1"/>
    <n v="12087.69"/>
    <n v="12087.69"/>
    <n v="8873.52"/>
    <n v="3214.17"/>
    <s v="Debit Card"/>
  </r>
  <r>
    <s v="ORD101036"/>
    <s v="2025-07-06"/>
    <x v="6"/>
    <s v="North"/>
    <s v="Punjab"/>
    <s v="Chandigarh"/>
    <x v="0"/>
    <x v="8"/>
    <s v="CUST1270"/>
    <s v="SP_10"/>
    <n v="3"/>
    <n v="21674.81"/>
    <n v="65024.43"/>
    <n v="51499.54"/>
    <n v="13524.89"/>
    <s v="Cash"/>
  </r>
  <r>
    <s v="ORD101037"/>
    <s v="2025-08-10"/>
    <x v="11"/>
    <s v="South"/>
    <s v="Tamil Nadu"/>
    <s v="Chennai"/>
    <x v="0"/>
    <x v="0"/>
    <s v="CUST1547"/>
    <s v="SP_12"/>
    <n v="5"/>
    <n v="3816.06"/>
    <n v="19080.3"/>
    <n v="10599.76"/>
    <n v="8480.5400000000009"/>
    <s v="UPI"/>
  </r>
  <r>
    <s v="ORD101038"/>
    <s v="2025-06-15"/>
    <x v="2"/>
    <s v="East"/>
    <s v="Odisha"/>
    <s v="Bhubaneswar"/>
    <x v="2"/>
    <x v="2"/>
    <s v="CUST1848"/>
    <s v="SP_15"/>
    <n v="2"/>
    <n v="47674.58"/>
    <n v="95349.16"/>
    <n v="71103.45"/>
    <n v="24245.71"/>
    <s v="Net Banking"/>
  </r>
  <r>
    <s v="ORD101039"/>
    <s v="2025-11-15"/>
    <x v="10"/>
    <s v="East"/>
    <s v="West Bengal"/>
    <s v="Kolkata"/>
    <x v="3"/>
    <x v="3"/>
    <s v="CUST1806"/>
    <s v="SP_14"/>
    <n v="1"/>
    <n v="24.26"/>
    <n v="24.26"/>
    <n v="10.27"/>
    <n v="13.99"/>
    <s v="Credit Card"/>
  </r>
  <r>
    <s v="ORD101040"/>
    <s v="2025-05-26"/>
    <x v="3"/>
    <s v="South"/>
    <s v="Telangana"/>
    <s v="Hyderabad"/>
    <x v="2"/>
    <x v="4"/>
    <s v="CUST1024"/>
    <s v="SP_01"/>
    <n v="5"/>
    <n v="2263.23"/>
    <n v="11316.15"/>
    <n v="7696.54"/>
    <n v="3619.61"/>
    <s v="Credit Card"/>
  </r>
  <r>
    <s v="ORD101041"/>
    <s v="2025-06-30"/>
    <x v="2"/>
    <s v="South"/>
    <s v="Karnataka"/>
    <s v="Bengaluru"/>
    <x v="3"/>
    <x v="7"/>
    <s v="CUST1308"/>
    <s v="SP_03"/>
    <n v="2"/>
    <n v="12770.32"/>
    <n v="25540.639999999999"/>
    <n v="17331.57"/>
    <n v="8209.07"/>
    <s v="Cash"/>
  </r>
  <r>
    <s v="ORD101042"/>
    <s v="2025-09-07"/>
    <x v="5"/>
    <s v="West"/>
    <s v="Rajasthan"/>
    <s v="Jaipur"/>
    <x v="2"/>
    <x v="4"/>
    <s v="CUST1339"/>
    <s v="SP_09"/>
    <n v="8"/>
    <n v="2343.48"/>
    <n v="18747.84"/>
    <n v="12907.25"/>
    <n v="5840.59"/>
    <s v="Net Banking"/>
  </r>
  <r>
    <s v="ORD101043"/>
    <s v="2025-09-15"/>
    <x v="5"/>
    <s v="East"/>
    <s v="Bihar"/>
    <s v="Patna"/>
    <x v="3"/>
    <x v="11"/>
    <s v="CUST1604"/>
    <s v="SP_08"/>
    <n v="7"/>
    <n v="121.07"/>
    <n v="847.49"/>
    <n v="410.46"/>
    <n v="437.03"/>
    <s v="Cash"/>
  </r>
  <r>
    <s v="ORD101044"/>
    <s v="2025-11-03"/>
    <x v="10"/>
    <s v="North"/>
    <s v="Punjab"/>
    <s v="Chandigarh"/>
    <x v="2"/>
    <x v="2"/>
    <s v="CUST1310"/>
    <s v="SP_06"/>
    <n v="1"/>
    <n v="47633.59"/>
    <n v="47633.59"/>
    <n v="34268.6"/>
    <n v="13364.99"/>
    <s v="Credit Card"/>
  </r>
  <r>
    <s v="ORD101045"/>
    <s v="2025-04-25"/>
    <x v="0"/>
    <s v="West"/>
    <s v="Maharashtra"/>
    <s v="Mumbai"/>
    <x v="0"/>
    <x v="9"/>
    <s v="CUST1250"/>
    <s v="SP_08"/>
    <n v="3"/>
    <n v="7108.37"/>
    <n v="21325.11"/>
    <n v="15532.33"/>
    <n v="5792.78"/>
    <s v="Credit Card"/>
  </r>
  <r>
    <s v="ORD101046"/>
    <s v="2025-05-29"/>
    <x v="3"/>
    <s v="North"/>
    <s v="Uttar Pradesh"/>
    <s v="Lucknow"/>
    <x v="2"/>
    <x v="2"/>
    <s v="CUST1538"/>
    <s v="SP_03"/>
    <n v="8"/>
    <n v="47845.22"/>
    <n v="382761.76"/>
    <n v="268005.42"/>
    <n v="114756.34"/>
    <s v="Cash"/>
  </r>
  <r>
    <s v="ORD101047"/>
    <s v="2025-10-07"/>
    <x v="1"/>
    <s v="North"/>
    <s v="Delhi"/>
    <s v="Delhi"/>
    <x v="0"/>
    <x v="0"/>
    <s v="CUST1617"/>
    <s v="SP_02"/>
    <n v="7"/>
    <n v="3750.71"/>
    <n v="26254.97"/>
    <n v="15528.12"/>
    <n v="10726.85"/>
    <s v="Debit Card"/>
  </r>
  <r>
    <s v="ORD101048"/>
    <s v="2025-01-24"/>
    <x v="9"/>
    <s v="North"/>
    <s v="Uttar Pradesh"/>
    <s v="Lucknow"/>
    <x v="0"/>
    <x v="8"/>
    <s v="CUST1460"/>
    <s v="SP_05"/>
    <n v="3"/>
    <n v="21711.74"/>
    <n v="65135.22"/>
    <n v="51983.839999999997"/>
    <n v="13151.38"/>
    <s v="UPI"/>
  </r>
  <r>
    <s v="ORD101049"/>
    <s v="2025-12-28"/>
    <x v="7"/>
    <s v="East"/>
    <s v="Odisha"/>
    <s v="Bhubaneswar"/>
    <x v="0"/>
    <x v="9"/>
    <s v="CUST1957"/>
    <s v="SP_11"/>
    <n v="6"/>
    <n v="7338.63"/>
    <n v="44031.78"/>
    <n v="30950.31"/>
    <n v="13081.47"/>
    <s v="Debit Card"/>
  </r>
  <r>
    <s v="ORD101050"/>
    <s v="2025-03-21"/>
    <x v="4"/>
    <s v="South"/>
    <s v="Karnataka"/>
    <s v="Bengaluru"/>
    <x v="3"/>
    <x v="11"/>
    <s v="CUST1560"/>
    <s v="SP_10"/>
    <n v="3"/>
    <n v="130.86000000000001"/>
    <n v="392.58"/>
    <n v="179.39"/>
    <n v="213.19"/>
    <s v="UPI"/>
  </r>
  <r>
    <s v="ORD101051"/>
    <s v="2025-09-01"/>
    <x v="5"/>
    <s v="East"/>
    <s v="West Bengal"/>
    <s v="Kolkata"/>
    <x v="2"/>
    <x v="10"/>
    <s v="CUST1651"/>
    <s v="SP_02"/>
    <n v="2"/>
    <n v="19056.03"/>
    <n v="38112.06"/>
    <n v="27653.09"/>
    <n v="10458.969999999999"/>
    <s v="Credit Card"/>
  </r>
  <r>
    <s v="ORD101052"/>
    <s v="2025-01-19"/>
    <x v="9"/>
    <s v="South"/>
    <s v="Karnataka"/>
    <s v="Bengaluru"/>
    <x v="0"/>
    <x v="8"/>
    <s v="CUST1094"/>
    <s v="SP_01"/>
    <n v="7"/>
    <n v="24178.22"/>
    <n v="169247.54"/>
    <n v="114307.12"/>
    <n v="54940.42"/>
    <s v="Cash"/>
  </r>
  <r>
    <s v="ORD101053"/>
    <s v="2025-07-11"/>
    <x v="6"/>
    <s v="East"/>
    <s v="West Bengal"/>
    <s v="Kolkata"/>
    <x v="0"/>
    <x v="0"/>
    <s v="CUST1910"/>
    <s v="SP_04"/>
    <n v="7"/>
    <n v="3357.94"/>
    <n v="23505.58"/>
    <n v="14794.37"/>
    <n v="8711.2099999999991"/>
    <s v="Cash"/>
  </r>
  <r>
    <s v="ORD101054"/>
    <s v="2025-04-08"/>
    <x v="0"/>
    <s v="South"/>
    <s v="Telangana"/>
    <s v="Hyderabad"/>
    <x v="3"/>
    <x v="3"/>
    <s v="CUST1666"/>
    <s v="SP_15"/>
    <n v="1"/>
    <n v="26.48"/>
    <n v="26.48"/>
    <n v="10.32"/>
    <n v="16.16"/>
    <s v="Debit Card"/>
  </r>
  <r>
    <s v="ORD101055"/>
    <s v="2025-07-23"/>
    <x v="6"/>
    <s v="East"/>
    <s v="Odisha"/>
    <s v="Bhubaneswar"/>
    <x v="2"/>
    <x v="2"/>
    <s v="CUST1599"/>
    <s v="SP_04"/>
    <n v="1"/>
    <n v="46624.97"/>
    <n v="46624.97"/>
    <n v="36014.5"/>
    <n v="10610.47"/>
    <s v="Debit Card"/>
  </r>
  <r>
    <s v="ORD101056"/>
    <s v="2025-05-16"/>
    <x v="3"/>
    <s v="South"/>
    <s v="Karnataka"/>
    <s v="Bengaluru"/>
    <x v="2"/>
    <x v="2"/>
    <s v="CUST1539"/>
    <s v="SP_12"/>
    <n v="7"/>
    <n v="46785.77"/>
    <n v="327500.39"/>
    <n v="244163"/>
    <n v="83337.39"/>
    <s v="Credit Card"/>
  </r>
  <r>
    <s v="ORD101057"/>
    <s v="2025-11-14"/>
    <x v="10"/>
    <s v="East"/>
    <s v="Bihar"/>
    <s v="Patna"/>
    <x v="3"/>
    <x v="3"/>
    <s v="CUST1283"/>
    <s v="SP_13"/>
    <n v="2"/>
    <n v="22.56"/>
    <n v="45.12"/>
    <n v="19.7"/>
    <n v="25.42"/>
    <s v="UPI"/>
  </r>
  <r>
    <s v="ORD101058"/>
    <s v="2025-10-04"/>
    <x v="1"/>
    <s v="West"/>
    <s v="Rajasthan"/>
    <s v="Jaipur"/>
    <x v="1"/>
    <x v="5"/>
    <s v="CUST1728"/>
    <s v="SP_06"/>
    <n v="4"/>
    <n v="9816.33"/>
    <n v="39265.32"/>
    <n v="29694.44"/>
    <n v="9570.8799999999992"/>
    <s v="Credit Card"/>
  </r>
  <r>
    <s v="ORD101059"/>
    <s v="2025-01-23"/>
    <x v="9"/>
    <s v="East"/>
    <s v="Bihar"/>
    <s v="Patna"/>
    <x v="2"/>
    <x v="4"/>
    <s v="CUST1967"/>
    <s v="SP_05"/>
    <n v="3"/>
    <n v="2279.31"/>
    <n v="6837.93"/>
    <n v="5005.59"/>
    <n v="1832.34"/>
    <s v="Cash"/>
  </r>
  <r>
    <s v="ORD101060"/>
    <s v="2025-12-07"/>
    <x v="7"/>
    <s v="West"/>
    <s v="Rajasthan"/>
    <s v="Jaipur"/>
    <x v="0"/>
    <x v="0"/>
    <s v="CUST1119"/>
    <s v="SP_01"/>
    <n v="1"/>
    <n v="3206.82"/>
    <n v="3206.82"/>
    <n v="2309.39"/>
    <n v="897.43"/>
    <s v="Cash"/>
  </r>
  <r>
    <s v="ORD101061"/>
    <s v="2025-09-09"/>
    <x v="5"/>
    <s v="West"/>
    <s v="Rajasthan"/>
    <s v="Jaipur"/>
    <x v="1"/>
    <x v="1"/>
    <s v="CUST1740"/>
    <s v="SP_08"/>
    <n v="1"/>
    <n v="2792.72"/>
    <n v="2792.72"/>
    <n v="1966.99"/>
    <n v="825.73"/>
    <s v="Debit Card"/>
  </r>
  <r>
    <s v="ORD101062"/>
    <s v="2025-01-12"/>
    <x v="9"/>
    <s v="East"/>
    <s v="West Bengal"/>
    <s v="Kolkata"/>
    <x v="2"/>
    <x v="2"/>
    <s v="CUST1471"/>
    <s v="SP_04"/>
    <n v="1"/>
    <n v="44450.41"/>
    <n v="44450.41"/>
    <n v="33644.11"/>
    <n v="10806.3"/>
    <s v="Cash"/>
  </r>
  <r>
    <s v="ORD101063"/>
    <s v="2025-10-23"/>
    <x v="1"/>
    <s v="North"/>
    <s v="Punjab"/>
    <s v="Chandigarh"/>
    <x v="1"/>
    <x v="5"/>
    <s v="CUST1321"/>
    <s v="SP_01"/>
    <n v="1"/>
    <n v="9011.5"/>
    <n v="9011.5"/>
    <n v="7500.41"/>
    <n v="1511.09"/>
    <s v="Cash"/>
  </r>
  <r>
    <s v="ORD101064"/>
    <s v="2025-11-10"/>
    <x v="10"/>
    <s v="North"/>
    <s v="Punjab"/>
    <s v="Chandigarh"/>
    <x v="2"/>
    <x v="4"/>
    <s v="CUST1011"/>
    <s v="SP_04"/>
    <n v="4"/>
    <n v="2475.56"/>
    <n v="9902.24"/>
    <n v="6185.98"/>
    <n v="3716.26"/>
    <s v="Debit Card"/>
  </r>
  <r>
    <s v="ORD101065"/>
    <s v="2025-10-02"/>
    <x v="1"/>
    <s v="South"/>
    <s v="Karnataka"/>
    <s v="Bengaluru"/>
    <x v="2"/>
    <x v="2"/>
    <s v="CUST1651"/>
    <s v="SP_10"/>
    <n v="1"/>
    <n v="44821.7"/>
    <n v="44821.7"/>
    <n v="35039.4"/>
    <n v="9782.2999999999993"/>
    <s v="UPI"/>
  </r>
  <r>
    <s v="ORD101066"/>
    <s v="2025-03-24"/>
    <x v="4"/>
    <s v="West"/>
    <s v="Gujarat"/>
    <s v="Ahmedabad"/>
    <x v="2"/>
    <x v="2"/>
    <s v="CUST1480"/>
    <s v="SP_01"/>
    <n v="5"/>
    <n v="47515.46"/>
    <n v="237577.3"/>
    <n v="166860.9"/>
    <n v="70716.399999999994"/>
    <s v="Net Banking"/>
  </r>
  <r>
    <s v="ORD101067"/>
    <s v="2025-01-09"/>
    <x v="9"/>
    <s v="West"/>
    <s v="Gujarat"/>
    <s v="Ahmedabad"/>
    <x v="1"/>
    <x v="5"/>
    <s v="CUST1823"/>
    <s v="SP_08"/>
    <n v="6"/>
    <n v="10342.35"/>
    <n v="62054.1"/>
    <n v="43853.95"/>
    <n v="18200.150000000001"/>
    <s v="Credit Card"/>
  </r>
  <r>
    <s v="ORD101068"/>
    <s v="2025-04-26"/>
    <x v="0"/>
    <s v="West"/>
    <s v="Rajasthan"/>
    <s v="Jaipur"/>
    <x v="1"/>
    <x v="1"/>
    <s v="CUST1963"/>
    <s v="SP_14"/>
    <n v="2"/>
    <n v="2883.74"/>
    <n v="5767.48"/>
    <n v="3901.12"/>
    <n v="1866.36"/>
    <s v="Cash"/>
  </r>
  <r>
    <s v="ORD101069"/>
    <s v="2025-11-30"/>
    <x v="10"/>
    <s v="North"/>
    <s v="Uttar Pradesh"/>
    <s v="Lucknow"/>
    <x v="2"/>
    <x v="4"/>
    <s v="CUST1632"/>
    <s v="SP_07"/>
    <n v="3"/>
    <n v="2298.9699999999998"/>
    <n v="6896.91"/>
    <n v="4645.09"/>
    <n v="2251.8200000000002"/>
    <s v="UPI"/>
  </r>
  <r>
    <s v="ORD101070"/>
    <s v="2025-01-14"/>
    <x v="9"/>
    <s v="North"/>
    <s v="Punjab"/>
    <s v="Chandigarh"/>
    <x v="0"/>
    <x v="8"/>
    <s v="CUST1312"/>
    <s v="SP_11"/>
    <n v="7"/>
    <n v="19893.37"/>
    <n v="139253.59"/>
    <n v="113058.35"/>
    <n v="26195.24"/>
    <s v="Debit Card"/>
  </r>
  <r>
    <s v="ORD101071"/>
    <s v="2025-08-15"/>
    <x v="11"/>
    <s v="South"/>
    <s v="Tamil Nadu"/>
    <s v="Chennai"/>
    <x v="2"/>
    <x v="10"/>
    <s v="CUST1839"/>
    <s v="SP_08"/>
    <n v="5"/>
    <n v="17948.04"/>
    <n v="89740.2"/>
    <n v="70683.850000000006"/>
    <n v="19056.349999999999"/>
    <s v="Credit Card"/>
  </r>
  <r>
    <s v="ORD101072"/>
    <s v="2025-02-14"/>
    <x v="8"/>
    <s v="West"/>
    <s v="Gujarat"/>
    <s v="Ahmedabad"/>
    <x v="0"/>
    <x v="8"/>
    <s v="CUST1756"/>
    <s v="SP_11"/>
    <n v="8"/>
    <n v="24109.08"/>
    <n v="192872.64"/>
    <n v="139283.29"/>
    <n v="53589.35"/>
    <s v="Debit Card"/>
  </r>
  <r>
    <s v="ORD101073"/>
    <s v="2025-02-08"/>
    <x v="8"/>
    <s v="South"/>
    <s v="Karnataka"/>
    <s v="Bengaluru"/>
    <x v="1"/>
    <x v="6"/>
    <s v="CUST1175"/>
    <s v="SP_05"/>
    <n v="8"/>
    <n v="2934.59"/>
    <n v="23476.720000000001"/>
    <n v="18875.55"/>
    <n v="4601.17"/>
    <s v="Credit Card"/>
  </r>
  <r>
    <s v="ORD101074"/>
    <s v="2025-08-27"/>
    <x v="11"/>
    <s v="South"/>
    <s v="Karnataka"/>
    <s v="Bengaluru"/>
    <x v="2"/>
    <x v="10"/>
    <s v="CUST1678"/>
    <s v="SP_06"/>
    <n v="5"/>
    <n v="16527.080000000002"/>
    <n v="82635.399999999994"/>
    <n v="71542.37"/>
    <n v="11093.03"/>
    <s v="Cash"/>
  </r>
  <r>
    <s v="ORD101075"/>
    <s v="2025-06-08"/>
    <x v="2"/>
    <s v="South"/>
    <s v="Karnataka"/>
    <s v="Bengaluru"/>
    <x v="0"/>
    <x v="8"/>
    <s v="CUST1242"/>
    <s v="SP_11"/>
    <n v="4"/>
    <n v="21073.69"/>
    <n v="84294.76"/>
    <n v="66070.48"/>
    <n v="18224.28"/>
    <s v="Debit Card"/>
  </r>
  <r>
    <s v="ORD101076"/>
    <s v="2025-07-20"/>
    <x v="6"/>
    <s v="West"/>
    <s v="Maharashtra"/>
    <s v="Mumbai"/>
    <x v="1"/>
    <x v="1"/>
    <s v="CUST1613"/>
    <s v="SP_10"/>
    <n v="1"/>
    <n v="2606.19"/>
    <n v="2606.19"/>
    <n v="1896.29"/>
    <n v="709.9"/>
    <s v="Cash"/>
  </r>
  <r>
    <s v="ORD101077"/>
    <s v="2025-11-10"/>
    <x v="10"/>
    <s v="East"/>
    <s v="West Bengal"/>
    <s v="Kolkata"/>
    <x v="0"/>
    <x v="0"/>
    <s v="CUST1756"/>
    <s v="SP_14"/>
    <n v="1"/>
    <n v="3341.43"/>
    <n v="3341.43"/>
    <n v="2268.8200000000002"/>
    <n v="1072.6099999999999"/>
    <s v="Debit Card"/>
  </r>
  <r>
    <s v="ORD101078"/>
    <s v="2025-12-21"/>
    <x v="7"/>
    <s v="South"/>
    <s v="Tamil Nadu"/>
    <s v="Chennai"/>
    <x v="0"/>
    <x v="9"/>
    <s v="CUST1941"/>
    <s v="SP_09"/>
    <n v="3"/>
    <n v="7529.15"/>
    <n v="22587.45"/>
    <n v="15479.65"/>
    <n v="7107.8"/>
    <s v="Credit Card"/>
  </r>
  <r>
    <s v="ORD101079"/>
    <s v="2025-06-02"/>
    <x v="2"/>
    <s v="East"/>
    <s v="West Bengal"/>
    <s v="Kolkata"/>
    <x v="2"/>
    <x v="2"/>
    <s v="CUST1408"/>
    <s v="SP_05"/>
    <n v="5"/>
    <n v="45326.12"/>
    <n v="226630.6"/>
    <n v="166401.99"/>
    <n v="60228.61"/>
    <s v="Cash"/>
  </r>
  <r>
    <s v="ORD101080"/>
    <s v="2025-09-27"/>
    <x v="5"/>
    <s v="East"/>
    <s v="West Bengal"/>
    <s v="Kolkata"/>
    <x v="1"/>
    <x v="1"/>
    <s v="CUST1387"/>
    <s v="SP_13"/>
    <n v="7"/>
    <n v="2941.54"/>
    <n v="20590.78"/>
    <n v="12755.86"/>
    <n v="7834.92"/>
    <s v="Net Banking"/>
  </r>
  <r>
    <s v="ORD101081"/>
    <s v="2025-10-26"/>
    <x v="1"/>
    <s v="North"/>
    <s v="Delhi"/>
    <s v="Delhi"/>
    <x v="2"/>
    <x v="10"/>
    <s v="CUST1123"/>
    <s v="SP_02"/>
    <n v="8"/>
    <n v="19766.97"/>
    <n v="158135.76"/>
    <n v="107221.63"/>
    <n v="50914.13"/>
    <s v="UPI"/>
  </r>
  <r>
    <s v="ORD101082"/>
    <s v="2025-07-10"/>
    <x v="6"/>
    <s v="North"/>
    <s v="Uttar Pradesh"/>
    <s v="Lucknow"/>
    <x v="3"/>
    <x v="3"/>
    <s v="CUST1930"/>
    <s v="SP_13"/>
    <n v="1"/>
    <n v="25.14"/>
    <n v="25.14"/>
    <n v="10.029999999999999"/>
    <n v="15.11"/>
    <s v="Credit Card"/>
  </r>
  <r>
    <s v="ORD101083"/>
    <s v="2025-10-07"/>
    <x v="1"/>
    <s v="East"/>
    <s v="West Bengal"/>
    <s v="Kolkata"/>
    <x v="2"/>
    <x v="4"/>
    <s v="CUST1172"/>
    <s v="SP_09"/>
    <n v="6"/>
    <n v="2330.39"/>
    <n v="13982.34"/>
    <n v="9994.07"/>
    <n v="3988.27"/>
    <s v="Debit Card"/>
  </r>
  <r>
    <s v="ORD101084"/>
    <s v="2025-03-18"/>
    <x v="4"/>
    <s v="South"/>
    <s v="Karnataka"/>
    <s v="Bengaluru"/>
    <x v="2"/>
    <x v="4"/>
    <s v="CUST1662"/>
    <s v="SP_08"/>
    <n v="5"/>
    <n v="2662.53"/>
    <n v="13312.65"/>
    <n v="7658.26"/>
    <n v="5654.39"/>
    <s v="Net Banking"/>
  </r>
  <r>
    <s v="ORD101085"/>
    <s v="2025-06-25"/>
    <x v="2"/>
    <s v="South"/>
    <s v="Karnataka"/>
    <s v="Bengaluru"/>
    <x v="1"/>
    <x v="6"/>
    <s v="CUST1070"/>
    <s v="SP_14"/>
    <n v="3"/>
    <n v="3150.42"/>
    <n v="9451.26"/>
    <n v="7256.6"/>
    <n v="2194.66"/>
    <s v="Credit Card"/>
  </r>
  <r>
    <s v="ORD101086"/>
    <s v="2025-04-10"/>
    <x v="0"/>
    <s v="North"/>
    <s v="Uttar Pradesh"/>
    <s v="Lucknow"/>
    <x v="2"/>
    <x v="4"/>
    <s v="CUST1266"/>
    <s v="SP_12"/>
    <n v="7"/>
    <n v="2500.9"/>
    <n v="17506.3"/>
    <n v="10675.32"/>
    <n v="6830.98"/>
    <s v="Credit Card"/>
  </r>
  <r>
    <s v="ORD101087"/>
    <s v="2025-11-25"/>
    <x v="10"/>
    <s v="West"/>
    <s v="Maharashtra"/>
    <s v="Mumbai"/>
    <x v="3"/>
    <x v="7"/>
    <s v="CUST1874"/>
    <s v="SP_12"/>
    <n v="7"/>
    <n v="12405.54"/>
    <n v="86838.78"/>
    <n v="60335.839999999997"/>
    <n v="26502.94"/>
    <s v="UPI"/>
  </r>
  <r>
    <s v="ORD101088"/>
    <s v="2025-10-26"/>
    <x v="1"/>
    <s v="West"/>
    <s v="Maharashtra"/>
    <s v="Mumbai"/>
    <x v="1"/>
    <x v="6"/>
    <s v="CUST1266"/>
    <s v="SP_05"/>
    <n v="8"/>
    <n v="2929.75"/>
    <n v="23438"/>
    <n v="18661.189999999999"/>
    <n v="4776.8100000000004"/>
    <s v="UPI"/>
  </r>
  <r>
    <s v="ORD101089"/>
    <s v="2025-07-28"/>
    <x v="6"/>
    <s v="West"/>
    <s v="Maharashtra"/>
    <s v="Mumbai"/>
    <x v="3"/>
    <x v="11"/>
    <s v="CUST1228"/>
    <s v="SP_04"/>
    <n v="6"/>
    <n v="109.38"/>
    <n v="656.28"/>
    <n v="347.49"/>
    <n v="308.79000000000002"/>
    <s v="Debit Card"/>
  </r>
  <r>
    <s v="ORD101090"/>
    <s v="2025-11-03"/>
    <x v="10"/>
    <s v="North"/>
    <s v="Uttar Pradesh"/>
    <s v="Lucknow"/>
    <x v="3"/>
    <x v="11"/>
    <s v="CUST1292"/>
    <s v="SP_03"/>
    <n v="3"/>
    <n v="120.26"/>
    <n v="360.78"/>
    <n v="176.75"/>
    <n v="184.03"/>
    <s v="Credit Card"/>
  </r>
  <r>
    <s v="ORD101091"/>
    <s v="2025-11-06"/>
    <x v="10"/>
    <s v="North"/>
    <s v="Uttar Pradesh"/>
    <s v="Lucknow"/>
    <x v="3"/>
    <x v="3"/>
    <s v="CUST1236"/>
    <s v="SP_06"/>
    <n v="1"/>
    <n v="24.73"/>
    <n v="24.73"/>
    <n v="10.26"/>
    <n v="14.47"/>
    <s v="Debit Card"/>
  </r>
  <r>
    <s v="ORD101092"/>
    <s v="2025-12-12"/>
    <x v="7"/>
    <s v="East"/>
    <s v="Bihar"/>
    <s v="Patna"/>
    <x v="0"/>
    <x v="9"/>
    <s v="CUST1216"/>
    <s v="SP_01"/>
    <n v="2"/>
    <n v="6959.38"/>
    <n v="13918.76"/>
    <n v="9943.27"/>
    <n v="3975.49"/>
    <s v="UPI"/>
  </r>
  <r>
    <s v="ORD101093"/>
    <s v="2025-10-29"/>
    <x v="1"/>
    <s v="West"/>
    <s v="Maharashtra"/>
    <s v="Mumbai"/>
    <x v="2"/>
    <x v="4"/>
    <s v="CUST1131"/>
    <s v="SP_05"/>
    <n v="7"/>
    <n v="2728.97"/>
    <n v="19102.79"/>
    <n v="11081.88"/>
    <n v="8020.91"/>
    <s v="Debit Card"/>
  </r>
  <r>
    <s v="ORD101094"/>
    <s v="2025-05-30"/>
    <x v="3"/>
    <s v="West"/>
    <s v="Maharashtra"/>
    <s v="Mumbai"/>
    <x v="0"/>
    <x v="9"/>
    <s v="CUST1574"/>
    <s v="SP_15"/>
    <n v="7"/>
    <n v="7197.03"/>
    <n v="50379.21"/>
    <n v="35661.800000000003"/>
    <n v="14717.41"/>
    <s v="Credit Card"/>
  </r>
  <r>
    <s v="ORD101095"/>
    <s v="2025-06-06"/>
    <x v="2"/>
    <s v="North"/>
    <s v="Delhi"/>
    <s v="Delhi"/>
    <x v="3"/>
    <x v="7"/>
    <s v="CUST1949"/>
    <s v="SP_03"/>
    <n v="5"/>
    <n v="12756"/>
    <n v="63780"/>
    <n v="46605.68"/>
    <n v="17174.32"/>
    <s v="Debit Card"/>
  </r>
  <r>
    <s v="ORD101096"/>
    <s v="2025-12-13"/>
    <x v="7"/>
    <s v="South"/>
    <s v="Tamil Nadu"/>
    <s v="Chennai"/>
    <x v="2"/>
    <x v="2"/>
    <s v="CUST1680"/>
    <s v="SP_02"/>
    <n v="7"/>
    <n v="41620.94"/>
    <n v="291346.58"/>
    <n v="247129.42"/>
    <n v="44217.16"/>
    <s v="UPI"/>
  </r>
  <r>
    <s v="ORD101097"/>
    <s v="2025-11-07"/>
    <x v="10"/>
    <s v="East"/>
    <s v="West Bengal"/>
    <s v="Kolkata"/>
    <x v="0"/>
    <x v="9"/>
    <s v="CUST1322"/>
    <s v="SP_09"/>
    <n v="2"/>
    <n v="7191.14"/>
    <n v="14382.28"/>
    <n v="9868.25"/>
    <n v="4514.03"/>
    <s v="UPI"/>
  </r>
  <r>
    <s v="ORD101098"/>
    <s v="2025-08-27"/>
    <x v="11"/>
    <s v="South"/>
    <s v="Telangana"/>
    <s v="Hyderabad"/>
    <x v="1"/>
    <x v="1"/>
    <s v="CUST1150"/>
    <s v="SP_10"/>
    <n v="5"/>
    <n v="2662.03"/>
    <n v="13310.15"/>
    <n v="9168.6"/>
    <n v="4141.55"/>
    <s v="Debit Card"/>
  </r>
  <r>
    <s v="ORD101099"/>
    <s v="2025-10-17"/>
    <x v="1"/>
    <s v="West"/>
    <s v="Rajasthan"/>
    <s v="Jaipur"/>
    <x v="1"/>
    <x v="1"/>
    <s v="CUST1112"/>
    <s v="SP_05"/>
    <n v="5"/>
    <n v="2557.46"/>
    <n v="12787.3"/>
    <n v="9901.08"/>
    <n v="2886.22"/>
    <s v="Credit Card"/>
  </r>
  <r>
    <s v="ORD101100"/>
    <s v="2025-04-18"/>
    <x v="0"/>
    <s v="East"/>
    <s v="West Bengal"/>
    <s v="Kolkata"/>
    <x v="0"/>
    <x v="0"/>
    <s v="CUST1279"/>
    <s v="SP_04"/>
    <n v="5"/>
    <n v="3489.44"/>
    <n v="17447.2"/>
    <n v="10542.96"/>
    <n v="6904.24"/>
    <s v="UPI"/>
  </r>
  <r>
    <s v="ORD101101"/>
    <s v="2025-01-10"/>
    <x v="9"/>
    <s v="East"/>
    <s v="Odisha"/>
    <s v="Bhubaneswar"/>
    <x v="2"/>
    <x v="10"/>
    <s v="CUST1525"/>
    <s v="SP_09"/>
    <n v="3"/>
    <n v="17351.580000000002"/>
    <n v="52054.74"/>
    <n v="43167.61"/>
    <n v="8887.1299999999992"/>
    <s v="Credit Card"/>
  </r>
  <r>
    <s v="ORD101102"/>
    <s v="2025-05-29"/>
    <x v="3"/>
    <s v="South"/>
    <s v="Tamil Nadu"/>
    <s v="Chennai"/>
    <x v="2"/>
    <x v="2"/>
    <s v="CUST1535"/>
    <s v="SP_15"/>
    <n v="7"/>
    <n v="49130.05"/>
    <n v="343910.35"/>
    <n v="241825.45"/>
    <n v="102084.9"/>
    <s v="Cash"/>
  </r>
  <r>
    <s v="ORD101103"/>
    <s v="2025-05-06"/>
    <x v="3"/>
    <s v="North"/>
    <s v="Delhi"/>
    <s v="Delhi"/>
    <x v="3"/>
    <x v="3"/>
    <s v="CUST1858"/>
    <s v="SP_02"/>
    <n v="6"/>
    <n v="23.44"/>
    <n v="140.63999999999999"/>
    <n v="60.54"/>
    <n v="80.099999999999994"/>
    <s v="Cash"/>
  </r>
  <r>
    <s v="ORD101104"/>
    <s v="2025-03-12"/>
    <x v="4"/>
    <s v="West"/>
    <s v="Maharashtra"/>
    <s v="Mumbai"/>
    <x v="3"/>
    <x v="11"/>
    <s v="CUST1319"/>
    <s v="SP_06"/>
    <n v="6"/>
    <n v="122.89"/>
    <n v="737.34"/>
    <n v="354.27"/>
    <n v="383.07"/>
    <s v="Cash"/>
  </r>
  <r>
    <s v="ORD101105"/>
    <s v="2025-07-13"/>
    <x v="6"/>
    <s v="West"/>
    <s v="Rajasthan"/>
    <s v="Jaipur"/>
    <x v="1"/>
    <x v="5"/>
    <s v="CUST1670"/>
    <s v="SP_09"/>
    <n v="7"/>
    <n v="9703.66"/>
    <n v="67925.62"/>
    <n v="55705.8"/>
    <n v="12219.82"/>
    <s v="Credit Card"/>
  </r>
  <r>
    <s v="ORD101106"/>
    <s v="2025-05-14"/>
    <x v="3"/>
    <s v="South"/>
    <s v="Karnataka"/>
    <s v="Bengaluru"/>
    <x v="1"/>
    <x v="5"/>
    <s v="CUST1424"/>
    <s v="SP_06"/>
    <n v="6"/>
    <n v="9129.7999999999993"/>
    <n v="54778.8"/>
    <n v="45609.73"/>
    <n v="9169.07"/>
    <s v="Cash"/>
  </r>
  <r>
    <s v="ORD101107"/>
    <s v="2025-10-15"/>
    <x v="1"/>
    <s v="East"/>
    <s v="West Bengal"/>
    <s v="Kolkata"/>
    <x v="1"/>
    <x v="1"/>
    <s v="CUST1745"/>
    <s v="SP_08"/>
    <n v="4"/>
    <n v="2911.48"/>
    <n v="11645.92"/>
    <n v="7627.87"/>
    <n v="4018.05"/>
    <s v="Net Banking"/>
  </r>
  <r>
    <s v="ORD101108"/>
    <s v="2025-01-17"/>
    <x v="9"/>
    <s v="West"/>
    <s v="Maharashtra"/>
    <s v="Mumbai"/>
    <x v="2"/>
    <x v="2"/>
    <s v="CUST1787"/>
    <s v="SP_05"/>
    <n v="8"/>
    <n v="47762.2"/>
    <n v="382097.6"/>
    <n v="275493.7"/>
    <n v="106603.9"/>
    <s v="Credit Card"/>
  </r>
  <r>
    <s v="ORD101109"/>
    <s v="2025-09-28"/>
    <x v="5"/>
    <s v="North"/>
    <s v="Uttar Pradesh"/>
    <s v="Lucknow"/>
    <x v="0"/>
    <x v="0"/>
    <s v="CUST1012"/>
    <s v="SP_13"/>
    <n v="8"/>
    <n v="3294.44"/>
    <n v="26355.52"/>
    <n v="18357.439999999999"/>
    <n v="7998.08"/>
    <s v="Debit Card"/>
  </r>
  <r>
    <s v="ORD101110"/>
    <s v="2025-08-08"/>
    <x v="11"/>
    <s v="West"/>
    <s v="Rajasthan"/>
    <s v="Jaipur"/>
    <x v="3"/>
    <x v="7"/>
    <s v="CUST1058"/>
    <s v="SP_12"/>
    <n v="8"/>
    <n v="11349.71"/>
    <n v="90797.68"/>
    <n v="71010.350000000006"/>
    <n v="19787.330000000002"/>
    <s v="Cash"/>
  </r>
  <r>
    <s v="ORD101111"/>
    <s v="2025-05-06"/>
    <x v="3"/>
    <s v="West"/>
    <s v="Gujarat"/>
    <s v="Ahmedabad"/>
    <x v="2"/>
    <x v="4"/>
    <s v="CUST1616"/>
    <s v="SP_01"/>
    <n v="3"/>
    <n v="2656.76"/>
    <n v="7970.28"/>
    <n v="4925.3"/>
    <n v="3044.98"/>
    <s v="Credit Card"/>
  </r>
  <r>
    <s v="ORD101112"/>
    <s v="2025-07-15"/>
    <x v="6"/>
    <s v="East"/>
    <s v="Bihar"/>
    <s v="Patna"/>
    <x v="2"/>
    <x v="4"/>
    <s v="CUST1769"/>
    <s v="SP_06"/>
    <n v="5"/>
    <n v="2570.2199999999998"/>
    <n v="12851.1"/>
    <n v="7999.63"/>
    <n v="4851.47"/>
    <s v="UPI"/>
  </r>
  <r>
    <s v="ORD101113"/>
    <s v="2025-12-13"/>
    <x v="7"/>
    <s v="East"/>
    <s v="Bihar"/>
    <s v="Patna"/>
    <x v="0"/>
    <x v="8"/>
    <s v="CUST1996"/>
    <s v="SP_06"/>
    <n v="7"/>
    <n v="23698.68"/>
    <n v="165890.76"/>
    <n v="124497.87"/>
    <n v="41392.89"/>
    <s v="Net Banking"/>
  </r>
  <r>
    <s v="ORD101114"/>
    <s v="2025-08-22"/>
    <x v="11"/>
    <s v="South"/>
    <s v="Telangana"/>
    <s v="Hyderabad"/>
    <x v="2"/>
    <x v="4"/>
    <s v="CUST1939"/>
    <s v="SP_12"/>
    <n v="1"/>
    <n v="2254.1999999999998"/>
    <n v="2254.1999999999998"/>
    <n v="1531.89"/>
    <n v="722.31"/>
    <s v="Credit Card"/>
  </r>
  <r>
    <s v="ORD101115"/>
    <s v="2025-07-04"/>
    <x v="6"/>
    <s v="West"/>
    <s v="Rajasthan"/>
    <s v="Jaipur"/>
    <x v="2"/>
    <x v="10"/>
    <s v="CUST1319"/>
    <s v="SP_12"/>
    <n v="2"/>
    <n v="16537.560000000001"/>
    <n v="33075.120000000003"/>
    <n v="27700.99"/>
    <n v="5374.13"/>
    <s v="Cash"/>
  </r>
  <r>
    <s v="ORD101116"/>
    <s v="2025-12-01"/>
    <x v="7"/>
    <s v="South"/>
    <s v="Tamil Nadu"/>
    <s v="Chennai"/>
    <x v="3"/>
    <x v="7"/>
    <s v="CUST1605"/>
    <s v="SP_09"/>
    <n v="8"/>
    <n v="11772.85"/>
    <n v="94182.8"/>
    <n v="68973.119999999995"/>
    <n v="25209.68"/>
    <s v="UPI"/>
  </r>
  <r>
    <s v="ORD101117"/>
    <s v="2025-08-17"/>
    <x v="11"/>
    <s v="North"/>
    <s v="Uttar Pradesh"/>
    <s v="Lucknow"/>
    <x v="3"/>
    <x v="11"/>
    <s v="CUST1006"/>
    <s v="SP_03"/>
    <n v="4"/>
    <n v="126.51"/>
    <n v="506.04"/>
    <n v="241.17"/>
    <n v="264.87"/>
    <s v="UPI"/>
  </r>
  <r>
    <s v="ORD101118"/>
    <s v="2025-11-10"/>
    <x v="10"/>
    <s v="East"/>
    <s v="West Bengal"/>
    <s v="Kolkata"/>
    <x v="2"/>
    <x v="4"/>
    <s v="CUST1287"/>
    <s v="SP_06"/>
    <n v="1"/>
    <n v="2587.29"/>
    <n v="2587.29"/>
    <n v="1543.79"/>
    <n v="1043.5"/>
    <s v="Credit Card"/>
  </r>
  <r>
    <s v="ORD101119"/>
    <s v="2025-12-12"/>
    <x v="7"/>
    <s v="South"/>
    <s v="Karnataka"/>
    <s v="Bengaluru"/>
    <x v="2"/>
    <x v="4"/>
    <s v="CUST1422"/>
    <s v="SP_14"/>
    <n v="5"/>
    <n v="2726.17"/>
    <n v="13630.85"/>
    <n v="7948.07"/>
    <n v="5682.78"/>
    <s v="Debit Card"/>
  </r>
  <r>
    <s v="ORD101120"/>
    <s v="2025-09-13"/>
    <x v="5"/>
    <s v="East"/>
    <s v="Odisha"/>
    <s v="Bhubaneswar"/>
    <x v="2"/>
    <x v="2"/>
    <s v="CUST1349"/>
    <s v="SP_08"/>
    <n v="7"/>
    <n v="44401.919999999998"/>
    <n v="310813.44"/>
    <n v="247879.66"/>
    <n v="62933.78"/>
    <s v="Debit Card"/>
  </r>
  <r>
    <s v="ORD101121"/>
    <s v="2025-04-29"/>
    <x v="0"/>
    <s v="South"/>
    <s v="Telangana"/>
    <s v="Hyderabad"/>
    <x v="2"/>
    <x v="10"/>
    <s v="CUST1401"/>
    <s v="SP_05"/>
    <n v="5"/>
    <n v="19245.13"/>
    <n v="96225.65"/>
    <n v="70333.3"/>
    <n v="25892.35"/>
    <s v="Debit Card"/>
  </r>
  <r>
    <s v="ORD101122"/>
    <s v="2025-11-04"/>
    <x v="10"/>
    <s v="West"/>
    <s v="Maharashtra"/>
    <s v="Mumbai"/>
    <x v="1"/>
    <x v="5"/>
    <s v="CUST1235"/>
    <s v="SP_05"/>
    <n v="5"/>
    <n v="9954.2900000000009"/>
    <n v="49771.45"/>
    <n v="38142.050000000003"/>
    <n v="11629.4"/>
    <s v="Debit Card"/>
  </r>
  <r>
    <s v="ORD101123"/>
    <s v="2025-04-16"/>
    <x v="0"/>
    <s v="West"/>
    <s v="Rajasthan"/>
    <s v="Jaipur"/>
    <x v="2"/>
    <x v="10"/>
    <s v="CUST1033"/>
    <s v="SP_08"/>
    <n v="6"/>
    <n v="17966.93"/>
    <n v="107801.58"/>
    <n v="80592.08"/>
    <n v="27209.5"/>
    <s v="UPI"/>
  </r>
  <r>
    <s v="ORD101124"/>
    <s v="2025-02-19"/>
    <x v="8"/>
    <s v="East"/>
    <s v="Odisha"/>
    <s v="Bhubaneswar"/>
    <x v="2"/>
    <x v="10"/>
    <s v="CUST1910"/>
    <s v="SP_01"/>
    <n v="4"/>
    <n v="18278.63"/>
    <n v="73114.52"/>
    <n v="54610.86"/>
    <n v="18503.66"/>
    <s v="Credit Card"/>
  </r>
  <r>
    <s v="ORD101125"/>
    <s v="2025-01-21"/>
    <x v="9"/>
    <s v="North"/>
    <s v="Uttar Pradesh"/>
    <s v="Lucknow"/>
    <x v="2"/>
    <x v="2"/>
    <s v="CUST1194"/>
    <s v="SP_02"/>
    <n v="1"/>
    <n v="44302.9"/>
    <n v="44302.9"/>
    <n v="36266.230000000003"/>
    <n v="8036.67"/>
    <s v="Debit Card"/>
  </r>
  <r>
    <s v="ORD101126"/>
    <s v="2025-05-04"/>
    <x v="3"/>
    <s v="North"/>
    <s v="Uttar Pradesh"/>
    <s v="Lucknow"/>
    <x v="3"/>
    <x v="11"/>
    <s v="CUST1960"/>
    <s v="SP_12"/>
    <n v="5"/>
    <n v="112.04"/>
    <n v="560.20000000000005"/>
    <n v="313.74"/>
    <n v="246.46"/>
    <s v="Debit Card"/>
  </r>
  <r>
    <s v="ORD101127"/>
    <s v="2025-08-20"/>
    <x v="11"/>
    <s v="West"/>
    <s v="Gujarat"/>
    <s v="Ahmedabad"/>
    <x v="1"/>
    <x v="5"/>
    <s v="CUST1606"/>
    <s v="SP_07"/>
    <n v="7"/>
    <n v="8747.9"/>
    <n v="61235.3"/>
    <n v="54771.72"/>
    <n v="6463.58"/>
    <s v="Cash"/>
  </r>
  <r>
    <s v="ORD101128"/>
    <s v="2025-08-28"/>
    <x v="11"/>
    <s v="South"/>
    <s v="Tamil Nadu"/>
    <s v="Chennai"/>
    <x v="2"/>
    <x v="4"/>
    <s v="CUST1536"/>
    <s v="SP_01"/>
    <n v="4"/>
    <n v="2261.39"/>
    <n v="9045.56"/>
    <n v="6415.32"/>
    <n v="2630.24"/>
    <s v="Net Banking"/>
  </r>
  <r>
    <s v="ORD101129"/>
    <s v="2025-09-04"/>
    <x v="5"/>
    <s v="East"/>
    <s v="Bihar"/>
    <s v="Patna"/>
    <x v="1"/>
    <x v="1"/>
    <s v="CUST1920"/>
    <s v="SP_14"/>
    <n v="5"/>
    <n v="2616.39"/>
    <n v="13081.95"/>
    <n v="9884.4599999999991"/>
    <n v="3197.49"/>
    <s v="Cash"/>
  </r>
  <r>
    <s v="ORD101130"/>
    <s v="2025-06-17"/>
    <x v="2"/>
    <s v="North"/>
    <s v="Uttar Pradesh"/>
    <s v="Lucknow"/>
    <x v="3"/>
    <x v="7"/>
    <s v="CUST1376"/>
    <s v="SP_07"/>
    <n v="4"/>
    <n v="12907.84"/>
    <n v="51631.360000000001"/>
    <n v="36260.43"/>
    <n v="15370.93"/>
    <s v="Credit Card"/>
  </r>
  <r>
    <s v="ORD101131"/>
    <s v="2025-10-13"/>
    <x v="1"/>
    <s v="South"/>
    <s v="Karnataka"/>
    <s v="Bengaluru"/>
    <x v="3"/>
    <x v="11"/>
    <s v="CUST1055"/>
    <s v="SP_05"/>
    <n v="7"/>
    <n v="108.73"/>
    <n v="761.11"/>
    <n v="410.15"/>
    <n v="350.96"/>
    <s v="Credit Card"/>
  </r>
  <r>
    <s v="ORD101132"/>
    <s v="2025-06-29"/>
    <x v="2"/>
    <s v="North"/>
    <s v="Delhi"/>
    <s v="Delhi"/>
    <x v="1"/>
    <x v="6"/>
    <s v="CUST1131"/>
    <s v="SP_04"/>
    <n v="7"/>
    <n v="3267.67"/>
    <n v="22873.69"/>
    <n v="16585.3"/>
    <n v="6288.39"/>
    <s v="Credit Card"/>
  </r>
  <r>
    <s v="ORD101133"/>
    <s v="2025-11-05"/>
    <x v="10"/>
    <s v="East"/>
    <s v="West Bengal"/>
    <s v="Kolkata"/>
    <x v="1"/>
    <x v="5"/>
    <s v="CUST1397"/>
    <s v="SP_09"/>
    <n v="3"/>
    <n v="8717.4699999999993"/>
    <n v="26152.41"/>
    <n v="22036.83"/>
    <n v="4115.58"/>
    <s v="UPI"/>
  </r>
  <r>
    <s v="ORD101134"/>
    <s v="2025-03-26"/>
    <x v="4"/>
    <s v="East"/>
    <s v="Bihar"/>
    <s v="Patna"/>
    <x v="3"/>
    <x v="7"/>
    <s v="CUST1034"/>
    <s v="SP_10"/>
    <n v="7"/>
    <n v="11696.65"/>
    <n v="81876.55"/>
    <n v="65843.039999999994"/>
    <n v="16033.51"/>
    <s v="UPI"/>
  </r>
  <r>
    <s v="ORD101135"/>
    <s v="2025-05-15"/>
    <x v="3"/>
    <s v="North"/>
    <s v="Delhi"/>
    <s v="Delhi"/>
    <x v="2"/>
    <x v="2"/>
    <s v="CUST1525"/>
    <s v="SP_03"/>
    <n v="2"/>
    <n v="48477.77"/>
    <n v="96955.54"/>
    <n v="71451.570000000007"/>
    <n v="25503.97"/>
    <s v="Net Banking"/>
  </r>
  <r>
    <s v="ORD101136"/>
    <s v="2025-01-08"/>
    <x v="9"/>
    <s v="South"/>
    <s v="Tamil Nadu"/>
    <s v="Chennai"/>
    <x v="0"/>
    <x v="9"/>
    <s v="CUST1398"/>
    <s v="SP_14"/>
    <n v="8"/>
    <n v="6888.68"/>
    <n v="55109.440000000002"/>
    <n v="41377.61"/>
    <n v="13731.83"/>
    <s v="Net Banking"/>
  </r>
  <r>
    <s v="ORD101137"/>
    <s v="2025-09-22"/>
    <x v="5"/>
    <s v="South"/>
    <s v="Karnataka"/>
    <s v="Bengaluru"/>
    <x v="2"/>
    <x v="2"/>
    <s v="CUST1771"/>
    <s v="SP_13"/>
    <n v="4"/>
    <n v="48649.53"/>
    <n v="194598.12"/>
    <n v="145747.62"/>
    <n v="48850.5"/>
    <s v="Debit Card"/>
  </r>
  <r>
    <s v="ORD101138"/>
    <s v="2025-02-24"/>
    <x v="8"/>
    <s v="South"/>
    <s v="Karnataka"/>
    <s v="Bengaluru"/>
    <x v="0"/>
    <x v="9"/>
    <s v="CUST1723"/>
    <s v="SP_08"/>
    <n v="1"/>
    <n v="6361.74"/>
    <n v="6361.74"/>
    <n v="4860.7299999999996"/>
    <n v="1501.01"/>
    <s v="Debit Card"/>
  </r>
  <r>
    <s v="ORD101139"/>
    <s v="2025-05-08"/>
    <x v="3"/>
    <s v="North"/>
    <s v="Punjab"/>
    <s v="Chandigarh"/>
    <x v="0"/>
    <x v="0"/>
    <s v="CUST1295"/>
    <s v="SP_12"/>
    <n v="6"/>
    <n v="3199.42"/>
    <n v="19196.52"/>
    <n v="12828.41"/>
    <n v="6368.11"/>
    <s v="UPI"/>
  </r>
  <r>
    <s v="ORD101140"/>
    <s v="2025-08-31"/>
    <x v="11"/>
    <s v="North"/>
    <s v="Uttar Pradesh"/>
    <s v="Lucknow"/>
    <x v="2"/>
    <x v="10"/>
    <s v="CUST1314"/>
    <s v="SP_12"/>
    <n v="2"/>
    <n v="19221.66"/>
    <n v="38443.32"/>
    <n v="29089.5"/>
    <n v="9353.82"/>
    <s v="Net Banking"/>
  </r>
  <r>
    <s v="ORD101141"/>
    <s v="2025-03-08"/>
    <x v="4"/>
    <s v="North"/>
    <s v="Delhi"/>
    <s v="Delhi"/>
    <x v="2"/>
    <x v="10"/>
    <s v="CUST1056"/>
    <s v="SP_09"/>
    <n v="8"/>
    <n v="19512.97"/>
    <n v="156103.76"/>
    <n v="114140.79"/>
    <n v="41962.97"/>
    <s v="Debit Card"/>
  </r>
  <r>
    <s v="ORD101142"/>
    <s v="2025-04-21"/>
    <x v="0"/>
    <s v="South"/>
    <s v="Telangana"/>
    <s v="Hyderabad"/>
    <x v="2"/>
    <x v="2"/>
    <s v="CUST1135"/>
    <s v="SP_06"/>
    <n v="8"/>
    <n v="42176.19"/>
    <n v="337409.52"/>
    <n v="286566.31"/>
    <n v="50843.21"/>
    <s v="Credit Card"/>
  </r>
  <r>
    <s v="ORD101143"/>
    <s v="2025-04-04"/>
    <x v="0"/>
    <s v="East"/>
    <s v="Odisha"/>
    <s v="Bhubaneswar"/>
    <x v="3"/>
    <x v="7"/>
    <s v="CUST1804"/>
    <s v="SP_08"/>
    <n v="1"/>
    <n v="12454.21"/>
    <n v="12454.21"/>
    <n v="9411.09"/>
    <n v="3043.12"/>
    <s v="UPI"/>
  </r>
  <r>
    <s v="ORD101144"/>
    <s v="2025-07-28"/>
    <x v="6"/>
    <s v="West"/>
    <s v="Rajasthan"/>
    <s v="Jaipur"/>
    <x v="1"/>
    <x v="6"/>
    <s v="CUST1425"/>
    <s v="SP_04"/>
    <n v="8"/>
    <n v="3496.04"/>
    <n v="27968.32"/>
    <n v="18672.38"/>
    <n v="9295.94"/>
    <s v="UPI"/>
  </r>
  <r>
    <s v="ORD101145"/>
    <s v="2025-08-16"/>
    <x v="11"/>
    <s v="West"/>
    <s v="Gujarat"/>
    <s v="Ahmedabad"/>
    <x v="2"/>
    <x v="10"/>
    <s v="CUST1492"/>
    <s v="SP_06"/>
    <n v="4"/>
    <n v="17681.07"/>
    <n v="70724.28"/>
    <n v="58533.56"/>
    <n v="12190.72"/>
    <s v="UPI"/>
  </r>
  <r>
    <s v="ORD101146"/>
    <s v="2025-01-27"/>
    <x v="9"/>
    <s v="South"/>
    <s v="Karnataka"/>
    <s v="Bengaluru"/>
    <x v="0"/>
    <x v="9"/>
    <s v="CUST1278"/>
    <s v="SP_06"/>
    <n v="6"/>
    <n v="6734.65"/>
    <n v="40407.9"/>
    <n v="31122.03"/>
    <n v="9285.8700000000008"/>
    <s v="Credit Card"/>
  </r>
  <r>
    <s v="ORD101147"/>
    <s v="2025-04-29"/>
    <x v="0"/>
    <s v="West"/>
    <s v="Rajasthan"/>
    <s v="Jaipur"/>
    <x v="0"/>
    <x v="0"/>
    <s v="CUST1970"/>
    <s v="SP_11"/>
    <n v="1"/>
    <n v="3264.35"/>
    <n v="3264.35"/>
    <n v="2271.0700000000002"/>
    <n v="993.28"/>
    <s v="Net Banking"/>
  </r>
  <r>
    <s v="ORD101148"/>
    <s v="2025-01-14"/>
    <x v="9"/>
    <s v="South"/>
    <s v="Telangana"/>
    <s v="Hyderabad"/>
    <x v="1"/>
    <x v="5"/>
    <s v="CUST1009"/>
    <s v="SP_14"/>
    <n v="7"/>
    <n v="9611.56"/>
    <n v="67280.92"/>
    <n v="52940.78"/>
    <n v="14340.14"/>
    <s v="Net Banking"/>
  </r>
  <r>
    <s v="ORD101149"/>
    <s v="2025-09-04"/>
    <x v="5"/>
    <s v="South"/>
    <s v="Karnataka"/>
    <s v="Bengaluru"/>
    <x v="1"/>
    <x v="6"/>
    <s v="CUST1530"/>
    <s v="SP_09"/>
    <n v="7"/>
    <n v="3020.55"/>
    <n v="21143.85"/>
    <n v="16943.93"/>
    <n v="4199.92"/>
    <s v="Cash"/>
  </r>
  <r>
    <s v="ORD101150"/>
    <s v="2025-01-20"/>
    <x v="9"/>
    <s v="West"/>
    <s v="Gujarat"/>
    <s v="Ahmedabad"/>
    <x v="2"/>
    <x v="10"/>
    <s v="CUST1257"/>
    <s v="SP_13"/>
    <n v="5"/>
    <n v="17432.07"/>
    <n v="87160.35"/>
    <n v="70603.179999999993"/>
    <n v="16557.169999999998"/>
    <s v="Net Banking"/>
  </r>
  <r>
    <s v="ORD101151"/>
    <s v="2025-11-04"/>
    <x v="10"/>
    <s v="East"/>
    <s v="Bihar"/>
    <s v="Patna"/>
    <x v="1"/>
    <x v="6"/>
    <s v="CUST1137"/>
    <s v="SP_05"/>
    <n v="7"/>
    <n v="3422.41"/>
    <n v="23956.87"/>
    <n v="17243.91"/>
    <n v="6712.96"/>
    <s v="UPI"/>
  </r>
  <r>
    <s v="ORD101152"/>
    <s v="2025-12-23"/>
    <x v="7"/>
    <s v="North"/>
    <s v="Punjab"/>
    <s v="Chandigarh"/>
    <x v="2"/>
    <x v="10"/>
    <s v="CUST1645"/>
    <s v="SP_10"/>
    <n v="1"/>
    <n v="17717.63"/>
    <n v="17717.63"/>
    <n v="13663.81"/>
    <n v="4053.82"/>
    <s v="UPI"/>
  </r>
  <r>
    <s v="ORD101153"/>
    <s v="2025-05-10"/>
    <x v="3"/>
    <s v="South"/>
    <s v="Tamil Nadu"/>
    <s v="Chennai"/>
    <x v="1"/>
    <x v="5"/>
    <s v="CUST1407"/>
    <s v="SP_13"/>
    <n v="1"/>
    <n v="9833.41"/>
    <n v="9833.41"/>
    <n v="7716.71"/>
    <n v="2116.6999999999998"/>
    <s v="UPI"/>
  </r>
  <r>
    <s v="ORD101154"/>
    <s v="2025-02-02"/>
    <x v="8"/>
    <s v="North"/>
    <s v="Delhi"/>
    <s v="Delhi"/>
    <x v="1"/>
    <x v="1"/>
    <s v="CUST1329"/>
    <s v="SP_15"/>
    <n v="1"/>
    <n v="2935.77"/>
    <n v="2935.77"/>
    <n v="1848.79"/>
    <n v="1086.98"/>
    <s v="Debit Card"/>
  </r>
  <r>
    <s v="ORD101155"/>
    <s v="2025-03-06"/>
    <x v="4"/>
    <s v="East"/>
    <s v="Bihar"/>
    <s v="Patna"/>
    <x v="2"/>
    <x v="2"/>
    <s v="CUST1196"/>
    <s v="SP_06"/>
    <n v="8"/>
    <n v="40924.71"/>
    <n v="327397.68"/>
    <n v="274556.14"/>
    <n v="52841.54"/>
    <s v="UPI"/>
  </r>
  <r>
    <s v="ORD101156"/>
    <s v="2025-09-25"/>
    <x v="5"/>
    <s v="South"/>
    <s v="Tamil Nadu"/>
    <s v="Chennai"/>
    <x v="0"/>
    <x v="8"/>
    <s v="CUST1674"/>
    <s v="SP_10"/>
    <n v="8"/>
    <n v="23677.66"/>
    <n v="189421.28"/>
    <n v="138024.47"/>
    <n v="51396.81"/>
    <s v="Cash"/>
  </r>
  <r>
    <s v="ORD101157"/>
    <s v="2025-12-22"/>
    <x v="7"/>
    <s v="West"/>
    <s v="Rajasthan"/>
    <s v="Jaipur"/>
    <x v="0"/>
    <x v="8"/>
    <s v="CUST1176"/>
    <s v="SP_06"/>
    <n v="2"/>
    <n v="20514.3"/>
    <n v="41028.6"/>
    <n v="33835.18"/>
    <n v="7193.42"/>
    <s v="UPI"/>
  </r>
  <r>
    <s v="ORD101158"/>
    <s v="2025-01-12"/>
    <x v="9"/>
    <s v="East"/>
    <s v="Odisha"/>
    <s v="Bhubaneswar"/>
    <x v="1"/>
    <x v="5"/>
    <s v="CUST1671"/>
    <s v="SP_05"/>
    <n v="4"/>
    <n v="9789.5300000000007"/>
    <n v="39158.120000000003"/>
    <n v="30320.02"/>
    <n v="8838.1"/>
    <s v="Debit Card"/>
  </r>
  <r>
    <s v="ORD101159"/>
    <s v="2025-09-08"/>
    <x v="5"/>
    <s v="North"/>
    <s v="Uttar Pradesh"/>
    <s v="Lucknow"/>
    <x v="0"/>
    <x v="9"/>
    <s v="CUST1952"/>
    <s v="SP_07"/>
    <n v="6"/>
    <n v="6664.94"/>
    <n v="39989.64"/>
    <n v="30349.35"/>
    <n v="9640.2900000000009"/>
    <s v="Cash"/>
  </r>
  <r>
    <s v="ORD101160"/>
    <s v="2025-02-17"/>
    <x v="8"/>
    <s v="West"/>
    <s v="Rajasthan"/>
    <s v="Jaipur"/>
    <x v="0"/>
    <x v="9"/>
    <s v="CUST1408"/>
    <s v="SP_02"/>
    <n v="4"/>
    <n v="6786.19"/>
    <n v="27144.76"/>
    <n v="20115.61"/>
    <n v="7029.15"/>
    <s v="UPI"/>
  </r>
  <r>
    <s v="ORD101161"/>
    <s v="2025-06-01"/>
    <x v="2"/>
    <s v="North"/>
    <s v="Punjab"/>
    <s v="Chandigarh"/>
    <x v="2"/>
    <x v="2"/>
    <s v="CUST1191"/>
    <s v="SP_10"/>
    <n v="2"/>
    <n v="44410.43"/>
    <n v="88820.86"/>
    <n v="67102"/>
    <n v="21718.86"/>
    <s v="Credit Card"/>
  </r>
  <r>
    <s v="ORD101162"/>
    <s v="2025-08-27"/>
    <x v="11"/>
    <s v="North"/>
    <s v="Punjab"/>
    <s v="Chandigarh"/>
    <x v="1"/>
    <x v="1"/>
    <s v="CUST1484"/>
    <s v="SP_11"/>
    <n v="4"/>
    <n v="3042.08"/>
    <n v="12168.32"/>
    <n v="7794.95"/>
    <n v="4373.37"/>
    <s v="UPI"/>
  </r>
  <r>
    <s v="ORD101163"/>
    <s v="2025-07-28"/>
    <x v="6"/>
    <s v="North"/>
    <s v="Delhi"/>
    <s v="Delhi"/>
    <x v="0"/>
    <x v="0"/>
    <s v="CUST1381"/>
    <s v="SP_14"/>
    <n v="1"/>
    <n v="3575.14"/>
    <n v="3575.14"/>
    <n v="2291.27"/>
    <n v="1283.8699999999999"/>
    <s v="Debit Card"/>
  </r>
  <r>
    <s v="ORD101164"/>
    <s v="2025-09-23"/>
    <x v="5"/>
    <s v="South"/>
    <s v="Karnataka"/>
    <s v="Bengaluru"/>
    <x v="1"/>
    <x v="6"/>
    <s v="CUST1485"/>
    <s v="SP_09"/>
    <n v="8"/>
    <n v="3391.49"/>
    <n v="27131.919999999998"/>
    <n v="19638.41"/>
    <n v="7493.51"/>
    <s v="UPI"/>
  </r>
  <r>
    <s v="ORD101165"/>
    <s v="2025-06-19"/>
    <x v="2"/>
    <s v="North"/>
    <s v="Uttar Pradesh"/>
    <s v="Lucknow"/>
    <x v="0"/>
    <x v="0"/>
    <s v="CUST1816"/>
    <s v="SP_02"/>
    <n v="2"/>
    <n v="3692.97"/>
    <n v="7385.94"/>
    <n v="4548.2299999999996"/>
    <n v="2837.71"/>
    <s v="UPI"/>
  </r>
  <r>
    <s v="ORD101166"/>
    <s v="2025-06-15"/>
    <x v="2"/>
    <s v="South"/>
    <s v="Karnataka"/>
    <s v="Bengaluru"/>
    <x v="1"/>
    <x v="6"/>
    <s v="CUST1088"/>
    <s v="SP_14"/>
    <n v="6"/>
    <n v="3123.57"/>
    <n v="18741.419999999998"/>
    <n v="13770.97"/>
    <n v="4970.45"/>
    <s v="UPI"/>
  </r>
  <r>
    <s v="ORD101167"/>
    <s v="2025-12-23"/>
    <x v="7"/>
    <s v="South"/>
    <s v="Telangana"/>
    <s v="Hyderabad"/>
    <x v="1"/>
    <x v="5"/>
    <s v="CUST1754"/>
    <s v="SP_11"/>
    <n v="3"/>
    <n v="9275.93"/>
    <n v="27827.79"/>
    <n v="21724.76"/>
    <n v="6103.03"/>
    <s v="Net Banking"/>
  </r>
  <r>
    <s v="ORD101168"/>
    <s v="2025-08-20"/>
    <x v="11"/>
    <s v="West"/>
    <s v="Gujarat"/>
    <s v="Ahmedabad"/>
    <x v="2"/>
    <x v="2"/>
    <s v="CUST1558"/>
    <s v="SP_09"/>
    <n v="3"/>
    <n v="47806.94"/>
    <n v="143420.82"/>
    <n v="106516.71"/>
    <n v="36904.11"/>
    <s v="Net Banking"/>
  </r>
  <r>
    <s v="ORD101169"/>
    <s v="2025-03-30"/>
    <x v="4"/>
    <s v="North"/>
    <s v="Punjab"/>
    <s v="Chandigarh"/>
    <x v="3"/>
    <x v="3"/>
    <s v="CUST1064"/>
    <s v="SP_04"/>
    <n v="2"/>
    <n v="24.76"/>
    <n v="49.52"/>
    <n v="20.260000000000002"/>
    <n v="29.26"/>
    <s v="Debit Card"/>
  </r>
  <r>
    <s v="ORD101170"/>
    <s v="2025-05-26"/>
    <x v="3"/>
    <s v="North"/>
    <s v="Punjab"/>
    <s v="Chandigarh"/>
    <x v="2"/>
    <x v="4"/>
    <s v="CUST1366"/>
    <s v="SP_15"/>
    <n v="6"/>
    <n v="2587.27"/>
    <n v="15523.62"/>
    <n v="9520.4"/>
    <n v="6003.22"/>
    <s v="Cash"/>
  </r>
  <r>
    <s v="ORD101171"/>
    <s v="2025-03-22"/>
    <x v="4"/>
    <s v="North"/>
    <s v="Uttar Pradesh"/>
    <s v="Lucknow"/>
    <x v="1"/>
    <x v="1"/>
    <s v="CUST1595"/>
    <s v="SP_05"/>
    <n v="8"/>
    <n v="2622.49"/>
    <n v="20979.919999999998"/>
    <n v="14589.31"/>
    <n v="6390.61"/>
    <s v="UPI"/>
  </r>
  <r>
    <s v="ORD101172"/>
    <s v="2025-09-09"/>
    <x v="5"/>
    <s v="South"/>
    <s v="Telangana"/>
    <s v="Hyderabad"/>
    <x v="0"/>
    <x v="0"/>
    <s v="CUST1461"/>
    <s v="SP_12"/>
    <n v="7"/>
    <n v="3691.87"/>
    <n v="25843.09"/>
    <n v="14964.76"/>
    <n v="10878.33"/>
    <s v="Net Banking"/>
  </r>
  <r>
    <s v="ORD101173"/>
    <s v="2025-08-19"/>
    <x v="11"/>
    <s v="South"/>
    <s v="Telangana"/>
    <s v="Hyderabad"/>
    <x v="0"/>
    <x v="0"/>
    <s v="CUST1806"/>
    <s v="SP_08"/>
    <n v="3"/>
    <n v="3535.34"/>
    <n v="10606.02"/>
    <n v="6774.36"/>
    <n v="3831.66"/>
    <s v="Debit Card"/>
  </r>
  <r>
    <s v="ORD101174"/>
    <s v="2025-01-02"/>
    <x v="9"/>
    <s v="South"/>
    <s v="Telangana"/>
    <s v="Hyderabad"/>
    <x v="3"/>
    <x v="11"/>
    <s v="CUST1101"/>
    <s v="SP_01"/>
    <n v="2"/>
    <n v="124.36"/>
    <n v="248.72"/>
    <n v="119.62"/>
    <n v="129.1"/>
    <s v="Net Banking"/>
  </r>
  <r>
    <s v="ORD101175"/>
    <s v="2025-10-08"/>
    <x v="1"/>
    <s v="East"/>
    <s v="Bihar"/>
    <s v="Patna"/>
    <x v="0"/>
    <x v="9"/>
    <s v="CUST1725"/>
    <s v="SP_01"/>
    <n v="4"/>
    <n v="6985.4"/>
    <n v="27941.599999999999"/>
    <n v="19439.509999999998"/>
    <n v="8502.09"/>
    <s v="UPI"/>
  </r>
  <r>
    <s v="ORD101176"/>
    <s v="2025-06-17"/>
    <x v="2"/>
    <s v="North"/>
    <s v="Punjab"/>
    <s v="Chandigarh"/>
    <x v="3"/>
    <x v="7"/>
    <s v="CUST1527"/>
    <s v="SP_01"/>
    <n v="6"/>
    <n v="13112.88"/>
    <n v="78677.279999999999"/>
    <n v="54734.8"/>
    <n v="23942.48"/>
    <s v="Net Banking"/>
  </r>
  <r>
    <s v="ORD101177"/>
    <s v="2025-08-07"/>
    <x v="11"/>
    <s v="West"/>
    <s v="Rajasthan"/>
    <s v="Jaipur"/>
    <x v="0"/>
    <x v="8"/>
    <s v="CUST1155"/>
    <s v="SP_02"/>
    <n v="6"/>
    <n v="21839.81"/>
    <n v="131038.86"/>
    <n v="100830.04"/>
    <n v="30208.82"/>
    <s v="Debit Card"/>
  </r>
  <r>
    <s v="ORD101178"/>
    <s v="2025-03-30"/>
    <x v="4"/>
    <s v="West"/>
    <s v="Gujarat"/>
    <s v="Ahmedabad"/>
    <x v="2"/>
    <x v="4"/>
    <s v="CUST1013"/>
    <s v="SP_10"/>
    <n v="7"/>
    <n v="2679.26"/>
    <n v="18754.82"/>
    <n v="11677.31"/>
    <n v="7077.51"/>
    <s v="Cash"/>
  </r>
  <r>
    <s v="ORD101179"/>
    <s v="2025-09-02"/>
    <x v="5"/>
    <s v="West"/>
    <s v="Gujarat"/>
    <s v="Ahmedabad"/>
    <x v="2"/>
    <x v="4"/>
    <s v="CUST1751"/>
    <s v="SP_11"/>
    <n v="7"/>
    <n v="2456.59"/>
    <n v="17196.13"/>
    <n v="11614.07"/>
    <n v="5582.06"/>
    <s v="Debit Card"/>
  </r>
  <r>
    <s v="ORD101180"/>
    <s v="2025-09-06"/>
    <x v="5"/>
    <s v="North"/>
    <s v="Delhi"/>
    <s v="Delhi"/>
    <x v="1"/>
    <x v="6"/>
    <s v="CUST1364"/>
    <s v="SP_02"/>
    <n v="4"/>
    <n v="3401.11"/>
    <n v="13604.44"/>
    <n v="9618.4500000000007"/>
    <n v="3985.99"/>
    <s v="Net Banking"/>
  </r>
  <r>
    <s v="ORD101181"/>
    <s v="2025-05-16"/>
    <x v="3"/>
    <s v="South"/>
    <s v="Tamil Nadu"/>
    <s v="Chennai"/>
    <x v="1"/>
    <x v="5"/>
    <s v="CUST1422"/>
    <s v="SP_15"/>
    <n v="1"/>
    <n v="9867.41"/>
    <n v="9867.41"/>
    <n v="7809.44"/>
    <n v="2057.9699999999998"/>
    <s v="UPI"/>
  </r>
  <r>
    <s v="ORD101182"/>
    <s v="2025-06-08"/>
    <x v="2"/>
    <s v="East"/>
    <s v="Bihar"/>
    <s v="Patna"/>
    <x v="3"/>
    <x v="11"/>
    <s v="CUST1113"/>
    <s v="SP_10"/>
    <n v="4"/>
    <n v="122.01"/>
    <n v="488.04"/>
    <n v="231.15"/>
    <n v="256.89"/>
    <s v="Credit Card"/>
  </r>
  <r>
    <s v="ORD101183"/>
    <s v="2025-07-04"/>
    <x v="6"/>
    <s v="West"/>
    <s v="Gujarat"/>
    <s v="Ahmedabad"/>
    <x v="0"/>
    <x v="0"/>
    <s v="CUST1760"/>
    <s v="SP_06"/>
    <n v="4"/>
    <n v="3838.12"/>
    <n v="15352.48"/>
    <n v="8704.82"/>
    <n v="6647.66"/>
    <s v="Credit Card"/>
  </r>
  <r>
    <s v="ORD101184"/>
    <s v="2025-12-24"/>
    <x v="7"/>
    <s v="East"/>
    <s v="Odisha"/>
    <s v="Bhubaneswar"/>
    <x v="0"/>
    <x v="9"/>
    <s v="CUST1983"/>
    <s v="SP_06"/>
    <n v="4"/>
    <n v="6441.79"/>
    <n v="25767.16"/>
    <n v="20879.62"/>
    <n v="4887.54"/>
    <s v="Net Banking"/>
  </r>
  <r>
    <s v="ORD101185"/>
    <s v="2025-03-13"/>
    <x v="4"/>
    <s v="East"/>
    <s v="West Bengal"/>
    <s v="Kolkata"/>
    <x v="2"/>
    <x v="2"/>
    <s v="CUST1517"/>
    <s v="SP_11"/>
    <n v="6"/>
    <n v="47929.84"/>
    <n v="287579.03999999998"/>
    <n v="212864.51"/>
    <n v="74714.53"/>
    <s v="UPI"/>
  </r>
  <r>
    <s v="ORD101186"/>
    <s v="2025-01-29"/>
    <x v="9"/>
    <s v="West"/>
    <s v="Gujarat"/>
    <s v="Ahmedabad"/>
    <x v="3"/>
    <x v="11"/>
    <s v="CUST1437"/>
    <s v="SP_04"/>
    <n v="2"/>
    <n v="116.15"/>
    <n v="232.3"/>
    <n v="125.2"/>
    <n v="107.1"/>
    <s v="Debit Card"/>
  </r>
  <r>
    <s v="ORD101187"/>
    <s v="2025-06-05"/>
    <x v="2"/>
    <s v="North"/>
    <s v="Punjab"/>
    <s v="Chandigarh"/>
    <x v="0"/>
    <x v="0"/>
    <s v="CUST1747"/>
    <s v="SP_09"/>
    <n v="3"/>
    <n v="3444.99"/>
    <n v="10334.969999999999"/>
    <n v="6687.75"/>
    <n v="3647.22"/>
    <s v="Net Banking"/>
  </r>
  <r>
    <s v="ORD101188"/>
    <s v="2025-04-30"/>
    <x v="0"/>
    <s v="South"/>
    <s v="Tamil Nadu"/>
    <s v="Chennai"/>
    <x v="2"/>
    <x v="4"/>
    <s v="CUST1678"/>
    <s v="SP_08"/>
    <n v="1"/>
    <n v="2366.7199999999998"/>
    <n v="2366.7199999999998"/>
    <n v="1537.24"/>
    <n v="829.48"/>
    <s v="Cash"/>
  </r>
  <r>
    <s v="ORD101189"/>
    <s v="2025-06-17"/>
    <x v="2"/>
    <s v="North"/>
    <s v="Punjab"/>
    <s v="Chandigarh"/>
    <x v="3"/>
    <x v="3"/>
    <s v="CUST1452"/>
    <s v="SP_01"/>
    <n v="5"/>
    <n v="23.78"/>
    <n v="118.9"/>
    <n v="48.93"/>
    <n v="69.97"/>
    <s v="UPI"/>
  </r>
  <r>
    <s v="ORD101190"/>
    <s v="2025-04-21"/>
    <x v="0"/>
    <s v="South"/>
    <s v="Tamil Nadu"/>
    <s v="Chennai"/>
    <x v="2"/>
    <x v="4"/>
    <s v="CUST1026"/>
    <s v="SP_01"/>
    <n v="8"/>
    <n v="2416.65"/>
    <n v="19333.2"/>
    <n v="12629.19"/>
    <n v="6704.01"/>
    <s v="Credit Card"/>
  </r>
  <r>
    <s v="ORD101191"/>
    <s v="2025-11-18"/>
    <x v="10"/>
    <s v="East"/>
    <s v="West Bengal"/>
    <s v="Kolkata"/>
    <x v="0"/>
    <x v="9"/>
    <s v="CUST1967"/>
    <s v="SP_12"/>
    <n v="8"/>
    <n v="7289.76"/>
    <n v="58318.080000000002"/>
    <n v="40407.68"/>
    <n v="17910.400000000001"/>
    <s v="UPI"/>
  </r>
  <r>
    <s v="ORD101192"/>
    <s v="2025-09-06"/>
    <x v="5"/>
    <s v="South"/>
    <s v="Karnataka"/>
    <s v="Bengaluru"/>
    <x v="3"/>
    <x v="11"/>
    <s v="CUST1955"/>
    <s v="SP_01"/>
    <n v="2"/>
    <n v="121.18"/>
    <n v="242.36"/>
    <n v="115.35"/>
    <n v="127.01"/>
    <s v="Debit Card"/>
  </r>
  <r>
    <s v="ORD101193"/>
    <s v="2025-01-17"/>
    <x v="9"/>
    <s v="South"/>
    <s v="Telangana"/>
    <s v="Hyderabad"/>
    <x v="2"/>
    <x v="10"/>
    <s v="CUST1318"/>
    <s v="SP_09"/>
    <n v="6"/>
    <n v="18647.98"/>
    <n v="111887.88"/>
    <n v="82297.460000000006"/>
    <n v="29590.42"/>
    <s v="Debit Card"/>
  </r>
  <r>
    <s v="ORD101194"/>
    <s v="2025-05-02"/>
    <x v="3"/>
    <s v="East"/>
    <s v="Bihar"/>
    <s v="Patna"/>
    <x v="0"/>
    <x v="9"/>
    <s v="CUST1047"/>
    <s v="SP_12"/>
    <n v="2"/>
    <n v="6351.76"/>
    <n v="12703.52"/>
    <n v="10212.92"/>
    <n v="2490.6"/>
    <s v="Debit Card"/>
  </r>
  <r>
    <s v="ORD101195"/>
    <s v="2025-04-08"/>
    <x v="0"/>
    <s v="West"/>
    <s v="Maharashtra"/>
    <s v="Mumbai"/>
    <x v="2"/>
    <x v="2"/>
    <s v="CUST1196"/>
    <s v="SP_15"/>
    <n v="3"/>
    <n v="43484.85"/>
    <n v="130454.55"/>
    <n v="103536.92"/>
    <n v="26917.63"/>
    <s v="Net Banking"/>
  </r>
  <r>
    <s v="ORD101196"/>
    <s v="2025-07-04"/>
    <x v="6"/>
    <s v="East"/>
    <s v="West Bengal"/>
    <s v="Kolkata"/>
    <x v="2"/>
    <x v="10"/>
    <s v="CUST1312"/>
    <s v="SP_15"/>
    <n v="6"/>
    <n v="17583.18"/>
    <n v="105499.08"/>
    <n v="87007.1"/>
    <n v="18491.98"/>
    <s v="Net Banking"/>
  </r>
  <r>
    <s v="ORD101197"/>
    <s v="2025-03-17"/>
    <x v="4"/>
    <s v="South"/>
    <s v="Tamil Nadu"/>
    <s v="Chennai"/>
    <x v="2"/>
    <x v="2"/>
    <s v="CUST1633"/>
    <s v="SP_10"/>
    <n v="7"/>
    <n v="44805.32"/>
    <n v="313637.24"/>
    <n v="254421.07"/>
    <n v="59216.17"/>
    <s v="Cash"/>
  </r>
  <r>
    <s v="ORD101198"/>
    <s v="2025-09-11"/>
    <x v="5"/>
    <s v="North"/>
    <s v="Punjab"/>
    <s v="Chandigarh"/>
    <x v="3"/>
    <x v="7"/>
    <s v="CUST1788"/>
    <s v="SP_06"/>
    <n v="1"/>
    <n v="10815.97"/>
    <n v="10815.97"/>
    <n v="8692.3700000000008"/>
    <n v="2123.6"/>
    <s v="Credit Card"/>
  </r>
  <r>
    <s v="ORD101199"/>
    <s v="2025-07-15"/>
    <x v="6"/>
    <s v="South"/>
    <s v="Telangana"/>
    <s v="Hyderabad"/>
    <x v="1"/>
    <x v="6"/>
    <s v="CUST1269"/>
    <s v="SP_12"/>
    <n v="5"/>
    <n v="3137.28"/>
    <n v="15686.4"/>
    <n v="11638.87"/>
    <n v="4047.53"/>
    <s v="Credit Card"/>
  </r>
  <r>
    <s v="ORD101200"/>
    <s v="2025-08-07"/>
    <x v="11"/>
    <s v="East"/>
    <s v="Odisha"/>
    <s v="Bhubaneswar"/>
    <x v="2"/>
    <x v="10"/>
    <s v="CUST1096"/>
    <s v="SP_02"/>
    <n v="1"/>
    <n v="19261.63"/>
    <n v="19261.63"/>
    <n v="14586.07"/>
    <n v="4675.5600000000004"/>
    <s v="Cash"/>
  </r>
  <r>
    <s v="ORD101201"/>
    <s v="2025-06-01"/>
    <x v="2"/>
    <s v="West"/>
    <s v="Gujarat"/>
    <s v="Ahmedabad"/>
    <x v="1"/>
    <x v="6"/>
    <s v="CUST1112"/>
    <s v="SP_02"/>
    <n v="5"/>
    <n v="3205.34"/>
    <n v="16026.7"/>
    <n v="12206.49"/>
    <n v="3820.21"/>
    <s v="Debit Card"/>
  </r>
  <r>
    <s v="ORD101202"/>
    <s v="2025-12-26"/>
    <x v="7"/>
    <s v="South"/>
    <s v="Tamil Nadu"/>
    <s v="Chennai"/>
    <x v="0"/>
    <x v="0"/>
    <s v="CUST1975"/>
    <s v="SP_14"/>
    <n v="5"/>
    <n v="3719.61"/>
    <n v="18598.05"/>
    <n v="10700.13"/>
    <n v="7897.92"/>
    <s v="Debit Card"/>
  </r>
  <r>
    <s v="ORD101203"/>
    <s v="2025-02-01"/>
    <x v="8"/>
    <s v="South"/>
    <s v="Karnataka"/>
    <s v="Bengaluru"/>
    <x v="0"/>
    <x v="0"/>
    <s v="CUST1051"/>
    <s v="SP_13"/>
    <n v="7"/>
    <n v="3503.04"/>
    <n v="24521.279999999999"/>
    <n v="15470.03"/>
    <n v="9051.25"/>
    <s v="Credit Card"/>
  </r>
  <r>
    <s v="ORD101204"/>
    <s v="2025-11-10"/>
    <x v="10"/>
    <s v="West"/>
    <s v="Rajasthan"/>
    <s v="Jaipur"/>
    <x v="1"/>
    <x v="6"/>
    <s v="CUST1486"/>
    <s v="SP_09"/>
    <n v="1"/>
    <n v="3023.3"/>
    <n v="3023.3"/>
    <n v="2290.7399999999998"/>
    <n v="732.56"/>
    <s v="Credit Card"/>
  </r>
  <r>
    <s v="ORD101205"/>
    <s v="2025-06-20"/>
    <x v="2"/>
    <s v="South"/>
    <s v="Karnataka"/>
    <s v="Bengaluru"/>
    <x v="0"/>
    <x v="0"/>
    <s v="CUST1066"/>
    <s v="SP_07"/>
    <n v="5"/>
    <n v="3565.07"/>
    <n v="17825.349999999999"/>
    <n v="10824.56"/>
    <n v="7000.79"/>
    <s v="UPI"/>
  </r>
  <r>
    <s v="ORD101206"/>
    <s v="2025-08-25"/>
    <x v="11"/>
    <s v="South"/>
    <s v="Telangana"/>
    <s v="Hyderabad"/>
    <x v="3"/>
    <x v="7"/>
    <s v="CUST1640"/>
    <s v="SP_08"/>
    <n v="4"/>
    <n v="11697.25"/>
    <n v="46789"/>
    <n v="37097.72"/>
    <n v="9691.2800000000007"/>
    <s v="Debit Card"/>
  </r>
  <r>
    <s v="ORD101207"/>
    <s v="2025-11-02"/>
    <x v="10"/>
    <s v="South"/>
    <s v="Tamil Nadu"/>
    <s v="Chennai"/>
    <x v="2"/>
    <x v="2"/>
    <s v="CUST1586"/>
    <s v="SP_06"/>
    <n v="7"/>
    <n v="44748.76"/>
    <n v="313241.32"/>
    <n v="255076.89"/>
    <n v="58164.43"/>
    <s v="UPI"/>
  </r>
  <r>
    <s v="ORD101208"/>
    <s v="2025-12-10"/>
    <x v="7"/>
    <s v="East"/>
    <s v="Bihar"/>
    <s v="Patna"/>
    <x v="3"/>
    <x v="3"/>
    <s v="CUST1377"/>
    <s v="SP_08"/>
    <n v="4"/>
    <n v="22.61"/>
    <n v="90.44"/>
    <n v="40.5"/>
    <n v="49.94"/>
    <s v="Credit Card"/>
  </r>
  <r>
    <s v="ORD101209"/>
    <s v="2025-10-07"/>
    <x v="1"/>
    <s v="South"/>
    <s v="Karnataka"/>
    <s v="Bengaluru"/>
    <x v="0"/>
    <x v="8"/>
    <s v="CUST1780"/>
    <s v="SP_14"/>
    <n v="3"/>
    <n v="23206.99"/>
    <n v="69620.97"/>
    <n v="52975.44"/>
    <n v="16645.53"/>
    <s v="Debit Card"/>
  </r>
  <r>
    <s v="ORD101210"/>
    <s v="2025-08-30"/>
    <x v="11"/>
    <s v="East"/>
    <s v="Bihar"/>
    <s v="Patna"/>
    <x v="0"/>
    <x v="8"/>
    <s v="CUST1378"/>
    <s v="SP_14"/>
    <n v="1"/>
    <n v="22826.36"/>
    <n v="22826.36"/>
    <n v="16526.150000000001"/>
    <n v="6300.21"/>
    <s v="UPI"/>
  </r>
  <r>
    <s v="ORD101211"/>
    <s v="2025-06-06"/>
    <x v="2"/>
    <s v="North"/>
    <s v="Uttar Pradesh"/>
    <s v="Lucknow"/>
    <x v="0"/>
    <x v="9"/>
    <s v="CUST1346"/>
    <s v="SP_03"/>
    <n v="6"/>
    <n v="6690.68"/>
    <n v="40144.080000000002"/>
    <n v="30537.75"/>
    <n v="9606.33"/>
    <s v="UPI"/>
  </r>
  <r>
    <s v="ORD101212"/>
    <s v="2025-06-27"/>
    <x v="2"/>
    <s v="West"/>
    <s v="Gujarat"/>
    <s v="Ahmedabad"/>
    <x v="3"/>
    <x v="11"/>
    <s v="CUST1332"/>
    <s v="SP_13"/>
    <n v="3"/>
    <n v="126.61"/>
    <n v="379.83"/>
    <n v="188.18"/>
    <n v="191.65"/>
    <s v="Net Banking"/>
  </r>
  <r>
    <s v="ORD101213"/>
    <s v="2025-09-09"/>
    <x v="5"/>
    <s v="South"/>
    <s v="Tamil Nadu"/>
    <s v="Chennai"/>
    <x v="3"/>
    <x v="11"/>
    <s v="CUST1223"/>
    <s v="SP_01"/>
    <n v="6"/>
    <n v="109.3"/>
    <n v="655.8"/>
    <n v="377.34"/>
    <n v="278.45999999999998"/>
    <s v="Debit Card"/>
  </r>
  <r>
    <s v="ORD101214"/>
    <s v="2025-03-02"/>
    <x v="4"/>
    <s v="South"/>
    <s v="Tamil Nadu"/>
    <s v="Chennai"/>
    <x v="3"/>
    <x v="7"/>
    <s v="CUST1063"/>
    <s v="SP_03"/>
    <n v="7"/>
    <n v="12648.93"/>
    <n v="88542.51"/>
    <n v="62511.92"/>
    <n v="26030.59"/>
    <s v="Cash"/>
  </r>
  <r>
    <s v="ORD101215"/>
    <s v="2025-09-17"/>
    <x v="5"/>
    <s v="East"/>
    <s v="West Bengal"/>
    <s v="Kolkata"/>
    <x v="2"/>
    <x v="4"/>
    <s v="CUST1948"/>
    <s v="SP_04"/>
    <n v="1"/>
    <n v="2409.23"/>
    <n v="2409.23"/>
    <n v="1641.48"/>
    <n v="767.75"/>
    <s v="Debit Card"/>
  </r>
  <r>
    <s v="ORD101216"/>
    <s v="2025-11-04"/>
    <x v="10"/>
    <s v="East"/>
    <s v="Odisha"/>
    <s v="Bhubaneswar"/>
    <x v="1"/>
    <x v="5"/>
    <s v="CUST1259"/>
    <s v="SP_11"/>
    <n v="3"/>
    <n v="10435.86"/>
    <n v="31307.58"/>
    <n v="21664.76"/>
    <n v="9642.82"/>
    <s v="Net Banking"/>
  </r>
  <r>
    <s v="ORD101217"/>
    <s v="2025-04-20"/>
    <x v="0"/>
    <s v="South"/>
    <s v="Tamil Nadu"/>
    <s v="Chennai"/>
    <x v="1"/>
    <x v="1"/>
    <s v="CUST1203"/>
    <s v="SP_15"/>
    <n v="1"/>
    <n v="2642.4"/>
    <n v="2642.4"/>
    <n v="1990.13"/>
    <n v="652.27"/>
    <s v="Net Banking"/>
  </r>
  <r>
    <s v="ORD101218"/>
    <s v="2025-12-27"/>
    <x v="7"/>
    <s v="North"/>
    <s v="Delhi"/>
    <s v="Delhi"/>
    <x v="3"/>
    <x v="7"/>
    <s v="CUST1686"/>
    <s v="SP_03"/>
    <n v="2"/>
    <n v="12786.23"/>
    <n v="25572.46"/>
    <n v="18012.91"/>
    <n v="7559.55"/>
    <s v="Net Banking"/>
  </r>
  <r>
    <s v="ORD101219"/>
    <s v="2025-03-09"/>
    <x v="4"/>
    <s v="West"/>
    <s v="Rajasthan"/>
    <s v="Jaipur"/>
    <x v="1"/>
    <x v="5"/>
    <s v="CUST1184"/>
    <s v="SP_12"/>
    <n v="6"/>
    <n v="9487.58"/>
    <n v="56925.48"/>
    <n v="45217.11"/>
    <n v="11708.37"/>
    <s v="Cash"/>
  </r>
  <r>
    <s v="ORD101220"/>
    <s v="2025-05-30"/>
    <x v="3"/>
    <s v="East"/>
    <s v="Odisha"/>
    <s v="Bhubaneswar"/>
    <x v="1"/>
    <x v="6"/>
    <s v="CUST1327"/>
    <s v="SP_07"/>
    <n v="8"/>
    <n v="3331.84"/>
    <n v="26654.720000000001"/>
    <n v="19015.009999999998"/>
    <n v="7639.71"/>
    <s v="Cash"/>
  </r>
  <r>
    <s v="ORD101221"/>
    <s v="2025-05-16"/>
    <x v="3"/>
    <s v="North"/>
    <s v="Delhi"/>
    <s v="Delhi"/>
    <x v="3"/>
    <x v="7"/>
    <s v="CUST1393"/>
    <s v="SP_05"/>
    <n v="3"/>
    <n v="11353.06"/>
    <n v="34059.18"/>
    <n v="27871.52"/>
    <n v="6187.66"/>
    <s v="UPI"/>
  </r>
  <r>
    <s v="ORD101222"/>
    <s v="2025-10-14"/>
    <x v="1"/>
    <s v="North"/>
    <s v="Punjab"/>
    <s v="Chandigarh"/>
    <x v="1"/>
    <x v="6"/>
    <s v="CUST1248"/>
    <s v="SP_04"/>
    <n v="7"/>
    <n v="3347.18"/>
    <n v="23430.26"/>
    <n v="17007.86"/>
    <n v="6422.4"/>
    <s v="UPI"/>
  </r>
  <r>
    <s v="ORD101223"/>
    <s v="2025-09-07"/>
    <x v="5"/>
    <s v="West"/>
    <s v="Gujarat"/>
    <s v="Ahmedabad"/>
    <x v="3"/>
    <x v="11"/>
    <s v="CUST1622"/>
    <s v="SP_04"/>
    <n v="6"/>
    <n v="120.83"/>
    <n v="724.98"/>
    <n v="361.99"/>
    <n v="362.99"/>
    <s v="Debit Card"/>
  </r>
  <r>
    <s v="ORD101224"/>
    <s v="2025-04-30"/>
    <x v="0"/>
    <s v="South"/>
    <s v="Telangana"/>
    <s v="Hyderabad"/>
    <x v="0"/>
    <x v="9"/>
    <s v="CUST1960"/>
    <s v="SP_12"/>
    <n v="4"/>
    <n v="6339.17"/>
    <n v="25356.68"/>
    <n v="19187.93"/>
    <n v="6168.75"/>
    <s v="UPI"/>
  </r>
  <r>
    <s v="ORD101225"/>
    <s v="2025-02-20"/>
    <x v="8"/>
    <s v="East"/>
    <s v="Bihar"/>
    <s v="Patna"/>
    <x v="1"/>
    <x v="5"/>
    <s v="CUST1956"/>
    <s v="SP_15"/>
    <n v="7"/>
    <n v="10063.23"/>
    <n v="70442.61"/>
    <n v="53597.45"/>
    <n v="16845.16"/>
    <s v="UPI"/>
  </r>
  <r>
    <s v="ORD101226"/>
    <s v="2025-06-23"/>
    <x v="2"/>
    <s v="West"/>
    <s v="Gujarat"/>
    <s v="Ahmedabad"/>
    <x v="1"/>
    <x v="6"/>
    <s v="CUST1407"/>
    <s v="SP_05"/>
    <n v="3"/>
    <n v="3514.85"/>
    <n v="10544.55"/>
    <n v="7547.83"/>
    <n v="2996.72"/>
    <s v="Credit Card"/>
  </r>
  <r>
    <s v="ORD101227"/>
    <s v="2025-12-24"/>
    <x v="7"/>
    <s v="North"/>
    <s v="Uttar Pradesh"/>
    <s v="Lucknow"/>
    <x v="0"/>
    <x v="8"/>
    <s v="CUST1128"/>
    <s v="SP_09"/>
    <n v="1"/>
    <n v="20741.53"/>
    <n v="20741.53"/>
    <n v="16906.400000000001"/>
    <n v="3835.13"/>
    <s v="UPI"/>
  </r>
  <r>
    <s v="ORD101228"/>
    <s v="2025-02-11"/>
    <x v="8"/>
    <s v="West"/>
    <s v="Gujarat"/>
    <s v="Ahmedabad"/>
    <x v="1"/>
    <x v="1"/>
    <s v="CUST1999"/>
    <s v="SP_09"/>
    <n v="1"/>
    <n v="2520.2800000000002"/>
    <n v="2520.2800000000002"/>
    <n v="1973.59"/>
    <n v="546.69000000000005"/>
    <s v="Debit Card"/>
  </r>
  <r>
    <s v="ORD101229"/>
    <s v="2025-01-18"/>
    <x v="9"/>
    <s v="West"/>
    <s v="Rajasthan"/>
    <s v="Jaipur"/>
    <x v="2"/>
    <x v="4"/>
    <s v="CUST1944"/>
    <s v="SP_10"/>
    <n v="8"/>
    <n v="2583.91"/>
    <n v="20671.28"/>
    <n v="13192.28"/>
    <n v="7479"/>
    <s v="UPI"/>
  </r>
  <r>
    <s v="ORD101230"/>
    <s v="2025-05-05"/>
    <x v="3"/>
    <s v="West"/>
    <s v="Maharashtra"/>
    <s v="Mumbai"/>
    <x v="3"/>
    <x v="11"/>
    <s v="CUST1652"/>
    <s v="SP_15"/>
    <n v="2"/>
    <n v="128.07"/>
    <n v="256.14"/>
    <n v="120.3"/>
    <n v="135.84"/>
    <s v="UPI"/>
  </r>
  <r>
    <s v="ORD101231"/>
    <s v="2025-03-13"/>
    <x v="4"/>
    <s v="East"/>
    <s v="Odisha"/>
    <s v="Bhubaneswar"/>
    <x v="3"/>
    <x v="11"/>
    <s v="CUST1989"/>
    <s v="SP_03"/>
    <n v="1"/>
    <n v="110.39"/>
    <n v="110.39"/>
    <n v="60.49"/>
    <n v="49.9"/>
    <s v="UPI"/>
  </r>
  <r>
    <s v="ORD101232"/>
    <s v="2025-06-03"/>
    <x v="2"/>
    <s v="West"/>
    <s v="Maharashtra"/>
    <s v="Mumbai"/>
    <x v="0"/>
    <x v="9"/>
    <s v="CUST1249"/>
    <s v="SP_15"/>
    <n v="6"/>
    <n v="6362.67"/>
    <n v="38176.019999999997"/>
    <n v="30994.12"/>
    <n v="7181.9"/>
    <s v="Credit Card"/>
  </r>
  <r>
    <s v="ORD101233"/>
    <s v="2025-04-15"/>
    <x v="0"/>
    <s v="East"/>
    <s v="Bihar"/>
    <s v="Patna"/>
    <x v="2"/>
    <x v="2"/>
    <s v="CUST1012"/>
    <s v="SP_06"/>
    <n v="1"/>
    <n v="42383.38"/>
    <n v="42383.38"/>
    <n v="33396.660000000003"/>
    <n v="8986.7199999999993"/>
    <s v="Credit Card"/>
  </r>
  <r>
    <s v="ORD101234"/>
    <s v="2025-07-26"/>
    <x v="6"/>
    <s v="East"/>
    <s v="Bihar"/>
    <s v="Patna"/>
    <x v="0"/>
    <x v="8"/>
    <s v="CUST1397"/>
    <s v="SP_12"/>
    <n v="8"/>
    <n v="23273.25"/>
    <n v="186186"/>
    <n v="136275.49"/>
    <n v="49910.51"/>
    <s v="Debit Card"/>
  </r>
  <r>
    <s v="ORD101235"/>
    <s v="2025-01-21"/>
    <x v="9"/>
    <s v="North"/>
    <s v="Delhi"/>
    <s v="Delhi"/>
    <x v="1"/>
    <x v="6"/>
    <s v="CUST1230"/>
    <s v="SP_11"/>
    <n v="5"/>
    <n v="2882.78"/>
    <n v="14413.9"/>
    <n v="12267.27"/>
    <n v="2146.63"/>
    <s v="Credit Card"/>
  </r>
  <r>
    <s v="ORD101236"/>
    <s v="2025-07-31"/>
    <x v="6"/>
    <s v="East"/>
    <s v="Odisha"/>
    <s v="Bhubaneswar"/>
    <x v="3"/>
    <x v="3"/>
    <s v="CUST1153"/>
    <s v="SP_03"/>
    <n v="3"/>
    <n v="26.85"/>
    <n v="80.55"/>
    <n v="29.76"/>
    <n v="50.79"/>
    <s v="Debit Card"/>
  </r>
  <r>
    <s v="ORD101237"/>
    <s v="2025-04-22"/>
    <x v="0"/>
    <s v="West"/>
    <s v="Rajasthan"/>
    <s v="Jaipur"/>
    <x v="0"/>
    <x v="8"/>
    <s v="CUST1452"/>
    <s v="SP_03"/>
    <n v="8"/>
    <n v="23472.63"/>
    <n v="187781.04"/>
    <n v="134203.37"/>
    <n v="53577.67"/>
    <s v="Debit Card"/>
  </r>
  <r>
    <s v="ORD101238"/>
    <s v="2025-03-10"/>
    <x v="4"/>
    <s v="South"/>
    <s v="Telangana"/>
    <s v="Hyderabad"/>
    <x v="1"/>
    <x v="5"/>
    <s v="CUST1197"/>
    <s v="SP_11"/>
    <n v="7"/>
    <n v="9814.34"/>
    <n v="68700.38"/>
    <n v="55169.120000000003"/>
    <n v="13531.26"/>
    <s v="Debit Card"/>
  </r>
  <r>
    <s v="ORD101239"/>
    <s v="2025-05-26"/>
    <x v="3"/>
    <s v="North"/>
    <s v="Punjab"/>
    <s v="Chandigarh"/>
    <x v="1"/>
    <x v="6"/>
    <s v="CUST1904"/>
    <s v="SP_13"/>
    <n v="2"/>
    <n v="2883.82"/>
    <n v="5767.64"/>
    <n v="4727.28"/>
    <n v="1040.3599999999999"/>
    <s v="UPI"/>
  </r>
  <r>
    <s v="ORD101240"/>
    <s v="2025-09-13"/>
    <x v="5"/>
    <s v="East"/>
    <s v="Odisha"/>
    <s v="Bhubaneswar"/>
    <x v="2"/>
    <x v="4"/>
    <s v="CUST1755"/>
    <s v="SP_02"/>
    <n v="7"/>
    <n v="2656.39"/>
    <n v="18594.73"/>
    <n v="10958.73"/>
    <n v="7636"/>
    <s v="Net Banking"/>
  </r>
  <r>
    <s v="ORD101241"/>
    <s v="2025-01-01"/>
    <x v="9"/>
    <s v="West"/>
    <s v="Gujarat"/>
    <s v="Ahmedabad"/>
    <x v="0"/>
    <x v="0"/>
    <s v="CUST1688"/>
    <s v="SP_13"/>
    <n v="4"/>
    <n v="3248.91"/>
    <n v="12995.64"/>
    <n v="8834.67"/>
    <n v="4160.97"/>
    <s v="Cash"/>
  </r>
  <r>
    <s v="ORD101242"/>
    <s v="2025-05-06"/>
    <x v="3"/>
    <s v="West"/>
    <s v="Rajasthan"/>
    <s v="Jaipur"/>
    <x v="3"/>
    <x v="11"/>
    <s v="CUST1989"/>
    <s v="SP_10"/>
    <n v="5"/>
    <n v="113.79"/>
    <n v="568.95000000000005"/>
    <n v="301.79000000000002"/>
    <n v="267.16000000000003"/>
    <s v="Credit Card"/>
  </r>
  <r>
    <s v="ORD101243"/>
    <s v="2025-04-16"/>
    <x v="0"/>
    <s v="North"/>
    <s v="Uttar Pradesh"/>
    <s v="Lucknow"/>
    <x v="2"/>
    <x v="2"/>
    <s v="CUST1686"/>
    <s v="SP_11"/>
    <n v="6"/>
    <n v="41684.080000000002"/>
    <n v="250104.48"/>
    <n v="219983.21"/>
    <n v="30121.27"/>
    <s v="UPI"/>
  </r>
  <r>
    <s v="ORD101244"/>
    <s v="2025-08-04"/>
    <x v="11"/>
    <s v="West"/>
    <s v="Maharashtra"/>
    <s v="Mumbai"/>
    <x v="2"/>
    <x v="10"/>
    <s v="CUST1243"/>
    <s v="SP_09"/>
    <n v="3"/>
    <n v="19642.87"/>
    <n v="58928.61"/>
    <n v="42196.52"/>
    <n v="16732.09"/>
    <s v="UPI"/>
  </r>
  <r>
    <s v="ORD101245"/>
    <s v="2025-12-28"/>
    <x v="7"/>
    <s v="East"/>
    <s v="West Bengal"/>
    <s v="Kolkata"/>
    <x v="1"/>
    <x v="6"/>
    <s v="CUST1174"/>
    <s v="SP_12"/>
    <n v="8"/>
    <n v="2903.76"/>
    <n v="23230.080000000002"/>
    <n v="19923.75"/>
    <n v="3306.33"/>
    <s v="Net Banking"/>
  </r>
  <r>
    <s v="ORD101246"/>
    <s v="2025-07-30"/>
    <x v="6"/>
    <s v="East"/>
    <s v="Bihar"/>
    <s v="Patna"/>
    <x v="1"/>
    <x v="1"/>
    <s v="CUST1906"/>
    <s v="SP_11"/>
    <n v="4"/>
    <n v="3063.34"/>
    <n v="12253.36"/>
    <n v="7443.58"/>
    <n v="4809.78"/>
    <s v="Credit Card"/>
  </r>
  <r>
    <s v="ORD101247"/>
    <s v="2025-07-30"/>
    <x v="6"/>
    <s v="South"/>
    <s v="Tamil Nadu"/>
    <s v="Chennai"/>
    <x v="3"/>
    <x v="7"/>
    <s v="CUST1639"/>
    <s v="SP_07"/>
    <n v="4"/>
    <n v="11206.89"/>
    <n v="44827.56"/>
    <n v="36619.65"/>
    <n v="8207.91"/>
    <s v="Credit Card"/>
  </r>
  <r>
    <s v="ORD101248"/>
    <s v="2025-09-10"/>
    <x v="5"/>
    <s v="North"/>
    <s v="Uttar Pradesh"/>
    <s v="Lucknow"/>
    <x v="2"/>
    <x v="2"/>
    <s v="CUST1930"/>
    <s v="SP_15"/>
    <n v="7"/>
    <n v="43315.27"/>
    <n v="303206.89"/>
    <n v="235171.5"/>
    <n v="68035.39"/>
    <s v="Net Banking"/>
  </r>
  <r>
    <s v="ORD101249"/>
    <s v="2025-03-19"/>
    <x v="4"/>
    <s v="North"/>
    <s v="Punjab"/>
    <s v="Chandigarh"/>
    <x v="1"/>
    <x v="1"/>
    <s v="CUST1794"/>
    <s v="SP_08"/>
    <n v="7"/>
    <n v="2609.0500000000002"/>
    <n v="18263.349999999999"/>
    <n v="13172.74"/>
    <n v="5090.6099999999997"/>
    <s v="Debit Card"/>
  </r>
  <r>
    <s v="ORD101250"/>
    <s v="2025-05-19"/>
    <x v="3"/>
    <s v="West"/>
    <s v="Rajasthan"/>
    <s v="Jaipur"/>
    <x v="2"/>
    <x v="2"/>
    <s v="CUST1674"/>
    <s v="SP_10"/>
    <n v="8"/>
    <n v="43901.69"/>
    <n v="351213.52"/>
    <n v="278477.76"/>
    <n v="72735.759999999995"/>
    <s v="Credit Card"/>
  </r>
  <r>
    <s v="ORD101251"/>
    <s v="2025-05-22"/>
    <x v="3"/>
    <s v="North"/>
    <s v="Punjab"/>
    <s v="Chandigarh"/>
    <x v="3"/>
    <x v="3"/>
    <s v="CUST1759"/>
    <s v="SP_12"/>
    <n v="3"/>
    <n v="25.46"/>
    <n v="76.38"/>
    <n v="29.26"/>
    <n v="47.12"/>
    <s v="Credit Card"/>
  </r>
  <r>
    <s v="ORD101252"/>
    <s v="2025-06-08"/>
    <x v="2"/>
    <s v="East"/>
    <s v="Bihar"/>
    <s v="Patna"/>
    <x v="1"/>
    <x v="5"/>
    <s v="CUST1193"/>
    <s v="SP_07"/>
    <n v="7"/>
    <n v="8677.64"/>
    <n v="60743.48"/>
    <n v="52867.51"/>
    <n v="7875.97"/>
    <s v="Debit Card"/>
  </r>
  <r>
    <s v="ORD101253"/>
    <s v="2025-12-17"/>
    <x v="7"/>
    <s v="East"/>
    <s v="West Bengal"/>
    <s v="Kolkata"/>
    <x v="0"/>
    <x v="0"/>
    <s v="CUST1124"/>
    <s v="SP_06"/>
    <n v="7"/>
    <n v="3386.02"/>
    <n v="23702.14"/>
    <n v="16025.39"/>
    <n v="7676.75"/>
    <s v="Debit Card"/>
  </r>
  <r>
    <s v="ORD101254"/>
    <s v="2025-10-20"/>
    <x v="1"/>
    <s v="South"/>
    <s v="Karnataka"/>
    <s v="Bengaluru"/>
    <x v="3"/>
    <x v="11"/>
    <s v="CUST1485"/>
    <s v="SP_05"/>
    <n v="4"/>
    <n v="109.6"/>
    <n v="438.4"/>
    <n v="242.6"/>
    <n v="195.8"/>
    <s v="Credit Card"/>
  </r>
  <r>
    <s v="ORD101255"/>
    <s v="2025-06-13"/>
    <x v="2"/>
    <s v="North"/>
    <s v="Punjab"/>
    <s v="Chandigarh"/>
    <x v="3"/>
    <x v="7"/>
    <s v="CUST1014"/>
    <s v="SP_10"/>
    <n v="7"/>
    <n v="13159.89"/>
    <n v="92119.23"/>
    <n v="63216.97"/>
    <n v="28902.26"/>
    <s v="Net Banking"/>
  </r>
  <r>
    <s v="ORD101256"/>
    <s v="2025-02-06"/>
    <x v="8"/>
    <s v="South"/>
    <s v="Tamil Nadu"/>
    <s v="Chennai"/>
    <x v="2"/>
    <x v="4"/>
    <s v="CUST1898"/>
    <s v="SP_14"/>
    <n v="2"/>
    <n v="2341.02"/>
    <n v="4682.04"/>
    <n v="3140"/>
    <n v="1542.04"/>
    <s v="Debit Card"/>
  </r>
  <r>
    <s v="ORD101257"/>
    <s v="2025-07-04"/>
    <x v="6"/>
    <s v="East"/>
    <s v="Odisha"/>
    <s v="Bhubaneswar"/>
    <x v="2"/>
    <x v="4"/>
    <s v="CUST1879"/>
    <s v="SP_05"/>
    <n v="4"/>
    <n v="2293.64"/>
    <n v="9174.56"/>
    <n v="6266.44"/>
    <n v="2908.12"/>
    <s v="Credit Card"/>
  </r>
  <r>
    <s v="ORD101258"/>
    <s v="2025-06-18"/>
    <x v="2"/>
    <s v="West"/>
    <s v="Maharashtra"/>
    <s v="Mumbai"/>
    <x v="2"/>
    <x v="10"/>
    <s v="CUST1284"/>
    <s v="SP_10"/>
    <n v="6"/>
    <n v="18801.66"/>
    <n v="112809.96"/>
    <n v="86691.07"/>
    <n v="26118.89"/>
    <s v="Net Banking"/>
  </r>
  <r>
    <s v="ORD101259"/>
    <s v="2025-01-26"/>
    <x v="9"/>
    <s v="North"/>
    <s v="Delhi"/>
    <s v="Delhi"/>
    <x v="1"/>
    <x v="5"/>
    <s v="CUST1370"/>
    <s v="SP_09"/>
    <n v="5"/>
    <n v="9377.81"/>
    <n v="46889.05"/>
    <n v="38336.82"/>
    <n v="8552.23"/>
    <s v="Debit Card"/>
  </r>
  <r>
    <s v="ORD101260"/>
    <s v="2025-06-21"/>
    <x v="2"/>
    <s v="North"/>
    <s v="Punjab"/>
    <s v="Chandigarh"/>
    <x v="3"/>
    <x v="11"/>
    <s v="CUST1722"/>
    <s v="SP_11"/>
    <n v="4"/>
    <n v="118.37"/>
    <n v="473.48"/>
    <n v="247.41"/>
    <n v="226.07"/>
    <s v="Net Banking"/>
  </r>
  <r>
    <s v="ORD101261"/>
    <s v="2025-09-26"/>
    <x v="5"/>
    <s v="South"/>
    <s v="Tamil Nadu"/>
    <s v="Chennai"/>
    <x v="1"/>
    <x v="6"/>
    <s v="CUST1267"/>
    <s v="SP_02"/>
    <n v="2"/>
    <n v="3097.61"/>
    <n v="6195.22"/>
    <n v="4703.8999999999996"/>
    <n v="1491.32"/>
    <s v="Net Banking"/>
  </r>
  <r>
    <s v="ORD101262"/>
    <s v="2025-03-01"/>
    <x v="4"/>
    <s v="East"/>
    <s v="Bihar"/>
    <s v="Patna"/>
    <x v="1"/>
    <x v="1"/>
    <s v="CUST1668"/>
    <s v="SP_07"/>
    <n v="5"/>
    <n v="2977.48"/>
    <n v="14887.4"/>
    <n v="9885.76"/>
    <n v="5001.6400000000003"/>
    <s v="Cash"/>
  </r>
  <r>
    <s v="ORD101263"/>
    <s v="2025-05-13"/>
    <x v="3"/>
    <s v="North"/>
    <s v="Punjab"/>
    <s v="Chandigarh"/>
    <x v="2"/>
    <x v="2"/>
    <s v="CUST1465"/>
    <s v="SP_02"/>
    <n v="5"/>
    <n v="43875.72"/>
    <n v="219378.6"/>
    <n v="182850.03"/>
    <n v="36528.57"/>
    <s v="Debit Card"/>
  </r>
  <r>
    <s v="ORD101264"/>
    <s v="2025-12-25"/>
    <x v="7"/>
    <s v="North"/>
    <s v="Delhi"/>
    <s v="Delhi"/>
    <x v="0"/>
    <x v="8"/>
    <s v="CUST1754"/>
    <s v="SP_09"/>
    <n v="5"/>
    <n v="22428.35"/>
    <n v="112141.75"/>
    <n v="84043.51"/>
    <n v="28098.240000000002"/>
    <s v="Debit Card"/>
  </r>
  <r>
    <s v="ORD101265"/>
    <s v="2025-01-02"/>
    <x v="9"/>
    <s v="West"/>
    <s v="Gujarat"/>
    <s v="Ahmedabad"/>
    <x v="3"/>
    <x v="11"/>
    <s v="CUST1695"/>
    <s v="SP_02"/>
    <n v="4"/>
    <n v="123.63"/>
    <n v="494.52"/>
    <n v="250.81"/>
    <n v="243.71"/>
    <s v="UPI"/>
  </r>
  <r>
    <s v="ORD101266"/>
    <s v="2025-08-17"/>
    <x v="11"/>
    <s v="South"/>
    <s v="Karnataka"/>
    <s v="Bengaluru"/>
    <x v="1"/>
    <x v="1"/>
    <s v="CUST1698"/>
    <s v="SP_02"/>
    <n v="7"/>
    <n v="2621.65"/>
    <n v="18351.55"/>
    <n v="13286.44"/>
    <n v="5065.1099999999997"/>
    <s v="Net Banking"/>
  </r>
  <r>
    <s v="ORD101267"/>
    <s v="2025-03-22"/>
    <x v="4"/>
    <s v="North"/>
    <s v="Uttar Pradesh"/>
    <s v="Lucknow"/>
    <x v="0"/>
    <x v="0"/>
    <s v="CUST1274"/>
    <s v="SP_05"/>
    <n v="4"/>
    <n v="3401.15"/>
    <n v="13604.6"/>
    <n v="8774.56"/>
    <n v="4830.04"/>
    <s v="Debit Card"/>
  </r>
  <r>
    <s v="ORD101268"/>
    <s v="2025-08-24"/>
    <x v="11"/>
    <s v="South"/>
    <s v="Telangana"/>
    <s v="Hyderabad"/>
    <x v="1"/>
    <x v="1"/>
    <s v="CUST1269"/>
    <s v="SP_13"/>
    <n v="8"/>
    <n v="3034.13"/>
    <n v="24273.040000000001"/>
    <n v="15156.63"/>
    <n v="9116.41"/>
    <s v="Cash"/>
  </r>
  <r>
    <s v="ORD101269"/>
    <s v="2025-06-03"/>
    <x v="2"/>
    <s v="East"/>
    <s v="Odisha"/>
    <s v="Bhubaneswar"/>
    <x v="2"/>
    <x v="4"/>
    <s v="CUST1586"/>
    <s v="SP_05"/>
    <n v="6"/>
    <n v="2694.04"/>
    <n v="16164.24"/>
    <n v="9546.6200000000008"/>
    <n v="6617.62"/>
    <s v="Cash"/>
  </r>
  <r>
    <s v="ORD101270"/>
    <s v="2025-04-16"/>
    <x v="0"/>
    <s v="South"/>
    <s v="Tamil Nadu"/>
    <s v="Chennai"/>
    <x v="2"/>
    <x v="2"/>
    <s v="CUST1259"/>
    <s v="SP_02"/>
    <n v="3"/>
    <n v="47989.16"/>
    <n v="143967.48000000001"/>
    <n v="106189"/>
    <n v="37778.480000000003"/>
    <s v="Credit Card"/>
  </r>
  <r>
    <s v="ORD101271"/>
    <s v="2025-09-19"/>
    <x v="5"/>
    <s v="West"/>
    <s v="Maharashtra"/>
    <s v="Mumbai"/>
    <x v="2"/>
    <x v="10"/>
    <s v="CUST1182"/>
    <s v="SP_01"/>
    <n v="3"/>
    <n v="18303.86"/>
    <n v="54911.58"/>
    <n v="42313.96"/>
    <n v="12597.62"/>
    <s v="Cash"/>
  </r>
  <r>
    <s v="ORD101272"/>
    <s v="2025-09-11"/>
    <x v="5"/>
    <s v="North"/>
    <s v="Punjab"/>
    <s v="Chandigarh"/>
    <x v="1"/>
    <x v="6"/>
    <s v="CUST1291"/>
    <s v="SP_12"/>
    <n v="2"/>
    <n v="3205.65"/>
    <n v="6411.3"/>
    <n v="4996.59"/>
    <n v="1414.71"/>
    <s v="Cash"/>
  </r>
  <r>
    <s v="ORD101273"/>
    <s v="2025-06-15"/>
    <x v="2"/>
    <s v="West"/>
    <s v="Maharashtra"/>
    <s v="Mumbai"/>
    <x v="2"/>
    <x v="10"/>
    <s v="CUST1126"/>
    <s v="SP_05"/>
    <n v="1"/>
    <n v="19386.53"/>
    <n v="19386.53"/>
    <n v="13631.19"/>
    <n v="5755.34"/>
    <s v="UPI"/>
  </r>
  <r>
    <s v="ORD101274"/>
    <s v="2025-10-03"/>
    <x v="1"/>
    <s v="East"/>
    <s v="Odisha"/>
    <s v="Bhubaneswar"/>
    <x v="3"/>
    <x v="3"/>
    <s v="CUST1923"/>
    <s v="SP_05"/>
    <n v="8"/>
    <n v="27.3"/>
    <n v="218.4"/>
    <n v="83.83"/>
    <n v="134.57"/>
    <s v="Credit Card"/>
  </r>
  <r>
    <s v="ORD101275"/>
    <s v="2025-03-10"/>
    <x v="4"/>
    <s v="West"/>
    <s v="Gujarat"/>
    <s v="Ahmedabad"/>
    <x v="3"/>
    <x v="11"/>
    <s v="CUST1625"/>
    <s v="SP_14"/>
    <n v="5"/>
    <n v="123.88"/>
    <n v="619.4"/>
    <n v="285.49"/>
    <n v="333.91"/>
    <s v="Debit Card"/>
  </r>
  <r>
    <s v="ORD101276"/>
    <s v="2025-02-26"/>
    <x v="8"/>
    <s v="East"/>
    <s v="West Bengal"/>
    <s v="Kolkata"/>
    <x v="3"/>
    <x v="11"/>
    <s v="CUST1744"/>
    <s v="SP_12"/>
    <n v="2"/>
    <n v="128.97999999999999"/>
    <n v="257.95999999999998"/>
    <n v="114.34"/>
    <n v="143.62"/>
    <s v="Cash"/>
  </r>
  <r>
    <s v="ORD101277"/>
    <s v="2025-07-16"/>
    <x v="6"/>
    <s v="North"/>
    <s v="Uttar Pradesh"/>
    <s v="Lucknow"/>
    <x v="1"/>
    <x v="5"/>
    <s v="CUST1975"/>
    <s v="SP_09"/>
    <n v="1"/>
    <n v="10037.06"/>
    <n v="10037.06"/>
    <n v="7849.24"/>
    <n v="2187.8200000000002"/>
    <s v="Net Banking"/>
  </r>
  <r>
    <s v="ORD101278"/>
    <s v="2025-05-02"/>
    <x v="3"/>
    <s v="South"/>
    <s v="Telangana"/>
    <s v="Hyderabad"/>
    <x v="3"/>
    <x v="11"/>
    <s v="CUST1474"/>
    <s v="SP_08"/>
    <n v="3"/>
    <n v="125.86"/>
    <n v="377.58"/>
    <n v="182.2"/>
    <n v="195.38"/>
    <s v="Cash"/>
  </r>
  <r>
    <s v="ORD101279"/>
    <s v="2025-06-30"/>
    <x v="2"/>
    <s v="South"/>
    <s v="Tamil Nadu"/>
    <s v="Chennai"/>
    <x v="1"/>
    <x v="6"/>
    <s v="CUST1542"/>
    <s v="SP_08"/>
    <n v="8"/>
    <n v="3004.66"/>
    <n v="24037.279999999999"/>
    <n v="19332.48"/>
    <n v="4704.8"/>
    <s v="Credit Card"/>
  </r>
  <r>
    <s v="ORD101280"/>
    <s v="2025-02-16"/>
    <x v="8"/>
    <s v="West"/>
    <s v="Rajasthan"/>
    <s v="Jaipur"/>
    <x v="1"/>
    <x v="5"/>
    <s v="CUST1573"/>
    <s v="SP_13"/>
    <n v="7"/>
    <n v="9088.67"/>
    <n v="63620.69"/>
    <n v="54325.55"/>
    <n v="9295.14"/>
    <s v="UPI"/>
  </r>
  <r>
    <s v="ORD101281"/>
    <s v="2025-02-26"/>
    <x v="8"/>
    <s v="South"/>
    <s v="Karnataka"/>
    <s v="Bengaluru"/>
    <x v="0"/>
    <x v="0"/>
    <s v="CUST1180"/>
    <s v="SP_14"/>
    <n v="5"/>
    <n v="3497.51"/>
    <n v="17487.55"/>
    <n v="10750.74"/>
    <n v="6736.81"/>
    <s v="Debit Card"/>
  </r>
  <r>
    <s v="ORD101282"/>
    <s v="2025-11-26"/>
    <x v="10"/>
    <s v="West"/>
    <s v="Rajasthan"/>
    <s v="Jaipur"/>
    <x v="2"/>
    <x v="10"/>
    <s v="CUST1538"/>
    <s v="SP_14"/>
    <n v="6"/>
    <n v="17636.11"/>
    <n v="105816.66"/>
    <n v="80332.23"/>
    <n v="25484.43"/>
    <s v="UPI"/>
  </r>
  <r>
    <s v="ORD101283"/>
    <s v="2025-11-17"/>
    <x v="10"/>
    <s v="South"/>
    <s v="Telangana"/>
    <s v="Hyderabad"/>
    <x v="1"/>
    <x v="5"/>
    <s v="CUST1926"/>
    <s v="SP_09"/>
    <n v="1"/>
    <n v="9986.74"/>
    <n v="9986.74"/>
    <n v="7406.25"/>
    <n v="2580.4899999999998"/>
    <s v="UPI"/>
  </r>
  <r>
    <s v="ORD101284"/>
    <s v="2025-01-24"/>
    <x v="9"/>
    <s v="North"/>
    <s v="Delhi"/>
    <s v="Delhi"/>
    <x v="1"/>
    <x v="1"/>
    <s v="CUST1775"/>
    <s v="SP_10"/>
    <n v="2"/>
    <n v="2637.75"/>
    <n v="5275.5"/>
    <n v="3819.96"/>
    <n v="1455.54"/>
    <s v="UPI"/>
  </r>
  <r>
    <s v="ORD101285"/>
    <s v="2025-08-31"/>
    <x v="11"/>
    <s v="West"/>
    <s v="Gujarat"/>
    <s v="Ahmedabad"/>
    <x v="1"/>
    <x v="6"/>
    <s v="CUST1920"/>
    <s v="SP_01"/>
    <n v="2"/>
    <n v="3027.31"/>
    <n v="6054.62"/>
    <n v="4754.1400000000003"/>
    <n v="1300.48"/>
    <s v="Debit Card"/>
  </r>
  <r>
    <s v="ORD101286"/>
    <s v="2025-02-27"/>
    <x v="8"/>
    <s v="North"/>
    <s v="Punjab"/>
    <s v="Chandigarh"/>
    <x v="3"/>
    <x v="11"/>
    <s v="CUST1348"/>
    <s v="SP_01"/>
    <n v="2"/>
    <n v="117.75"/>
    <n v="235.5"/>
    <n v="125.48"/>
    <n v="110.02"/>
    <s v="UPI"/>
  </r>
  <r>
    <s v="ORD101287"/>
    <s v="2025-11-05"/>
    <x v="10"/>
    <s v="North"/>
    <s v="Punjab"/>
    <s v="Chandigarh"/>
    <x v="2"/>
    <x v="10"/>
    <s v="CUST1410"/>
    <s v="SP_01"/>
    <n v="2"/>
    <n v="19260.669999999998"/>
    <n v="38521.339999999997"/>
    <n v="26943.88"/>
    <n v="11577.46"/>
    <s v="Debit Card"/>
  </r>
  <r>
    <s v="ORD101288"/>
    <s v="2025-03-31"/>
    <x v="4"/>
    <s v="North"/>
    <s v="Punjab"/>
    <s v="Chandigarh"/>
    <x v="3"/>
    <x v="3"/>
    <s v="CUST1439"/>
    <s v="SP_11"/>
    <n v="5"/>
    <n v="24.14"/>
    <n v="120.7"/>
    <n v="52.23"/>
    <n v="68.47"/>
    <s v="Debit Card"/>
  </r>
  <r>
    <s v="ORD101289"/>
    <s v="2025-08-30"/>
    <x v="11"/>
    <s v="East"/>
    <s v="West Bengal"/>
    <s v="Kolkata"/>
    <x v="2"/>
    <x v="4"/>
    <s v="CUST1030"/>
    <s v="SP_04"/>
    <n v="3"/>
    <n v="2655.62"/>
    <n v="7966.86"/>
    <n v="5004.3599999999997"/>
    <n v="2962.5"/>
    <s v="Cash"/>
  </r>
  <r>
    <s v="ORD101290"/>
    <s v="2025-01-10"/>
    <x v="9"/>
    <s v="South"/>
    <s v="Karnataka"/>
    <s v="Bengaluru"/>
    <x v="1"/>
    <x v="5"/>
    <s v="CUST1389"/>
    <s v="SP_14"/>
    <n v="4"/>
    <n v="8676.49"/>
    <n v="34705.96"/>
    <n v="29679.71"/>
    <n v="5026.25"/>
    <s v="Credit Card"/>
  </r>
  <r>
    <s v="ORD101291"/>
    <s v="2025-02-18"/>
    <x v="8"/>
    <s v="North"/>
    <s v="Punjab"/>
    <s v="Chandigarh"/>
    <x v="1"/>
    <x v="6"/>
    <s v="CUST1210"/>
    <s v="SP_14"/>
    <n v="1"/>
    <n v="3405"/>
    <n v="3405"/>
    <n v="2311.3000000000002"/>
    <n v="1093.7"/>
    <s v="UPI"/>
  </r>
  <r>
    <s v="ORD101292"/>
    <s v="2025-11-12"/>
    <x v="10"/>
    <s v="North"/>
    <s v="Punjab"/>
    <s v="Chandigarh"/>
    <x v="2"/>
    <x v="4"/>
    <s v="CUST1847"/>
    <s v="SP_03"/>
    <n v="3"/>
    <n v="2569.46"/>
    <n v="7708.38"/>
    <n v="4582.82"/>
    <n v="3125.56"/>
    <s v="UPI"/>
  </r>
  <r>
    <s v="ORD101293"/>
    <s v="2025-12-12"/>
    <x v="7"/>
    <s v="South"/>
    <s v="Tamil Nadu"/>
    <s v="Chennai"/>
    <x v="0"/>
    <x v="9"/>
    <s v="CUST1263"/>
    <s v="SP_06"/>
    <n v="6"/>
    <n v="7223.21"/>
    <n v="43339.26"/>
    <n v="29526.49"/>
    <n v="13812.77"/>
    <s v="Net Banking"/>
  </r>
  <r>
    <s v="ORD101294"/>
    <s v="2025-12-16"/>
    <x v="7"/>
    <s v="West"/>
    <s v="Maharashtra"/>
    <s v="Mumbai"/>
    <x v="2"/>
    <x v="10"/>
    <s v="CUST1749"/>
    <s v="SP_05"/>
    <n v="5"/>
    <n v="18339.8"/>
    <n v="91699"/>
    <n v="72200.17"/>
    <n v="19498.830000000002"/>
    <s v="UPI"/>
  </r>
  <r>
    <s v="ORD101295"/>
    <s v="2025-03-29"/>
    <x v="4"/>
    <s v="North"/>
    <s v="Uttar Pradesh"/>
    <s v="Lucknow"/>
    <x v="3"/>
    <x v="3"/>
    <s v="CUST1751"/>
    <s v="SP_09"/>
    <n v="2"/>
    <n v="26.11"/>
    <n v="52.22"/>
    <n v="20.190000000000001"/>
    <n v="32.03"/>
    <s v="Credit Card"/>
  </r>
  <r>
    <s v="ORD101296"/>
    <s v="2025-12-30"/>
    <x v="7"/>
    <s v="South"/>
    <s v="Karnataka"/>
    <s v="Bengaluru"/>
    <x v="1"/>
    <x v="6"/>
    <s v="CUST1122"/>
    <s v="SP_06"/>
    <n v="7"/>
    <n v="2981.25"/>
    <n v="20868.75"/>
    <n v="15992.15"/>
    <n v="4876.6000000000004"/>
    <s v="UPI"/>
  </r>
  <r>
    <s v="ORD101297"/>
    <s v="2025-03-15"/>
    <x v="4"/>
    <s v="West"/>
    <s v="Rajasthan"/>
    <s v="Jaipur"/>
    <x v="3"/>
    <x v="3"/>
    <s v="CUST1658"/>
    <s v="SP_14"/>
    <n v="5"/>
    <n v="22.54"/>
    <n v="112.7"/>
    <n v="50.68"/>
    <n v="62.02"/>
    <s v="Credit Card"/>
  </r>
  <r>
    <s v="ORD101298"/>
    <s v="2025-07-05"/>
    <x v="6"/>
    <s v="South"/>
    <s v="Tamil Nadu"/>
    <s v="Chennai"/>
    <x v="3"/>
    <x v="7"/>
    <s v="CUST1809"/>
    <s v="SP_03"/>
    <n v="2"/>
    <n v="12161.73"/>
    <n v="24323.46"/>
    <n v="18843.77"/>
    <n v="5479.69"/>
    <s v="Credit Card"/>
  </r>
  <r>
    <s v="ORD101299"/>
    <s v="2025-12-12"/>
    <x v="7"/>
    <s v="East"/>
    <s v="Odisha"/>
    <s v="Bhubaneswar"/>
    <x v="2"/>
    <x v="2"/>
    <s v="CUST1893"/>
    <s v="SP_13"/>
    <n v="1"/>
    <n v="44923.46"/>
    <n v="44923.46"/>
    <n v="34894.75"/>
    <n v="10028.709999999999"/>
    <s v="UPI"/>
  </r>
  <r>
    <s v="ORD101300"/>
    <s v="2025-05-19"/>
    <x v="3"/>
    <s v="North"/>
    <s v="Punjab"/>
    <s v="Chandigarh"/>
    <x v="2"/>
    <x v="2"/>
    <s v="CUST1958"/>
    <s v="SP_15"/>
    <n v="7"/>
    <n v="45158.02"/>
    <n v="316106.14"/>
    <n v="249158.62"/>
    <n v="66947.520000000004"/>
    <s v="Net Banking"/>
  </r>
  <r>
    <s v="ORD101301"/>
    <s v="2025-01-22"/>
    <x v="9"/>
    <s v="North"/>
    <s v="Delhi"/>
    <s v="Delhi"/>
    <x v="3"/>
    <x v="11"/>
    <s v="CUST1831"/>
    <s v="SP_02"/>
    <n v="3"/>
    <n v="112.93"/>
    <n v="338.79"/>
    <n v="179.38"/>
    <n v="159.41"/>
    <s v="Debit Card"/>
  </r>
  <r>
    <s v="ORD101302"/>
    <s v="2025-04-07"/>
    <x v="0"/>
    <s v="South"/>
    <s v="Telangana"/>
    <s v="Hyderabad"/>
    <x v="1"/>
    <x v="1"/>
    <s v="CUST1850"/>
    <s v="SP_02"/>
    <n v="8"/>
    <n v="2778.34"/>
    <n v="22226.720000000001"/>
    <n v="15423.84"/>
    <n v="6802.88"/>
    <s v="Cash"/>
  </r>
  <r>
    <s v="ORD101303"/>
    <s v="2025-06-09"/>
    <x v="2"/>
    <s v="South"/>
    <s v="Karnataka"/>
    <s v="Bengaluru"/>
    <x v="1"/>
    <x v="6"/>
    <s v="CUST1286"/>
    <s v="SP_04"/>
    <n v="4"/>
    <n v="3041.57"/>
    <n v="12166.28"/>
    <n v="9907.9"/>
    <n v="2258.38"/>
    <s v="Debit Card"/>
  </r>
  <r>
    <s v="ORD101304"/>
    <s v="2025-07-21"/>
    <x v="6"/>
    <s v="East"/>
    <s v="Bihar"/>
    <s v="Patna"/>
    <x v="3"/>
    <x v="11"/>
    <s v="CUST1433"/>
    <s v="SP_08"/>
    <n v="7"/>
    <n v="112.94"/>
    <n v="790.58"/>
    <n v="435.76"/>
    <n v="354.82"/>
    <s v="Debit Card"/>
  </r>
  <r>
    <s v="ORD101305"/>
    <s v="2025-10-30"/>
    <x v="1"/>
    <s v="East"/>
    <s v="West Bengal"/>
    <s v="Kolkata"/>
    <x v="3"/>
    <x v="11"/>
    <s v="CUST1272"/>
    <s v="SP_04"/>
    <n v="6"/>
    <n v="108.2"/>
    <n v="649.20000000000005"/>
    <n v="357.81"/>
    <n v="291.39"/>
    <s v="Cash"/>
  </r>
  <r>
    <s v="ORD101306"/>
    <s v="2025-01-18"/>
    <x v="9"/>
    <s v="North"/>
    <s v="Uttar Pradesh"/>
    <s v="Lucknow"/>
    <x v="1"/>
    <x v="6"/>
    <s v="CUST1000"/>
    <s v="SP_13"/>
    <n v="1"/>
    <n v="3458.41"/>
    <n v="3458.41"/>
    <n v="2480.4"/>
    <n v="978.01"/>
    <s v="Debit Card"/>
  </r>
  <r>
    <s v="ORD101307"/>
    <s v="2025-07-13"/>
    <x v="6"/>
    <s v="North"/>
    <s v="Punjab"/>
    <s v="Chandigarh"/>
    <x v="3"/>
    <x v="11"/>
    <s v="CUST1833"/>
    <s v="SP_15"/>
    <n v="5"/>
    <n v="115.26"/>
    <n v="576.29999999999995"/>
    <n v="307.33"/>
    <n v="268.97000000000003"/>
    <s v="Credit Card"/>
  </r>
  <r>
    <s v="ORD101308"/>
    <s v="2025-11-18"/>
    <x v="10"/>
    <s v="West"/>
    <s v="Gujarat"/>
    <s v="Ahmedabad"/>
    <x v="1"/>
    <x v="1"/>
    <s v="CUST1338"/>
    <s v="SP_14"/>
    <n v="4"/>
    <n v="2861.42"/>
    <n v="11445.68"/>
    <n v="7853.56"/>
    <n v="3592.12"/>
    <s v="UPI"/>
  </r>
  <r>
    <s v="ORD101309"/>
    <s v="2025-03-22"/>
    <x v="4"/>
    <s v="East"/>
    <s v="Odisha"/>
    <s v="Bhubaneswar"/>
    <x v="3"/>
    <x v="3"/>
    <s v="CUST1115"/>
    <s v="SP_07"/>
    <n v="2"/>
    <n v="26.25"/>
    <n v="52.5"/>
    <n v="20.170000000000002"/>
    <n v="32.33"/>
    <s v="Credit Card"/>
  </r>
  <r>
    <s v="ORD101310"/>
    <s v="2025-01-16"/>
    <x v="9"/>
    <s v="West"/>
    <s v="Gujarat"/>
    <s v="Ahmedabad"/>
    <x v="2"/>
    <x v="2"/>
    <s v="CUST1346"/>
    <s v="SP_08"/>
    <n v="1"/>
    <n v="47514.68"/>
    <n v="47514.68"/>
    <n v="36282.43"/>
    <n v="11232.25"/>
    <s v="Net Banking"/>
  </r>
  <r>
    <s v="ORD101311"/>
    <s v="2025-11-28"/>
    <x v="10"/>
    <s v="East"/>
    <s v="Odisha"/>
    <s v="Bhubaneswar"/>
    <x v="1"/>
    <x v="1"/>
    <s v="CUST1329"/>
    <s v="SP_07"/>
    <n v="5"/>
    <n v="2625.76"/>
    <n v="13128.8"/>
    <n v="9690.59"/>
    <n v="3438.21"/>
    <s v="Net Banking"/>
  </r>
  <r>
    <s v="ORD101312"/>
    <s v="2025-09-14"/>
    <x v="5"/>
    <s v="South"/>
    <s v="Tamil Nadu"/>
    <s v="Chennai"/>
    <x v="2"/>
    <x v="2"/>
    <s v="CUST1421"/>
    <s v="SP_08"/>
    <n v="8"/>
    <n v="48964.91"/>
    <n v="391719.28"/>
    <n v="281630.34999999998"/>
    <n v="110088.93"/>
    <s v="Debit Card"/>
  </r>
  <r>
    <s v="ORD101313"/>
    <s v="2025-11-24"/>
    <x v="10"/>
    <s v="West"/>
    <s v="Rajasthan"/>
    <s v="Jaipur"/>
    <x v="1"/>
    <x v="1"/>
    <s v="CUST1524"/>
    <s v="SP_08"/>
    <n v="6"/>
    <n v="2962.96"/>
    <n v="17777.759999999998"/>
    <n v="11794.83"/>
    <n v="5982.93"/>
    <s v="Credit Card"/>
  </r>
  <r>
    <s v="ORD101314"/>
    <s v="2025-12-03"/>
    <x v="7"/>
    <s v="East"/>
    <s v="Bihar"/>
    <s v="Patna"/>
    <x v="1"/>
    <x v="6"/>
    <s v="CUST1435"/>
    <s v="SP_03"/>
    <n v="1"/>
    <n v="3237.05"/>
    <n v="3237.05"/>
    <n v="2466.29"/>
    <n v="770.76"/>
    <s v="Cash"/>
  </r>
  <r>
    <s v="ORD101315"/>
    <s v="2025-05-27"/>
    <x v="3"/>
    <s v="South"/>
    <s v="Karnataka"/>
    <s v="Bengaluru"/>
    <x v="3"/>
    <x v="7"/>
    <s v="CUST1558"/>
    <s v="SP_06"/>
    <n v="6"/>
    <n v="12699.71"/>
    <n v="76198.259999999995"/>
    <n v="54925"/>
    <n v="21273.26"/>
    <s v="Debit Card"/>
  </r>
  <r>
    <s v="ORD101316"/>
    <s v="2025-02-07"/>
    <x v="8"/>
    <s v="East"/>
    <s v="West Bengal"/>
    <s v="Kolkata"/>
    <x v="2"/>
    <x v="2"/>
    <s v="CUST1408"/>
    <s v="SP_12"/>
    <n v="1"/>
    <n v="45190"/>
    <n v="45190"/>
    <n v="34650.089999999997"/>
    <n v="10539.91"/>
    <s v="Cash"/>
  </r>
  <r>
    <s v="ORD101317"/>
    <s v="2025-11-29"/>
    <x v="10"/>
    <s v="West"/>
    <s v="Gujarat"/>
    <s v="Ahmedabad"/>
    <x v="1"/>
    <x v="5"/>
    <s v="CUST1614"/>
    <s v="SP_09"/>
    <n v="4"/>
    <n v="9689.67"/>
    <n v="38758.68"/>
    <n v="29800.75"/>
    <n v="8957.93"/>
    <s v="Net Banking"/>
  </r>
  <r>
    <s v="ORD101318"/>
    <s v="2025-05-30"/>
    <x v="3"/>
    <s v="South"/>
    <s v="Tamil Nadu"/>
    <s v="Chennai"/>
    <x v="0"/>
    <x v="8"/>
    <s v="CUST1189"/>
    <s v="SP_15"/>
    <n v="4"/>
    <n v="22162.86"/>
    <n v="88651.44"/>
    <n v="67528.06"/>
    <n v="21123.38"/>
    <s v="Cash"/>
  </r>
  <r>
    <s v="ORD101319"/>
    <s v="2025-09-21"/>
    <x v="5"/>
    <s v="West"/>
    <s v="Gujarat"/>
    <s v="Ahmedabad"/>
    <x v="0"/>
    <x v="0"/>
    <s v="CUST1813"/>
    <s v="SP_02"/>
    <n v="1"/>
    <n v="3552.86"/>
    <n v="3552.86"/>
    <n v="2293.7800000000002"/>
    <n v="1259.08"/>
    <s v="Cash"/>
  </r>
  <r>
    <s v="ORD101320"/>
    <s v="2025-05-28"/>
    <x v="3"/>
    <s v="West"/>
    <s v="Rajasthan"/>
    <s v="Jaipur"/>
    <x v="1"/>
    <x v="5"/>
    <s v="CUST1145"/>
    <s v="SP_12"/>
    <n v="3"/>
    <n v="9064.4699999999993"/>
    <n v="27193.41"/>
    <n v="22740.78"/>
    <n v="4452.63"/>
    <s v="UPI"/>
  </r>
  <r>
    <s v="ORD101321"/>
    <s v="2025-09-05"/>
    <x v="5"/>
    <s v="North"/>
    <s v="Delhi"/>
    <s v="Delhi"/>
    <x v="3"/>
    <x v="11"/>
    <s v="CUST1578"/>
    <s v="SP_01"/>
    <n v="2"/>
    <n v="131.03"/>
    <n v="262.06"/>
    <n v="124.2"/>
    <n v="137.86000000000001"/>
    <s v="Cash"/>
  </r>
  <r>
    <s v="ORD101322"/>
    <s v="2025-02-06"/>
    <x v="8"/>
    <s v="West"/>
    <s v="Gujarat"/>
    <s v="Ahmedabad"/>
    <x v="2"/>
    <x v="4"/>
    <s v="CUST1042"/>
    <s v="SP_13"/>
    <n v="3"/>
    <n v="2512.7399999999998"/>
    <n v="7538.22"/>
    <n v="4822.22"/>
    <n v="2716"/>
    <s v="Debit Card"/>
  </r>
  <r>
    <s v="ORD101323"/>
    <s v="2025-03-09"/>
    <x v="4"/>
    <s v="North"/>
    <s v="Delhi"/>
    <s v="Delhi"/>
    <x v="2"/>
    <x v="4"/>
    <s v="CUST1474"/>
    <s v="SP_09"/>
    <n v="2"/>
    <n v="2339.94"/>
    <n v="4679.88"/>
    <n v="3302.97"/>
    <n v="1376.91"/>
    <s v="Credit Card"/>
  </r>
  <r>
    <s v="ORD101324"/>
    <s v="2025-05-17"/>
    <x v="3"/>
    <s v="East"/>
    <s v="Bihar"/>
    <s v="Patna"/>
    <x v="1"/>
    <x v="6"/>
    <s v="CUST1846"/>
    <s v="SP_06"/>
    <n v="4"/>
    <n v="3491.31"/>
    <n v="13965.24"/>
    <n v="9991.0400000000009"/>
    <n v="3974.2"/>
    <s v="Cash"/>
  </r>
  <r>
    <s v="ORD101325"/>
    <s v="2025-02-03"/>
    <x v="8"/>
    <s v="East"/>
    <s v="Bihar"/>
    <s v="Patna"/>
    <x v="3"/>
    <x v="7"/>
    <s v="CUST1288"/>
    <s v="SP_02"/>
    <n v="7"/>
    <n v="12688.86"/>
    <n v="88822.02"/>
    <n v="62715.46"/>
    <n v="26106.560000000001"/>
    <s v="Credit Card"/>
  </r>
  <r>
    <s v="ORD101326"/>
    <s v="2025-08-22"/>
    <x v="11"/>
    <s v="South"/>
    <s v="Karnataka"/>
    <s v="Bengaluru"/>
    <x v="1"/>
    <x v="5"/>
    <s v="CUST1504"/>
    <s v="SP_07"/>
    <n v="5"/>
    <n v="10286.129999999999"/>
    <n v="51430.65"/>
    <n v="36506.120000000003"/>
    <n v="14924.53"/>
    <s v="Net Banking"/>
  </r>
  <r>
    <s v="ORD101327"/>
    <s v="2025-12-26"/>
    <x v="7"/>
    <s v="South"/>
    <s v="Telangana"/>
    <s v="Hyderabad"/>
    <x v="0"/>
    <x v="9"/>
    <s v="CUST1410"/>
    <s v="SP_07"/>
    <n v="7"/>
    <n v="6531.49"/>
    <n v="45720.43"/>
    <n v="36480.22"/>
    <n v="9240.2099999999991"/>
    <s v="Credit Card"/>
  </r>
  <r>
    <s v="ORD101328"/>
    <s v="2025-05-28"/>
    <x v="3"/>
    <s v="East"/>
    <s v="Bihar"/>
    <s v="Patna"/>
    <x v="2"/>
    <x v="10"/>
    <s v="CUST1499"/>
    <s v="SP_02"/>
    <n v="2"/>
    <n v="18957.62"/>
    <n v="37915.24"/>
    <n v="28539.98"/>
    <n v="9375.26"/>
    <s v="Cash"/>
  </r>
  <r>
    <s v="ORD101329"/>
    <s v="2025-05-09"/>
    <x v="3"/>
    <s v="East"/>
    <s v="Bihar"/>
    <s v="Patna"/>
    <x v="2"/>
    <x v="10"/>
    <s v="CUST1818"/>
    <s v="SP_09"/>
    <n v="7"/>
    <n v="18008.37"/>
    <n v="126058.59"/>
    <n v="102395.73"/>
    <n v="23662.86"/>
    <s v="Cash"/>
  </r>
  <r>
    <s v="ORD101330"/>
    <s v="2025-04-30"/>
    <x v="0"/>
    <s v="East"/>
    <s v="West Bengal"/>
    <s v="Kolkata"/>
    <x v="2"/>
    <x v="2"/>
    <s v="CUST1293"/>
    <s v="SP_01"/>
    <n v="2"/>
    <n v="48957.52"/>
    <n v="97915.04"/>
    <n v="68371.98"/>
    <n v="29543.06"/>
    <s v="UPI"/>
  </r>
  <r>
    <s v="ORD101331"/>
    <s v="2025-12-21"/>
    <x v="7"/>
    <s v="North"/>
    <s v="Punjab"/>
    <s v="Chandigarh"/>
    <x v="2"/>
    <x v="4"/>
    <s v="CUST1577"/>
    <s v="SP_14"/>
    <n v="7"/>
    <n v="2670.92"/>
    <n v="18696.439999999999"/>
    <n v="10660.29"/>
    <n v="8036.15"/>
    <s v="Debit Card"/>
  </r>
  <r>
    <s v="ORD101332"/>
    <s v="2025-01-20"/>
    <x v="9"/>
    <s v="South"/>
    <s v="Karnataka"/>
    <s v="Bengaluru"/>
    <x v="3"/>
    <x v="7"/>
    <s v="CUST1657"/>
    <s v="SP_08"/>
    <n v="2"/>
    <n v="12228.93"/>
    <n v="24457.86"/>
    <n v="17105.830000000002"/>
    <n v="7352.03"/>
    <s v="Credit Card"/>
  </r>
  <r>
    <s v="ORD101333"/>
    <s v="2025-06-18"/>
    <x v="2"/>
    <s v="East"/>
    <s v="West Bengal"/>
    <s v="Kolkata"/>
    <x v="3"/>
    <x v="11"/>
    <s v="CUST1547"/>
    <s v="SP_08"/>
    <n v="7"/>
    <n v="113.95"/>
    <n v="797.65"/>
    <n v="409.29"/>
    <n v="388.36"/>
    <s v="UPI"/>
  </r>
  <r>
    <s v="ORD101334"/>
    <s v="2025-11-28"/>
    <x v="10"/>
    <s v="South"/>
    <s v="Tamil Nadu"/>
    <s v="Chennai"/>
    <x v="3"/>
    <x v="7"/>
    <s v="CUST1288"/>
    <s v="SP_07"/>
    <n v="4"/>
    <n v="11794.03"/>
    <n v="47176.12"/>
    <n v="35587.599999999999"/>
    <n v="11588.52"/>
    <s v="Cash"/>
  </r>
  <r>
    <s v="ORD101335"/>
    <s v="2025-04-23"/>
    <x v="0"/>
    <s v="South"/>
    <s v="Karnataka"/>
    <s v="Bengaluru"/>
    <x v="1"/>
    <x v="1"/>
    <s v="CUST1032"/>
    <s v="SP_13"/>
    <n v="8"/>
    <n v="2626.03"/>
    <n v="21008.240000000002"/>
    <n v="15474.27"/>
    <n v="5533.97"/>
    <s v="Debit Card"/>
  </r>
  <r>
    <s v="ORD101336"/>
    <s v="2025-09-02"/>
    <x v="5"/>
    <s v="North"/>
    <s v="Uttar Pradesh"/>
    <s v="Lucknow"/>
    <x v="2"/>
    <x v="10"/>
    <s v="CUST1262"/>
    <s v="SP_09"/>
    <n v="4"/>
    <n v="17035.37"/>
    <n v="68141.48"/>
    <n v="55530.19"/>
    <n v="12611.29"/>
    <s v="Cash"/>
  </r>
  <r>
    <s v="ORD101337"/>
    <s v="2025-09-25"/>
    <x v="5"/>
    <s v="East"/>
    <s v="Bihar"/>
    <s v="Patna"/>
    <x v="2"/>
    <x v="10"/>
    <s v="CUST1883"/>
    <s v="SP_13"/>
    <n v="8"/>
    <n v="19075.66"/>
    <n v="152605.28"/>
    <n v="109187.64"/>
    <n v="43417.64"/>
    <s v="Credit Card"/>
  </r>
  <r>
    <s v="ORD101338"/>
    <s v="2025-07-28"/>
    <x v="6"/>
    <s v="West"/>
    <s v="Maharashtra"/>
    <s v="Mumbai"/>
    <x v="1"/>
    <x v="5"/>
    <s v="CUST1508"/>
    <s v="SP_11"/>
    <n v="2"/>
    <n v="9125.1299999999992"/>
    <n v="18250.259999999998"/>
    <n v="15026.69"/>
    <n v="3223.57"/>
    <s v="UPI"/>
  </r>
  <r>
    <s v="ORD101339"/>
    <s v="2025-01-16"/>
    <x v="9"/>
    <s v="North"/>
    <s v="Delhi"/>
    <s v="Delhi"/>
    <x v="2"/>
    <x v="4"/>
    <s v="CUST1013"/>
    <s v="SP_10"/>
    <n v="4"/>
    <n v="2446.0100000000002"/>
    <n v="9784.0400000000009"/>
    <n v="6159.86"/>
    <n v="3624.18"/>
    <s v="Credit Card"/>
  </r>
  <r>
    <s v="ORD101340"/>
    <s v="2025-05-18"/>
    <x v="3"/>
    <s v="South"/>
    <s v="Tamil Nadu"/>
    <s v="Chennai"/>
    <x v="1"/>
    <x v="5"/>
    <s v="CUST1531"/>
    <s v="SP_06"/>
    <n v="3"/>
    <n v="9468.5300000000007"/>
    <n v="28405.59"/>
    <n v="22570.39"/>
    <n v="5835.2"/>
    <s v="Credit Card"/>
  </r>
  <r>
    <s v="ORD101341"/>
    <s v="2025-11-17"/>
    <x v="10"/>
    <s v="East"/>
    <s v="West Bengal"/>
    <s v="Kolkata"/>
    <x v="0"/>
    <x v="8"/>
    <s v="CUST1195"/>
    <s v="SP_09"/>
    <n v="5"/>
    <n v="22474.31"/>
    <n v="112371.55"/>
    <n v="83148.490000000005"/>
    <n v="29223.06"/>
    <s v="Cash"/>
  </r>
  <r>
    <s v="ORD101342"/>
    <s v="2025-06-03"/>
    <x v="2"/>
    <s v="West"/>
    <s v="Maharashtra"/>
    <s v="Mumbai"/>
    <x v="3"/>
    <x v="7"/>
    <s v="CUST1146"/>
    <s v="SP_12"/>
    <n v="8"/>
    <n v="11789.32"/>
    <n v="94314.559999999998"/>
    <n v="69179.679999999993"/>
    <n v="25134.880000000001"/>
    <s v="Credit Card"/>
  </r>
  <r>
    <s v="ORD101343"/>
    <s v="2025-05-17"/>
    <x v="3"/>
    <s v="South"/>
    <s v="Tamil Nadu"/>
    <s v="Chennai"/>
    <x v="2"/>
    <x v="4"/>
    <s v="CUST1819"/>
    <s v="SP_09"/>
    <n v="6"/>
    <n v="2700.01"/>
    <n v="16200.06"/>
    <n v="9666.9500000000007"/>
    <n v="6533.11"/>
    <s v="UPI"/>
  </r>
  <r>
    <s v="ORD101344"/>
    <s v="2025-03-27"/>
    <x v="4"/>
    <s v="East"/>
    <s v="Odisha"/>
    <s v="Bhubaneswar"/>
    <x v="1"/>
    <x v="1"/>
    <s v="CUST1192"/>
    <s v="SP_11"/>
    <n v="6"/>
    <n v="2907.53"/>
    <n v="17445.18"/>
    <n v="11655.38"/>
    <n v="5789.8"/>
    <s v="Credit Card"/>
  </r>
  <r>
    <s v="ORD101345"/>
    <s v="2025-01-18"/>
    <x v="9"/>
    <s v="West"/>
    <s v="Maharashtra"/>
    <s v="Mumbai"/>
    <x v="3"/>
    <x v="7"/>
    <s v="CUST1393"/>
    <s v="SP_04"/>
    <n v="5"/>
    <n v="12018.38"/>
    <n v="60091.9"/>
    <n v="43310.84"/>
    <n v="16781.060000000001"/>
    <s v="UPI"/>
  </r>
  <r>
    <s v="ORD101346"/>
    <s v="2025-10-02"/>
    <x v="1"/>
    <s v="West"/>
    <s v="Maharashtra"/>
    <s v="Mumbai"/>
    <x v="3"/>
    <x v="11"/>
    <s v="CUST1088"/>
    <s v="SP_09"/>
    <n v="3"/>
    <n v="111.62"/>
    <n v="334.86"/>
    <n v="175.66"/>
    <n v="159.19999999999999"/>
    <s v="Cash"/>
  </r>
  <r>
    <s v="ORD101347"/>
    <s v="2025-05-13"/>
    <x v="3"/>
    <s v="East"/>
    <s v="Bihar"/>
    <s v="Patna"/>
    <x v="0"/>
    <x v="8"/>
    <s v="CUST1159"/>
    <s v="SP_08"/>
    <n v="4"/>
    <n v="23313.48"/>
    <n v="93253.92"/>
    <n v="66523.95"/>
    <n v="26729.97"/>
    <s v="UPI"/>
  </r>
  <r>
    <s v="ORD101348"/>
    <s v="2025-07-13"/>
    <x v="6"/>
    <s v="North"/>
    <s v="Delhi"/>
    <s v="Delhi"/>
    <x v="2"/>
    <x v="10"/>
    <s v="CUST1775"/>
    <s v="SP_08"/>
    <n v="4"/>
    <n v="17290.650000000001"/>
    <n v="69162.600000000006"/>
    <n v="57070.38"/>
    <n v="12092.22"/>
    <s v="UPI"/>
  </r>
  <r>
    <s v="ORD101349"/>
    <s v="2025-04-01"/>
    <x v="0"/>
    <s v="West"/>
    <s v="Gujarat"/>
    <s v="Ahmedabad"/>
    <x v="2"/>
    <x v="2"/>
    <s v="CUST1127"/>
    <s v="SP_15"/>
    <n v="2"/>
    <n v="46575.95"/>
    <n v="93151.9"/>
    <n v="71748.399999999994"/>
    <n v="21403.5"/>
    <s v="Cash"/>
  </r>
  <r>
    <s v="ORD101350"/>
    <s v="2025-09-22"/>
    <x v="5"/>
    <s v="North"/>
    <s v="Uttar Pradesh"/>
    <s v="Lucknow"/>
    <x v="2"/>
    <x v="4"/>
    <s v="CUST1845"/>
    <s v="SP_15"/>
    <n v="8"/>
    <n v="2255.4299999999998"/>
    <n v="18043.439999999999"/>
    <n v="12182.46"/>
    <n v="5860.98"/>
    <s v="Net Banking"/>
  </r>
  <r>
    <s v="ORD101351"/>
    <s v="2025-01-12"/>
    <x v="9"/>
    <s v="North"/>
    <s v="Punjab"/>
    <s v="Chandigarh"/>
    <x v="0"/>
    <x v="9"/>
    <s v="CUST1651"/>
    <s v="SP_06"/>
    <n v="8"/>
    <n v="6809.54"/>
    <n v="54476.32"/>
    <n v="38128.660000000003"/>
    <n v="16347.66"/>
    <s v="Cash"/>
  </r>
  <r>
    <s v="ORD101352"/>
    <s v="2025-07-09"/>
    <x v="6"/>
    <s v="South"/>
    <s v="Telangana"/>
    <s v="Hyderabad"/>
    <x v="0"/>
    <x v="0"/>
    <s v="CUST1385"/>
    <s v="SP_13"/>
    <n v="3"/>
    <n v="3600.84"/>
    <n v="10802.52"/>
    <n v="6329.77"/>
    <n v="4472.75"/>
    <s v="Debit Card"/>
  </r>
  <r>
    <s v="ORD101353"/>
    <s v="2025-10-27"/>
    <x v="1"/>
    <s v="South"/>
    <s v="Tamil Nadu"/>
    <s v="Chennai"/>
    <x v="2"/>
    <x v="4"/>
    <s v="CUST1330"/>
    <s v="SP_01"/>
    <n v="5"/>
    <n v="2737.68"/>
    <n v="13688.4"/>
    <n v="7937.34"/>
    <n v="5751.06"/>
    <s v="Net Banking"/>
  </r>
  <r>
    <s v="ORD101354"/>
    <s v="2025-09-22"/>
    <x v="5"/>
    <s v="South"/>
    <s v="Karnataka"/>
    <s v="Bengaluru"/>
    <x v="1"/>
    <x v="6"/>
    <s v="CUST1159"/>
    <s v="SP_12"/>
    <n v="5"/>
    <n v="3501.62"/>
    <n v="17508.099999999999"/>
    <n v="11767.69"/>
    <n v="5740.41"/>
    <s v="Credit Card"/>
  </r>
  <r>
    <s v="ORD101355"/>
    <s v="2025-01-31"/>
    <x v="9"/>
    <s v="North"/>
    <s v="Uttar Pradesh"/>
    <s v="Lucknow"/>
    <x v="2"/>
    <x v="2"/>
    <s v="CUST1092"/>
    <s v="SP_01"/>
    <n v="4"/>
    <n v="47713.760000000002"/>
    <n v="190855.04000000001"/>
    <n v="133710.53"/>
    <n v="57144.51"/>
    <s v="Cash"/>
  </r>
  <r>
    <s v="ORD101356"/>
    <s v="2025-06-10"/>
    <x v="2"/>
    <s v="East"/>
    <s v="Bihar"/>
    <s v="Patna"/>
    <x v="1"/>
    <x v="6"/>
    <s v="CUST1212"/>
    <s v="SP_15"/>
    <n v="8"/>
    <n v="3290.88"/>
    <n v="26327.040000000001"/>
    <n v="18463.62"/>
    <n v="7863.42"/>
    <s v="Net Banking"/>
  </r>
  <r>
    <s v="ORD101357"/>
    <s v="2025-04-04"/>
    <x v="0"/>
    <s v="South"/>
    <s v="Karnataka"/>
    <s v="Bengaluru"/>
    <x v="3"/>
    <x v="3"/>
    <s v="CUST1682"/>
    <s v="SP_09"/>
    <n v="6"/>
    <n v="24.61"/>
    <n v="147.66"/>
    <n v="61.87"/>
    <n v="85.79"/>
    <s v="Net Banking"/>
  </r>
  <r>
    <s v="ORD101358"/>
    <s v="2025-05-14"/>
    <x v="3"/>
    <s v="West"/>
    <s v="Maharashtra"/>
    <s v="Mumbai"/>
    <x v="3"/>
    <x v="3"/>
    <s v="CUST1420"/>
    <s v="SP_09"/>
    <n v="8"/>
    <n v="26.43"/>
    <n v="211.44"/>
    <n v="81.84"/>
    <n v="129.6"/>
    <s v="Cash"/>
  </r>
  <r>
    <s v="ORD101359"/>
    <s v="2025-11-03"/>
    <x v="10"/>
    <s v="North"/>
    <s v="Uttar Pradesh"/>
    <s v="Lucknow"/>
    <x v="1"/>
    <x v="6"/>
    <s v="CUST1008"/>
    <s v="SP_12"/>
    <n v="7"/>
    <n v="3229.07"/>
    <n v="22603.49"/>
    <n v="16925.78"/>
    <n v="5677.71"/>
    <s v="UPI"/>
  </r>
  <r>
    <s v="ORD101360"/>
    <s v="2025-12-22"/>
    <x v="7"/>
    <s v="East"/>
    <s v="Bihar"/>
    <s v="Patna"/>
    <x v="1"/>
    <x v="6"/>
    <s v="CUST1217"/>
    <s v="SP_14"/>
    <n v="6"/>
    <n v="3148.9"/>
    <n v="18893.400000000001"/>
    <n v="14173.7"/>
    <n v="4719.7"/>
    <s v="Debit Card"/>
  </r>
  <r>
    <s v="ORD101361"/>
    <s v="2025-11-03"/>
    <x v="10"/>
    <s v="South"/>
    <s v="Karnataka"/>
    <s v="Bengaluru"/>
    <x v="0"/>
    <x v="9"/>
    <s v="CUST1912"/>
    <s v="SP_12"/>
    <n v="4"/>
    <n v="7134.94"/>
    <n v="28539.759999999998"/>
    <n v="19317.91"/>
    <n v="9221.85"/>
    <s v="Debit Card"/>
  </r>
  <r>
    <s v="ORD101362"/>
    <s v="2025-04-22"/>
    <x v="0"/>
    <s v="West"/>
    <s v="Gujarat"/>
    <s v="Ahmedabad"/>
    <x v="0"/>
    <x v="0"/>
    <s v="CUST1940"/>
    <s v="SP_01"/>
    <n v="2"/>
    <n v="3285.17"/>
    <n v="6570.34"/>
    <n v="4439.3100000000004"/>
    <n v="2131.0300000000002"/>
    <s v="UPI"/>
  </r>
  <r>
    <s v="ORD101363"/>
    <s v="2025-05-10"/>
    <x v="3"/>
    <s v="North"/>
    <s v="Punjab"/>
    <s v="Chandigarh"/>
    <x v="1"/>
    <x v="5"/>
    <s v="CUST1472"/>
    <s v="SP_08"/>
    <n v="1"/>
    <n v="9478.2099999999991"/>
    <n v="9478.2099999999991"/>
    <n v="7891.13"/>
    <n v="1587.08"/>
    <s v="Cash"/>
  </r>
  <r>
    <s v="ORD101364"/>
    <s v="2025-10-05"/>
    <x v="1"/>
    <s v="East"/>
    <s v="Odisha"/>
    <s v="Bhubaneswar"/>
    <x v="3"/>
    <x v="7"/>
    <s v="CUST1721"/>
    <s v="SP_06"/>
    <n v="7"/>
    <n v="12842.62"/>
    <n v="89898.34"/>
    <n v="60168.12"/>
    <n v="29730.22"/>
    <s v="Cash"/>
  </r>
  <r>
    <s v="ORD101365"/>
    <s v="2025-03-13"/>
    <x v="4"/>
    <s v="South"/>
    <s v="Telangana"/>
    <s v="Hyderabad"/>
    <x v="3"/>
    <x v="7"/>
    <s v="CUST1354"/>
    <s v="SP_08"/>
    <n v="2"/>
    <n v="12884.53"/>
    <n v="25769.06"/>
    <n v="17842.55"/>
    <n v="7926.51"/>
    <s v="Net Banking"/>
  </r>
  <r>
    <s v="ORD101366"/>
    <s v="2025-10-31"/>
    <x v="1"/>
    <s v="North"/>
    <s v="Delhi"/>
    <s v="Delhi"/>
    <x v="1"/>
    <x v="6"/>
    <s v="CUST1084"/>
    <s v="SP_06"/>
    <n v="7"/>
    <n v="3056.48"/>
    <n v="21395.360000000001"/>
    <n v="16073.87"/>
    <n v="5321.49"/>
    <s v="UPI"/>
  </r>
  <r>
    <s v="ORD101367"/>
    <s v="2025-01-13"/>
    <x v="9"/>
    <s v="South"/>
    <s v="Karnataka"/>
    <s v="Bengaluru"/>
    <x v="1"/>
    <x v="1"/>
    <s v="CUST1750"/>
    <s v="SP_06"/>
    <n v="2"/>
    <n v="2787.28"/>
    <n v="5574.56"/>
    <n v="3695.6"/>
    <n v="1878.96"/>
    <s v="Debit Card"/>
  </r>
  <r>
    <s v="ORD101368"/>
    <s v="2025-02-09"/>
    <x v="8"/>
    <s v="West"/>
    <s v="Gujarat"/>
    <s v="Ahmedabad"/>
    <x v="1"/>
    <x v="6"/>
    <s v="CUST1586"/>
    <s v="SP_09"/>
    <n v="7"/>
    <n v="3375.1"/>
    <n v="23625.7"/>
    <n v="17295.05"/>
    <n v="6330.65"/>
    <s v="Cash"/>
  </r>
  <r>
    <s v="ORD101369"/>
    <s v="2025-03-04"/>
    <x v="4"/>
    <s v="North"/>
    <s v="Uttar Pradesh"/>
    <s v="Lucknow"/>
    <x v="2"/>
    <x v="10"/>
    <s v="CUST1226"/>
    <s v="SP_06"/>
    <n v="6"/>
    <n v="16378.81"/>
    <n v="98272.86"/>
    <n v="84076.35"/>
    <n v="14196.51"/>
    <s v="Net Banking"/>
  </r>
  <r>
    <s v="ORD101370"/>
    <s v="2025-06-02"/>
    <x v="2"/>
    <s v="West"/>
    <s v="Gujarat"/>
    <s v="Ahmedabad"/>
    <x v="2"/>
    <x v="4"/>
    <s v="CUST1757"/>
    <s v="SP_08"/>
    <n v="7"/>
    <n v="2643.69"/>
    <n v="18505.830000000002"/>
    <n v="11507.46"/>
    <n v="6998.37"/>
    <s v="UPI"/>
  </r>
  <r>
    <s v="ORD101371"/>
    <s v="2025-04-27"/>
    <x v="0"/>
    <s v="South"/>
    <s v="Karnataka"/>
    <s v="Bengaluru"/>
    <x v="0"/>
    <x v="0"/>
    <s v="CUST1559"/>
    <s v="SP_07"/>
    <n v="6"/>
    <n v="3585.86"/>
    <n v="21515.16"/>
    <n v="13285.8"/>
    <n v="8229.36"/>
    <s v="UPI"/>
  </r>
  <r>
    <s v="ORD101372"/>
    <s v="2025-12-01"/>
    <x v="7"/>
    <s v="East"/>
    <s v="Odisha"/>
    <s v="Bhubaneswar"/>
    <x v="3"/>
    <x v="11"/>
    <s v="CUST1717"/>
    <s v="SP_12"/>
    <n v="3"/>
    <n v="113.03"/>
    <n v="339.09"/>
    <n v="185.86"/>
    <n v="153.22999999999999"/>
    <s v="Cash"/>
  </r>
  <r>
    <s v="ORD101373"/>
    <s v="2025-11-26"/>
    <x v="10"/>
    <s v="West"/>
    <s v="Rajasthan"/>
    <s v="Jaipur"/>
    <x v="2"/>
    <x v="10"/>
    <s v="CUST1584"/>
    <s v="SP_08"/>
    <n v="3"/>
    <n v="17392.12"/>
    <n v="52176.36"/>
    <n v="43274.96"/>
    <n v="8901.4"/>
    <s v="Cash"/>
  </r>
  <r>
    <s v="ORD101374"/>
    <s v="2025-10-18"/>
    <x v="1"/>
    <s v="North"/>
    <s v="Uttar Pradesh"/>
    <s v="Lucknow"/>
    <x v="1"/>
    <x v="5"/>
    <s v="CUST1775"/>
    <s v="SP_10"/>
    <n v="8"/>
    <n v="8848.91"/>
    <n v="70791.28"/>
    <n v="62239.54"/>
    <n v="8551.74"/>
    <s v="Debit Card"/>
  </r>
  <r>
    <s v="ORD101375"/>
    <s v="2025-10-31"/>
    <x v="1"/>
    <s v="North"/>
    <s v="Delhi"/>
    <s v="Delhi"/>
    <x v="3"/>
    <x v="3"/>
    <s v="CUST1751"/>
    <s v="SP_11"/>
    <n v="5"/>
    <n v="22.59"/>
    <n v="112.95"/>
    <n v="47.5"/>
    <n v="65.45"/>
    <s v="UPI"/>
  </r>
  <r>
    <s v="ORD101376"/>
    <s v="2025-12-01"/>
    <x v="7"/>
    <s v="North"/>
    <s v="Uttar Pradesh"/>
    <s v="Lucknow"/>
    <x v="2"/>
    <x v="4"/>
    <s v="CUST1152"/>
    <s v="SP_02"/>
    <n v="2"/>
    <n v="2377.88"/>
    <n v="4755.76"/>
    <n v="3267.63"/>
    <n v="1488.13"/>
    <s v="Credit Card"/>
  </r>
  <r>
    <s v="ORD101377"/>
    <s v="2025-07-24"/>
    <x v="6"/>
    <s v="North"/>
    <s v="Delhi"/>
    <s v="Delhi"/>
    <x v="1"/>
    <x v="1"/>
    <s v="CUST1216"/>
    <s v="SP_11"/>
    <n v="8"/>
    <n v="2890.24"/>
    <n v="23121.919999999998"/>
    <n v="15010.57"/>
    <n v="8111.35"/>
    <s v="UPI"/>
  </r>
  <r>
    <s v="ORD101378"/>
    <s v="2025-01-03"/>
    <x v="9"/>
    <s v="West"/>
    <s v="Gujarat"/>
    <s v="Ahmedabad"/>
    <x v="0"/>
    <x v="9"/>
    <s v="CUST1135"/>
    <s v="SP_03"/>
    <n v="8"/>
    <n v="7144.72"/>
    <n v="57157.760000000002"/>
    <n v="39660.11"/>
    <n v="17497.650000000001"/>
    <s v="UPI"/>
  </r>
  <r>
    <s v="ORD101379"/>
    <s v="2025-09-15"/>
    <x v="5"/>
    <s v="West"/>
    <s v="Maharashtra"/>
    <s v="Mumbai"/>
    <x v="3"/>
    <x v="11"/>
    <s v="CUST1918"/>
    <s v="SP_01"/>
    <n v="6"/>
    <n v="123.13"/>
    <n v="738.78"/>
    <n v="362.64"/>
    <n v="376.14"/>
    <s v="Cash"/>
  </r>
  <r>
    <s v="ORD101380"/>
    <s v="2025-12-30"/>
    <x v="7"/>
    <s v="North"/>
    <s v="Delhi"/>
    <s v="Delhi"/>
    <x v="1"/>
    <x v="5"/>
    <s v="CUST1223"/>
    <s v="SP_01"/>
    <n v="8"/>
    <n v="9172.49"/>
    <n v="73379.92"/>
    <n v="59573.32"/>
    <n v="13806.6"/>
    <s v="Debit Card"/>
  </r>
  <r>
    <s v="ORD101381"/>
    <s v="2025-03-14"/>
    <x v="4"/>
    <s v="South"/>
    <s v="Karnataka"/>
    <s v="Bengaluru"/>
    <x v="3"/>
    <x v="7"/>
    <s v="CUST1112"/>
    <s v="SP_04"/>
    <n v="5"/>
    <n v="11569.2"/>
    <n v="57846"/>
    <n v="44360.18"/>
    <n v="13485.82"/>
    <s v="Net Banking"/>
  </r>
  <r>
    <s v="ORD101382"/>
    <s v="2025-06-24"/>
    <x v="2"/>
    <s v="West"/>
    <s v="Gujarat"/>
    <s v="Ahmedabad"/>
    <x v="2"/>
    <x v="10"/>
    <s v="CUST1595"/>
    <s v="SP_12"/>
    <n v="7"/>
    <n v="16420.59"/>
    <n v="114944.13"/>
    <n v="99255.5"/>
    <n v="15688.63"/>
    <s v="UPI"/>
  </r>
  <r>
    <s v="ORD101383"/>
    <s v="2025-07-02"/>
    <x v="6"/>
    <s v="South"/>
    <s v="Karnataka"/>
    <s v="Bengaluru"/>
    <x v="3"/>
    <x v="7"/>
    <s v="CUST1038"/>
    <s v="SP_13"/>
    <n v="5"/>
    <n v="11899.32"/>
    <n v="59496.6"/>
    <n v="44114.7"/>
    <n v="15381.9"/>
    <s v="Debit Card"/>
  </r>
  <r>
    <s v="ORD101384"/>
    <s v="2025-06-15"/>
    <x v="2"/>
    <s v="South"/>
    <s v="Karnataka"/>
    <s v="Bengaluru"/>
    <x v="3"/>
    <x v="11"/>
    <s v="CUST1624"/>
    <s v="SP_12"/>
    <n v="8"/>
    <n v="115.19"/>
    <n v="921.52"/>
    <n v="474.8"/>
    <n v="446.72"/>
    <s v="UPI"/>
  </r>
  <r>
    <s v="ORD101385"/>
    <s v="2025-01-15"/>
    <x v="9"/>
    <s v="East"/>
    <s v="Bihar"/>
    <s v="Patna"/>
    <x v="2"/>
    <x v="4"/>
    <s v="CUST1654"/>
    <s v="SP_11"/>
    <n v="4"/>
    <n v="2521.5300000000002"/>
    <n v="10086.120000000001"/>
    <n v="6155.62"/>
    <n v="3930.5"/>
    <s v="Debit Card"/>
  </r>
  <r>
    <s v="ORD101386"/>
    <s v="2025-04-30"/>
    <x v="0"/>
    <s v="East"/>
    <s v="Bihar"/>
    <s v="Patna"/>
    <x v="3"/>
    <x v="3"/>
    <s v="CUST1617"/>
    <s v="SP_14"/>
    <n v="8"/>
    <n v="22.93"/>
    <n v="183.44"/>
    <n v="82.52"/>
    <n v="100.92"/>
    <s v="Debit Card"/>
  </r>
  <r>
    <s v="ORD101387"/>
    <s v="2025-05-26"/>
    <x v="3"/>
    <s v="North"/>
    <s v="Punjab"/>
    <s v="Chandigarh"/>
    <x v="0"/>
    <x v="8"/>
    <s v="CUST1560"/>
    <s v="SP_09"/>
    <n v="6"/>
    <n v="21858.91"/>
    <n v="131153.46"/>
    <n v="98471.29"/>
    <n v="32682.17"/>
    <s v="Cash"/>
  </r>
  <r>
    <s v="ORD101388"/>
    <s v="2025-03-12"/>
    <x v="4"/>
    <s v="West"/>
    <s v="Gujarat"/>
    <s v="Ahmedabad"/>
    <x v="3"/>
    <x v="3"/>
    <s v="CUST1118"/>
    <s v="SP_05"/>
    <n v="4"/>
    <n v="27.45"/>
    <n v="109.8"/>
    <n v="41.08"/>
    <n v="68.72"/>
    <s v="UPI"/>
  </r>
  <r>
    <s v="ORD101389"/>
    <s v="2025-12-10"/>
    <x v="7"/>
    <s v="East"/>
    <s v="Bihar"/>
    <s v="Patna"/>
    <x v="0"/>
    <x v="0"/>
    <s v="CUST1595"/>
    <s v="SP_15"/>
    <n v="2"/>
    <n v="3223.29"/>
    <n v="6446.58"/>
    <n v="4323.46"/>
    <n v="2123.12"/>
    <s v="Net Banking"/>
  </r>
  <r>
    <s v="ORD101390"/>
    <s v="2025-04-07"/>
    <x v="0"/>
    <s v="West"/>
    <s v="Rajasthan"/>
    <s v="Jaipur"/>
    <x v="3"/>
    <x v="11"/>
    <s v="CUST1491"/>
    <s v="SP_06"/>
    <n v="7"/>
    <n v="123.53"/>
    <n v="864.71"/>
    <n v="401.81"/>
    <n v="462.9"/>
    <s v="Net Banking"/>
  </r>
  <r>
    <s v="ORD101391"/>
    <s v="2025-10-22"/>
    <x v="1"/>
    <s v="East"/>
    <s v="Odisha"/>
    <s v="Bhubaneswar"/>
    <x v="3"/>
    <x v="3"/>
    <s v="CUST1093"/>
    <s v="SP_01"/>
    <n v="6"/>
    <n v="24.06"/>
    <n v="144.36000000000001"/>
    <n v="57.17"/>
    <n v="87.19"/>
    <s v="Debit Card"/>
  </r>
  <r>
    <s v="ORD101392"/>
    <s v="2025-12-09"/>
    <x v="7"/>
    <s v="South"/>
    <s v="Telangana"/>
    <s v="Hyderabad"/>
    <x v="0"/>
    <x v="9"/>
    <s v="CUST1645"/>
    <s v="SP_12"/>
    <n v="6"/>
    <n v="6881.67"/>
    <n v="41290.019999999997"/>
    <n v="29843.97"/>
    <n v="11446.05"/>
    <s v="Net Banking"/>
  </r>
  <r>
    <s v="ORD101393"/>
    <s v="2025-06-07"/>
    <x v="2"/>
    <s v="East"/>
    <s v="Bihar"/>
    <s v="Patna"/>
    <x v="0"/>
    <x v="8"/>
    <s v="CUST1666"/>
    <s v="SP_13"/>
    <n v="7"/>
    <n v="21999.57"/>
    <n v="153996.99"/>
    <n v="120352.74"/>
    <n v="33644.25"/>
    <s v="UPI"/>
  </r>
  <r>
    <s v="ORD101394"/>
    <s v="2025-02-21"/>
    <x v="8"/>
    <s v="East"/>
    <s v="West Bengal"/>
    <s v="Kolkata"/>
    <x v="3"/>
    <x v="11"/>
    <s v="CUST1649"/>
    <s v="SP_05"/>
    <n v="5"/>
    <n v="122.59"/>
    <n v="612.95000000000005"/>
    <n v="287.11"/>
    <n v="325.83999999999997"/>
    <s v="UPI"/>
  </r>
  <r>
    <s v="ORD101395"/>
    <s v="2025-03-13"/>
    <x v="4"/>
    <s v="East"/>
    <s v="Odisha"/>
    <s v="Bhubaneswar"/>
    <x v="3"/>
    <x v="7"/>
    <s v="CUST1844"/>
    <s v="SP_09"/>
    <n v="2"/>
    <n v="11187.53"/>
    <n v="22375.06"/>
    <n v="18361.509999999998"/>
    <n v="4013.55"/>
    <s v="Debit Card"/>
  </r>
  <r>
    <s v="ORD101396"/>
    <s v="2025-02-24"/>
    <x v="8"/>
    <s v="South"/>
    <s v="Telangana"/>
    <s v="Hyderabad"/>
    <x v="2"/>
    <x v="4"/>
    <s v="CUST1253"/>
    <s v="SP_06"/>
    <n v="7"/>
    <n v="2537.48"/>
    <n v="17762.36"/>
    <n v="11149.7"/>
    <n v="6612.66"/>
    <s v="Debit Card"/>
  </r>
  <r>
    <s v="ORD101397"/>
    <s v="2025-07-24"/>
    <x v="6"/>
    <s v="East"/>
    <s v="Odisha"/>
    <s v="Bhubaneswar"/>
    <x v="3"/>
    <x v="7"/>
    <s v="CUST1427"/>
    <s v="SP_01"/>
    <n v="5"/>
    <n v="12681.97"/>
    <n v="63409.85"/>
    <n v="46574.41"/>
    <n v="16835.439999999999"/>
    <s v="Cash"/>
  </r>
  <r>
    <s v="ORD101398"/>
    <s v="2025-04-13"/>
    <x v="0"/>
    <s v="West"/>
    <s v="Maharashtra"/>
    <s v="Mumbai"/>
    <x v="3"/>
    <x v="3"/>
    <s v="CUST1684"/>
    <s v="SP_15"/>
    <n v="5"/>
    <n v="25.95"/>
    <n v="129.75"/>
    <n v="51.84"/>
    <n v="77.91"/>
    <s v="Debit Card"/>
  </r>
  <r>
    <s v="ORD101399"/>
    <s v="2025-03-31"/>
    <x v="4"/>
    <s v="South"/>
    <s v="Telangana"/>
    <s v="Hyderabad"/>
    <x v="1"/>
    <x v="1"/>
    <s v="CUST1014"/>
    <s v="SP_08"/>
    <n v="2"/>
    <n v="2928.48"/>
    <n v="5856.96"/>
    <n v="3617.58"/>
    <n v="2239.38"/>
    <s v="Cash"/>
  </r>
  <r>
    <s v="ORD101400"/>
    <s v="2025-03-08"/>
    <x v="4"/>
    <s v="North"/>
    <s v="Uttar Pradesh"/>
    <s v="Lucknow"/>
    <x v="3"/>
    <x v="11"/>
    <s v="CUST1958"/>
    <s v="SP_07"/>
    <n v="4"/>
    <n v="119.58"/>
    <n v="478.32"/>
    <n v="229.04"/>
    <n v="249.28"/>
    <s v="UPI"/>
  </r>
  <r>
    <s v="ORD101401"/>
    <s v="2025-11-20"/>
    <x v="10"/>
    <s v="West"/>
    <s v="Rajasthan"/>
    <s v="Jaipur"/>
    <x v="3"/>
    <x v="7"/>
    <s v="CUST1413"/>
    <s v="SP_03"/>
    <n v="5"/>
    <n v="11650.95"/>
    <n v="58254.75"/>
    <n v="45185.27"/>
    <n v="13069.48"/>
    <s v="Cash"/>
  </r>
  <r>
    <s v="ORD101402"/>
    <s v="2025-08-13"/>
    <x v="11"/>
    <s v="East"/>
    <s v="West Bengal"/>
    <s v="Kolkata"/>
    <x v="1"/>
    <x v="5"/>
    <s v="CUST1257"/>
    <s v="SP_13"/>
    <n v="4"/>
    <n v="9260.76"/>
    <n v="37043.040000000001"/>
    <n v="29269.23"/>
    <n v="7773.81"/>
    <s v="Credit Card"/>
  </r>
  <r>
    <s v="ORD101403"/>
    <s v="2025-02-02"/>
    <x v="8"/>
    <s v="North"/>
    <s v="Delhi"/>
    <s v="Delhi"/>
    <x v="0"/>
    <x v="0"/>
    <s v="CUST1870"/>
    <s v="SP_08"/>
    <n v="8"/>
    <n v="3566.38"/>
    <n v="28531.040000000001"/>
    <n v="17333.13"/>
    <n v="11197.91"/>
    <s v="Debit Card"/>
  </r>
  <r>
    <s v="ORD101404"/>
    <s v="2025-08-18"/>
    <x v="11"/>
    <s v="South"/>
    <s v="Tamil Nadu"/>
    <s v="Chennai"/>
    <x v="2"/>
    <x v="2"/>
    <s v="CUST1570"/>
    <s v="SP_07"/>
    <n v="4"/>
    <n v="46485.04"/>
    <n v="185940.16"/>
    <n v="137069.39000000001"/>
    <n v="48870.77"/>
    <s v="Net Banking"/>
  </r>
  <r>
    <s v="ORD101405"/>
    <s v="2025-09-24"/>
    <x v="5"/>
    <s v="East"/>
    <s v="Bihar"/>
    <s v="Patna"/>
    <x v="0"/>
    <x v="9"/>
    <s v="CUST1640"/>
    <s v="SP_04"/>
    <n v="6"/>
    <n v="7003.83"/>
    <n v="42022.98"/>
    <n v="28906.31"/>
    <n v="13116.67"/>
    <s v="Cash"/>
  </r>
  <r>
    <s v="ORD101406"/>
    <s v="2025-01-20"/>
    <x v="9"/>
    <s v="South"/>
    <s v="Telangana"/>
    <s v="Hyderabad"/>
    <x v="0"/>
    <x v="9"/>
    <s v="CUST1809"/>
    <s v="SP_09"/>
    <n v="6"/>
    <n v="6550.19"/>
    <n v="39301.14"/>
    <n v="29159.25"/>
    <n v="10141.89"/>
    <s v="Credit Card"/>
  </r>
  <r>
    <s v="ORD101407"/>
    <s v="2025-03-14"/>
    <x v="4"/>
    <s v="East"/>
    <s v="West Bengal"/>
    <s v="Kolkata"/>
    <x v="3"/>
    <x v="11"/>
    <s v="CUST1985"/>
    <s v="SP_09"/>
    <n v="5"/>
    <n v="121.55"/>
    <n v="607.75"/>
    <n v="290.17"/>
    <n v="317.58"/>
    <s v="Net Banking"/>
  </r>
  <r>
    <s v="ORD101408"/>
    <s v="2025-10-19"/>
    <x v="1"/>
    <s v="North"/>
    <s v="Delhi"/>
    <s v="Delhi"/>
    <x v="3"/>
    <x v="7"/>
    <s v="CUST1163"/>
    <s v="SP_09"/>
    <n v="2"/>
    <n v="12309.17"/>
    <n v="24618.34"/>
    <n v="17960.88"/>
    <n v="6657.46"/>
    <s v="Credit Card"/>
  </r>
  <r>
    <s v="ORD101409"/>
    <s v="2025-01-28"/>
    <x v="9"/>
    <s v="West"/>
    <s v="Rajasthan"/>
    <s v="Jaipur"/>
    <x v="3"/>
    <x v="3"/>
    <s v="CUST1623"/>
    <s v="SP_15"/>
    <n v="2"/>
    <n v="23.29"/>
    <n v="46.58"/>
    <n v="20.16"/>
    <n v="26.42"/>
    <s v="Cash"/>
  </r>
  <r>
    <s v="ORD101410"/>
    <s v="2025-09-28"/>
    <x v="5"/>
    <s v="West"/>
    <s v="Maharashtra"/>
    <s v="Mumbai"/>
    <x v="1"/>
    <x v="1"/>
    <s v="CUST1621"/>
    <s v="SP_04"/>
    <n v="6"/>
    <n v="2799.1"/>
    <n v="16794.599999999999"/>
    <n v="11912.4"/>
    <n v="4882.2"/>
    <s v="Cash"/>
  </r>
  <r>
    <s v="ORD101411"/>
    <s v="2025-04-26"/>
    <x v="0"/>
    <s v="South"/>
    <s v="Karnataka"/>
    <s v="Bengaluru"/>
    <x v="3"/>
    <x v="7"/>
    <s v="CUST1377"/>
    <s v="SP_13"/>
    <n v="8"/>
    <n v="11051.33"/>
    <n v="88410.64"/>
    <n v="70453.19"/>
    <n v="17957.45"/>
    <s v="Net Banking"/>
  </r>
  <r>
    <s v="ORD101412"/>
    <s v="2025-04-14"/>
    <x v="0"/>
    <s v="West"/>
    <s v="Maharashtra"/>
    <s v="Mumbai"/>
    <x v="1"/>
    <x v="6"/>
    <s v="CUST1122"/>
    <s v="SP_15"/>
    <n v="3"/>
    <n v="3207.64"/>
    <n v="9622.92"/>
    <n v="6905.14"/>
    <n v="2717.78"/>
    <s v="Cash"/>
  </r>
  <r>
    <s v="ORD101413"/>
    <s v="2025-06-16"/>
    <x v="2"/>
    <s v="North"/>
    <s v="Punjab"/>
    <s v="Chandigarh"/>
    <x v="2"/>
    <x v="4"/>
    <s v="CUST1253"/>
    <s v="SP_06"/>
    <n v="3"/>
    <n v="2523.06"/>
    <n v="7569.18"/>
    <n v="4604.8100000000004"/>
    <n v="2964.37"/>
    <s v="Credit Card"/>
  </r>
  <r>
    <s v="ORD101414"/>
    <s v="2025-09-23"/>
    <x v="5"/>
    <s v="East"/>
    <s v="Odisha"/>
    <s v="Bhubaneswar"/>
    <x v="2"/>
    <x v="4"/>
    <s v="CUST1241"/>
    <s v="SP_02"/>
    <n v="6"/>
    <n v="2465.21"/>
    <n v="14791.26"/>
    <n v="9548.86"/>
    <n v="5242.3999999999996"/>
    <s v="Credit Card"/>
  </r>
  <r>
    <s v="ORD101415"/>
    <s v="2025-03-26"/>
    <x v="4"/>
    <s v="East"/>
    <s v="Bihar"/>
    <s v="Patna"/>
    <x v="2"/>
    <x v="2"/>
    <s v="CUST1654"/>
    <s v="SP_03"/>
    <n v="3"/>
    <n v="43863.51"/>
    <n v="131590.53"/>
    <n v="107550.72"/>
    <n v="24039.81"/>
    <s v="Net Banking"/>
  </r>
  <r>
    <s v="ORD101416"/>
    <s v="2025-10-05"/>
    <x v="1"/>
    <s v="East"/>
    <s v="West Bengal"/>
    <s v="Kolkata"/>
    <x v="2"/>
    <x v="10"/>
    <s v="CUST1189"/>
    <s v="SP_08"/>
    <n v="1"/>
    <n v="16909.310000000001"/>
    <n v="16909.310000000001"/>
    <n v="14007.79"/>
    <n v="2901.52"/>
    <s v="Cash"/>
  </r>
  <r>
    <s v="ORD101417"/>
    <s v="2025-08-05"/>
    <x v="11"/>
    <s v="North"/>
    <s v="Uttar Pradesh"/>
    <s v="Lucknow"/>
    <x v="2"/>
    <x v="4"/>
    <s v="CUST1286"/>
    <s v="SP_08"/>
    <n v="5"/>
    <n v="2684.87"/>
    <n v="13424.35"/>
    <n v="7854.48"/>
    <n v="5569.87"/>
    <s v="Cash"/>
  </r>
  <r>
    <s v="ORD101418"/>
    <s v="2025-01-09"/>
    <x v="9"/>
    <s v="South"/>
    <s v="Telangana"/>
    <s v="Hyderabad"/>
    <x v="1"/>
    <x v="6"/>
    <s v="CUST1609"/>
    <s v="SP_06"/>
    <n v="3"/>
    <n v="3190.2"/>
    <n v="9570.6"/>
    <n v="6941.63"/>
    <n v="2628.97"/>
    <s v="Cash"/>
  </r>
  <r>
    <s v="ORD101419"/>
    <s v="2025-11-02"/>
    <x v="10"/>
    <s v="South"/>
    <s v="Telangana"/>
    <s v="Hyderabad"/>
    <x v="1"/>
    <x v="1"/>
    <s v="CUST1743"/>
    <s v="SP_15"/>
    <n v="1"/>
    <n v="2838.96"/>
    <n v="2838.96"/>
    <n v="1911.24"/>
    <n v="927.72"/>
    <s v="Cash"/>
  </r>
  <r>
    <s v="ORD101420"/>
    <s v="2025-01-02"/>
    <x v="9"/>
    <s v="South"/>
    <s v="Telangana"/>
    <s v="Hyderabad"/>
    <x v="0"/>
    <x v="8"/>
    <s v="CUST1163"/>
    <s v="SP_08"/>
    <n v="4"/>
    <n v="23325.95"/>
    <n v="93303.8"/>
    <n v="69827.37"/>
    <n v="23476.43"/>
    <s v="Net Banking"/>
  </r>
  <r>
    <s v="ORD101421"/>
    <s v="2025-06-23"/>
    <x v="2"/>
    <s v="North"/>
    <s v="Uttar Pradesh"/>
    <s v="Lucknow"/>
    <x v="0"/>
    <x v="9"/>
    <s v="CUST1660"/>
    <s v="SP_09"/>
    <n v="6"/>
    <n v="7478.22"/>
    <n v="44869.32"/>
    <n v="30297.439999999999"/>
    <n v="14571.88"/>
    <s v="Cash"/>
  </r>
  <r>
    <s v="ORD101422"/>
    <s v="2025-12-10"/>
    <x v="7"/>
    <s v="North"/>
    <s v="Uttar Pradesh"/>
    <s v="Lucknow"/>
    <x v="0"/>
    <x v="9"/>
    <s v="CUST1706"/>
    <s v="SP_13"/>
    <n v="6"/>
    <n v="6924.1"/>
    <n v="41544.6"/>
    <n v="29958.03"/>
    <n v="11586.57"/>
    <s v="Debit Card"/>
  </r>
  <r>
    <s v="ORD101423"/>
    <s v="2025-06-01"/>
    <x v="2"/>
    <s v="North"/>
    <s v="Uttar Pradesh"/>
    <s v="Lucknow"/>
    <x v="1"/>
    <x v="5"/>
    <s v="CUST1770"/>
    <s v="SP_11"/>
    <n v="2"/>
    <n v="9624.7199999999993"/>
    <n v="19249.439999999999"/>
    <n v="15435.66"/>
    <n v="3813.78"/>
    <s v="Debit Card"/>
  </r>
  <r>
    <s v="ORD101424"/>
    <s v="2025-08-16"/>
    <x v="11"/>
    <s v="South"/>
    <s v="Tamil Nadu"/>
    <s v="Chennai"/>
    <x v="1"/>
    <x v="6"/>
    <s v="CUST1418"/>
    <s v="SP_15"/>
    <n v="5"/>
    <n v="3089.47"/>
    <n v="15447.35"/>
    <n v="11946.95"/>
    <n v="3500.4"/>
    <s v="Cash"/>
  </r>
  <r>
    <s v="ORD101425"/>
    <s v="2025-09-04"/>
    <x v="5"/>
    <s v="South"/>
    <s v="Telangana"/>
    <s v="Hyderabad"/>
    <x v="1"/>
    <x v="1"/>
    <s v="CUST1636"/>
    <s v="SP_11"/>
    <n v="8"/>
    <n v="2557.5500000000002"/>
    <n v="20460.400000000001"/>
    <n v="15886.67"/>
    <n v="4573.7299999999996"/>
    <s v="Debit Card"/>
  </r>
  <r>
    <s v="ORD101426"/>
    <s v="2025-07-25"/>
    <x v="6"/>
    <s v="South"/>
    <s v="Tamil Nadu"/>
    <s v="Chennai"/>
    <x v="0"/>
    <x v="9"/>
    <s v="CUST1995"/>
    <s v="SP_03"/>
    <n v="8"/>
    <n v="7174.25"/>
    <n v="57394"/>
    <n v="41204.68"/>
    <n v="16189.32"/>
    <s v="Debit Card"/>
  </r>
  <r>
    <s v="ORD101427"/>
    <s v="2025-12-28"/>
    <x v="7"/>
    <s v="South"/>
    <s v="Karnataka"/>
    <s v="Bengaluru"/>
    <x v="3"/>
    <x v="3"/>
    <s v="CUST1403"/>
    <s v="SP_06"/>
    <n v="7"/>
    <n v="23.87"/>
    <n v="167.09"/>
    <n v="70.41"/>
    <n v="96.68"/>
    <s v="Credit Card"/>
  </r>
  <r>
    <s v="ORD101428"/>
    <s v="2025-04-15"/>
    <x v="0"/>
    <s v="East"/>
    <s v="West Bengal"/>
    <s v="Kolkata"/>
    <x v="1"/>
    <x v="1"/>
    <s v="CUST1514"/>
    <s v="SP_13"/>
    <n v="1"/>
    <n v="3009.96"/>
    <n v="3009.96"/>
    <n v="1884.18"/>
    <n v="1125.78"/>
    <s v="Net Banking"/>
  </r>
  <r>
    <s v="ORD101429"/>
    <s v="2025-02-07"/>
    <x v="8"/>
    <s v="North"/>
    <s v="Delhi"/>
    <s v="Delhi"/>
    <x v="2"/>
    <x v="10"/>
    <s v="CUST1698"/>
    <s v="SP_14"/>
    <n v="8"/>
    <n v="17415.400000000001"/>
    <n v="139323.20000000001"/>
    <n v="116302.82"/>
    <n v="23020.38"/>
    <s v="Debit Card"/>
  </r>
  <r>
    <s v="ORD101430"/>
    <s v="2025-03-22"/>
    <x v="4"/>
    <s v="West"/>
    <s v="Maharashtra"/>
    <s v="Mumbai"/>
    <x v="3"/>
    <x v="3"/>
    <s v="CUST1509"/>
    <s v="SP_14"/>
    <n v="4"/>
    <n v="25.46"/>
    <n v="101.84"/>
    <n v="39.880000000000003"/>
    <n v="61.96"/>
    <s v="UPI"/>
  </r>
  <r>
    <s v="ORD101431"/>
    <s v="2025-06-02"/>
    <x v="2"/>
    <s v="East"/>
    <s v="Bihar"/>
    <s v="Patna"/>
    <x v="1"/>
    <x v="6"/>
    <s v="CUST1495"/>
    <s v="SP_03"/>
    <n v="3"/>
    <n v="3183.69"/>
    <n v="9551.07"/>
    <n v="7431.91"/>
    <n v="2119.16"/>
    <s v="Credit Card"/>
  </r>
  <r>
    <s v="ORD101432"/>
    <s v="2025-09-09"/>
    <x v="5"/>
    <s v="East"/>
    <s v="Bihar"/>
    <s v="Patna"/>
    <x v="0"/>
    <x v="9"/>
    <s v="CUST1295"/>
    <s v="SP_11"/>
    <n v="5"/>
    <n v="6749.37"/>
    <n v="33746.85"/>
    <n v="24911.279999999999"/>
    <n v="8835.57"/>
    <s v="Cash"/>
  </r>
  <r>
    <s v="ORD101433"/>
    <s v="2025-11-11"/>
    <x v="10"/>
    <s v="South"/>
    <s v="Karnataka"/>
    <s v="Bengaluru"/>
    <x v="2"/>
    <x v="2"/>
    <s v="CUST1653"/>
    <s v="SP_13"/>
    <n v="4"/>
    <n v="47172.82"/>
    <n v="188691.28"/>
    <n v="133692.01999999999"/>
    <n v="54999.26"/>
    <s v="Cash"/>
  </r>
  <r>
    <s v="ORD101434"/>
    <s v="2025-03-22"/>
    <x v="4"/>
    <s v="West"/>
    <s v="Rajasthan"/>
    <s v="Jaipur"/>
    <x v="0"/>
    <x v="8"/>
    <s v="CUST1064"/>
    <s v="SP_10"/>
    <n v="6"/>
    <n v="22524.18"/>
    <n v="135145.07999999999"/>
    <n v="97314.66"/>
    <n v="37830.42"/>
    <s v="Credit Card"/>
  </r>
  <r>
    <s v="ORD101435"/>
    <s v="2025-05-24"/>
    <x v="3"/>
    <s v="South"/>
    <s v="Tamil Nadu"/>
    <s v="Chennai"/>
    <x v="0"/>
    <x v="8"/>
    <s v="CUST1406"/>
    <s v="SP_02"/>
    <n v="2"/>
    <n v="23872.92"/>
    <n v="47745.84"/>
    <n v="33818.949999999997"/>
    <n v="13926.89"/>
    <s v="Cash"/>
  </r>
  <r>
    <s v="ORD101436"/>
    <s v="2025-06-19"/>
    <x v="2"/>
    <s v="North"/>
    <s v="Uttar Pradesh"/>
    <s v="Lucknow"/>
    <x v="3"/>
    <x v="7"/>
    <s v="CUST1371"/>
    <s v="SP_04"/>
    <n v="2"/>
    <n v="11155.27"/>
    <n v="22310.54"/>
    <n v="18122.12"/>
    <n v="4188.42"/>
    <s v="Cash"/>
  </r>
  <r>
    <s v="ORD101437"/>
    <s v="2025-02-12"/>
    <x v="8"/>
    <s v="South"/>
    <s v="Telangana"/>
    <s v="Hyderabad"/>
    <x v="2"/>
    <x v="10"/>
    <s v="CUST1140"/>
    <s v="SP_10"/>
    <n v="3"/>
    <n v="18493.900000000001"/>
    <n v="55481.7"/>
    <n v="43388.5"/>
    <n v="12093.2"/>
    <s v="Credit Card"/>
  </r>
  <r>
    <s v="ORD101438"/>
    <s v="2025-12-03"/>
    <x v="7"/>
    <s v="South"/>
    <s v="Karnataka"/>
    <s v="Bengaluru"/>
    <x v="3"/>
    <x v="3"/>
    <s v="CUST1334"/>
    <s v="SP_14"/>
    <n v="8"/>
    <n v="24.38"/>
    <n v="195.04"/>
    <n v="81.489999999999995"/>
    <n v="113.55"/>
    <s v="Cash"/>
  </r>
  <r>
    <s v="ORD101439"/>
    <s v="2025-02-20"/>
    <x v="8"/>
    <s v="East"/>
    <s v="Bihar"/>
    <s v="Patna"/>
    <x v="1"/>
    <x v="1"/>
    <s v="CUST1566"/>
    <s v="SP_01"/>
    <n v="7"/>
    <n v="2821.6"/>
    <n v="19751.2"/>
    <n v="13029.35"/>
    <n v="6721.85"/>
    <s v="UPI"/>
  </r>
  <r>
    <s v="ORD101440"/>
    <s v="2025-09-12"/>
    <x v="5"/>
    <s v="East"/>
    <s v="Bihar"/>
    <s v="Patna"/>
    <x v="1"/>
    <x v="1"/>
    <s v="CUST1058"/>
    <s v="SP_13"/>
    <n v="6"/>
    <n v="2813.58"/>
    <n v="16881.48"/>
    <n v="10963.17"/>
    <n v="5918.31"/>
    <s v="UPI"/>
  </r>
  <r>
    <s v="ORD101441"/>
    <s v="2025-10-17"/>
    <x v="1"/>
    <s v="West"/>
    <s v="Maharashtra"/>
    <s v="Mumbai"/>
    <x v="1"/>
    <x v="6"/>
    <s v="CUST1321"/>
    <s v="SP_06"/>
    <n v="5"/>
    <n v="2979.7"/>
    <n v="14898.5"/>
    <n v="12417.72"/>
    <n v="2480.7800000000002"/>
    <s v="Credit Card"/>
  </r>
  <r>
    <s v="ORD101442"/>
    <s v="2025-06-12"/>
    <x v="2"/>
    <s v="West"/>
    <s v="Gujarat"/>
    <s v="Ahmedabad"/>
    <x v="0"/>
    <x v="9"/>
    <s v="CUST1669"/>
    <s v="SP_04"/>
    <n v="4"/>
    <n v="7329.49"/>
    <n v="29317.96"/>
    <n v="19147.48"/>
    <n v="10170.48"/>
    <s v="UPI"/>
  </r>
  <r>
    <s v="ORD101443"/>
    <s v="2025-10-02"/>
    <x v="1"/>
    <s v="North"/>
    <s v="Punjab"/>
    <s v="Chandigarh"/>
    <x v="3"/>
    <x v="7"/>
    <s v="CUST1148"/>
    <s v="SP_01"/>
    <n v="3"/>
    <n v="12487.55"/>
    <n v="37462.65"/>
    <n v="28247.32"/>
    <n v="9215.33"/>
    <s v="Credit Card"/>
  </r>
  <r>
    <s v="ORD101444"/>
    <s v="2025-01-02"/>
    <x v="9"/>
    <s v="South"/>
    <s v="Tamil Nadu"/>
    <s v="Chennai"/>
    <x v="0"/>
    <x v="9"/>
    <s v="CUST1893"/>
    <s v="SP_14"/>
    <n v="3"/>
    <n v="6515.11"/>
    <n v="19545.330000000002"/>
    <n v="15262.47"/>
    <n v="4282.8599999999997"/>
    <s v="Net Banking"/>
  </r>
  <r>
    <s v="ORD101445"/>
    <s v="2025-10-30"/>
    <x v="1"/>
    <s v="North"/>
    <s v="Punjab"/>
    <s v="Chandigarh"/>
    <x v="0"/>
    <x v="9"/>
    <s v="CUST1961"/>
    <s v="SP_12"/>
    <n v="4"/>
    <n v="7663.71"/>
    <n v="30654.84"/>
    <n v="19549.09"/>
    <n v="11105.75"/>
    <s v="Net Banking"/>
  </r>
  <r>
    <s v="ORD101446"/>
    <s v="2025-09-25"/>
    <x v="5"/>
    <s v="East"/>
    <s v="West Bengal"/>
    <s v="Kolkata"/>
    <x v="2"/>
    <x v="2"/>
    <s v="CUST1473"/>
    <s v="SP_14"/>
    <n v="3"/>
    <n v="44801.55"/>
    <n v="134404.65"/>
    <n v="104258.97"/>
    <n v="30145.68"/>
    <s v="Cash"/>
  </r>
  <r>
    <s v="ORD101447"/>
    <s v="2025-11-19"/>
    <x v="10"/>
    <s v="East"/>
    <s v="Odisha"/>
    <s v="Bhubaneswar"/>
    <x v="0"/>
    <x v="9"/>
    <s v="CUST1788"/>
    <s v="SP_01"/>
    <n v="2"/>
    <n v="7419.27"/>
    <n v="14838.54"/>
    <n v="10128.16"/>
    <n v="4710.38"/>
    <s v="Net Banking"/>
  </r>
  <r>
    <s v="ORD101448"/>
    <s v="2025-07-20"/>
    <x v="6"/>
    <s v="South"/>
    <s v="Karnataka"/>
    <s v="Bengaluru"/>
    <x v="0"/>
    <x v="8"/>
    <s v="CUST1746"/>
    <s v="SP_05"/>
    <n v="4"/>
    <n v="22812.2"/>
    <n v="91248.8"/>
    <n v="71116.759999999995"/>
    <n v="20132.04"/>
    <s v="Debit Card"/>
  </r>
  <r>
    <s v="ORD101449"/>
    <s v="2025-04-02"/>
    <x v="0"/>
    <s v="West"/>
    <s v="Rajasthan"/>
    <s v="Jaipur"/>
    <x v="1"/>
    <x v="5"/>
    <s v="CUST1630"/>
    <s v="SP_03"/>
    <n v="1"/>
    <n v="9041.18"/>
    <n v="9041.18"/>
    <n v="7761.38"/>
    <n v="1279.8"/>
    <s v="Credit Card"/>
  </r>
  <r>
    <s v="ORD101450"/>
    <s v="2025-12-26"/>
    <x v="7"/>
    <s v="East"/>
    <s v="Odisha"/>
    <s v="Bhubaneswar"/>
    <x v="3"/>
    <x v="7"/>
    <s v="CUST1377"/>
    <s v="SP_08"/>
    <n v="5"/>
    <n v="12952.27"/>
    <n v="64761.35"/>
    <n v="43249.94"/>
    <n v="21511.41"/>
    <s v="Credit Card"/>
  </r>
  <r>
    <s v="ORD101451"/>
    <s v="2025-03-08"/>
    <x v="4"/>
    <s v="East"/>
    <s v="Odisha"/>
    <s v="Bhubaneswar"/>
    <x v="1"/>
    <x v="6"/>
    <s v="CUST1677"/>
    <s v="SP_15"/>
    <n v="5"/>
    <n v="2950.17"/>
    <n v="14750.85"/>
    <n v="12245.81"/>
    <n v="2505.04"/>
    <s v="Debit Card"/>
  </r>
  <r>
    <s v="ORD101452"/>
    <s v="2025-03-04"/>
    <x v="4"/>
    <s v="North"/>
    <s v="Uttar Pradesh"/>
    <s v="Lucknow"/>
    <x v="2"/>
    <x v="10"/>
    <s v="CUST1907"/>
    <s v="SP_07"/>
    <n v="7"/>
    <n v="18528.97"/>
    <n v="129702.79"/>
    <n v="98450.07"/>
    <n v="31252.720000000001"/>
    <s v="Cash"/>
  </r>
  <r>
    <s v="ORD101453"/>
    <s v="2025-02-17"/>
    <x v="8"/>
    <s v="West"/>
    <s v="Maharashtra"/>
    <s v="Mumbai"/>
    <x v="3"/>
    <x v="7"/>
    <s v="CUST1047"/>
    <s v="SP_10"/>
    <n v="8"/>
    <n v="12888.57"/>
    <n v="103108.56"/>
    <n v="69975.289999999994"/>
    <n v="33133.269999999997"/>
    <s v="Debit Card"/>
  </r>
  <r>
    <s v="ORD101454"/>
    <s v="2025-12-23"/>
    <x v="7"/>
    <s v="East"/>
    <s v="West Bengal"/>
    <s v="Kolkata"/>
    <x v="1"/>
    <x v="1"/>
    <s v="CUST1008"/>
    <s v="SP_02"/>
    <n v="5"/>
    <n v="2744.32"/>
    <n v="13721.6"/>
    <n v="9241.8799999999992"/>
    <n v="4479.72"/>
    <s v="Net Banking"/>
  </r>
  <r>
    <s v="ORD101455"/>
    <s v="2025-07-21"/>
    <x v="6"/>
    <s v="West"/>
    <s v="Rajasthan"/>
    <s v="Jaipur"/>
    <x v="2"/>
    <x v="4"/>
    <s v="CUST1078"/>
    <s v="SP_12"/>
    <n v="5"/>
    <n v="2685.35"/>
    <n v="13426.75"/>
    <n v="8328.5499999999993"/>
    <n v="5098.2"/>
    <s v="Credit Card"/>
  </r>
  <r>
    <s v="ORD101456"/>
    <s v="2025-12-20"/>
    <x v="7"/>
    <s v="West"/>
    <s v="Maharashtra"/>
    <s v="Mumbai"/>
    <x v="0"/>
    <x v="9"/>
    <s v="CUST1425"/>
    <s v="SP_05"/>
    <n v="4"/>
    <n v="6477.82"/>
    <n v="25911.279999999999"/>
    <n v="19708.669999999998"/>
    <n v="6202.61"/>
    <s v="UPI"/>
  </r>
  <r>
    <s v="ORD101457"/>
    <s v="2025-09-07"/>
    <x v="5"/>
    <s v="East"/>
    <s v="Odisha"/>
    <s v="Bhubaneswar"/>
    <x v="1"/>
    <x v="5"/>
    <s v="CUST1763"/>
    <s v="SP_12"/>
    <n v="5"/>
    <n v="9891.17"/>
    <n v="49455.85"/>
    <n v="39155.120000000003"/>
    <n v="10300.73"/>
    <s v="Credit Card"/>
  </r>
  <r>
    <s v="ORD101458"/>
    <s v="2025-12-14"/>
    <x v="7"/>
    <s v="West"/>
    <s v="Rajasthan"/>
    <s v="Jaipur"/>
    <x v="3"/>
    <x v="11"/>
    <s v="CUST1824"/>
    <s v="SP_11"/>
    <n v="3"/>
    <n v="127.75"/>
    <n v="383.25"/>
    <n v="186.06"/>
    <n v="197.19"/>
    <s v="Credit Card"/>
  </r>
  <r>
    <s v="ORD101459"/>
    <s v="2025-08-09"/>
    <x v="11"/>
    <s v="West"/>
    <s v="Gujarat"/>
    <s v="Ahmedabad"/>
    <x v="2"/>
    <x v="10"/>
    <s v="CUST1418"/>
    <s v="SP_12"/>
    <n v="7"/>
    <n v="18016.84"/>
    <n v="126117.88"/>
    <n v="99816.77"/>
    <n v="26301.11"/>
    <s v="Credit Card"/>
  </r>
  <r>
    <s v="ORD101460"/>
    <s v="2025-12-04"/>
    <x v="7"/>
    <s v="South"/>
    <s v="Karnataka"/>
    <s v="Bengaluru"/>
    <x v="3"/>
    <x v="7"/>
    <s v="CUST1879"/>
    <s v="SP_12"/>
    <n v="4"/>
    <n v="13191.27"/>
    <n v="52765.08"/>
    <n v="35392.050000000003"/>
    <n v="17373.03"/>
    <s v="Debit Card"/>
  </r>
  <r>
    <s v="ORD101461"/>
    <s v="2025-10-26"/>
    <x v="1"/>
    <s v="West"/>
    <s v="Rajasthan"/>
    <s v="Jaipur"/>
    <x v="2"/>
    <x v="2"/>
    <s v="CUST1844"/>
    <s v="SP_14"/>
    <n v="6"/>
    <n v="48913.59"/>
    <n v="293481.53999999998"/>
    <n v="215126.33"/>
    <n v="78355.210000000006"/>
    <s v="Debit Card"/>
  </r>
  <r>
    <s v="ORD101462"/>
    <s v="2025-04-23"/>
    <x v="0"/>
    <s v="North"/>
    <s v="Punjab"/>
    <s v="Chandigarh"/>
    <x v="0"/>
    <x v="8"/>
    <s v="CUST1034"/>
    <s v="SP_10"/>
    <n v="5"/>
    <n v="23497.47"/>
    <n v="117487.35"/>
    <n v="89065.2"/>
    <n v="28422.15"/>
    <s v="Debit Card"/>
  </r>
  <r>
    <s v="ORD101463"/>
    <s v="2025-03-18"/>
    <x v="4"/>
    <s v="East"/>
    <s v="West Bengal"/>
    <s v="Kolkata"/>
    <x v="1"/>
    <x v="1"/>
    <s v="CUST1464"/>
    <s v="SP_09"/>
    <n v="3"/>
    <n v="2700.94"/>
    <n v="8102.82"/>
    <n v="5819.55"/>
    <n v="2283.27"/>
    <s v="Credit Card"/>
  </r>
  <r>
    <s v="ORD101464"/>
    <s v="2025-09-28"/>
    <x v="5"/>
    <s v="East"/>
    <s v="Bihar"/>
    <s v="Patna"/>
    <x v="2"/>
    <x v="2"/>
    <s v="CUST1986"/>
    <s v="SP_14"/>
    <n v="6"/>
    <n v="42419.03"/>
    <n v="254514.18"/>
    <n v="215583.64"/>
    <n v="38930.54"/>
    <s v="Debit Card"/>
  </r>
  <r>
    <s v="ORD101465"/>
    <s v="2025-11-16"/>
    <x v="10"/>
    <s v="South"/>
    <s v="Telangana"/>
    <s v="Hyderabad"/>
    <x v="3"/>
    <x v="7"/>
    <s v="CUST1113"/>
    <s v="SP_10"/>
    <n v="4"/>
    <n v="12913.8"/>
    <n v="51655.199999999997"/>
    <n v="36308.550000000003"/>
    <n v="15346.65"/>
    <s v="Net Banking"/>
  </r>
  <r>
    <s v="ORD101466"/>
    <s v="2025-09-26"/>
    <x v="5"/>
    <s v="South"/>
    <s v="Tamil Nadu"/>
    <s v="Chennai"/>
    <x v="0"/>
    <x v="0"/>
    <s v="CUST1510"/>
    <s v="SP_12"/>
    <n v="7"/>
    <n v="3544.39"/>
    <n v="24810.73"/>
    <n v="14722.77"/>
    <n v="10087.959999999999"/>
    <s v="UPI"/>
  </r>
  <r>
    <s v="ORD101467"/>
    <s v="2025-12-27"/>
    <x v="7"/>
    <s v="South"/>
    <s v="Tamil Nadu"/>
    <s v="Chennai"/>
    <x v="1"/>
    <x v="6"/>
    <s v="CUST1384"/>
    <s v="SP_01"/>
    <n v="8"/>
    <n v="3482.02"/>
    <n v="27856.16"/>
    <n v="18396.939999999999"/>
    <n v="9459.2199999999993"/>
    <s v="Net Banking"/>
  </r>
  <r>
    <s v="ORD101468"/>
    <s v="2025-05-25"/>
    <x v="3"/>
    <s v="West"/>
    <s v="Gujarat"/>
    <s v="Ahmedabad"/>
    <x v="3"/>
    <x v="11"/>
    <s v="CUST1413"/>
    <s v="SP_08"/>
    <n v="7"/>
    <n v="130.54"/>
    <n v="913.78"/>
    <n v="405.05"/>
    <n v="508.73"/>
    <s v="Cash"/>
  </r>
  <r>
    <s v="ORD101469"/>
    <s v="2025-01-19"/>
    <x v="9"/>
    <s v="East"/>
    <s v="West Bengal"/>
    <s v="Kolkata"/>
    <x v="0"/>
    <x v="8"/>
    <s v="CUST1255"/>
    <s v="SP_10"/>
    <n v="5"/>
    <n v="22699.35"/>
    <n v="113496.75"/>
    <n v="83422.039999999994"/>
    <n v="30074.71"/>
    <s v="UPI"/>
  </r>
  <r>
    <s v="ORD101470"/>
    <s v="2025-06-02"/>
    <x v="2"/>
    <s v="West"/>
    <s v="Maharashtra"/>
    <s v="Mumbai"/>
    <x v="0"/>
    <x v="9"/>
    <s v="CUST1248"/>
    <s v="SP_14"/>
    <n v="4"/>
    <n v="7325.93"/>
    <n v="29303.72"/>
    <n v="19375.72"/>
    <n v="9928"/>
    <s v="Debit Card"/>
  </r>
  <r>
    <s v="ORD101471"/>
    <s v="2025-10-29"/>
    <x v="1"/>
    <s v="West"/>
    <s v="Maharashtra"/>
    <s v="Mumbai"/>
    <x v="3"/>
    <x v="7"/>
    <s v="CUST1267"/>
    <s v="SP_06"/>
    <n v="5"/>
    <n v="13118.22"/>
    <n v="65591.100000000006"/>
    <n v="47147.839999999997"/>
    <n v="18443.259999999998"/>
    <s v="Debit Card"/>
  </r>
  <r>
    <s v="ORD101472"/>
    <s v="2025-01-08"/>
    <x v="9"/>
    <s v="East"/>
    <s v="West Bengal"/>
    <s v="Kolkata"/>
    <x v="1"/>
    <x v="5"/>
    <s v="CUST1370"/>
    <s v="SP_11"/>
    <n v="3"/>
    <n v="10193.01"/>
    <n v="30579.03"/>
    <n v="23692.77"/>
    <n v="6886.26"/>
    <s v="Cash"/>
  </r>
  <r>
    <s v="ORD101473"/>
    <s v="2025-05-25"/>
    <x v="3"/>
    <s v="East"/>
    <s v="Bihar"/>
    <s v="Patna"/>
    <x v="3"/>
    <x v="7"/>
    <s v="CUST1073"/>
    <s v="SP_13"/>
    <n v="7"/>
    <n v="11959.26"/>
    <n v="83714.820000000007"/>
    <n v="62439.17"/>
    <n v="21275.65"/>
    <s v="Cash"/>
  </r>
  <r>
    <s v="ORD101474"/>
    <s v="2025-04-01"/>
    <x v="0"/>
    <s v="South"/>
    <s v="Telangana"/>
    <s v="Hyderabad"/>
    <x v="0"/>
    <x v="0"/>
    <s v="CUST1131"/>
    <s v="SP_13"/>
    <n v="6"/>
    <n v="3724.15"/>
    <n v="22344.9"/>
    <n v="13821.93"/>
    <n v="8522.9699999999993"/>
    <s v="Cash"/>
  </r>
  <r>
    <s v="ORD101475"/>
    <s v="2025-11-17"/>
    <x v="10"/>
    <s v="West"/>
    <s v="Rajasthan"/>
    <s v="Jaipur"/>
    <x v="2"/>
    <x v="10"/>
    <s v="CUST1976"/>
    <s v="SP_05"/>
    <n v="5"/>
    <n v="18977.080000000002"/>
    <n v="94885.4"/>
    <n v="69347.86"/>
    <n v="25537.54"/>
    <s v="Net Banking"/>
  </r>
  <r>
    <s v="ORD101476"/>
    <s v="2025-01-22"/>
    <x v="9"/>
    <s v="South"/>
    <s v="Karnataka"/>
    <s v="Bengaluru"/>
    <x v="2"/>
    <x v="2"/>
    <s v="CUST1049"/>
    <s v="SP_15"/>
    <n v="2"/>
    <n v="47066.48"/>
    <n v="94132.96"/>
    <n v="71591.149999999994"/>
    <n v="22541.81"/>
    <s v="Credit Card"/>
  </r>
  <r>
    <s v="ORD101477"/>
    <s v="2025-11-11"/>
    <x v="10"/>
    <s v="South"/>
    <s v="Tamil Nadu"/>
    <s v="Chennai"/>
    <x v="1"/>
    <x v="5"/>
    <s v="CUST1063"/>
    <s v="SP_01"/>
    <n v="3"/>
    <n v="10387.790000000001"/>
    <n v="31163.37"/>
    <n v="22419.88"/>
    <n v="8743.49"/>
    <s v="Cash"/>
  </r>
  <r>
    <s v="ORD101478"/>
    <s v="2025-03-14"/>
    <x v="4"/>
    <s v="South"/>
    <s v="Telangana"/>
    <s v="Hyderabad"/>
    <x v="3"/>
    <x v="11"/>
    <s v="CUST1651"/>
    <s v="SP_07"/>
    <n v="4"/>
    <n v="128.79"/>
    <n v="515.16"/>
    <n v="236.59"/>
    <n v="278.57"/>
    <s v="UPI"/>
  </r>
  <r>
    <s v="ORD101479"/>
    <s v="2025-05-14"/>
    <x v="3"/>
    <s v="North"/>
    <s v="Delhi"/>
    <s v="Delhi"/>
    <x v="0"/>
    <x v="0"/>
    <s v="CUST1773"/>
    <s v="SP_06"/>
    <n v="2"/>
    <n v="3404.22"/>
    <n v="6808.44"/>
    <n v="4336.07"/>
    <n v="2472.37"/>
    <s v="Cash"/>
  </r>
  <r>
    <s v="ORD101480"/>
    <s v="2025-07-04"/>
    <x v="6"/>
    <s v="South"/>
    <s v="Karnataka"/>
    <s v="Bengaluru"/>
    <x v="0"/>
    <x v="8"/>
    <s v="CUST1576"/>
    <s v="SP_13"/>
    <n v="6"/>
    <n v="21753.040000000001"/>
    <n v="130518.24"/>
    <n v="104721.66"/>
    <n v="25796.58"/>
    <s v="Cash"/>
  </r>
  <r>
    <s v="ORD101481"/>
    <s v="2025-11-22"/>
    <x v="10"/>
    <s v="South"/>
    <s v="Telangana"/>
    <s v="Hyderabad"/>
    <x v="2"/>
    <x v="2"/>
    <s v="CUST1169"/>
    <s v="SP_15"/>
    <n v="1"/>
    <n v="48545.37"/>
    <n v="48545.37"/>
    <n v="35105.870000000003"/>
    <n v="13439.5"/>
    <s v="UPI"/>
  </r>
  <r>
    <s v="ORD101482"/>
    <s v="2025-12-17"/>
    <x v="7"/>
    <s v="West"/>
    <s v="Maharashtra"/>
    <s v="Mumbai"/>
    <x v="2"/>
    <x v="2"/>
    <s v="CUST1738"/>
    <s v="SP_15"/>
    <n v="2"/>
    <n v="42613"/>
    <n v="85226"/>
    <n v="66567.53"/>
    <n v="18658.47"/>
    <s v="Net Banking"/>
  </r>
  <r>
    <s v="ORD101483"/>
    <s v="2025-08-14"/>
    <x v="11"/>
    <s v="North"/>
    <s v="Punjab"/>
    <s v="Chandigarh"/>
    <x v="0"/>
    <x v="9"/>
    <s v="CUST1403"/>
    <s v="SP_06"/>
    <n v="6"/>
    <n v="7094.82"/>
    <n v="42568.92"/>
    <n v="30900.639999999999"/>
    <n v="11668.28"/>
    <s v="Net Banking"/>
  </r>
  <r>
    <s v="ORD101484"/>
    <s v="2025-03-30"/>
    <x v="4"/>
    <s v="West"/>
    <s v="Rajasthan"/>
    <s v="Jaipur"/>
    <x v="1"/>
    <x v="6"/>
    <s v="CUST1895"/>
    <s v="SP_02"/>
    <n v="1"/>
    <n v="2997.67"/>
    <n v="2997.67"/>
    <n v="2496.23"/>
    <n v="501.44"/>
    <s v="Net Banking"/>
  </r>
  <r>
    <s v="ORD101485"/>
    <s v="2025-01-02"/>
    <x v="9"/>
    <s v="East"/>
    <s v="Odisha"/>
    <s v="Bhubaneswar"/>
    <x v="2"/>
    <x v="4"/>
    <s v="CUST1115"/>
    <s v="SP_07"/>
    <n v="3"/>
    <n v="2597.4699999999998"/>
    <n v="7792.41"/>
    <n v="4842.83"/>
    <n v="2949.58"/>
    <s v="Credit Card"/>
  </r>
  <r>
    <s v="ORD101486"/>
    <s v="2025-07-11"/>
    <x v="6"/>
    <s v="West"/>
    <s v="Maharashtra"/>
    <s v="Mumbai"/>
    <x v="1"/>
    <x v="1"/>
    <s v="CUST1877"/>
    <s v="SP_11"/>
    <n v="5"/>
    <n v="2825.94"/>
    <n v="14129.7"/>
    <n v="9972.69"/>
    <n v="4157.01"/>
    <s v="Credit Card"/>
  </r>
  <r>
    <s v="ORD101487"/>
    <s v="2025-12-04"/>
    <x v="7"/>
    <s v="North"/>
    <s v="Punjab"/>
    <s v="Chandigarh"/>
    <x v="2"/>
    <x v="10"/>
    <s v="CUST1566"/>
    <s v="SP_05"/>
    <n v="7"/>
    <n v="19456.86"/>
    <n v="136198.01999999999"/>
    <n v="101406.53"/>
    <n v="34791.49"/>
    <s v="Cash"/>
  </r>
  <r>
    <s v="ORD101488"/>
    <s v="2025-05-05"/>
    <x v="3"/>
    <s v="East"/>
    <s v="Odisha"/>
    <s v="Bhubaneswar"/>
    <x v="3"/>
    <x v="3"/>
    <s v="CUST1495"/>
    <s v="SP_04"/>
    <n v="3"/>
    <n v="23.77"/>
    <n v="71.31"/>
    <n v="30.93"/>
    <n v="40.380000000000003"/>
    <s v="Debit Card"/>
  </r>
  <r>
    <s v="ORD101489"/>
    <s v="2025-11-16"/>
    <x v="10"/>
    <s v="West"/>
    <s v="Gujarat"/>
    <s v="Ahmedabad"/>
    <x v="2"/>
    <x v="10"/>
    <s v="CUST1584"/>
    <s v="SP_07"/>
    <n v="3"/>
    <n v="17164.07"/>
    <n v="51492.21"/>
    <n v="42665.98"/>
    <n v="8826.23"/>
    <s v="Credit Card"/>
  </r>
  <r>
    <s v="ORD101490"/>
    <s v="2025-01-25"/>
    <x v="9"/>
    <s v="East"/>
    <s v="West Bengal"/>
    <s v="Kolkata"/>
    <x v="1"/>
    <x v="6"/>
    <s v="CUST1935"/>
    <s v="SP_11"/>
    <n v="4"/>
    <n v="3249.73"/>
    <n v="12998.92"/>
    <n v="9762.93"/>
    <n v="3235.99"/>
    <s v="UPI"/>
  </r>
  <r>
    <s v="ORD101491"/>
    <s v="2025-09-28"/>
    <x v="5"/>
    <s v="North"/>
    <s v="Delhi"/>
    <s v="Delhi"/>
    <x v="1"/>
    <x v="6"/>
    <s v="CUST1860"/>
    <s v="SP_09"/>
    <n v="5"/>
    <n v="3511.69"/>
    <n v="17558.45"/>
    <n v="11723.3"/>
    <n v="5835.15"/>
    <s v="Debit Card"/>
  </r>
  <r>
    <s v="ORD101492"/>
    <s v="2025-08-16"/>
    <x v="11"/>
    <s v="East"/>
    <s v="West Bengal"/>
    <s v="Kolkata"/>
    <x v="3"/>
    <x v="3"/>
    <s v="CUST1839"/>
    <s v="SP_04"/>
    <n v="4"/>
    <n v="24.78"/>
    <n v="99.12"/>
    <n v="39.340000000000003"/>
    <n v="59.78"/>
    <s v="Cash"/>
  </r>
  <r>
    <s v="ORD101493"/>
    <s v="2025-11-11"/>
    <x v="10"/>
    <s v="North"/>
    <s v="Uttar Pradesh"/>
    <s v="Lucknow"/>
    <x v="1"/>
    <x v="1"/>
    <s v="CUST1334"/>
    <s v="SP_11"/>
    <n v="5"/>
    <n v="3059.89"/>
    <n v="15299.45"/>
    <n v="9070.8700000000008"/>
    <n v="6228.58"/>
    <s v="Cash"/>
  </r>
  <r>
    <s v="ORD101494"/>
    <s v="2025-03-06"/>
    <x v="4"/>
    <s v="West"/>
    <s v="Rajasthan"/>
    <s v="Jaipur"/>
    <x v="1"/>
    <x v="5"/>
    <s v="CUST1333"/>
    <s v="SP_03"/>
    <n v="5"/>
    <n v="9513.57"/>
    <n v="47567.85"/>
    <n v="36509.54"/>
    <n v="11058.31"/>
    <s v="UPI"/>
  </r>
  <r>
    <s v="ORD101495"/>
    <s v="2025-05-03"/>
    <x v="3"/>
    <s v="North"/>
    <s v="Uttar Pradesh"/>
    <s v="Lucknow"/>
    <x v="2"/>
    <x v="2"/>
    <s v="CUST1956"/>
    <s v="SP_05"/>
    <n v="2"/>
    <n v="42359.56"/>
    <n v="84719.12"/>
    <n v="68765.08"/>
    <n v="15954.04"/>
    <s v="Net Banking"/>
  </r>
  <r>
    <s v="ORD101496"/>
    <s v="2025-10-27"/>
    <x v="1"/>
    <s v="West"/>
    <s v="Maharashtra"/>
    <s v="Mumbai"/>
    <x v="0"/>
    <x v="8"/>
    <s v="CUST1202"/>
    <s v="SP_07"/>
    <n v="3"/>
    <n v="20130.849999999999"/>
    <n v="60392.55"/>
    <n v="52192.72"/>
    <n v="8199.83"/>
    <s v="UPI"/>
  </r>
  <r>
    <s v="ORD101497"/>
    <s v="2025-10-02"/>
    <x v="1"/>
    <s v="North"/>
    <s v="Punjab"/>
    <s v="Chandigarh"/>
    <x v="3"/>
    <x v="11"/>
    <s v="CUST1607"/>
    <s v="SP_09"/>
    <n v="4"/>
    <n v="131.59"/>
    <n v="526.36"/>
    <n v="235.67"/>
    <n v="290.69"/>
    <s v="Cash"/>
  </r>
  <r>
    <s v="ORD101498"/>
    <s v="2025-03-21"/>
    <x v="4"/>
    <s v="South"/>
    <s v="Tamil Nadu"/>
    <s v="Chennai"/>
    <x v="1"/>
    <x v="1"/>
    <s v="CUST1885"/>
    <s v="SP_15"/>
    <n v="6"/>
    <n v="3054.3"/>
    <n v="18325.8"/>
    <n v="11947.24"/>
    <n v="6378.56"/>
    <s v="Debit Card"/>
  </r>
  <r>
    <s v="ORD101499"/>
    <s v="2025-06-21"/>
    <x v="2"/>
    <s v="North"/>
    <s v="Delhi"/>
    <s v="Delhi"/>
    <x v="0"/>
    <x v="8"/>
    <s v="CUST1448"/>
    <s v="SP_14"/>
    <n v="3"/>
    <n v="23239.38"/>
    <n v="69718.14"/>
    <n v="52293.27"/>
    <n v="17424.87"/>
    <s v="UPI"/>
  </r>
  <r>
    <s v="ORD101500"/>
    <s v="2025-10-14"/>
    <x v="1"/>
    <s v="West"/>
    <s v="Maharashtra"/>
    <s v="Mumbai"/>
    <x v="3"/>
    <x v="7"/>
    <s v="CUST1644"/>
    <s v="SP_04"/>
    <n v="7"/>
    <n v="12379.06"/>
    <n v="86653.42"/>
    <n v="60055.9"/>
    <n v="26597.52"/>
    <s v="Credit Card"/>
  </r>
  <r>
    <s v="ORD101501"/>
    <s v="2025-10-02"/>
    <x v="1"/>
    <s v="West"/>
    <s v="Rajasthan"/>
    <s v="Jaipur"/>
    <x v="3"/>
    <x v="11"/>
    <s v="CUST1710"/>
    <s v="SP_09"/>
    <n v="5"/>
    <n v="109.66"/>
    <n v="548.29999999999995"/>
    <n v="291.47000000000003"/>
    <n v="256.83"/>
    <s v="Net Banking"/>
  </r>
  <r>
    <s v="ORD101502"/>
    <s v="2025-07-06"/>
    <x v="6"/>
    <s v="North"/>
    <s v="Delhi"/>
    <s v="Delhi"/>
    <x v="2"/>
    <x v="2"/>
    <s v="CUST1732"/>
    <s v="SP_13"/>
    <n v="8"/>
    <n v="45466.75"/>
    <n v="363734"/>
    <n v="280045.95"/>
    <n v="83688.05"/>
    <s v="Credit Card"/>
  </r>
  <r>
    <s v="ORD101503"/>
    <s v="2025-12-15"/>
    <x v="7"/>
    <s v="West"/>
    <s v="Maharashtra"/>
    <s v="Mumbai"/>
    <x v="3"/>
    <x v="3"/>
    <s v="CUST1392"/>
    <s v="SP_06"/>
    <n v="5"/>
    <n v="27.49"/>
    <n v="137.44999999999999"/>
    <n v="49.18"/>
    <n v="88.27"/>
    <s v="Debit Card"/>
  </r>
  <r>
    <s v="ORD101504"/>
    <s v="2025-03-23"/>
    <x v="4"/>
    <s v="West"/>
    <s v="Maharashtra"/>
    <s v="Mumbai"/>
    <x v="2"/>
    <x v="2"/>
    <s v="CUST1871"/>
    <s v="SP_11"/>
    <n v="7"/>
    <n v="42732.35"/>
    <n v="299126.45"/>
    <n v="256470.32"/>
    <n v="42656.13"/>
    <s v="Cash"/>
  </r>
  <r>
    <s v="ORD101505"/>
    <s v="2025-04-18"/>
    <x v="0"/>
    <s v="West"/>
    <s v="Maharashtra"/>
    <s v="Mumbai"/>
    <x v="3"/>
    <x v="11"/>
    <s v="CUST1159"/>
    <s v="SP_12"/>
    <n v="7"/>
    <n v="128.24"/>
    <n v="897.68"/>
    <n v="412.26"/>
    <n v="485.42"/>
    <s v="Cash"/>
  </r>
  <r>
    <s v="ORD101506"/>
    <s v="2025-04-28"/>
    <x v="0"/>
    <s v="South"/>
    <s v="Telangana"/>
    <s v="Hyderabad"/>
    <x v="0"/>
    <x v="0"/>
    <s v="CUST1627"/>
    <s v="SP_03"/>
    <n v="4"/>
    <n v="3405.99"/>
    <n v="13623.96"/>
    <n v="8963.7800000000007"/>
    <n v="4660.18"/>
    <s v="Cash"/>
  </r>
  <r>
    <s v="ORD101507"/>
    <s v="2025-02-07"/>
    <x v="8"/>
    <s v="South"/>
    <s v="Karnataka"/>
    <s v="Bengaluru"/>
    <x v="1"/>
    <x v="6"/>
    <s v="CUST1047"/>
    <s v="SP_05"/>
    <n v="2"/>
    <n v="2883.81"/>
    <n v="5767.62"/>
    <n v="4938.01"/>
    <n v="829.61"/>
    <s v="Credit Card"/>
  </r>
  <r>
    <s v="ORD101508"/>
    <s v="2025-07-04"/>
    <x v="6"/>
    <s v="North"/>
    <s v="Uttar Pradesh"/>
    <s v="Lucknow"/>
    <x v="2"/>
    <x v="10"/>
    <s v="CUST1298"/>
    <s v="SP_08"/>
    <n v="4"/>
    <n v="18656.43"/>
    <n v="74625.72"/>
    <n v="53257.72"/>
    <n v="21368"/>
    <s v="Net Banking"/>
  </r>
  <r>
    <s v="ORD101509"/>
    <s v="2025-07-30"/>
    <x v="6"/>
    <s v="South"/>
    <s v="Tamil Nadu"/>
    <s v="Chennai"/>
    <x v="2"/>
    <x v="10"/>
    <s v="CUST1017"/>
    <s v="SP_13"/>
    <n v="5"/>
    <n v="17119.419999999998"/>
    <n v="85597.1"/>
    <n v="67662.28"/>
    <n v="17934.82"/>
    <s v="Credit Card"/>
  </r>
  <r>
    <s v="ORD101510"/>
    <s v="2025-03-30"/>
    <x v="4"/>
    <s v="East"/>
    <s v="Bihar"/>
    <s v="Patna"/>
    <x v="2"/>
    <x v="2"/>
    <s v="CUST1593"/>
    <s v="SP_02"/>
    <n v="4"/>
    <n v="47343.51"/>
    <n v="189374.04"/>
    <n v="133100.73000000001"/>
    <n v="56273.31"/>
    <s v="Cash"/>
  </r>
  <r>
    <s v="ORD101511"/>
    <s v="2025-12-04"/>
    <x v="7"/>
    <s v="South"/>
    <s v="Telangana"/>
    <s v="Hyderabad"/>
    <x v="1"/>
    <x v="5"/>
    <s v="CUST1107"/>
    <s v="SP_12"/>
    <n v="7"/>
    <n v="9074.06"/>
    <n v="63518.42"/>
    <n v="53219.24"/>
    <n v="10299.18"/>
    <s v="UPI"/>
  </r>
  <r>
    <s v="ORD101512"/>
    <s v="2025-01-29"/>
    <x v="9"/>
    <s v="West"/>
    <s v="Gujarat"/>
    <s v="Ahmedabad"/>
    <x v="0"/>
    <x v="8"/>
    <s v="CUST1549"/>
    <s v="SP_04"/>
    <n v="6"/>
    <n v="22995.52"/>
    <n v="137973.12"/>
    <n v="105811.96"/>
    <n v="32161.16"/>
    <s v="Credit Card"/>
  </r>
  <r>
    <s v="ORD101513"/>
    <s v="2025-11-23"/>
    <x v="10"/>
    <s v="North"/>
    <s v="Punjab"/>
    <s v="Chandigarh"/>
    <x v="0"/>
    <x v="9"/>
    <s v="CUST1541"/>
    <s v="SP_03"/>
    <n v="4"/>
    <n v="6606.84"/>
    <n v="26427.360000000001"/>
    <n v="20637.48"/>
    <n v="5789.88"/>
    <s v="UPI"/>
  </r>
  <r>
    <s v="ORD101514"/>
    <s v="2025-10-19"/>
    <x v="1"/>
    <s v="East"/>
    <s v="Bihar"/>
    <s v="Patna"/>
    <x v="2"/>
    <x v="2"/>
    <s v="CUST1045"/>
    <s v="SP_11"/>
    <n v="6"/>
    <n v="41648.660000000003"/>
    <n v="249891.96"/>
    <n v="199569.41"/>
    <n v="50322.55"/>
    <s v="UPI"/>
  </r>
  <r>
    <s v="ORD101515"/>
    <s v="2025-01-25"/>
    <x v="9"/>
    <s v="North"/>
    <s v="Delhi"/>
    <s v="Delhi"/>
    <x v="2"/>
    <x v="2"/>
    <s v="CUST1566"/>
    <s v="SP_06"/>
    <n v="4"/>
    <n v="45857.7"/>
    <n v="183430.8"/>
    <n v="145118.21"/>
    <n v="38312.589999999997"/>
    <s v="Debit Card"/>
  </r>
  <r>
    <s v="ORD101516"/>
    <s v="2025-06-06"/>
    <x v="2"/>
    <s v="West"/>
    <s v="Maharashtra"/>
    <s v="Mumbai"/>
    <x v="3"/>
    <x v="7"/>
    <s v="CUST1142"/>
    <s v="SP_10"/>
    <n v="4"/>
    <n v="13145.09"/>
    <n v="52580.36"/>
    <n v="35875.53"/>
    <n v="16704.830000000002"/>
    <s v="Credit Card"/>
  </r>
  <r>
    <s v="ORD101517"/>
    <s v="2025-10-13"/>
    <x v="1"/>
    <s v="North"/>
    <s v="Punjab"/>
    <s v="Chandigarh"/>
    <x v="2"/>
    <x v="4"/>
    <s v="CUST1576"/>
    <s v="SP_15"/>
    <n v="7"/>
    <n v="2468.21"/>
    <n v="17277.47"/>
    <n v="10791.93"/>
    <n v="6485.54"/>
    <s v="Cash"/>
  </r>
  <r>
    <s v="ORD101518"/>
    <s v="2025-04-14"/>
    <x v="0"/>
    <s v="South"/>
    <s v="Telangana"/>
    <s v="Hyderabad"/>
    <x v="1"/>
    <x v="6"/>
    <s v="CUST1167"/>
    <s v="SP_06"/>
    <n v="3"/>
    <n v="3131.12"/>
    <n v="9393.36"/>
    <n v="7312.11"/>
    <n v="2081.25"/>
    <s v="Debit Card"/>
  </r>
  <r>
    <s v="ORD101519"/>
    <s v="2025-03-19"/>
    <x v="4"/>
    <s v="South"/>
    <s v="Telangana"/>
    <s v="Hyderabad"/>
    <x v="2"/>
    <x v="10"/>
    <s v="CUST1898"/>
    <s v="SP_06"/>
    <n v="5"/>
    <n v="19612.830000000002"/>
    <n v="98064.15"/>
    <n v="67658.77"/>
    <n v="30405.38"/>
    <s v="Cash"/>
  </r>
  <r>
    <s v="ORD101520"/>
    <s v="2025-07-11"/>
    <x v="6"/>
    <s v="North"/>
    <s v="Uttar Pradesh"/>
    <s v="Lucknow"/>
    <x v="1"/>
    <x v="6"/>
    <s v="CUST1555"/>
    <s v="SP_13"/>
    <n v="1"/>
    <n v="3511.94"/>
    <n v="3511.94"/>
    <n v="2369.67"/>
    <n v="1142.27"/>
    <s v="Credit Card"/>
  </r>
  <r>
    <s v="ORD101521"/>
    <s v="2025-02-13"/>
    <x v="8"/>
    <s v="West"/>
    <s v="Maharashtra"/>
    <s v="Mumbai"/>
    <x v="0"/>
    <x v="9"/>
    <s v="CUST1312"/>
    <s v="SP_06"/>
    <n v="1"/>
    <n v="6478"/>
    <n v="6478"/>
    <n v="4804.3"/>
    <n v="1673.7"/>
    <s v="Debit Card"/>
  </r>
  <r>
    <s v="ORD101522"/>
    <s v="2025-12-13"/>
    <x v="7"/>
    <s v="West"/>
    <s v="Rajasthan"/>
    <s v="Jaipur"/>
    <x v="1"/>
    <x v="1"/>
    <s v="CUST1921"/>
    <s v="SP_13"/>
    <n v="7"/>
    <n v="2889.1"/>
    <n v="20223.7"/>
    <n v="13234.11"/>
    <n v="6989.59"/>
    <s v="Debit Card"/>
  </r>
  <r>
    <s v="ORD101523"/>
    <s v="2025-01-21"/>
    <x v="9"/>
    <s v="West"/>
    <s v="Rajasthan"/>
    <s v="Jaipur"/>
    <x v="2"/>
    <x v="2"/>
    <s v="CUST1436"/>
    <s v="SP_01"/>
    <n v="2"/>
    <n v="43795.19"/>
    <n v="87590.38"/>
    <n v="70547.31"/>
    <n v="17043.07"/>
    <s v="Debit Card"/>
  </r>
  <r>
    <s v="ORD101524"/>
    <s v="2025-03-24"/>
    <x v="4"/>
    <s v="West"/>
    <s v="Maharashtra"/>
    <s v="Mumbai"/>
    <x v="2"/>
    <x v="4"/>
    <s v="CUST1615"/>
    <s v="SP_11"/>
    <n v="4"/>
    <n v="2385.33"/>
    <n v="9541.32"/>
    <n v="6311.45"/>
    <n v="3229.87"/>
    <s v="Cash"/>
  </r>
  <r>
    <s v="ORD101525"/>
    <s v="2025-06-25"/>
    <x v="2"/>
    <s v="North"/>
    <s v="Punjab"/>
    <s v="Chandigarh"/>
    <x v="0"/>
    <x v="8"/>
    <s v="CUST1797"/>
    <s v="SP_13"/>
    <n v="2"/>
    <n v="24075.439999999999"/>
    <n v="48150.879999999997"/>
    <n v="34452.67"/>
    <n v="13698.21"/>
    <s v="Cash"/>
  </r>
  <r>
    <s v="ORD101526"/>
    <s v="2025-10-27"/>
    <x v="1"/>
    <s v="East"/>
    <s v="Bihar"/>
    <s v="Patna"/>
    <x v="3"/>
    <x v="3"/>
    <s v="CUST1174"/>
    <s v="SP_05"/>
    <n v="3"/>
    <n v="26.52"/>
    <n v="79.56"/>
    <n v="29.32"/>
    <n v="50.24"/>
    <s v="Cash"/>
  </r>
  <r>
    <s v="ORD101527"/>
    <s v="2025-12-30"/>
    <x v="7"/>
    <s v="East"/>
    <s v="Odisha"/>
    <s v="Bhubaneswar"/>
    <x v="1"/>
    <x v="5"/>
    <s v="CUST1878"/>
    <s v="SP_12"/>
    <n v="2"/>
    <n v="9652.44"/>
    <n v="19304.88"/>
    <n v="14745.28"/>
    <n v="4559.6000000000004"/>
    <s v="Credit Card"/>
  </r>
  <r>
    <s v="ORD101528"/>
    <s v="2025-09-17"/>
    <x v="5"/>
    <s v="South"/>
    <s v="Karnataka"/>
    <s v="Bengaluru"/>
    <x v="1"/>
    <x v="5"/>
    <s v="CUST1634"/>
    <s v="SP_11"/>
    <n v="4"/>
    <n v="9544.77"/>
    <n v="38179.08"/>
    <n v="30681.29"/>
    <n v="7497.79"/>
    <s v="Debit Card"/>
  </r>
  <r>
    <s v="ORD101529"/>
    <s v="2025-07-30"/>
    <x v="6"/>
    <s v="East"/>
    <s v="Bihar"/>
    <s v="Patna"/>
    <x v="1"/>
    <x v="1"/>
    <s v="CUST1890"/>
    <s v="SP_01"/>
    <n v="1"/>
    <n v="2541.63"/>
    <n v="2541.63"/>
    <n v="1909.44"/>
    <n v="632.19000000000005"/>
    <s v="UPI"/>
  </r>
  <r>
    <s v="ORD101530"/>
    <s v="2025-03-27"/>
    <x v="4"/>
    <s v="West"/>
    <s v="Rajasthan"/>
    <s v="Jaipur"/>
    <x v="3"/>
    <x v="3"/>
    <s v="CUST1867"/>
    <s v="SP_04"/>
    <n v="7"/>
    <n v="27.16"/>
    <n v="190.12"/>
    <n v="72.36"/>
    <n v="117.76"/>
    <s v="Cash"/>
  </r>
  <r>
    <s v="ORD101531"/>
    <s v="2025-10-04"/>
    <x v="1"/>
    <s v="East"/>
    <s v="Odisha"/>
    <s v="Bhubaneswar"/>
    <x v="0"/>
    <x v="8"/>
    <s v="CUST1892"/>
    <s v="SP_10"/>
    <n v="5"/>
    <n v="20728.009999999998"/>
    <n v="103640.05"/>
    <n v="88498.85"/>
    <n v="15141.2"/>
    <s v="Net Banking"/>
  </r>
  <r>
    <s v="ORD101532"/>
    <s v="2025-07-20"/>
    <x v="6"/>
    <s v="North"/>
    <s v="Punjab"/>
    <s v="Chandigarh"/>
    <x v="1"/>
    <x v="5"/>
    <s v="CUST1189"/>
    <s v="SP_08"/>
    <n v="8"/>
    <n v="9198.57"/>
    <n v="73588.56"/>
    <n v="59910.96"/>
    <n v="13677.6"/>
    <s v="Net Banking"/>
  </r>
  <r>
    <s v="ORD101533"/>
    <s v="2025-08-30"/>
    <x v="11"/>
    <s v="East"/>
    <s v="West Bengal"/>
    <s v="Kolkata"/>
    <x v="0"/>
    <x v="8"/>
    <s v="CUST1066"/>
    <s v="SP_01"/>
    <n v="2"/>
    <n v="20788.82"/>
    <n v="41577.64"/>
    <n v="34825.86"/>
    <n v="6751.78"/>
    <s v="UPI"/>
  </r>
  <r>
    <s v="ORD101534"/>
    <s v="2025-08-27"/>
    <x v="11"/>
    <s v="East"/>
    <s v="Odisha"/>
    <s v="Bhubaneswar"/>
    <x v="0"/>
    <x v="0"/>
    <s v="CUST1722"/>
    <s v="SP_07"/>
    <n v="6"/>
    <n v="3623.36"/>
    <n v="21740.16"/>
    <n v="13004.37"/>
    <n v="8735.7900000000009"/>
    <s v="Cash"/>
  </r>
  <r>
    <s v="ORD101535"/>
    <s v="2025-02-24"/>
    <x v="8"/>
    <s v="East"/>
    <s v="West Bengal"/>
    <s v="Kolkata"/>
    <x v="1"/>
    <x v="5"/>
    <s v="CUST1063"/>
    <s v="SP_08"/>
    <n v="8"/>
    <n v="9375.77"/>
    <n v="75006.16"/>
    <n v="60704.78"/>
    <n v="14301.38"/>
    <s v="UPI"/>
  </r>
  <r>
    <s v="ORD101536"/>
    <s v="2025-05-09"/>
    <x v="3"/>
    <s v="South"/>
    <s v="Telangana"/>
    <s v="Hyderabad"/>
    <x v="1"/>
    <x v="1"/>
    <s v="CUST1536"/>
    <s v="SP_02"/>
    <n v="2"/>
    <n v="2542.3200000000002"/>
    <n v="5084.6400000000003"/>
    <n v="3768.97"/>
    <n v="1315.67"/>
    <s v="Debit Card"/>
  </r>
  <r>
    <s v="ORD101537"/>
    <s v="2025-11-29"/>
    <x v="10"/>
    <s v="West"/>
    <s v="Gujarat"/>
    <s v="Ahmedabad"/>
    <x v="0"/>
    <x v="8"/>
    <s v="CUST1146"/>
    <s v="SP_09"/>
    <n v="4"/>
    <n v="20425.77"/>
    <n v="81703.08"/>
    <n v="64953.67"/>
    <n v="16749.41"/>
    <s v="Net Banking"/>
  </r>
  <r>
    <s v="ORD101538"/>
    <s v="2025-04-04"/>
    <x v="0"/>
    <s v="North"/>
    <s v="Uttar Pradesh"/>
    <s v="Lucknow"/>
    <x v="1"/>
    <x v="5"/>
    <s v="CUST1648"/>
    <s v="SP_11"/>
    <n v="6"/>
    <n v="9095.6200000000008"/>
    <n v="54573.72"/>
    <n v="47502.89"/>
    <n v="7070.83"/>
    <s v="Cash"/>
  </r>
  <r>
    <s v="ORD101539"/>
    <s v="2025-03-01"/>
    <x v="4"/>
    <s v="East"/>
    <s v="Bihar"/>
    <s v="Patna"/>
    <x v="3"/>
    <x v="11"/>
    <s v="CUST1461"/>
    <s v="SP_05"/>
    <n v="7"/>
    <n v="127.95"/>
    <n v="895.65"/>
    <n v="412.87"/>
    <n v="482.78"/>
    <s v="Debit Card"/>
  </r>
  <r>
    <s v="ORD101540"/>
    <s v="2025-11-26"/>
    <x v="10"/>
    <s v="East"/>
    <s v="Bihar"/>
    <s v="Patna"/>
    <x v="0"/>
    <x v="8"/>
    <s v="CUST1596"/>
    <s v="SP_11"/>
    <n v="2"/>
    <n v="21928.42"/>
    <n v="43856.84"/>
    <n v="35185.89"/>
    <n v="8670.9500000000007"/>
    <s v="Cash"/>
  </r>
  <r>
    <s v="ORD101541"/>
    <s v="2025-12-05"/>
    <x v="7"/>
    <s v="East"/>
    <s v="West Bengal"/>
    <s v="Kolkata"/>
    <x v="2"/>
    <x v="10"/>
    <s v="CUST1126"/>
    <s v="SP_11"/>
    <n v="6"/>
    <n v="19125.98"/>
    <n v="114755.88"/>
    <n v="86235.95"/>
    <n v="28519.93"/>
    <s v="UPI"/>
  </r>
  <r>
    <s v="ORD101542"/>
    <s v="2025-10-27"/>
    <x v="1"/>
    <s v="East"/>
    <s v="Odisha"/>
    <s v="Bhubaneswar"/>
    <x v="3"/>
    <x v="3"/>
    <s v="CUST1990"/>
    <s v="SP_04"/>
    <n v="5"/>
    <n v="25.12"/>
    <n v="125.6"/>
    <n v="47.74"/>
    <n v="77.86"/>
    <s v="Debit Card"/>
  </r>
  <r>
    <s v="ORD101543"/>
    <s v="2025-07-20"/>
    <x v="6"/>
    <s v="South"/>
    <s v="Tamil Nadu"/>
    <s v="Chennai"/>
    <x v="1"/>
    <x v="5"/>
    <s v="CUST1417"/>
    <s v="SP_03"/>
    <n v="6"/>
    <n v="9146.84"/>
    <n v="54881.04"/>
    <n v="46606.12"/>
    <n v="8274.92"/>
    <s v="Credit Card"/>
  </r>
  <r>
    <s v="ORD101544"/>
    <s v="2025-09-27"/>
    <x v="5"/>
    <s v="South"/>
    <s v="Tamil Nadu"/>
    <s v="Chennai"/>
    <x v="0"/>
    <x v="0"/>
    <s v="CUST1794"/>
    <s v="SP_03"/>
    <n v="2"/>
    <n v="3473.76"/>
    <n v="6947.52"/>
    <n v="4207.24"/>
    <n v="2740.28"/>
    <s v="Debit Card"/>
  </r>
  <r>
    <s v="ORD101545"/>
    <s v="2025-01-09"/>
    <x v="9"/>
    <s v="South"/>
    <s v="Karnataka"/>
    <s v="Bengaluru"/>
    <x v="2"/>
    <x v="4"/>
    <s v="CUST1030"/>
    <s v="SP_03"/>
    <n v="2"/>
    <n v="2629.22"/>
    <n v="5258.44"/>
    <n v="3241.1"/>
    <n v="2017.34"/>
    <s v="Cash"/>
  </r>
  <r>
    <s v="ORD101546"/>
    <s v="2025-01-31"/>
    <x v="9"/>
    <s v="North"/>
    <s v="Uttar Pradesh"/>
    <s v="Lucknow"/>
    <x v="1"/>
    <x v="6"/>
    <s v="CUST1667"/>
    <s v="SP_12"/>
    <n v="1"/>
    <n v="2945.78"/>
    <n v="2945.78"/>
    <n v="2344.8000000000002"/>
    <n v="600.98"/>
    <s v="Credit Card"/>
  </r>
  <r>
    <s v="ORD101547"/>
    <s v="2025-06-24"/>
    <x v="2"/>
    <s v="West"/>
    <s v="Maharashtra"/>
    <s v="Mumbai"/>
    <x v="1"/>
    <x v="5"/>
    <s v="CUST1957"/>
    <s v="SP_01"/>
    <n v="3"/>
    <n v="9077.16"/>
    <n v="27231.48"/>
    <n v="23220.86"/>
    <n v="4010.62"/>
    <s v="Cash"/>
  </r>
  <r>
    <s v="ORD101548"/>
    <s v="2025-09-29"/>
    <x v="5"/>
    <s v="North"/>
    <s v="Uttar Pradesh"/>
    <s v="Lucknow"/>
    <x v="3"/>
    <x v="3"/>
    <s v="CUST1809"/>
    <s v="SP_01"/>
    <n v="3"/>
    <n v="22.56"/>
    <n v="67.680000000000007"/>
    <n v="29.13"/>
    <n v="38.549999999999997"/>
    <s v="Credit Card"/>
  </r>
  <r>
    <s v="ORD101549"/>
    <s v="2025-01-09"/>
    <x v="9"/>
    <s v="North"/>
    <s v="Delhi"/>
    <s v="Delhi"/>
    <x v="0"/>
    <x v="8"/>
    <s v="CUST1752"/>
    <s v="SP_15"/>
    <n v="6"/>
    <n v="20939.2"/>
    <n v="125635.2"/>
    <n v="99507.55"/>
    <n v="26127.65"/>
    <s v="Net Banking"/>
  </r>
  <r>
    <s v="ORD101550"/>
    <s v="2025-05-06"/>
    <x v="3"/>
    <s v="South"/>
    <s v="Tamil Nadu"/>
    <s v="Chennai"/>
    <x v="1"/>
    <x v="5"/>
    <s v="CUST1647"/>
    <s v="SP_02"/>
    <n v="5"/>
    <n v="8824.64"/>
    <n v="44123.199999999997"/>
    <n v="37947.129999999997"/>
    <n v="6176.07"/>
    <s v="UPI"/>
  </r>
  <r>
    <s v="ORD101551"/>
    <s v="2025-12-16"/>
    <x v="7"/>
    <s v="East"/>
    <s v="West Bengal"/>
    <s v="Kolkata"/>
    <x v="3"/>
    <x v="7"/>
    <s v="CUST1949"/>
    <s v="SP_08"/>
    <n v="3"/>
    <n v="12952.29"/>
    <n v="38856.870000000003"/>
    <n v="26917.01"/>
    <n v="11939.86"/>
    <s v="Credit Card"/>
  </r>
  <r>
    <s v="ORD101552"/>
    <s v="2025-01-22"/>
    <x v="9"/>
    <s v="North"/>
    <s v="Uttar Pradesh"/>
    <s v="Lucknow"/>
    <x v="3"/>
    <x v="11"/>
    <s v="CUST1942"/>
    <s v="SP_02"/>
    <n v="8"/>
    <n v="119.21"/>
    <n v="953.68"/>
    <n v="457.51"/>
    <n v="496.17"/>
    <s v="Debit Card"/>
  </r>
  <r>
    <s v="ORD101553"/>
    <s v="2025-01-02"/>
    <x v="9"/>
    <s v="South"/>
    <s v="Telangana"/>
    <s v="Hyderabad"/>
    <x v="0"/>
    <x v="0"/>
    <s v="CUST1497"/>
    <s v="SP_02"/>
    <n v="3"/>
    <n v="3345.07"/>
    <n v="10035.209999999999"/>
    <n v="6457.81"/>
    <n v="3577.4"/>
    <s v="UPI"/>
  </r>
  <r>
    <s v="ORD101554"/>
    <s v="2025-01-15"/>
    <x v="9"/>
    <s v="West"/>
    <s v="Gujarat"/>
    <s v="Ahmedabad"/>
    <x v="2"/>
    <x v="10"/>
    <s v="CUST1053"/>
    <s v="SP_14"/>
    <n v="5"/>
    <n v="17788"/>
    <n v="88940"/>
    <n v="68214.52"/>
    <n v="20725.48"/>
    <s v="UPI"/>
  </r>
  <r>
    <s v="ORD101555"/>
    <s v="2025-03-31"/>
    <x v="4"/>
    <s v="East"/>
    <s v="West Bengal"/>
    <s v="Kolkata"/>
    <x v="2"/>
    <x v="2"/>
    <s v="CUST1258"/>
    <s v="SP_11"/>
    <n v="4"/>
    <n v="45383.44"/>
    <n v="181533.76"/>
    <n v="143521.23000000001"/>
    <n v="38012.53"/>
    <s v="Debit Card"/>
  </r>
  <r>
    <s v="ORD101556"/>
    <s v="2025-10-16"/>
    <x v="1"/>
    <s v="North"/>
    <s v="Punjab"/>
    <s v="Chandigarh"/>
    <x v="2"/>
    <x v="2"/>
    <s v="CUST1425"/>
    <s v="SP_04"/>
    <n v="3"/>
    <n v="43666.49"/>
    <n v="130999.47"/>
    <n v="101480.46"/>
    <n v="29519.01"/>
    <s v="Cash"/>
  </r>
  <r>
    <s v="ORD101557"/>
    <s v="2025-10-04"/>
    <x v="1"/>
    <s v="South"/>
    <s v="Telangana"/>
    <s v="Hyderabad"/>
    <x v="2"/>
    <x v="4"/>
    <s v="CUST1152"/>
    <s v="SP_03"/>
    <n v="8"/>
    <n v="2707.6"/>
    <n v="21660.799999999999"/>
    <n v="12423.6"/>
    <n v="9237.2000000000007"/>
    <s v="Cash"/>
  </r>
  <r>
    <s v="ORD101558"/>
    <s v="2025-09-29"/>
    <x v="5"/>
    <s v="East"/>
    <s v="Odisha"/>
    <s v="Bhubaneswar"/>
    <x v="0"/>
    <x v="0"/>
    <s v="CUST1814"/>
    <s v="SP_04"/>
    <n v="8"/>
    <n v="3430.93"/>
    <n v="27447.439999999999"/>
    <n v="17312.78"/>
    <n v="10134.66"/>
    <s v="Net Banking"/>
  </r>
  <r>
    <s v="ORD101559"/>
    <s v="2025-09-03"/>
    <x v="5"/>
    <s v="West"/>
    <s v="Rajasthan"/>
    <s v="Jaipur"/>
    <x v="3"/>
    <x v="3"/>
    <s v="CUST1832"/>
    <s v="SP_02"/>
    <n v="5"/>
    <n v="24.67"/>
    <n v="123.35"/>
    <n v="48.1"/>
    <n v="75.25"/>
    <s v="UPI"/>
  </r>
  <r>
    <s v="ORD101560"/>
    <s v="2025-09-19"/>
    <x v="5"/>
    <s v="West"/>
    <s v="Gujarat"/>
    <s v="Ahmedabad"/>
    <x v="1"/>
    <x v="5"/>
    <s v="CUST1083"/>
    <s v="SP_01"/>
    <n v="8"/>
    <n v="8733.11"/>
    <n v="69864.88"/>
    <n v="59260.11"/>
    <n v="10604.77"/>
    <s v="Debit Card"/>
  </r>
  <r>
    <s v="ORD101561"/>
    <s v="2025-03-22"/>
    <x v="4"/>
    <s v="South"/>
    <s v="Telangana"/>
    <s v="Hyderabad"/>
    <x v="0"/>
    <x v="0"/>
    <s v="CUST1727"/>
    <s v="SP_15"/>
    <n v="3"/>
    <n v="3509.05"/>
    <n v="10527.15"/>
    <n v="6773.14"/>
    <n v="3754.01"/>
    <s v="UPI"/>
  </r>
  <r>
    <s v="ORD101562"/>
    <s v="2025-12-27"/>
    <x v="7"/>
    <s v="North"/>
    <s v="Punjab"/>
    <s v="Chandigarh"/>
    <x v="1"/>
    <x v="6"/>
    <s v="CUST1473"/>
    <s v="SP_04"/>
    <n v="1"/>
    <n v="3219.67"/>
    <n v="3219.67"/>
    <n v="2452.2600000000002"/>
    <n v="767.41"/>
    <s v="Credit Card"/>
  </r>
  <r>
    <s v="ORD101563"/>
    <s v="2025-11-05"/>
    <x v="10"/>
    <s v="East"/>
    <s v="West Bengal"/>
    <s v="Kolkata"/>
    <x v="3"/>
    <x v="7"/>
    <s v="CUST1767"/>
    <s v="SP_12"/>
    <n v="3"/>
    <n v="12808.2"/>
    <n v="38424.6"/>
    <n v="27420.81"/>
    <n v="11003.79"/>
    <s v="Net Banking"/>
  </r>
  <r>
    <s v="ORD101564"/>
    <s v="2025-04-20"/>
    <x v="0"/>
    <s v="West"/>
    <s v="Gujarat"/>
    <s v="Ahmedabad"/>
    <x v="3"/>
    <x v="7"/>
    <s v="CUST1371"/>
    <s v="SP_09"/>
    <n v="2"/>
    <n v="13153.68"/>
    <n v="26307.360000000001"/>
    <n v="17970.32"/>
    <n v="8337.0400000000009"/>
    <s v="Credit Card"/>
  </r>
  <r>
    <s v="ORD101565"/>
    <s v="2025-02-21"/>
    <x v="8"/>
    <s v="East"/>
    <s v="Bihar"/>
    <s v="Patna"/>
    <x v="0"/>
    <x v="8"/>
    <s v="CUST1658"/>
    <s v="SP_14"/>
    <n v="2"/>
    <n v="21392.06"/>
    <n v="42784.12"/>
    <n v="34252.54"/>
    <n v="8531.58"/>
    <s v="Net Banking"/>
  </r>
  <r>
    <s v="ORD101566"/>
    <s v="2025-01-26"/>
    <x v="9"/>
    <s v="South"/>
    <s v="Tamil Nadu"/>
    <s v="Chennai"/>
    <x v="1"/>
    <x v="5"/>
    <s v="CUST1051"/>
    <s v="SP_01"/>
    <n v="5"/>
    <n v="9508.51"/>
    <n v="47542.55"/>
    <n v="38221.17"/>
    <n v="9321.3799999999992"/>
    <s v="Credit Card"/>
  </r>
  <r>
    <s v="ORD101567"/>
    <s v="2025-07-14"/>
    <x v="6"/>
    <s v="East"/>
    <s v="West Bengal"/>
    <s v="Kolkata"/>
    <x v="1"/>
    <x v="5"/>
    <s v="CUST1897"/>
    <s v="SP_09"/>
    <n v="3"/>
    <n v="9784.4"/>
    <n v="29353.200000000001"/>
    <n v="23256.61"/>
    <n v="6096.59"/>
    <s v="Net Banking"/>
  </r>
  <r>
    <s v="ORD101568"/>
    <s v="2025-05-08"/>
    <x v="3"/>
    <s v="West"/>
    <s v="Gujarat"/>
    <s v="Ahmedabad"/>
    <x v="3"/>
    <x v="11"/>
    <s v="CUST1810"/>
    <s v="SP_07"/>
    <n v="7"/>
    <n v="130.78"/>
    <n v="915.46"/>
    <n v="421.03"/>
    <n v="494.43"/>
    <s v="Debit Card"/>
  </r>
  <r>
    <s v="ORD101569"/>
    <s v="2025-08-08"/>
    <x v="11"/>
    <s v="West"/>
    <s v="Maharashtra"/>
    <s v="Mumbai"/>
    <x v="0"/>
    <x v="0"/>
    <s v="CUST1763"/>
    <s v="SP_04"/>
    <n v="4"/>
    <n v="3819.69"/>
    <n v="15278.76"/>
    <n v="8899.61"/>
    <n v="6379.15"/>
    <s v="Cash"/>
  </r>
  <r>
    <s v="ORD101570"/>
    <s v="2025-10-28"/>
    <x v="1"/>
    <s v="East"/>
    <s v="Odisha"/>
    <s v="Bhubaneswar"/>
    <x v="1"/>
    <x v="1"/>
    <s v="CUST1139"/>
    <s v="SP_09"/>
    <n v="7"/>
    <n v="3038.61"/>
    <n v="21270.27"/>
    <n v="13110.73"/>
    <n v="8159.54"/>
    <s v="Cash"/>
  </r>
  <r>
    <s v="ORD101571"/>
    <s v="2025-06-23"/>
    <x v="2"/>
    <s v="West"/>
    <s v="Gujarat"/>
    <s v="Ahmedabad"/>
    <x v="3"/>
    <x v="3"/>
    <s v="CUST1956"/>
    <s v="SP_12"/>
    <n v="3"/>
    <n v="27.41"/>
    <n v="82.23"/>
    <n v="30.58"/>
    <n v="51.65"/>
    <s v="Debit Card"/>
  </r>
  <r>
    <s v="ORD101572"/>
    <s v="2025-09-08"/>
    <x v="5"/>
    <s v="South"/>
    <s v="Tamil Nadu"/>
    <s v="Chennai"/>
    <x v="3"/>
    <x v="11"/>
    <s v="CUST1360"/>
    <s v="SP_04"/>
    <n v="2"/>
    <n v="130.36000000000001"/>
    <n v="260.72000000000003"/>
    <n v="120.69"/>
    <n v="140.03"/>
    <s v="Net Banking"/>
  </r>
  <r>
    <s v="ORD101573"/>
    <s v="2025-05-05"/>
    <x v="3"/>
    <s v="East"/>
    <s v="West Bengal"/>
    <s v="Kolkata"/>
    <x v="0"/>
    <x v="8"/>
    <s v="CUST1686"/>
    <s v="SP_08"/>
    <n v="6"/>
    <n v="24121.63"/>
    <n v="144729.78"/>
    <n v="106621.51"/>
    <n v="38108.269999999997"/>
    <s v="Credit Card"/>
  </r>
  <r>
    <s v="ORD101574"/>
    <s v="2025-03-04"/>
    <x v="4"/>
    <s v="West"/>
    <s v="Maharashtra"/>
    <s v="Mumbai"/>
    <x v="1"/>
    <x v="5"/>
    <s v="CUST1208"/>
    <s v="SP_06"/>
    <n v="6"/>
    <n v="8870.15"/>
    <n v="53220.9"/>
    <n v="46445.5"/>
    <n v="6775.4"/>
    <s v="Debit Card"/>
  </r>
  <r>
    <s v="ORD101575"/>
    <s v="2025-03-07"/>
    <x v="4"/>
    <s v="East"/>
    <s v="Odisha"/>
    <s v="Bhubaneswar"/>
    <x v="2"/>
    <x v="2"/>
    <s v="CUST1421"/>
    <s v="SP_14"/>
    <n v="2"/>
    <n v="44914.23"/>
    <n v="89828.46"/>
    <n v="69085.89"/>
    <n v="20742.57"/>
    <s v="Net Banking"/>
  </r>
  <r>
    <s v="ORD101576"/>
    <s v="2025-01-05"/>
    <x v="9"/>
    <s v="West"/>
    <s v="Maharashtra"/>
    <s v="Mumbai"/>
    <x v="3"/>
    <x v="11"/>
    <s v="CUST1144"/>
    <s v="SP_09"/>
    <n v="1"/>
    <n v="126.09"/>
    <n v="126.09"/>
    <n v="57.88"/>
    <n v="68.209999999999994"/>
    <s v="Net Banking"/>
  </r>
  <r>
    <s v="ORD101577"/>
    <s v="2025-12-27"/>
    <x v="7"/>
    <s v="East"/>
    <s v="Odisha"/>
    <s v="Bhubaneswar"/>
    <x v="2"/>
    <x v="4"/>
    <s v="CUST1312"/>
    <s v="SP_15"/>
    <n v="4"/>
    <n v="2618.6799999999998"/>
    <n v="10474.719999999999"/>
    <n v="6137.25"/>
    <n v="4337.47"/>
    <s v="Debit Card"/>
  </r>
  <r>
    <s v="ORD101578"/>
    <s v="2025-05-18"/>
    <x v="3"/>
    <s v="East"/>
    <s v="West Bengal"/>
    <s v="Kolkata"/>
    <x v="3"/>
    <x v="7"/>
    <s v="CUST1654"/>
    <s v="SP_14"/>
    <n v="2"/>
    <n v="13113.23"/>
    <n v="26226.46"/>
    <n v="17924"/>
    <n v="8302.4599999999991"/>
    <s v="Credit Card"/>
  </r>
  <r>
    <s v="ORD101579"/>
    <s v="2025-10-11"/>
    <x v="1"/>
    <s v="South"/>
    <s v="Tamil Nadu"/>
    <s v="Chennai"/>
    <x v="3"/>
    <x v="7"/>
    <s v="CUST1170"/>
    <s v="SP_11"/>
    <n v="4"/>
    <n v="12994.29"/>
    <n v="51977.16"/>
    <n v="36527.300000000003"/>
    <n v="15449.86"/>
    <s v="Credit Card"/>
  </r>
  <r>
    <s v="ORD101580"/>
    <s v="2025-01-26"/>
    <x v="9"/>
    <s v="North"/>
    <s v="Delhi"/>
    <s v="Delhi"/>
    <x v="2"/>
    <x v="2"/>
    <s v="CUST1500"/>
    <s v="SP_07"/>
    <n v="8"/>
    <n v="44417.61"/>
    <n v="355340.88"/>
    <n v="292905.73"/>
    <n v="62435.15"/>
    <s v="Cash"/>
  </r>
  <r>
    <s v="ORD101581"/>
    <s v="2025-04-15"/>
    <x v="0"/>
    <s v="South"/>
    <s v="Telangana"/>
    <s v="Hyderabad"/>
    <x v="3"/>
    <x v="7"/>
    <s v="CUST1866"/>
    <s v="SP_13"/>
    <n v="6"/>
    <n v="11504.92"/>
    <n v="69029.52"/>
    <n v="56089.06"/>
    <n v="12940.46"/>
    <s v="Net Banking"/>
  </r>
  <r>
    <s v="ORD101582"/>
    <s v="2025-08-12"/>
    <x v="11"/>
    <s v="West"/>
    <s v="Rajasthan"/>
    <s v="Jaipur"/>
    <x v="2"/>
    <x v="2"/>
    <s v="CUST1185"/>
    <s v="SP_07"/>
    <n v="3"/>
    <n v="47477.99"/>
    <n v="142433.97"/>
    <n v="110040.66"/>
    <n v="32393.31"/>
    <s v="Net Banking"/>
  </r>
  <r>
    <s v="ORD101583"/>
    <s v="2025-04-04"/>
    <x v="0"/>
    <s v="East"/>
    <s v="West Bengal"/>
    <s v="Kolkata"/>
    <x v="0"/>
    <x v="8"/>
    <s v="CUST1881"/>
    <s v="SP_03"/>
    <n v="7"/>
    <n v="20139.560000000001"/>
    <n v="140976.92000000001"/>
    <n v="118713.27"/>
    <n v="22263.65"/>
    <s v="Net Banking"/>
  </r>
  <r>
    <s v="ORD101584"/>
    <s v="2025-01-23"/>
    <x v="9"/>
    <s v="West"/>
    <s v="Maharashtra"/>
    <s v="Mumbai"/>
    <x v="3"/>
    <x v="7"/>
    <s v="CUST1784"/>
    <s v="SP_05"/>
    <n v="1"/>
    <n v="12503.9"/>
    <n v="12503.9"/>
    <n v="8706.23"/>
    <n v="3797.67"/>
    <s v="Cash"/>
  </r>
  <r>
    <s v="ORD101585"/>
    <s v="2025-08-25"/>
    <x v="11"/>
    <s v="East"/>
    <s v="Bihar"/>
    <s v="Patna"/>
    <x v="1"/>
    <x v="1"/>
    <s v="CUST1072"/>
    <s v="SP_05"/>
    <n v="5"/>
    <n v="2823.18"/>
    <n v="14115.9"/>
    <n v="9247.5"/>
    <n v="4868.3999999999996"/>
    <s v="Debit Card"/>
  </r>
  <r>
    <s v="ORD101586"/>
    <s v="2025-04-18"/>
    <x v="0"/>
    <s v="North"/>
    <s v="Uttar Pradesh"/>
    <s v="Lucknow"/>
    <x v="1"/>
    <x v="6"/>
    <s v="CUST1339"/>
    <s v="SP_06"/>
    <n v="4"/>
    <n v="3273.63"/>
    <n v="13094.52"/>
    <n v="9808.5499999999993"/>
    <n v="3285.97"/>
    <s v="Debit Card"/>
  </r>
  <r>
    <s v="ORD101587"/>
    <s v="2025-10-03"/>
    <x v="1"/>
    <s v="East"/>
    <s v="West Bengal"/>
    <s v="Kolkata"/>
    <x v="0"/>
    <x v="0"/>
    <s v="CUST1139"/>
    <s v="SP_08"/>
    <n v="1"/>
    <n v="3629.68"/>
    <n v="3629.68"/>
    <n v="2137.0100000000002"/>
    <n v="1492.67"/>
    <s v="Credit Card"/>
  </r>
  <r>
    <s v="ORD101588"/>
    <s v="2025-08-15"/>
    <x v="11"/>
    <s v="North"/>
    <s v="Delhi"/>
    <s v="Delhi"/>
    <x v="0"/>
    <x v="8"/>
    <s v="CUST1491"/>
    <s v="SP_02"/>
    <n v="8"/>
    <n v="20461.150000000001"/>
    <n v="163689.20000000001"/>
    <n v="140245.04"/>
    <n v="23444.16"/>
    <s v="Debit Card"/>
  </r>
  <r>
    <s v="ORD101589"/>
    <s v="2025-07-20"/>
    <x v="6"/>
    <s v="West"/>
    <s v="Maharashtra"/>
    <s v="Mumbai"/>
    <x v="2"/>
    <x v="10"/>
    <s v="CUST1961"/>
    <s v="SP_14"/>
    <n v="1"/>
    <n v="18321.52"/>
    <n v="18321.52"/>
    <n v="14035.71"/>
    <n v="4285.8100000000004"/>
    <s v="Cash"/>
  </r>
  <r>
    <s v="ORD101590"/>
    <s v="2025-03-07"/>
    <x v="4"/>
    <s v="South"/>
    <s v="Karnataka"/>
    <s v="Bengaluru"/>
    <x v="2"/>
    <x v="4"/>
    <s v="CUST1813"/>
    <s v="SP_04"/>
    <n v="5"/>
    <n v="2528.25"/>
    <n v="12641.25"/>
    <n v="8152.43"/>
    <n v="4488.82"/>
    <s v="Cash"/>
  </r>
  <r>
    <s v="ORD101591"/>
    <s v="2025-04-02"/>
    <x v="0"/>
    <s v="West"/>
    <s v="Rajasthan"/>
    <s v="Jaipur"/>
    <x v="3"/>
    <x v="3"/>
    <s v="CUST1324"/>
    <s v="SP_03"/>
    <n v="6"/>
    <n v="25.2"/>
    <n v="151.19999999999999"/>
    <n v="59.5"/>
    <n v="91.7"/>
    <s v="Debit Card"/>
  </r>
  <r>
    <s v="ORD101592"/>
    <s v="2025-02-17"/>
    <x v="8"/>
    <s v="West"/>
    <s v="Rajasthan"/>
    <s v="Jaipur"/>
    <x v="1"/>
    <x v="6"/>
    <s v="CUST1978"/>
    <s v="SP_08"/>
    <n v="3"/>
    <n v="3334"/>
    <n v="10002"/>
    <n v="7004.21"/>
    <n v="2997.79"/>
    <s v="Credit Card"/>
  </r>
  <r>
    <s v="ORD101593"/>
    <s v="2025-09-28"/>
    <x v="5"/>
    <s v="East"/>
    <s v="Odisha"/>
    <s v="Bhubaneswar"/>
    <x v="1"/>
    <x v="1"/>
    <s v="CUST1477"/>
    <s v="SP_09"/>
    <n v="2"/>
    <n v="2743.88"/>
    <n v="5487.76"/>
    <n v="3730.09"/>
    <n v="1757.67"/>
    <s v="Credit Card"/>
  </r>
  <r>
    <s v="ORD101594"/>
    <s v="2025-03-14"/>
    <x v="4"/>
    <s v="West"/>
    <s v="Maharashtra"/>
    <s v="Mumbai"/>
    <x v="2"/>
    <x v="2"/>
    <s v="CUST1055"/>
    <s v="SP_13"/>
    <n v="1"/>
    <n v="45575.02"/>
    <n v="45575.02"/>
    <n v="33713.300000000003"/>
    <n v="11861.72"/>
    <s v="Credit Card"/>
  </r>
  <r>
    <s v="ORD101595"/>
    <s v="2025-10-13"/>
    <x v="1"/>
    <s v="East"/>
    <s v="West Bengal"/>
    <s v="Kolkata"/>
    <x v="0"/>
    <x v="8"/>
    <s v="CUST1121"/>
    <s v="SP_09"/>
    <n v="3"/>
    <n v="23466.1"/>
    <n v="70398.3"/>
    <n v="50410.93"/>
    <n v="19987.37"/>
    <s v="Credit Card"/>
  </r>
  <r>
    <s v="ORD101596"/>
    <s v="2025-02-28"/>
    <x v="8"/>
    <s v="North"/>
    <s v="Punjab"/>
    <s v="Chandigarh"/>
    <x v="1"/>
    <x v="1"/>
    <s v="CUST1324"/>
    <s v="SP_03"/>
    <n v="6"/>
    <n v="2894.63"/>
    <n v="17367.78"/>
    <n v="10833.65"/>
    <n v="6534.13"/>
    <s v="Credit Card"/>
  </r>
  <r>
    <s v="ORD101597"/>
    <s v="2025-05-26"/>
    <x v="3"/>
    <s v="East"/>
    <s v="Odisha"/>
    <s v="Bhubaneswar"/>
    <x v="2"/>
    <x v="2"/>
    <s v="CUST1168"/>
    <s v="SP_14"/>
    <n v="5"/>
    <n v="41153.379999999997"/>
    <n v="205766.9"/>
    <n v="171164.68"/>
    <n v="34602.22"/>
    <s v="Cash"/>
  </r>
  <r>
    <s v="ORD101598"/>
    <s v="2025-08-30"/>
    <x v="11"/>
    <s v="East"/>
    <s v="Bihar"/>
    <s v="Patna"/>
    <x v="1"/>
    <x v="5"/>
    <s v="CUST1056"/>
    <s v="SP_01"/>
    <n v="5"/>
    <n v="9756.42"/>
    <n v="48782.1"/>
    <n v="38386.25"/>
    <n v="10395.85"/>
    <s v="Credit Card"/>
  </r>
  <r>
    <s v="ORD101599"/>
    <s v="2025-01-22"/>
    <x v="9"/>
    <s v="North"/>
    <s v="Punjab"/>
    <s v="Chandigarh"/>
    <x v="0"/>
    <x v="0"/>
    <s v="CUST1244"/>
    <s v="SP_15"/>
    <n v="3"/>
    <n v="3322.89"/>
    <n v="9968.67"/>
    <n v="6524.29"/>
    <n v="3444.38"/>
    <s v="UPI"/>
  </r>
  <r>
    <s v="ORD101600"/>
    <s v="2025-09-13"/>
    <x v="5"/>
    <s v="South"/>
    <s v="Telangana"/>
    <s v="Hyderabad"/>
    <x v="3"/>
    <x v="3"/>
    <s v="CUST1118"/>
    <s v="SP_10"/>
    <n v="7"/>
    <n v="24.97"/>
    <n v="174.79"/>
    <n v="71.31"/>
    <n v="103.48"/>
    <s v="UPI"/>
  </r>
  <r>
    <s v="ORD101601"/>
    <s v="2025-01-06"/>
    <x v="9"/>
    <s v="East"/>
    <s v="Bihar"/>
    <s v="Patna"/>
    <x v="1"/>
    <x v="6"/>
    <s v="CUST1816"/>
    <s v="SP_07"/>
    <n v="8"/>
    <n v="3281.52"/>
    <n v="26252.16"/>
    <n v="19533.53"/>
    <n v="6718.63"/>
    <s v="Cash"/>
  </r>
  <r>
    <s v="ORD101602"/>
    <s v="2025-08-23"/>
    <x v="11"/>
    <s v="West"/>
    <s v="Maharashtra"/>
    <s v="Mumbai"/>
    <x v="3"/>
    <x v="7"/>
    <s v="CUST1714"/>
    <s v="SP_10"/>
    <n v="3"/>
    <n v="11698.81"/>
    <n v="35096.43"/>
    <n v="28232.13"/>
    <n v="6864.3"/>
    <s v="Net Banking"/>
  </r>
  <r>
    <s v="ORD101603"/>
    <s v="2025-03-10"/>
    <x v="4"/>
    <s v="North"/>
    <s v="Uttar Pradesh"/>
    <s v="Lucknow"/>
    <x v="0"/>
    <x v="8"/>
    <s v="CUST1959"/>
    <s v="SP_08"/>
    <n v="3"/>
    <n v="20868.54"/>
    <n v="62605.62"/>
    <n v="48954.03"/>
    <n v="13651.59"/>
    <s v="Net Banking"/>
  </r>
  <r>
    <s v="ORD101604"/>
    <s v="2025-05-13"/>
    <x v="3"/>
    <s v="North"/>
    <s v="Punjab"/>
    <s v="Chandigarh"/>
    <x v="1"/>
    <x v="5"/>
    <s v="CUST1157"/>
    <s v="SP_09"/>
    <n v="1"/>
    <n v="9145.2199999999993"/>
    <n v="9145.2199999999993"/>
    <n v="7831.49"/>
    <n v="1313.73"/>
    <s v="Credit Card"/>
  </r>
  <r>
    <s v="ORD101605"/>
    <s v="2025-03-11"/>
    <x v="4"/>
    <s v="North"/>
    <s v="Uttar Pradesh"/>
    <s v="Lucknow"/>
    <x v="1"/>
    <x v="1"/>
    <s v="CUST1563"/>
    <s v="SP_15"/>
    <n v="6"/>
    <n v="2681.55"/>
    <n v="16089.3"/>
    <n v="10958.7"/>
    <n v="5130.6000000000004"/>
    <s v="Cash"/>
  </r>
  <r>
    <s v="ORD101606"/>
    <s v="2025-05-29"/>
    <x v="3"/>
    <s v="West"/>
    <s v="Maharashtra"/>
    <s v="Mumbai"/>
    <x v="3"/>
    <x v="3"/>
    <s v="CUST1604"/>
    <s v="SP_07"/>
    <n v="5"/>
    <n v="23.09"/>
    <n v="115.45"/>
    <n v="50.47"/>
    <n v="64.98"/>
    <s v="Net Banking"/>
  </r>
  <r>
    <s v="ORD101607"/>
    <s v="2025-09-11"/>
    <x v="5"/>
    <s v="West"/>
    <s v="Gujarat"/>
    <s v="Ahmedabad"/>
    <x v="1"/>
    <x v="5"/>
    <s v="CUST1413"/>
    <s v="SP_13"/>
    <n v="8"/>
    <n v="9988.36"/>
    <n v="79906.880000000005"/>
    <n v="57999.22"/>
    <n v="21907.66"/>
    <s v="Cash"/>
  </r>
  <r>
    <s v="ORD101608"/>
    <s v="2025-08-30"/>
    <x v="11"/>
    <s v="North"/>
    <s v="Punjab"/>
    <s v="Chandigarh"/>
    <x v="1"/>
    <x v="6"/>
    <s v="CUST1790"/>
    <s v="SP_07"/>
    <n v="6"/>
    <n v="3199.75"/>
    <n v="19198.5"/>
    <n v="14398.32"/>
    <n v="4800.18"/>
    <s v="Credit Card"/>
  </r>
  <r>
    <s v="ORD101609"/>
    <s v="2025-12-31"/>
    <x v="7"/>
    <s v="South"/>
    <s v="Tamil Nadu"/>
    <s v="Chennai"/>
    <x v="2"/>
    <x v="4"/>
    <s v="CUST1415"/>
    <s v="SP_09"/>
    <n v="5"/>
    <n v="2578.12"/>
    <n v="12890.6"/>
    <n v="7689.27"/>
    <n v="5201.33"/>
    <s v="Debit Card"/>
  </r>
  <r>
    <s v="ORD101610"/>
    <s v="2025-05-30"/>
    <x v="3"/>
    <s v="West"/>
    <s v="Maharashtra"/>
    <s v="Mumbai"/>
    <x v="3"/>
    <x v="11"/>
    <s v="CUST1019"/>
    <s v="SP_05"/>
    <n v="6"/>
    <n v="124.66"/>
    <n v="747.96"/>
    <n v="364.48"/>
    <n v="383.48"/>
    <s v="Debit Card"/>
  </r>
  <r>
    <s v="ORD101611"/>
    <s v="2025-05-11"/>
    <x v="3"/>
    <s v="South"/>
    <s v="Tamil Nadu"/>
    <s v="Chennai"/>
    <x v="1"/>
    <x v="6"/>
    <s v="CUST1987"/>
    <s v="SP_02"/>
    <n v="4"/>
    <n v="3266.74"/>
    <n v="13066.96"/>
    <n v="9372.0400000000009"/>
    <n v="3694.92"/>
    <s v="Net Banking"/>
  </r>
  <r>
    <s v="ORD101612"/>
    <s v="2025-03-20"/>
    <x v="4"/>
    <s v="South"/>
    <s v="Telangana"/>
    <s v="Hyderabad"/>
    <x v="0"/>
    <x v="8"/>
    <s v="CUST1833"/>
    <s v="SP_14"/>
    <n v="6"/>
    <n v="21106.33"/>
    <n v="126637.98"/>
    <n v="99433.95"/>
    <n v="27204.03"/>
    <s v="Debit Card"/>
  </r>
  <r>
    <s v="ORD101613"/>
    <s v="2025-11-02"/>
    <x v="10"/>
    <s v="North"/>
    <s v="Delhi"/>
    <s v="Delhi"/>
    <x v="1"/>
    <x v="1"/>
    <s v="CUST1942"/>
    <s v="SP_06"/>
    <n v="8"/>
    <n v="2829.42"/>
    <n v="22635.360000000001"/>
    <n v="15048.33"/>
    <n v="7587.03"/>
    <s v="Cash"/>
  </r>
  <r>
    <s v="ORD101614"/>
    <s v="2025-05-20"/>
    <x v="3"/>
    <s v="North"/>
    <s v="Punjab"/>
    <s v="Chandigarh"/>
    <x v="2"/>
    <x v="2"/>
    <s v="CUST1161"/>
    <s v="SP_01"/>
    <n v="7"/>
    <n v="41438.58"/>
    <n v="290070.06"/>
    <n v="255707.31"/>
    <n v="34362.75"/>
    <s v="Credit Card"/>
  </r>
  <r>
    <s v="ORD101615"/>
    <s v="2025-08-24"/>
    <x v="11"/>
    <s v="South"/>
    <s v="Karnataka"/>
    <s v="Bengaluru"/>
    <x v="1"/>
    <x v="5"/>
    <s v="CUST1197"/>
    <s v="SP_06"/>
    <n v="5"/>
    <n v="8569.83"/>
    <n v="42849.15"/>
    <n v="38698.78"/>
    <n v="4150.37"/>
    <s v="UPI"/>
  </r>
  <r>
    <s v="ORD101616"/>
    <s v="2025-11-01"/>
    <x v="10"/>
    <s v="South"/>
    <s v="Telangana"/>
    <s v="Hyderabad"/>
    <x v="3"/>
    <x v="7"/>
    <s v="CUST1447"/>
    <s v="SP_02"/>
    <n v="5"/>
    <n v="13179.12"/>
    <n v="65895.600000000006"/>
    <n v="45016.47"/>
    <n v="20879.13"/>
    <s v="Debit Card"/>
  </r>
  <r>
    <s v="ORD101617"/>
    <s v="2025-09-09"/>
    <x v="5"/>
    <s v="South"/>
    <s v="Karnataka"/>
    <s v="Bengaluru"/>
    <x v="1"/>
    <x v="5"/>
    <s v="CUST1662"/>
    <s v="SP_08"/>
    <n v="7"/>
    <n v="8905.43"/>
    <n v="62338.01"/>
    <n v="50972.66"/>
    <n v="11365.35"/>
    <s v="UPI"/>
  </r>
  <r>
    <s v="ORD101618"/>
    <s v="2025-11-09"/>
    <x v="10"/>
    <s v="South"/>
    <s v="Telangana"/>
    <s v="Hyderabad"/>
    <x v="2"/>
    <x v="2"/>
    <s v="CUST1751"/>
    <s v="SP_07"/>
    <n v="2"/>
    <n v="46374.84"/>
    <n v="92749.68"/>
    <n v="69496.800000000003"/>
    <n v="23252.880000000001"/>
    <s v="Net Banking"/>
  </r>
  <r>
    <s v="ORD101619"/>
    <s v="2025-05-14"/>
    <x v="3"/>
    <s v="North"/>
    <s v="Uttar Pradesh"/>
    <s v="Lucknow"/>
    <x v="1"/>
    <x v="5"/>
    <s v="CUST1095"/>
    <s v="SP_14"/>
    <n v="7"/>
    <n v="10170.950000000001"/>
    <n v="71196.649999999994"/>
    <n v="55663.01"/>
    <n v="15533.64"/>
    <s v="Net Banking"/>
  </r>
  <r>
    <s v="ORD101620"/>
    <s v="2025-07-21"/>
    <x v="6"/>
    <s v="East"/>
    <s v="West Bengal"/>
    <s v="Kolkata"/>
    <x v="0"/>
    <x v="0"/>
    <s v="CUST1442"/>
    <s v="SP_02"/>
    <n v="1"/>
    <n v="3599.09"/>
    <n v="3599.09"/>
    <n v="2250.98"/>
    <n v="1348.11"/>
    <s v="UPI"/>
  </r>
  <r>
    <s v="ORD101621"/>
    <s v="2025-11-26"/>
    <x v="10"/>
    <s v="West"/>
    <s v="Gujarat"/>
    <s v="Ahmedabad"/>
    <x v="3"/>
    <x v="7"/>
    <s v="CUST1419"/>
    <s v="SP_10"/>
    <n v="6"/>
    <n v="11155"/>
    <n v="66930"/>
    <n v="52282.39"/>
    <n v="14647.61"/>
    <s v="Cash"/>
  </r>
  <r>
    <s v="ORD101622"/>
    <s v="2025-09-04"/>
    <x v="5"/>
    <s v="East"/>
    <s v="West Bengal"/>
    <s v="Kolkata"/>
    <x v="2"/>
    <x v="10"/>
    <s v="CUST1894"/>
    <s v="SP_15"/>
    <n v="4"/>
    <n v="16848.27"/>
    <n v="67393.08"/>
    <n v="54504.74"/>
    <n v="12888.34"/>
    <s v="Debit Card"/>
  </r>
  <r>
    <s v="ORD101623"/>
    <s v="2025-11-16"/>
    <x v="10"/>
    <s v="West"/>
    <s v="Maharashtra"/>
    <s v="Mumbai"/>
    <x v="0"/>
    <x v="0"/>
    <s v="CUST1233"/>
    <s v="SP_01"/>
    <n v="2"/>
    <n v="3198.12"/>
    <n v="6396.24"/>
    <n v="4382.82"/>
    <n v="2013.42"/>
    <s v="Credit Card"/>
  </r>
  <r>
    <s v="ORD101624"/>
    <s v="2025-10-09"/>
    <x v="1"/>
    <s v="West"/>
    <s v="Rajasthan"/>
    <s v="Jaipur"/>
    <x v="2"/>
    <x v="10"/>
    <s v="CUST1401"/>
    <s v="SP_12"/>
    <n v="2"/>
    <n v="19251.16"/>
    <n v="38502.32"/>
    <n v="27725.74"/>
    <n v="10776.58"/>
    <s v="Credit Card"/>
  </r>
  <r>
    <s v="ORD101625"/>
    <s v="2025-10-13"/>
    <x v="1"/>
    <s v="South"/>
    <s v="Tamil Nadu"/>
    <s v="Chennai"/>
    <x v="0"/>
    <x v="0"/>
    <s v="CUST1084"/>
    <s v="SP_03"/>
    <n v="4"/>
    <n v="3520.94"/>
    <n v="14083.76"/>
    <n v="8931"/>
    <n v="5152.76"/>
    <s v="Debit Card"/>
  </r>
  <r>
    <s v="ORD101626"/>
    <s v="2025-09-02"/>
    <x v="5"/>
    <s v="South"/>
    <s v="Tamil Nadu"/>
    <s v="Chennai"/>
    <x v="1"/>
    <x v="5"/>
    <s v="CUST1400"/>
    <s v="SP_09"/>
    <n v="6"/>
    <n v="10214.75"/>
    <n v="61288.5"/>
    <n v="46513.279999999999"/>
    <n v="14775.22"/>
    <s v="Debit Card"/>
  </r>
  <r>
    <s v="ORD101627"/>
    <s v="2025-12-18"/>
    <x v="7"/>
    <s v="North"/>
    <s v="Punjab"/>
    <s v="Chandigarh"/>
    <x v="2"/>
    <x v="2"/>
    <s v="CUST1410"/>
    <s v="SP_04"/>
    <n v="2"/>
    <n v="45883.33"/>
    <n v="91766.66"/>
    <n v="73429.64"/>
    <n v="18337.02"/>
    <s v="UPI"/>
  </r>
  <r>
    <s v="ORD101628"/>
    <s v="2025-02-24"/>
    <x v="8"/>
    <s v="North"/>
    <s v="Uttar Pradesh"/>
    <s v="Lucknow"/>
    <x v="2"/>
    <x v="2"/>
    <s v="CUST1853"/>
    <s v="SP_08"/>
    <n v="4"/>
    <n v="44330.65"/>
    <n v="177322.6"/>
    <n v="133813.66"/>
    <n v="43508.94"/>
    <s v="Net Banking"/>
  </r>
  <r>
    <s v="ORD101629"/>
    <s v="2025-10-29"/>
    <x v="1"/>
    <s v="South"/>
    <s v="Tamil Nadu"/>
    <s v="Chennai"/>
    <x v="3"/>
    <x v="3"/>
    <s v="CUST1767"/>
    <s v="SP_15"/>
    <n v="6"/>
    <n v="23.5"/>
    <n v="141"/>
    <n v="60.93"/>
    <n v="80.069999999999993"/>
    <s v="Debit Card"/>
  </r>
  <r>
    <s v="ORD101630"/>
    <s v="2025-12-19"/>
    <x v="7"/>
    <s v="South"/>
    <s v="Karnataka"/>
    <s v="Bengaluru"/>
    <x v="3"/>
    <x v="3"/>
    <s v="CUST1924"/>
    <s v="SP_15"/>
    <n v="6"/>
    <n v="26.76"/>
    <n v="160.56"/>
    <n v="61.72"/>
    <n v="98.84"/>
    <s v="Cash"/>
  </r>
  <r>
    <s v="ORD101631"/>
    <s v="2025-08-01"/>
    <x v="11"/>
    <s v="North"/>
    <s v="Uttar Pradesh"/>
    <s v="Lucknow"/>
    <x v="1"/>
    <x v="5"/>
    <s v="CUST1142"/>
    <s v="SP_14"/>
    <n v="8"/>
    <n v="9624.1200000000008"/>
    <n v="76992.960000000006"/>
    <n v="59563.56"/>
    <n v="17429.400000000001"/>
    <s v="Net Banking"/>
  </r>
  <r>
    <s v="ORD101632"/>
    <s v="2025-07-26"/>
    <x v="6"/>
    <s v="East"/>
    <s v="Odisha"/>
    <s v="Bhubaneswar"/>
    <x v="2"/>
    <x v="2"/>
    <s v="CUST1023"/>
    <s v="SP_13"/>
    <n v="8"/>
    <n v="46720.03"/>
    <n v="373760.24"/>
    <n v="292125.42"/>
    <n v="81634.820000000007"/>
    <s v="Credit Card"/>
  </r>
  <r>
    <s v="ORD101633"/>
    <s v="2025-12-21"/>
    <x v="7"/>
    <s v="East"/>
    <s v="Odisha"/>
    <s v="Bhubaneswar"/>
    <x v="0"/>
    <x v="0"/>
    <s v="CUST1933"/>
    <s v="SP_11"/>
    <n v="7"/>
    <n v="3389.46"/>
    <n v="23726.22"/>
    <n v="15215.08"/>
    <n v="8511.14"/>
    <s v="Net Banking"/>
  </r>
  <r>
    <s v="ORD101634"/>
    <s v="2025-06-18"/>
    <x v="2"/>
    <s v="North"/>
    <s v="Delhi"/>
    <s v="Delhi"/>
    <x v="2"/>
    <x v="2"/>
    <s v="CUST1476"/>
    <s v="SP_03"/>
    <n v="8"/>
    <n v="40703.58"/>
    <n v="325628.64"/>
    <n v="283306.34000000003"/>
    <n v="42322.3"/>
    <s v="UPI"/>
  </r>
  <r>
    <s v="ORD101635"/>
    <s v="2025-08-22"/>
    <x v="11"/>
    <s v="West"/>
    <s v="Maharashtra"/>
    <s v="Mumbai"/>
    <x v="0"/>
    <x v="8"/>
    <s v="CUST1595"/>
    <s v="SP_05"/>
    <n v="5"/>
    <n v="23897.42"/>
    <n v="119487.1"/>
    <n v="86716.93"/>
    <n v="32770.17"/>
    <s v="Credit Card"/>
  </r>
  <r>
    <s v="ORD101636"/>
    <s v="2025-07-24"/>
    <x v="6"/>
    <s v="West"/>
    <s v="Rajasthan"/>
    <s v="Jaipur"/>
    <x v="1"/>
    <x v="6"/>
    <s v="CUST1263"/>
    <s v="SP_14"/>
    <n v="2"/>
    <n v="3108.92"/>
    <n v="6217.84"/>
    <n v="4958.4399999999996"/>
    <n v="1259.4000000000001"/>
    <s v="Net Banking"/>
  </r>
  <r>
    <s v="ORD101637"/>
    <s v="2025-09-06"/>
    <x v="5"/>
    <s v="North"/>
    <s v="Delhi"/>
    <s v="Delhi"/>
    <x v="1"/>
    <x v="5"/>
    <s v="CUST1118"/>
    <s v="SP_13"/>
    <n v="4"/>
    <n v="8961.23"/>
    <n v="35844.92"/>
    <n v="29758.25"/>
    <n v="6086.67"/>
    <s v="Cash"/>
  </r>
  <r>
    <s v="ORD101638"/>
    <s v="2025-06-16"/>
    <x v="2"/>
    <s v="East"/>
    <s v="Bihar"/>
    <s v="Patna"/>
    <x v="2"/>
    <x v="10"/>
    <s v="CUST1148"/>
    <s v="SP_06"/>
    <n v="3"/>
    <n v="16362.89"/>
    <n v="49088.67"/>
    <n v="43350.45"/>
    <n v="5738.22"/>
    <s v="Cash"/>
  </r>
  <r>
    <s v="ORD101639"/>
    <s v="2025-07-14"/>
    <x v="6"/>
    <s v="West"/>
    <s v="Rajasthan"/>
    <s v="Jaipur"/>
    <x v="3"/>
    <x v="7"/>
    <s v="CUST1823"/>
    <s v="SP_07"/>
    <n v="5"/>
    <n v="11568.7"/>
    <n v="57843.5"/>
    <n v="46423.96"/>
    <n v="11419.54"/>
    <s v="UPI"/>
  </r>
  <r>
    <s v="ORD101640"/>
    <s v="2025-03-20"/>
    <x v="4"/>
    <s v="West"/>
    <s v="Maharashtra"/>
    <s v="Mumbai"/>
    <x v="1"/>
    <x v="6"/>
    <s v="CUST1620"/>
    <s v="SP_02"/>
    <n v="7"/>
    <n v="3464.56"/>
    <n v="24251.919999999998"/>
    <n v="16960.37"/>
    <n v="7291.55"/>
    <s v="Debit Card"/>
  </r>
  <r>
    <s v="ORD101641"/>
    <s v="2025-01-29"/>
    <x v="9"/>
    <s v="East"/>
    <s v="Odisha"/>
    <s v="Bhubaneswar"/>
    <x v="2"/>
    <x v="2"/>
    <s v="CUST1547"/>
    <s v="SP_02"/>
    <n v="6"/>
    <n v="45299.35"/>
    <n v="271796.09999999998"/>
    <n v="207280.88"/>
    <n v="64515.22"/>
    <s v="Credit Card"/>
  </r>
  <r>
    <s v="ORD101642"/>
    <s v="2025-07-23"/>
    <x v="6"/>
    <s v="South"/>
    <s v="Tamil Nadu"/>
    <s v="Chennai"/>
    <x v="2"/>
    <x v="10"/>
    <s v="CUST1731"/>
    <s v="SP_05"/>
    <n v="1"/>
    <n v="16797.04"/>
    <n v="16797.04"/>
    <n v="14137.06"/>
    <n v="2659.98"/>
    <s v="Debit Card"/>
  </r>
  <r>
    <s v="ORD101643"/>
    <s v="2025-12-19"/>
    <x v="7"/>
    <s v="North"/>
    <s v="Delhi"/>
    <s v="Delhi"/>
    <x v="3"/>
    <x v="3"/>
    <s v="CUST1014"/>
    <s v="SP_13"/>
    <n v="6"/>
    <n v="27.13"/>
    <n v="162.78"/>
    <n v="62.15"/>
    <n v="100.63"/>
    <s v="Credit Card"/>
  </r>
  <r>
    <s v="ORD101644"/>
    <s v="2025-12-07"/>
    <x v="7"/>
    <s v="West"/>
    <s v="Gujarat"/>
    <s v="Ahmedabad"/>
    <x v="1"/>
    <x v="5"/>
    <s v="CUST1605"/>
    <s v="SP_10"/>
    <n v="2"/>
    <n v="9758.75"/>
    <n v="19517.5"/>
    <n v="15842.75"/>
    <n v="3674.75"/>
    <s v="Debit Card"/>
  </r>
  <r>
    <s v="ORD101645"/>
    <s v="2025-09-18"/>
    <x v="5"/>
    <s v="East"/>
    <s v="Bihar"/>
    <s v="Patna"/>
    <x v="3"/>
    <x v="11"/>
    <s v="CUST1403"/>
    <s v="SP_10"/>
    <n v="5"/>
    <n v="123.32"/>
    <n v="616.6"/>
    <n v="305.29000000000002"/>
    <n v="311.31"/>
    <s v="Cash"/>
  </r>
  <r>
    <s v="ORD101646"/>
    <s v="2025-06-13"/>
    <x v="2"/>
    <s v="East"/>
    <s v="West Bengal"/>
    <s v="Kolkata"/>
    <x v="3"/>
    <x v="7"/>
    <s v="CUST1746"/>
    <s v="SP_06"/>
    <n v="6"/>
    <n v="12252.4"/>
    <n v="73514.399999999994"/>
    <n v="54527.42"/>
    <n v="18986.98"/>
    <s v="Cash"/>
  </r>
  <r>
    <s v="ORD101647"/>
    <s v="2025-06-17"/>
    <x v="2"/>
    <s v="South"/>
    <s v="Telangana"/>
    <s v="Hyderabad"/>
    <x v="0"/>
    <x v="9"/>
    <s v="CUST1348"/>
    <s v="SP_01"/>
    <n v="5"/>
    <n v="6360.11"/>
    <n v="31800.55"/>
    <n v="23974.22"/>
    <n v="7826.33"/>
    <s v="Debit Card"/>
  </r>
  <r>
    <s v="ORD101648"/>
    <s v="2025-05-23"/>
    <x v="3"/>
    <s v="South"/>
    <s v="Telangana"/>
    <s v="Hyderabad"/>
    <x v="0"/>
    <x v="9"/>
    <s v="CUST1200"/>
    <s v="SP_11"/>
    <n v="4"/>
    <n v="6837.32"/>
    <n v="27349.279999999999"/>
    <n v="19728.259999999998"/>
    <n v="7621.02"/>
    <s v="Debit Card"/>
  </r>
  <r>
    <s v="ORD101649"/>
    <s v="2025-03-27"/>
    <x v="4"/>
    <s v="West"/>
    <s v="Rajasthan"/>
    <s v="Jaipur"/>
    <x v="3"/>
    <x v="7"/>
    <s v="CUST1002"/>
    <s v="SP_08"/>
    <n v="2"/>
    <n v="12393.99"/>
    <n v="24787.98"/>
    <n v="18896.53"/>
    <n v="5891.45"/>
    <s v="Cash"/>
  </r>
  <r>
    <s v="ORD101650"/>
    <s v="2025-01-05"/>
    <x v="9"/>
    <s v="South"/>
    <s v="Tamil Nadu"/>
    <s v="Chennai"/>
    <x v="0"/>
    <x v="0"/>
    <s v="CUST1159"/>
    <s v="SP_14"/>
    <n v="8"/>
    <n v="3695.04"/>
    <n v="29560.32"/>
    <n v="16913.84"/>
    <n v="12646.48"/>
    <s v="Credit Card"/>
  </r>
  <r>
    <s v="ORD101651"/>
    <s v="2025-11-20"/>
    <x v="10"/>
    <s v="East"/>
    <s v="Odisha"/>
    <s v="Bhubaneswar"/>
    <x v="0"/>
    <x v="8"/>
    <s v="CUST1686"/>
    <s v="SP_10"/>
    <n v="3"/>
    <n v="22884.73"/>
    <n v="68654.19"/>
    <n v="49830.19"/>
    <n v="18824"/>
    <s v="Net Banking"/>
  </r>
  <r>
    <s v="ORD101652"/>
    <s v="2025-04-30"/>
    <x v="0"/>
    <s v="North"/>
    <s v="Delhi"/>
    <s v="Delhi"/>
    <x v="2"/>
    <x v="10"/>
    <s v="CUST1255"/>
    <s v="SP_06"/>
    <n v="7"/>
    <n v="16852.009999999998"/>
    <n v="117964.07"/>
    <n v="95822.86"/>
    <n v="22141.21"/>
    <s v="Credit Card"/>
  </r>
  <r>
    <s v="ORD101653"/>
    <s v="2025-09-03"/>
    <x v="5"/>
    <s v="South"/>
    <s v="Karnataka"/>
    <s v="Bengaluru"/>
    <x v="3"/>
    <x v="11"/>
    <s v="CUST1401"/>
    <s v="SP_13"/>
    <n v="3"/>
    <n v="119.64"/>
    <n v="358.92"/>
    <n v="171.95"/>
    <n v="186.97"/>
    <s v="UPI"/>
  </r>
  <r>
    <s v="ORD101654"/>
    <s v="2025-02-21"/>
    <x v="8"/>
    <s v="South"/>
    <s v="Telangana"/>
    <s v="Hyderabad"/>
    <x v="2"/>
    <x v="2"/>
    <s v="CUST1159"/>
    <s v="SP_03"/>
    <n v="8"/>
    <n v="48069.74"/>
    <n v="384557.92"/>
    <n v="293866.03000000003"/>
    <n v="90691.89"/>
    <s v="UPI"/>
  </r>
  <r>
    <s v="ORD101655"/>
    <s v="2025-07-23"/>
    <x v="6"/>
    <s v="North"/>
    <s v="Delhi"/>
    <s v="Delhi"/>
    <x v="0"/>
    <x v="9"/>
    <s v="CUST1213"/>
    <s v="SP_01"/>
    <n v="3"/>
    <n v="7309.96"/>
    <n v="21929.88"/>
    <n v="14300.65"/>
    <n v="7629.23"/>
    <s v="UPI"/>
  </r>
  <r>
    <s v="ORD101656"/>
    <s v="2025-10-17"/>
    <x v="1"/>
    <s v="North"/>
    <s v="Uttar Pradesh"/>
    <s v="Lucknow"/>
    <x v="1"/>
    <x v="6"/>
    <s v="CUST1400"/>
    <s v="SP_01"/>
    <n v="1"/>
    <n v="3192.99"/>
    <n v="3192.99"/>
    <n v="2511.1"/>
    <n v="681.89"/>
    <s v="Net Banking"/>
  </r>
  <r>
    <s v="ORD101657"/>
    <s v="2025-09-29"/>
    <x v="5"/>
    <s v="North"/>
    <s v="Delhi"/>
    <s v="Delhi"/>
    <x v="2"/>
    <x v="4"/>
    <s v="CUST1172"/>
    <s v="SP_10"/>
    <n v="6"/>
    <n v="2325.12"/>
    <n v="13950.72"/>
    <n v="9578.6200000000008"/>
    <n v="4372.1000000000004"/>
    <s v="Credit Card"/>
  </r>
  <r>
    <s v="ORD101658"/>
    <s v="2025-02-27"/>
    <x v="8"/>
    <s v="North"/>
    <s v="Uttar Pradesh"/>
    <s v="Lucknow"/>
    <x v="1"/>
    <x v="1"/>
    <s v="CUST1933"/>
    <s v="SP_07"/>
    <n v="1"/>
    <n v="2649.5"/>
    <n v="2649.5"/>
    <n v="1890.01"/>
    <n v="759.49"/>
    <s v="Cash"/>
  </r>
  <r>
    <s v="ORD101659"/>
    <s v="2025-12-16"/>
    <x v="7"/>
    <s v="South"/>
    <s v="Telangana"/>
    <s v="Hyderabad"/>
    <x v="3"/>
    <x v="7"/>
    <s v="CUST1896"/>
    <s v="SP_14"/>
    <n v="1"/>
    <n v="11070.61"/>
    <n v="11070.61"/>
    <n v="9152.39"/>
    <n v="1918.22"/>
    <s v="Debit Card"/>
  </r>
  <r>
    <s v="ORD101660"/>
    <s v="2025-09-02"/>
    <x v="5"/>
    <s v="South"/>
    <s v="Telangana"/>
    <s v="Hyderabad"/>
    <x v="3"/>
    <x v="3"/>
    <s v="CUST1878"/>
    <s v="SP_11"/>
    <n v="1"/>
    <n v="24.47"/>
    <n v="24.47"/>
    <n v="9.99"/>
    <n v="14.48"/>
    <s v="Net Banking"/>
  </r>
  <r>
    <s v="ORD101661"/>
    <s v="2025-06-21"/>
    <x v="2"/>
    <s v="North"/>
    <s v="Delhi"/>
    <s v="Delhi"/>
    <x v="2"/>
    <x v="4"/>
    <s v="CUST1604"/>
    <s v="SP_08"/>
    <n v="5"/>
    <n v="2534.75"/>
    <n v="12673.75"/>
    <n v="7660.58"/>
    <n v="5013.17"/>
    <s v="Credit Card"/>
  </r>
  <r>
    <s v="ORD101662"/>
    <s v="2025-02-03"/>
    <x v="8"/>
    <s v="South"/>
    <s v="Tamil Nadu"/>
    <s v="Chennai"/>
    <x v="3"/>
    <x v="11"/>
    <s v="CUST1252"/>
    <s v="SP_11"/>
    <n v="3"/>
    <n v="116.26"/>
    <n v="348.78"/>
    <n v="187.84"/>
    <n v="160.94"/>
    <s v="Credit Card"/>
  </r>
  <r>
    <s v="ORD101663"/>
    <s v="2025-08-09"/>
    <x v="11"/>
    <s v="West"/>
    <s v="Maharashtra"/>
    <s v="Mumbai"/>
    <x v="3"/>
    <x v="3"/>
    <s v="CUST1116"/>
    <s v="SP_14"/>
    <n v="8"/>
    <n v="22.92"/>
    <n v="183.36"/>
    <n v="83.43"/>
    <n v="99.93"/>
    <s v="Debit Card"/>
  </r>
  <r>
    <s v="ORD101664"/>
    <s v="2025-04-24"/>
    <x v="0"/>
    <s v="South"/>
    <s v="Telangana"/>
    <s v="Hyderabad"/>
    <x v="3"/>
    <x v="7"/>
    <s v="CUST1278"/>
    <s v="SP_12"/>
    <n v="2"/>
    <n v="11993.13"/>
    <n v="23986.26"/>
    <n v="18591.150000000001"/>
    <n v="5395.11"/>
    <s v="Cash"/>
  </r>
  <r>
    <s v="ORD101665"/>
    <s v="2025-04-11"/>
    <x v="0"/>
    <s v="North"/>
    <s v="Punjab"/>
    <s v="Chandigarh"/>
    <x v="0"/>
    <x v="0"/>
    <s v="CUST1982"/>
    <s v="SP_08"/>
    <n v="3"/>
    <n v="3594.99"/>
    <n v="10784.97"/>
    <n v="6620.36"/>
    <n v="4164.6099999999997"/>
    <s v="Net Banking"/>
  </r>
  <r>
    <s v="ORD101666"/>
    <s v="2025-12-30"/>
    <x v="7"/>
    <s v="North"/>
    <s v="Uttar Pradesh"/>
    <s v="Lucknow"/>
    <x v="3"/>
    <x v="7"/>
    <s v="CUST1003"/>
    <s v="SP_10"/>
    <n v="8"/>
    <n v="12448.57"/>
    <n v="99588.56"/>
    <n v="71422.84"/>
    <n v="28165.72"/>
    <s v="Net Banking"/>
  </r>
  <r>
    <s v="ORD101667"/>
    <s v="2025-10-18"/>
    <x v="1"/>
    <s v="East"/>
    <s v="West Bengal"/>
    <s v="Kolkata"/>
    <x v="0"/>
    <x v="9"/>
    <s v="CUST1594"/>
    <s v="SP_02"/>
    <n v="3"/>
    <n v="7025.31"/>
    <n v="21075.93"/>
    <n v="14829.88"/>
    <n v="6246.05"/>
    <s v="Cash"/>
  </r>
  <r>
    <s v="ORD101668"/>
    <s v="2025-08-10"/>
    <x v="11"/>
    <s v="West"/>
    <s v="Maharashtra"/>
    <s v="Mumbai"/>
    <x v="0"/>
    <x v="9"/>
    <s v="CUST1666"/>
    <s v="SP_06"/>
    <n v="2"/>
    <n v="6940.93"/>
    <n v="13881.86"/>
    <n v="9704.08"/>
    <n v="4177.78"/>
    <s v="Cash"/>
  </r>
  <r>
    <s v="ORD101669"/>
    <s v="2025-07-21"/>
    <x v="6"/>
    <s v="East"/>
    <s v="West Bengal"/>
    <s v="Kolkata"/>
    <x v="3"/>
    <x v="11"/>
    <s v="CUST1278"/>
    <s v="SP_11"/>
    <n v="7"/>
    <n v="131.41999999999999"/>
    <n v="919.94"/>
    <n v="424.41"/>
    <n v="495.53"/>
    <s v="Net Banking"/>
  </r>
  <r>
    <s v="ORD101670"/>
    <s v="2025-11-21"/>
    <x v="10"/>
    <s v="East"/>
    <s v="Bihar"/>
    <s v="Patna"/>
    <x v="1"/>
    <x v="1"/>
    <s v="CUST1312"/>
    <s v="SP_14"/>
    <n v="2"/>
    <n v="3048.81"/>
    <n v="6097.62"/>
    <n v="3964.79"/>
    <n v="2132.83"/>
    <s v="Net Banking"/>
  </r>
  <r>
    <s v="ORD101671"/>
    <s v="2025-08-14"/>
    <x v="11"/>
    <s v="South"/>
    <s v="Telangana"/>
    <s v="Hyderabad"/>
    <x v="0"/>
    <x v="0"/>
    <s v="CUST1479"/>
    <s v="SP_15"/>
    <n v="2"/>
    <n v="3512.97"/>
    <n v="7025.94"/>
    <n v="4473.71"/>
    <n v="2552.23"/>
    <s v="Credit Card"/>
  </r>
  <r>
    <s v="ORD101672"/>
    <s v="2025-08-25"/>
    <x v="11"/>
    <s v="North"/>
    <s v="Punjab"/>
    <s v="Chandigarh"/>
    <x v="3"/>
    <x v="7"/>
    <s v="CUST1922"/>
    <s v="SP_15"/>
    <n v="2"/>
    <n v="11345.14"/>
    <n v="22690.28"/>
    <n v="18325.330000000002"/>
    <n v="4364.95"/>
    <s v="Debit Card"/>
  </r>
  <r>
    <s v="ORD101673"/>
    <s v="2025-09-14"/>
    <x v="5"/>
    <s v="North"/>
    <s v="Delhi"/>
    <s v="Delhi"/>
    <x v="1"/>
    <x v="5"/>
    <s v="CUST1583"/>
    <s v="SP_06"/>
    <n v="4"/>
    <n v="9706.9500000000007"/>
    <n v="38827.800000000003"/>
    <n v="30984.13"/>
    <n v="7843.67"/>
    <s v="Cash"/>
  </r>
  <r>
    <s v="ORD101674"/>
    <s v="2025-10-14"/>
    <x v="1"/>
    <s v="North"/>
    <s v="Delhi"/>
    <s v="Delhi"/>
    <x v="0"/>
    <x v="0"/>
    <s v="CUST1063"/>
    <s v="SP_13"/>
    <n v="4"/>
    <n v="3567.21"/>
    <n v="14268.84"/>
    <n v="8614.85"/>
    <n v="5653.99"/>
    <s v="UPI"/>
  </r>
  <r>
    <s v="ORD101675"/>
    <s v="2025-09-13"/>
    <x v="5"/>
    <s v="West"/>
    <s v="Maharashtra"/>
    <s v="Mumbai"/>
    <x v="0"/>
    <x v="8"/>
    <s v="CUST1281"/>
    <s v="SP_12"/>
    <n v="7"/>
    <n v="22463.45"/>
    <n v="157244.15"/>
    <n v="124765.85"/>
    <n v="32478.3"/>
    <s v="Cash"/>
  </r>
  <r>
    <s v="ORD101676"/>
    <s v="2025-11-05"/>
    <x v="10"/>
    <s v="West"/>
    <s v="Maharashtra"/>
    <s v="Mumbai"/>
    <x v="2"/>
    <x v="10"/>
    <s v="CUST1026"/>
    <s v="SP_01"/>
    <n v="2"/>
    <n v="17750.060000000001"/>
    <n v="35500.120000000003"/>
    <n v="27692.54"/>
    <n v="7807.58"/>
    <s v="Net Banking"/>
  </r>
  <r>
    <s v="ORD101677"/>
    <s v="2025-01-30"/>
    <x v="9"/>
    <s v="North"/>
    <s v="Uttar Pradesh"/>
    <s v="Lucknow"/>
    <x v="0"/>
    <x v="8"/>
    <s v="CUST1291"/>
    <s v="SP_01"/>
    <n v="8"/>
    <n v="23006.04"/>
    <n v="184048.32"/>
    <n v="139704.41"/>
    <n v="44343.91"/>
    <s v="Net Banking"/>
  </r>
  <r>
    <s v="ORD101678"/>
    <s v="2025-01-12"/>
    <x v="9"/>
    <s v="East"/>
    <s v="West Bengal"/>
    <s v="Kolkata"/>
    <x v="1"/>
    <x v="1"/>
    <s v="CUST1831"/>
    <s v="SP_15"/>
    <n v="1"/>
    <n v="2940.18"/>
    <n v="2940.18"/>
    <n v="1957.25"/>
    <n v="982.93"/>
    <s v="UPI"/>
  </r>
  <r>
    <s v="ORD101679"/>
    <s v="2025-08-04"/>
    <x v="11"/>
    <s v="West"/>
    <s v="Maharashtra"/>
    <s v="Mumbai"/>
    <x v="2"/>
    <x v="2"/>
    <s v="CUST1181"/>
    <s v="SP_15"/>
    <n v="7"/>
    <n v="42757.32"/>
    <n v="299301.24"/>
    <n v="234552.5"/>
    <n v="64748.74"/>
    <s v="UPI"/>
  </r>
  <r>
    <s v="ORD101680"/>
    <s v="2025-04-11"/>
    <x v="0"/>
    <s v="North"/>
    <s v="Delhi"/>
    <s v="Delhi"/>
    <x v="0"/>
    <x v="0"/>
    <s v="CUST1431"/>
    <s v="SP_04"/>
    <n v="4"/>
    <n v="3173.87"/>
    <n v="12695.48"/>
    <n v="8747.3700000000008"/>
    <n v="3948.11"/>
    <s v="Net Banking"/>
  </r>
  <r>
    <s v="ORD101681"/>
    <s v="2025-01-18"/>
    <x v="9"/>
    <s v="North"/>
    <s v="Punjab"/>
    <s v="Chandigarh"/>
    <x v="1"/>
    <x v="5"/>
    <s v="CUST1782"/>
    <s v="SP_09"/>
    <n v="1"/>
    <n v="8669.93"/>
    <n v="8669.93"/>
    <n v="7462.04"/>
    <n v="1207.8900000000001"/>
    <s v="UPI"/>
  </r>
  <r>
    <s v="ORD101682"/>
    <s v="2025-03-09"/>
    <x v="4"/>
    <s v="North"/>
    <s v="Uttar Pradesh"/>
    <s v="Lucknow"/>
    <x v="1"/>
    <x v="6"/>
    <s v="CUST1715"/>
    <s v="SP_10"/>
    <n v="2"/>
    <n v="2917.98"/>
    <n v="5835.96"/>
    <n v="4802.41"/>
    <n v="1033.55"/>
    <s v="UPI"/>
  </r>
  <r>
    <s v="ORD101683"/>
    <s v="2025-07-30"/>
    <x v="6"/>
    <s v="North"/>
    <s v="Delhi"/>
    <s v="Delhi"/>
    <x v="0"/>
    <x v="0"/>
    <s v="CUST1817"/>
    <s v="SP_01"/>
    <n v="2"/>
    <n v="3558.03"/>
    <n v="7116.06"/>
    <n v="4470.72"/>
    <n v="2645.34"/>
    <s v="UPI"/>
  </r>
  <r>
    <s v="ORD101684"/>
    <s v="2025-03-23"/>
    <x v="4"/>
    <s v="South"/>
    <s v="Tamil Nadu"/>
    <s v="Chennai"/>
    <x v="0"/>
    <x v="0"/>
    <s v="CUST1315"/>
    <s v="SP_11"/>
    <n v="6"/>
    <n v="3489.2"/>
    <n v="20935.2"/>
    <n v="13043.37"/>
    <n v="7891.83"/>
    <s v="UPI"/>
  </r>
  <r>
    <s v="ORD101685"/>
    <s v="2025-10-22"/>
    <x v="1"/>
    <s v="North"/>
    <s v="Punjab"/>
    <s v="Chandigarh"/>
    <x v="2"/>
    <x v="4"/>
    <s v="CUST1692"/>
    <s v="SP_02"/>
    <n v="6"/>
    <n v="2389.11"/>
    <n v="14334.66"/>
    <n v="9192.8700000000008"/>
    <n v="5141.79"/>
    <s v="Cash"/>
  </r>
  <r>
    <s v="ORD101686"/>
    <s v="2025-10-16"/>
    <x v="1"/>
    <s v="West"/>
    <s v="Rajasthan"/>
    <s v="Jaipur"/>
    <x v="1"/>
    <x v="5"/>
    <s v="CUST1498"/>
    <s v="SP_01"/>
    <n v="3"/>
    <n v="8738.6299999999992"/>
    <n v="26215.89"/>
    <n v="22462.26"/>
    <n v="3753.63"/>
    <s v="Net Banking"/>
  </r>
  <r>
    <s v="ORD101687"/>
    <s v="2025-07-01"/>
    <x v="6"/>
    <s v="West"/>
    <s v="Gujarat"/>
    <s v="Ahmedabad"/>
    <x v="0"/>
    <x v="9"/>
    <s v="CUST1182"/>
    <s v="SP_02"/>
    <n v="7"/>
    <n v="7165.37"/>
    <n v="50157.59"/>
    <n v="36685.370000000003"/>
    <n v="13472.22"/>
    <s v="Debit Card"/>
  </r>
  <r>
    <s v="ORD101688"/>
    <s v="2025-12-18"/>
    <x v="7"/>
    <s v="East"/>
    <s v="Odisha"/>
    <s v="Bhubaneswar"/>
    <x v="3"/>
    <x v="3"/>
    <s v="CUST1672"/>
    <s v="SP_03"/>
    <n v="3"/>
    <n v="24.78"/>
    <n v="74.34"/>
    <n v="30.83"/>
    <n v="43.51"/>
    <s v="Debit Card"/>
  </r>
  <r>
    <s v="ORD101689"/>
    <s v="2025-06-17"/>
    <x v="2"/>
    <s v="South"/>
    <s v="Karnataka"/>
    <s v="Bengaluru"/>
    <x v="1"/>
    <x v="1"/>
    <s v="CUST1054"/>
    <s v="SP_12"/>
    <n v="6"/>
    <n v="2782.76"/>
    <n v="16696.560000000001"/>
    <n v="11450.54"/>
    <n v="5246.02"/>
    <s v="Debit Card"/>
  </r>
  <r>
    <s v="ORD101690"/>
    <s v="2025-02-19"/>
    <x v="8"/>
    <s v="North"/>
    <s v="Uttar Pradesh"/>
    <s v="Lucknow"/>
    <x v="2"/>
    <x v="4"/>
    <s v="CUST1049"/>
    <s v="SP_14"/>
    <n v="5"/>
    <n v="2401.79"/>
    <n v="12008.95"/>
    <n v="8146.04"/>
    <n v="3862.91"/>
    <s v="Net Banking"/>
  </r>
  <r>
    <s v="ORD101691"/>
    <s v="2025-11-07"/>
    <x v="10"/>
    <s v="South"/>
    <s v="Tamil Nadu"/>
    <s v="Chennai"/>
    <x v="2"/>
    <x v="10"/>
    <s v="CUST1582"/>
    <s v="SP_15"/>
    <n v="6"/>
    <n v="18955.45"/>
    <n v="113732.7"/>
    <n v="86587.17"/>
    <n v="27145.53"/>
    <s v="UPI"/>
  </r>
  <r>
    <s v="ORD101692"/>
    <s v="2025-08-26"/>
    <x v="11"/>
    <s v="West"/>
    <s v="Maharashtra"/>
    <s v="Mumbai"/>
    <x v="0"/>
    <x v="0"/>
    <s v="CUST1219"/>
    <s v="SP_14"/>
    <n v="7"/>
    <n v="3696.53"/>
    <n v="25875.71"/>
    <n v="14854.22"/>
    <n v="11021.49"/>
    <s v="Debit Card"/>
  </r>
  <r>
    <s v="ORD101693"/>
    <s v="2025-10-03"/>
    <x v="1"/>
    <s v="West"/>
    <s v="Maharashtra"/>
    <s v="Mumbai"/>
    <x v="2"/>
    <x v="4"/>
    <s v="CUST1529"/>
    <s v="SP_05"/>
    <n v="3"/>
    <n v="2678.87"/>
    <n v="8036.61"/>
    <n v="4815.6400000000003"/>
    <n v="3220.97"/>
    <s v="Net Banking"/>
  </r>
  <r>
    <s v="ORD101694"/>
    <s v="2025-05-13"/>
    <x v="3"/>
    <s v="West"/>
    <s v="Maharashtra"/>
    <s v="Mumbai"/>
    <x v="0"/>
    <x v="9"/>
    <s v="CUST1889"/>
    <s v="SP_14"/>
    <n v="3"/>
    <n v="6679.34"/>
    <n v="20038.02"/>
    <n v="15684.01"/>
    <n v="4354.01"/>
    <s v="Debit Card"/>
  </r>
  <r>
    <s v="ORD101695"/>
    <s v="2025-02-12"/>
    <x v="8"/>
    <s v="North"/>
    <s v="Uttar Pradesh"/>
    <s v="Lucknow"/>
    <x v="0"/>
    <x v="8"/>
    <s v="CUST1538"/>
    <s v="SP_14"/>
    <n v="3"/>
    <n v="22803.24"/>
    <n v="68409.72"/>
    <n v="52277.14"/>
    <n v="16132.58"/>
    <s v="Cash"/>
  </r>
  <r>
    <s v="ORD101696"/>
    <s v="2025-10-12"/>
    <x v="1"/>
    <s v="West"/>
    <s v="Rajasthan"/>
    <s v="Jaipur"/>
    <x v="3"/>
    <x v="7"/>
    <s v="CUST1635"/>
    <s v="SP_12"/>
    <n v="4"/>
    <n v="10804.75"/>
    <n v="43219"/>
    <n v="37146.14"/>
    <n v="6072.86"/>
    <s v="Credit Card"/>
  </r>
  <r>
    <s v="ORD101697"/>
    <s v="2025-08-29"/>
    <x v="11"/>
    <s v="South"/>
    <s v="Karnataka"/>
    <s v="Bengaluru"/>
    <x v="0"/>
    <x v="0"/>
    <s v="CUST1832"/>
    <s v="SP_01"/>
    <n v="7"/>
    <n v="3170.99"/>
    <n v="22196.93"/>
    <n v="15364.42"/>
    <n v="6832.51"/>
    <s v="Debit Card"/>
  </r>
  <r>
    <s v="ORD101698"/>
    <s v="2025-02-20"/>
    <x v="8"/>
    <s v="West"/>
    <s v="Maharashtra"/>
    <s v="Mumbai"/>
    <x v="3"/>
    <x v="11"/>
    <s v="CUST1422"/>
    <s v="SP_12"/>
    <n v="6"/>
    <n v="118.87"/>
    <n v="713.22"/>
    <n v="360.03"/>
    <n v="353.19"/>
    <s v="Debit Card"/>
  </r>
  <r>
    <s v="ORD101699"/>
    <s v="2025-07-11"/>
    <x v="6"/>
    <s v="East"/>
    <s v="Odisha"/>
    <s v="Bhubaneswar"/>
    <x v="2"/>
    <x v="4"/>
    <s v="CUST1461"/>
    <s v="SP_13"/>
    <n v="1"/>
    <n v="2524.5100000000002"/>
    <n v="2524.5100000000002"/>
    <n v="1604.13"/>
    <n v="920.38"/>
    <s v="Credit Card"/>
  </r>
  <r>
    <s v="ORD101700"/>
    <s v="2025-02-03"/>
    <x v="8"/>
    <s v="East"/>
    <s v="Odisha"/>
    <s v="Bhubaneswar"/>
    <x v="2"/>
    <x v="10"/>
    <s v="CUST1303"/>
    <s v="SP_11"/>
    <n v="8"/>
    <n v="19033.32"/>
    <n v="152266.56"/>
    <n v="116055.66"/>
    <n v="36210.9"/>
    <s v="Cash"/>
  </r>
  <r>
    <s v="ORD101701"/>
    <s v="2025-07-20"/>
    <x v="6"/>
    <s v="North"/>
    <s v="Delhi"/>
    <s v="Delhi"/>
    <x v="2"/>
    <x v="10"/>
    <s v="CUST1121"/>
    <s v="SP_05"/>
    <n v="1"/>
    <n v="18756.150000000001"/>
    <n v="18756.150000000001"/>
    <n v="13837.07"/>
    <n v="4919.08"/>
    <s v="Debit Card"/>
  </r>
  <r>
    <s v="ORD101702"/>
    <s v="2025-07-27"/>
    <x v="6"/>
    <s v="West"/>
    <s v="Maharashtra"/>
    <s v="Mumbai"/>
    <x v="2"/>
    <x v="10"/>
    <s v="CUST1004"/>
    <s v="SP_06"/>
    <n v="8"/>
    <n v="16720.439999999999"/>
    <n v="133763.51999999999"/>
    <n v="111595.6"/>
    <n v="22167.919999999998"/>
    <s v="Net Banking"/>
  </r>
  <r>
    <s v="ORD101703"/>
    <s v="2025-09-26"/>
    <x v="5"/>
    <s v="South"/>
    <s v="Tamil Nadu"/>
    <s v="Chennai"/>
    <x v="0"/>
    <x v="0"/>
    <s v="CUST1413"/>
    <s v="SP_11"/>
    <n v="8"/>
    <n v="3788.93"/>
    <n v="30311.439999999999"/>
    <n v="16997.03"/>
    <n v="13314.41"/>
    <s v="Net Banking"/>
  </r>
  <r>
    <s v="ORD101704"/>
    <s v="2025-11-27"/>
    <x v="10"/>
    <s v="West"/>
    <s v="Gujarat"/>
    <s v="Ahmedabad"/>
    <x v="0"/>
    <x v="9"/>
    <s v="CUST1498"/>
    <s v="SP_15"/>
    <n v="6"/>
    <n v="7519.97"/>
    <n v="45119.82"/>
    <n v="28607.08"/>
    <n v="16512.740000000002"/>
    <s v="Debit Card"/>
  </r>
  <r>
    <s v="ORD101705"/>
    <s v="2025-12-23"/>
    <x v="7"/>
    <s v="East"/>
    <s v="West Bengal"/>
    <s v="Kolkata"/>
    <x v="1"/>
    <x v="6"/>
    <s v="CUST1760"/>
    <s v="SP_02"/>
    <n v="2"/>
    <n v="2903.6"/>
    <n v="5807.2"/>
    <n v="4565.24"/>
    <n v="1241.96"/>
    <s v="Cash"/>
  </r>
  <r>
    <s v="ORD101706"/>
    <s v="2025-03-24"/>
    <x v="4"/>
    <s v="West"/>
    <s v="Rajasthan"/>
    <s v="Jaipur"/>
    <x v="3"/>
    <x v="7"/>
    <s v="CUST1637"/>
    <s v="SP_15"/>
    <n v="5"/>
    <n v="11692.62"/>
    <n v="58463.1"/>
    <n v="43070.73"/>
    <n v="15392.37"/>
    <s v="Net Banking"/>
  </r>
  <r>
    <s v="ORD101707"/>
    <s v="2025-04-05"/>
    <x v="0"/>
    <s v="West"/>
    <s v="Rajasthan"/>
    <s v="Jaipur"/>
    <x v="2"/>
    <x v="10"/>
    <s v="CUST1002"/>
    <s v="SP_08"/>
    <n v="2"/>
    <n v="19714.37"/>
    <n v="39428.74"/>
    <n v="29250.86"/>
    <n v="10177.879999999999"/>
    <s v="Cash"/>
  </r>
  <r>
    <s v="ORD101708"/>
    <s v="2025-12-06"/>
    <x v="7"/>
    <s v="East"/>
    <s v="West Bengal"/>
    <s v="Kolkata"/>
    <x v="1"/>
    <x v="6"/>
    <s v="CUST1150"/>
    <s v="SP_10"/>
    <n v="4"/>
    <n v="3279.27"/>
    <n v="13117.08"/>
    <n v="9794.91"/>
    <n v="3322.17"/>
    <s v="Credit Card"/>
  </r>
  <r>
    <s v="ORD101709"/>
    <s v="2025-05-06"/>
    <x v="3"/>
    <s v="East"/>
    <s v="Odisha"/>
    <s v="Bhubaneswar"/>
    <x v="3"/>
    <x v="11"/>
    <s v="CUST1697"/>
    <s v="SP_09"/>
    <n v="3"/>
    <n v="119.14"/>
    <n v="357.42"/>
    <n v="173.06"/>
    <n v="184.36"/>
    <s v="Credit Card"/>
  </r>
  <r>
    <s v="ORD101710"/>
    <s v="2025-05-07"/>
    <x v="3"/>
    <s v="East"/>
    <s v="West Bengal"/>
    <s v="Kolkata"/>
    <x v="3"/>
    <x v="3"/>
    <s v="CUST1516"/>
    <s v="SP_13"/>
    <n v="6"/>
    <n v="22.92"/>
    <n v="137.52000000000001"/>
    <n v="62.4"/>
    <n v="75.12"/>
    <s v="Cash"/>
  </r>
  <r>
    <s v="ORD101711"/>
    <s v="2025-08-31"/>
    <x v="11"/>
    <s v="East"/>
    <s v="Bihar"/>
    <s v="Patna"/>
    <x v="3"/>
    <x v="3"/>
    <s v="CUST1466"/>
    <s v="SP_13"/>
    <n v="2"/>
    <n v="24.86"/>
    <n v="49.72"/>
    <n v="19.02"/>
    <n v="30.7"/>
    <s v="UPI"/>
  </r>
  <r>
    <s v="ORD101712"/>
    <s v="2025-05-28"/>
    <x v="3"/>
    <s v="West"/>
    <s v="Rajasthan"/>
    <s v="Jaipur"/>
    <x v="3"/>
    <x v="3"/>
    <s v="CUST1337"/>
    <s v="SP_14"/>
    <n v="8"/>
    <n v="25.96"/>
    <n v="207.68"/>
    <n v="78.14"/>
    <n v="129.54"/>
    <s v="Credit Card"/>
  </r>
  <r>
    <s v="ORD101713"/>
    <s v="2025-07-12"/>
    <x v="6"/>
    <s v="West"/>
    <s v="Rajasthan"/>
    <s v="Jaipur"/>
    <x v="3"/>
    <x v="3"/>
    <s v="CUST1722"/>
    <s v="SP_04"/>
    <n v="1"/>
    <n v="22.9"/>
    <n v="22.9"/>
    <n v="9.8000000000000007"/>
    <n v="13.1"/>
    <s v="Debit Card"/>
  </r>
  <r>
    <s v="ORD101714"/>
    <s v="2025-08-09"/>
    <x v="11"/>
    <s v="East"/>
    <s v="Bihar"/>
    <s v="Patna"/>
    <x v="2"/>
    <x v="10"/>
    <s v="CUST1234"/>
    <s v="SP_12"/>
    <n v="8"/>
    <n v="17544.32"/>
    <n v="140354.56"/>
    <n v="116287.43"/>
    <n v="24067.13"/>
    <s v="Debit Card"/>
  </r>
  <r>
    <s v="ORD101715"/>
    <s v="2025-09-07"/>
    <x v="5"/>
    <s v="East"/>
    <s v="Odisha"/>
    <s v="Bhubaneswar"/>
    <x v="3"/>
    <x v="11"/>
    <s v="CUST1886"/>
    <s v="SP_10"/>
    <n v="7"/>
    <n v="115.21"/>
    <n v="806.47"/>
    <n v="435.31"/>
    <n v="371.16"/>
    <s v="Credit Card"/>
  </r>
  <r>
    <s v="ORD101716"/>
    <s v="2025-10-04"/>
    <x v="1"/>
    <s v="North"/>
    <s v="Punjab"/>
    <s v="Chandigarh"/>
    <x v="1"/>
    <x v="6"/>
    <s v="CUST1987"/>
    <s v="SP_11"/>
    <n v="8"/>
    <n v="3187.68"/>
    <n v="25501.439999999999"/>
    <n v="18965.53"/>
    <n v="6535.91"/>
    <s v="Debit Card"/>
  </r>
  <r>
    <s v="ORD101717"/>
    <s v="2025-08-29"/>
    <x v="11"/>
    <s v="North"/>
    <s v="Punjab"/>
    <s v="Chandigarh"/>
    <x v="1"/>
    <x v="1"/>
    <s v="CUST1945"/>
    <s v="SP_03"/>
    <n v="1"/>
    <n v="2629.02"/>
    <n v="2629.02"/>
    <n v="1877.95"/>
    <n v="751.07"/>
    <s v="Debit Card"/>
  </r>
  <r>
    <s v="ORD101718"/>
    <s v="2025-06-09"/>
    <x v="2"/>
    <s v="West"/>
    <s v="Maharashtra"/>
    <s v="Mumbai"/>
    <x v="3"/>
    <x v="3"/>
    <s v="CUST1287"/>
    <s v="SP_09"/>
    <n v="2"/>
    <n v="22.77"/>
    <n v="45.54"/>
    <n v="20.14"/>
    <n v="25.4"/>
    <s v="Debit Card"/>
  </r>
  <r>
    <s v="ORD101719"/>
    <s v="2025-08-08"/>
    <x v="11"/>
    <s v="East"/>
    <s v="West Bengal"/>
    <s v="Kolkata"/>
    <x v="2"/>
    <x v="10"/>
    <s v="CUST1587"/>
    <s v="SP_07"/>
    <n v="1"/>
    <n v="19286.080000000002"/>
    <n v="19286.080000000002"/>
    <n v="14699.75"/>
    <n v="4586.33"/>
    <s v="UPI"/>
  </r>
  <r>
    <s v="ORD101720"/>
    <s v="2025-07-28"/>
    <x v="6"/>
    <s v="South"/>
    <s v="Karnataka"/>
    <s v="Bengaluru"/>
    <x v="2"/>
    <x v="10"/>
    <s v="CUST1599"/>
    <s v="SP_11"/>
    <n v="5"/>
    <n v="19590.86"/>
    <n v="97954.3"/>
    <n v="71972.06"/>
    <n v="25982.240000000002"/>
    <s v="Cash"/>
  </r>
  <r>
    <s v="ORD101721"/>
    <s v="2025-04-18"/>
    <x v="0"/>
    <s v="West"/>
    <s v="Rajasthan"/>
    <s v="Jaipur"/>
    <x v="1"/>
    <x v="5"/>
    <s v="CUST1894"/>
    <s v="SP_13"/>
    <n v="2"/>
    <n v="9738.26"/>
    <n v="19476.52"/>
    <n v="14509.55"/>
    <n v="4966.97"/>
    <s v="Cash"/>
  </r>
  <r>
    <s v="ORD101722"/>
    <s v="2025-03-20"/>
    <x v="4"/>
    <s v="North"/>
    <s v="Delhi"/>
    <s v="Delhi"/>
    <x v="1"/>
    <x v="1"/>
    <s v="CUST1375"/>
    <s v="SP_07"/>
    <n v="6"/>
    <n v="2597.31"/>
    <n v="15583.86"/>
    <n v="11038.6"/>
    <n v="4545.26"/>
    <s v="Credit Card"/>
  </r>
  <r>
    <s v="ORD101723"/>
    <s v="2025-06-30"/>
    <x v="2"/>
    <s v="West"/>
    <s v="Maharashtra"/>
    <s v="Mumbai"/>
    <x v="3"/>
    <x v="7"/>
    <s v="CUST1372"/>
    <s v="SP_07"/>
    <n v="8"/>
    <n v="11142.44"/>
    <n v="89139.520000000004"/>
    <n v="74148.84"/>
    <n v="14990.68"/>
    <s v="UPI"/>
  </r>
  <r>
    <s v="ORD101724"/>
    <s v="2025-07-15"/>
    <x v="6"/>
    <s v="South"/>
    <s v="Telangana"/>
    <s v="Hyderabad"/>
    <x v="2"/>
    <x v="4"/>
    <s v="CUST1667"/>
    <s v="SP_07"/>
    <n v="5"/>
    <n v="2535.37"/>
    <n v="12676.85"/>
    <n v="7808.39"/>
    <n v="4868.46"/>
    <s v="Net Banking"/>
  </r>
  <r>
    <s v="ORD101725"/>
    <s v="2025-08-20"/>
    <x v="11"/>
    <s v="South"/>
    <s v="Tamil Nadu"/>
    <s v="Chennai"/>
    <x v="1"/>
    <x v="1"/>
    <s v="CUST1864"/>
    <s v="SP_07"/>
    <n v="3"/>
    <n v="2920.22"/>
    <n v="8760.66"/>
    <n v="5928.37"/>
    <n v="2832.29"/>
    <s v="Cash"/>
  </r>
  <r>
    <s v="ORD101726"/>
    <s v="2025-05-15"/>
    <x v="3"/>
    <s v="East"/>
    <s v="Odisha"/>
    <s v="Bhubaneswar"/>
    <x v="0"/>
    <x v="9"/>
    <s v="CUST1603"/>
    <s v="SP_06"/>
    <n v="6"/>
    <n v="7541"/>
    <n v="45246"/>
    <n v="30092.880000000001"/>
    <n v="15153.12"/>
    <s v="Credit Card"/>
  </r>
  <r>
    <s v="ORD101727"/>
    <s v="2025-11-29"/>
    <x v="10"/>
    <s v="East"/>
    <s v="West Bengal"/>
    <s v="Kolkata"/>
    <x v="0"/>
    <x v="8"/>
    <s v="CUST1797"/>
    <s v="SP_09"/>
    <n v="6"/>
    <n v="22091.279999999999"/>
    <n v="132547.68"/>
    <n v="100871.08"/>
    <n v="31676.6"/>
    <s v="Net Banking"/>
  </r>
  <r>
    <s v="ORD101728"/>
    <s v="2025-11-20"/>
    <x v="10"/>
    <s v="East"/>
    <s v="Odisha"/>
    <s v="Bhubaneswar"/>
    <x v="3"/>
    <x v="11"/>
    <s v="CUST1907"/>
    <s v="SP_07"/>
    <n v="5"/>
    <n v="129.31"/>
    <n v="646.54999999999995"/>
    <n v="304.32"/>
    <n v="342.23"/>
    <s v="Net Banking"/>
  </r>
  <r>
    <s v="ORD101729"/>
    <s v="2025-04-13"/>
    <x v="0"/>
    <s v="East"/>
    <s v="Bihar"/>
    <s v="Patna"/>
    <x v="3"/>
    <x v="7"/>
    <s v="CUST1805"/>
    <s v="SP_10"/>
    <n v="5"/>
    <n v="13190.09"/>
    <n v="65950.45"/>
    <n v="46489.8"/>
    <n v="19460.650000000001"/>
    <s v="Credit Card"/>
  </r>
  <r>
    <s v="ORD101730"/>
    <s v="2025-11-20"/>
    <x v="10"/>
    <s v="South"/>
    <s v="Tamil Nadu"/>
    <s v="Chennai"/>
    <x v="0"/>
    <x v="0"/>
    <s v="CUST1680"/>
    <s v="SP_01"/>
    <n v="6"/>
    <n v="3627.38"/>
    <n v="21764.28"/>
    <n v="13375.24"/>
    <n v="8389.0400000000009"/>
    <s v="Cash"/>
  </r>
  <r>
    <s v="ORD101731"/>
    <s v="2025-05-12"/>
    <x v="3"/>
    <s v="North"/>
    <s v="Uttar Pradesh"/>
    <s v="Lucknow"/>
    <x v="3"/>
    <x v="11"/>
    <s v="CUST1517"/>
    <s v="SP_13"/>
    <n v="7"/>
    <n v="131.36000000000001"/>
    <n v="919.52"/>
    <n v="410.71"/>
    <n v="508.81"/>
    <s v="Cash"/>
  </r>
  <r>
    <s v="ORD101732"/>
    <s v="2025-03-15"/>
    <x v="4"/>
    <s v="East"/>
    <s v="West Bengal"/>
    <s v="Kolkata"/>
    <x v="2"/>
    <x v="4"/>
    <s v="CUST1283"/>
    <s v="SP_05"/>
    <n v="2"/>
    <n v="2461.14"/>
    <n v="4922.28"/>
    <n v="3196.91"/>
    <n v="1725.37"/>
    <s v="Cash"/>
  </r>
  <r>
    <s v="ORD101733"/>
    <s v="2025-06-06"/>
    <x v="2"/>
    <s v="East"/>
    <s v="Odisha"/>
    <s v="Bhubaneswar"/>
    <x v="3"/>
    <x v="7"/>
    <s v="CUST1517"/>
    <s v="SP_03"/>
    <n v="5"/>
    <n v="12372.13"/>
    <n v="61860.65"/>
    <n v="46987.85"/>
    <n v="14872.8"/>
    <s v="Credit Card"/>
  </r>
  <r>
    <s v="ORD101734"/>
    <s v="2025-03-07"/>
    <x v="4"/>
    <s v="East"/>
    <s v="Bihar"/>
    <s v="Patna"/>
    <x v="0"/>
    <x v="8"/>
    <s v="CUST1596"/>
    <s v="SP_04"/>
    <n v="3"/>
    <n v="19841.98"/>
    <n v="59525.94"/>
    <n v="50798.38"/>
    <n v="8727.56"/>
    <s v="Debit Card"/>
  </r>
  <r>
    <s v="ORD101735"/>
    <s v="2025-08-14"/>
    <x v="11"/>
    <s v="East"/>
    <s v="Odisha"/>
    <s v="Bhubaneswar"/>
    <x v="3"/>
    <x v="7"/>
    <s v="CUST1224"/>
    <s v="SP_01"/>
    <n v="4"/>
    <n v="12139.78"/>
    <n v="48559.12"/>
    <n v="36490.800000000003"/>
    <n v="12068.32"/>
    <s v="Debit Card"/>
  </r>
  <r>
    <s v="ORD101736"/>
    <s v="2025-08-10"/>
    <x v="11"/>
    <s v="South"/>
    <s v="Karnataka"/>
    <s v="Bengaluru"/>
    <x v="1"/>
    <x v="5"/>
    <s v="CUST1398"/>
    <s v="SP_04"/>
    <n v="1"/>
    <n v="9680.0499999999993"/>
    <n v="9680.0499999999993"/>
    <n v="7756.4"/>
    <n v="1923.65"/>
    <s v="Net Banking"/>
  </r>
  <r>
    <s v="ORD101737"/>
    <s v="2025-01-24"/>
    <x v="9"/>
    <s v="South"/>
    <s v="Telangana"/>
    <s v="Hyderabad"/>
    <x v="0"/>
    <x v="9"/>
    <s v="CUST1241"/>
    <s v="SP_05"/>
    <n v="4"/>
    <n v="6561.15"/>
    <n v="26244.6"/>
    <n v="19267.02"/>
    <n v="6977.58"/>
    <s v="Credit Card"/>
  </r>
  <r>
    <s v="ORD101738"/>
    <s v="2025-12-04"/>
    <x v="7"/>
    <s v="West"/>
    <s v="Gujarat"/>
    <s v="Ahmedabad"/>
    <x v="1"/>
    <x v="1"/>
    <s v="CUST1838"/>
    <s v="SP_03"/>
    <n v="4"/>
    <n v="2656.76"/>
    <n v="10627.04"/>
    <n v="7927.44"/>
    <n v="2699.6"/>
    <s v="UPI"/>
  </r>
  <r>
    <s v="ORD101739"/>
    <s v="2025-11-28"/>
    <x v="10"/>
    <s v="South"/>
    <s v="Tamil Nadu"/>
    <s v="Chennai"/>
    <x v="2"/>
    <x v="2"/>
    <s v="CUST1517"/>
    <s v="SP_01"/>
    <n v="8"/>
    <n v="46474.23"/>
    <n v="371793.84"/>
    <n v="287799.74"/>
    <n v="83994.1"/>
    <s v="UPI"/>
  </r>
  <r>
    <s v="ORD101740"/>
    <s v="2025-04-18"/>
    <x v="0"/>
    <s v="East"/>
    <s v="Bihar"/>
    <s v="Patna"/>
    <x v="0"/>
    <x v="9"/>
    <s v="CUST1898"/>
    <s v="SP_10"/>
    <n v="1"/>
    <n v="6764.54"/>
    <n v="6764.54"/>
    <n v="5061.8"/>
    <n v="1702.74"/>
    <s v="Cash"/>
  </r>
  <r>
    <s v="ORD101741"/>
    <s v="2025-11-26"/>
    <x v="10"/>
    <s v="South"/>
    <s v="Karnataka"/>
    <s v="Bengaluru"/>
    <x v="2"/>
    <x v="4"/>
    <s v="CUST1451"/>
    <s v="SP_05"/>
    <n v="6"/>
    <n v="2512.11"/>
    <n v="15072.66"/>
    <n v="9828.36"/>
    <n v="5244.3"/>
    <s v="UPI"/>
  </r>
  <r>
    <s v="ORD101742"/>
    <s v="2025-06-11"/>
    <x v="2"/>
    <s v="North"/>
    <s v="Uttar Pradesh"/>
    <s v="Lucknow"/>
    <x v="0"/>
    <x v="8"/>
    <s v="CUST1884"/>
    <s v="SP_07"/>
    <n v="3"/>
    <n v="22049.040000000001"/>
    <n v="66147.12"/>
    <n v="51322.76"/>
    <n v="14824.36"/>
    <s v="Net Banking"/>
  </r>
  <r>
    <s v="ORD101743"/>
    <s v="2025-07-17"/>
    <x v="6"/>
    <s v="South"/>
    <s v="Telangana"/>
    <s v="Hyderabad"/>
    <x v="1"/>
    <x v="5"/>
    <s v="CUST1554"/>
    <s v="SP_15"/>
    <n v="1"/>
    <n v="9049.26"/>
    <n v="9049.26"/>
    <n v="7678.56"/>
    <n v="1370.7"/>
    <s v="Net Banking"/>
  </r>
  <r>
    <s v="ORD101744"/>
    <s v="2025-06-17"/>
    <x v="2"/>
    <s v="East"/>
    <s v="Odisha"/>
    <s v="Bhubaneswar"/>
    <x v="2"/>
    <x v="10"/>
    <s v="CUST1184"/>
    <s v="SP_12"/>
    <n v="7"/>
    <n v="17672.57"/>
    <n v="123707.99"/>
    <n v="95211.520000000004"/>
    <n v="28496.47"/>
    <s v="Credit Card"/>
  </r>
  <r>
    <s v="ORD101745"/>
    <s v="2025-08-09"/>
    <x v="11"/>
    <s v="East"/>
    <s v="West Bengal"/>
    <s v="Kolkata"/>
    <x v="0"/>
    <x v="9"/>
    <s v="CUST1508"/>
    <s v="SP_07"/>
    <n v="3"/>
    <n v="7025.18"/>
    <n v="21075.54"/>
    <n v="15045.56"/>
    <n v="6029.98"/>
    <s v="Debit Card"/>
  </r>
  <r>
    <s v="ORD101746"/>
    <s v="2025-01-11"/>
    <x v="9"/>
    <s v="South"/>
    <s v="Telangana"/>
    <s v="Hyderabad"/>
    <x v="3"/>
    <x v="7"/>
    <s v="CUST1468"/>
    <s v="SP_12"/>
    <n v="4"/>
    <n v="12371.37"/>
    <n v="49485.48"/>
    <n v="34840"/>
    <n v="14645.48"/>
    <s v="Credit Card"/>
  </r>
  <r>
    <s v="ORD101747"/>
    <s v="2025-10-12"/>
    <x v="1"/>
    <s v="West"/>
    <s v="Rajasthan"/>
    <s v="Jaipur"/>
    <x v="3"/>
    <x v="11"/>
    <s v="CUST1135"/>
    <s v="SP_01"/>
    <n v="6"/>
    <n v="122.56"/>
    <n v="735.36"/>
    <n v="357.63"/>
    <n v="377.73"/>
    <s v="Cash"/>
  </r>
  <r>
    <s v="ORD101748"/>
    <s v="2025-05-04"/>
    <x v="3"/>
    <s v="South"/>
    <s v="Tamil Nadu"/>
    <s v="Chennai"/>
    <x v="2"/>
    <x v="2"/>
    <s v="CUST1457"/>
    <s v="SP_11"/>
    <n v="2"/>
    <n v="43590.080000000002"/>
    <n v="87180.160000000003"/>
    <n v="73099.789999999994"/>
    <n v="14080.37"/>
    <s v="Debit Card"/>
  </r>
  <r>
    <s v="ORD101749"/>
    <s v="2025-10-02"/>
    <x v="1"/>
    <s v="West"/>
    <s v="Gujarat"/>
    <s v="Ahmedabad"/>
    <x v="3"/>
    <x v="7"/>
    <s v="CUST1460"/>
    <s v="SP_09"/>
    <n v="4"/>
    <n v="11146.48"/>
    <n v="44585.919999999998"/>
    <n v="37230.93"/>
    <n v="7354.99"/>
    <s v="Credit Card"/>
  </r>
  <r>
    <s v="ORD101750"/>
    <s v="2025-04-01"/>
    <x v="0"/>
    <s v="South"/>
    <s v="Tamil Nadu"/>
    <s v="Chennai"/>
    <x v="2"/>
    <x v="2"/>
    <s v="CUST1218"/>
    <s v="SP_12"/>
    <n v="1"/>
    <n v="46401.53"/>
    <n v="46401.53"/>
    <n v="36037.15"/>
    <n v="10364.379999999999"/>
    <s v="Debit Card"/>
  </r>
  <r>
    <s v="ORD101751"/>
    <s v="2025-09-23"/>
    <x v="5"/>
    <s v="East"/>
    <s v="West Bengal"/>
    <s v="Kolkata"/>
    <x v="3"/>
    <x v="11"/>
    <s v="CUST1525"/>
    <s v="SP_06"/>
    <n v="4"/>
    <n v="110.66"/>
    <n v="442.64"/>
    <n v="248.37"/>
    <n v="194.27"/>
    <s v="Cash"/>
  </r>
  <r>
    <s v="ORD101752"/>
    <s v="2025-05-08"/>
    <x v="3"/>
    <s v="South"/>
    <s v="Karnataka"/>
    <s v="Bengaluru"/>
    <x v="3"/>
    <x v="3"/>
    <s v="CUST1663"/>
    <s v="SP_15"/>
    <n v="5"/>
    <n v="24.31"/>
    <n v="121.55"/>
    <n v="48.09"/>
    <n v="73.459999999999994"/>
    <s v="Cash"/>
  </r>
  <r>
    <s v="ORD101753"/>
    <s v="2025-10-07"/>
    <x v="1"/>
    <s v="South"/>
    <s v="Karnataka"/>
    <s v="Bengaluru"/>
    <x v="3"/>
    <x v="7"/>
    <s v="CUST1910"/>
    <s v="SP_12"/>
    <n v="4"/>
    <n v="11573.88"/>
    <n v="46295.519999999997"/>
    <n v="35004.89"/>
    <n v="11290.63"/>
    <s v="Debit Card"/>
  </r>
  <r>
    <s v="ORD101754"/>
    <s v="2025-02-02"/>
    <x v="8"/>
    <s v="West"/>
    <s v="Rajasthan"/>
    <s v="Jaipur"/>
    <x v="1"/>
    <x v="5"/>
    <s v="CUST1252"/>
    <s v="SP_03"/>
    <n v="5"/>
    <n v="10240.08"/>
    <n v="51200.4"/>
    <n v="37509.129999999997"/>
    <n v="13691.27"/>
    <s v="Cash"/>
  </r>
  <r>
    <s v="ORD101755"/>
    <s v="2025-06-06"/>
    <x v="2"/>
    <s v="South"/>
    <s v="Karnataka"/>
    <s v="Bengaluru"/>
    <x v="3"/>
    <x v="11"/>
    <s v="CUST1809"/>
    <s v="SP_05"/>
    <n v="7"/>
    <n v="119.22"/>
    <n v="834.54"/>
    <n v="413.18"/>
    <n v="421.36"/>
    <s v="Debit Card"/>
  </r>
  <r>
    <s v="ORD101756"/>
    <s v="2025-05-03"/>
    <x v="3"/>
    <s v="North"/>
    <s v="Uttar Pradesh"/>
    <s v="Lucknow"/>
    <x v="1"/>
    <x v="5"/>
    <s v="CUST1029"/>
    <s v="SP_12"/>
    <n v="1"/>
    <n v="10348.15"/>
    <n v="10348.15"/>
    <n v="7673.87"/>
    <n v="2674.28"/>
    <s v="Cash"/>
  </r>
  <r>
    <s v="ORD101757"/>
    <s v="2025-10-06"/>
    <x v="1"/>
    <s v="East"/>
    <s v="Odisha"/>
    <s v="Bhubaneswar"/>
    <x v="1"/>
    <x v="1"/>
    <s v="CUST1436"/>
    <s v="SP_07"/>
    <n v="1"/>
    <n v="3049.86"/>
    <n v="3049.86"/>
    <n v="1973.18"/>
    <n v="1076.68"/>
    <s v="Credit Card"/>
  </r>
  <r>
    <s v="ORD101758"/>
    <s v="2025-11-03"/>
    <x v="10"/>
    <s v="South"/>
    <s v="Tamil Nadu"/>
    <s v="Chennai"/>
    <x v="1"/>
    <x v="5"/>
    <s v="CUST1033"/>
    <s v="SP_12"/>
    <n v="6"/>
    <n v="9285.5499999999993"/>
    <n v="55713.3"/>
    <n v="46503.040000000001"/>
    <n v="9210.26"/>
    <s v="UPI"/>
  </r>
  <r>
    <s v="ORD101759"/>
    <s v="2025-04-22"/>
    <x v="0"/>
    <s v="East"/>
    <s v="Odisha"/>
    <s v="Bhubaneswar"/>
    <x v="1"/>
    <x v="5"/>
    <s v="CUST1462"/>
    <s v="SP_06"/>
    <n v="4"/>
    <n v="9789.31"/>
    <n v="39157.24"/>
    <n v="29093.65"/>
    <n v="10063.59"/>
    <s v="Debit Card"/>
  </r>
  <r>
    <s v="ORD101760"/>
    <s v="2025-07-25"/>
    <x v="6"/>
    <s v="East"/>
    <s v="Bihar"/>
    <s v="Patna"/>
    <x v="3"/>
    <x v="7"/>
    <s v="CUST1915"/>
    <s v="SP_09"/>
    <n v="1"/>
    <n v="11888.24"/>
    <n v="11888.24"/>
    <n v="8699.1"/>
    <n v="3189.14"/>
    <s v="Credit Card"/>
  </r>
  <r>
    <s v="ORD101761"/>
    <s v="2025-06-25"/>
    <x v="2"/>
    <s v="West"/>
    <s v="Gujarat"/>
    <s v="Ahmedabad"/>
    <x v="1"/>
    <x v="1"/>
    <s v="CUST1603"/>
    <s v="SP_04"/>
    <n v="7"/>
    <n v="3004.68"/>
    <n v="21032.76"/>
    <n v="12822.13"/>
    <n v="8210.6299999999992"/>
    <s v="Debit Card"/>
  </r>
  <r>
    <s v="ORD101762"/>
    <s v="2025-08-10"/>
    <x v="11"/>
    <s v="West"/>
    <s v="Rajasthan"/>
    <s v="Jaipur"/>
    <x v="3"/>
    <x v="7"/>
    <s v="CUST1062"/>
    <s v="SP_04"/>
    <n v="7"/>
    <n v="12481.22"/>
    <n v="87368.54"/>
    <n v="65222.73"/>
    <n v="22145.81"/>
    <s v="Cash"/>
  </r>
  <r>
    <s v="ORD101763"/>
    <s v="2025-08-03"/>
    <x v="11"/>
    <s v="West"/>
    <s v="Maharashtra"/>
    <s v="Mumbai"/>
    <x v="0"/>
    <x v="9"/>
    <s v="CUST1698"/>
    <s v="SP_10"/>
    <n v="5"/>
    <n v="7549.81"/>
    <n v="37749.050000000003"/>
    <n v="25397.98"/>
    <n v="12351.07"/>
    <s v="Net Banking"/>
  </r>
  <r>
    <s v="ORD101764"/>
    <s v="2025-07-08"/>
    <x v="6"/>
    <s v="East"/>
    <s v="Odisha"/>
    <s v="Bhubaneswar"/>
    <x v="1"/>
    <x v="5"/>
    <s v="CUST1266"/>
    <s v="SP_13"/>
    <n v="6"/>
    <n v="9392.02"/>
    <n v="56352.12"/>
    <n v="46136.1"/>
    <n v="10216.02"/>
    <s v="UPI"/>
  </r>
  <r>
    <s v="ORD101765"/>
    <s v="2025-09-29"/>
    <x v="5"/>
    <s v="East"/>
    <s v="Bihar"/>
    <s v="Patna"/>
    <x v="3"/>
    <x v="7"/>
    <s v="CUST1226"/>
    <s v="SP_12"/>
    <n v="4"/>
    <n v="12294.14"/>
    <n v="49176.56"/>
    <n v="36072.519999999997"/>
    <n v="13104.04"/>
    <s v="Debit Card"/>
  </r>
  <r>
    <s v="ORD101766"/>
    <s v="2025-01-27"/>
    <x v="9"/>
    <s v="South"/>
    <s v="Telangana"/>
    <s v="Hyderabad"/>
    <x v="2"/>
    <x v="10"/>
    <s v="CUST1879"/>
    <s v="SP_04"/>
    <n v="3"/>
    <n v="19211.349999999999"/>
    <n v="57634.05"/>
    <n v="40193.26"/>
    <n v="17440.79"/>
    <s v="Cash"/>
  </r>
  <r>
    <s v="ORD101767"/>
    <s v="2025-09-06"/>
    <x v="5"/>
    <s v="North"/>
    <s v="Delhi"/>
    <s v="Delhi"/>
    <x v="1"/>
    <x v="5"/>
    <s v="CUST1867"/>
    <s v="SP_05"/>
    <n v="4"/>
    <n v="9208.48"/>
    <n v="36833.919999999998"/>
    <n v="30162.36"/>
    <n v="6671.56"/>
    <s v="Credit Card"/>
  </r>
  <r>
    <s v="ORD101768"/>
    <s v="2025-03-06"/>
    <x v="4"/>
    <s v="North"/>
    <s v="Punjab"/>
    <s v="Chandigarh"/>
    <x v="3"/>
    <x v="7"/>
    <s v="CUST1811"/>
    <s v="SP_10"/>
    <n v="6"/>
    <n v="11677.15"/>
    <n v="70062.899999999994"/>
    <n v="51542.29"/>
    <n v="18520.61"/>
    <s v="UPI"/>
  </r>
  <r>
    <s v="ORD101769"/>
    <s v="2025-01-12"/>
    <x v="9"/>
    <s v="North"/>
    <s v="Delhi"/>
    <s v="Delhi"/>
    <x v="2"/>
    <x v="2"/>
    <s v="CUST1084"/>
    <s v="SP_01"/>
    <n v="6"/>
    <n v="43310.53"/>
    <n v="259863.18"/>
    <n v="217904.71"/>
    <n v="41958.47"/>
    <s v="Net Banking"/>
  </r>
  <r>
    <s v="ORD101770"/>
    <s v="2025-03-18"/>
    <x v="4"/>
    <s v="West"/>
    <s v="Maharashtra"/>
    <s v="Mumbai"/>
    <x v="3"/>
    <x v="7"/>
    <s v="CUST1551"/>
    <s v="SP_11"/>
    <n v="2"/>
    <n v="12350.31"/>
    <n v="24700.62"/>
    <n v="18520.16"/>
    <n v="6180.46"/>
    <s v="Credit Card"/>
  </r>
  <r>
    <s v="ORD101771"/>
    <s v="2025-07-15"/>
    <x v="6"/>
    <s v="North"/>
    <s v="Punjab"/>
    <s v="Chandigarh"/>
    <x v="1"/>
    <x v="1"/>
    <s v="CUST1762"/>
    <s v="SP_06"/>
    <n v="4"/>
    <n v="3062.93"/>
    <n v="12251.72"/>
    <n v="7258.26"/>
    <n v="4993.46"/>
    <s v="Cash"/>
  </r>
  <r>
    <s v="ORD101772"/>
    <s v="2025-02-22"/>
    <x v="8"/>
    <s v="West"/>
    <s v="Maharashtra"/>
    <s v="Mumbai"/>
    <x v="0"/>
    <x v="9"/>
    <s v="CUST1355"/>
    <s v="SP_07"/>
    <n v="4"/>
    <n v="6301.99"/>
    <n v="25207.96"/>
    <n v="20293.490000000002"/>
    <n v="4914.47"/>
    <s v="Debit Card"/>
  </r>
  <r>
    <s v="ORD101773"/>
    <s v="2025-12-05"/>
    <x v="7"/>
    <s v="North"/>
    <s v="Punjab"/>
    <s v="Chandigarh"/>
    <x v="3"/>
    <x v="11"/>
    <s v="CUST1980"/>
    <s v="SP_09"/>
    <n v="6"/>
    <n v="111.78"/>
    <n v="670.68"/>
    <n v="353.07"/>
    <n v="317.61"/>
    <s v="Credit Card"/>
  </r>
  <r>
    <s v="ORD101774"/>
    <s v="2025-07-19"/>
    <x v="6"/>
    <s v="West"/>
    <s v="Rajasthan"/>
    <s v="Jaipur"/>
    <x v="2"/>
    <x v="2"/>
    <s v="CUST1310"/>
    <s v="SP_02"/>
    <n v="2"/>
    <n v="41631.550000000003"/>
    <n v="83263.100000000006"/>
    <n v="69011.97"/>
    <n v="14251.13"/>
    <s v="Net Banking"/>
  </r>
  <r>
    <s v="ORD101775"/>
    <s v="2025-05-19"/>
    <x v="3"/>
    <s v="East"/>
    <s v="Odisha"/>
    <s v="Bhubaneswar"/>
    <x v="1"/>
    <x v="1"/>
    <s v="CUST1294"/>
    <s v="SP_09"/>
    <n v="3"/>
    <n v="2794.7"/>
    <n v="8384.1"/>
    <n v="5802.12"/>
    <n v="2581.98"/>
    <s v="UPI"/>
  </r>
  <r>
    <s v="ORD101776"/>
    <s v="2025-05-20"/>
    <x v="3"/>
    <s v="South"/>
    <s v="Tamil Nadu"/>
    <s v="Chennai"/>
    <x v="2"/>
    <x v="2"/>
    <s v="CUST1016"/>
    <s v="SP_11"/>
    <n v="7"/>
    <n v="42739.58"/>
    <n v="299177.06"/>
    <n v="245573.16"/>
    <n v="53603.9"/>
    <s v="UPI"/>
  </r>
  <r>
    <s v="ORD101777"/>
    <s v="2025-10-02"/>
    <x v="1"/>
    <s v="South"/>
    <s v="Tamil Nadu"/>
    <s v="Chennai"/>
    <x v="1"/>
    <x v="5"/>
    <s v="CUST1766"/>
    <s v="SP_03"/>
    <n v="7"/>
    <n v="9453.73"/>
    <n v="66176.11"/>
    <n v="54961.01"/>
    <n v="11215.1"/>
    <s v="Cash"/>
  </r>
  <r>
    <s v="ORD101778"/>
    <s v="2025-12-08"/>
    <x v="7"/>
    <s v="North"/>
    <s v="Delhi"/>
    <s v="Delhi"/>
    <x v="0"/>
    <x v="0"/>
    <s v="CUST1055"/>
    <s v="SP_13"/>
    <n v="3"/>
    <n v="3337.63"/>
    <n v="10012.89"/>
    <n v="6588.84"/>
    <n v="3424.05"/>
    <s v="Net Banking"/>
  </r>
  <r>
    <s v="ORD101779"/>
    <s v="2025-08-24"/>
    <x v="11"/>
    <s v="West"/>
    <s v="Maharashtra"/>
    <s v="Mumbai"/>
    <x v="3"/>
    <x v="3"/>
    <s v="CUST1169"/>
    <s v="SP_09"/>
    <n v="5"/>
    <n v="26.34"/>
    <n v="131.69999999999999"/>
    <n v="49.48"/>
    <n v="82.22"/>
    <s v="UPI"/>
  </r>
  <r>
    <s v="ORD101780"/>
    <s v="2025-11-21"/>
    <x v="10"/>
    <s v="West"/>
    <s v="Gujarat"/>
    <s v="Ahmedabad"/>
    <x v="3"/>
    <x v="7"/>
    <s v="CUST1486"/>
    <s v="SP_12"/>
    <n v="5"/>
    <n v="13086.4"/>
    <n v="65432"/>
    <n v="45646.720000000001"/>
    <n v="19785.28"/>
    <s v="Cash"/>
  </r>
  <r>
    <s v="ORD101781"/>
    <s v="2025-03-08"/>
    <x v="4"/>
    <s v="North"/>
    <s v="Delhi"/>
    <s v="Delhi"/>
    <x v="1"/>
    <x v="1"/>
    <s v="CUST1881"/>
    <s v="SP_02"/>
    <n v="5"/>
    <n v="2968.27"/>
    <n v="14841.35"/>
    <n v="9273.27"/>
    <n v="5568.08"/>
    <s v="Net Banking"/>
  </r>
  <r>
    <s v="ORD101782"/>
    <s v="2025-09-14"/>
    <x v="5"/>
    <s v="West"/>
    <s v="Rajasthan"/>
    <s v="Jaipur"/>
    <x v="1"/>
    <x v="6"/>
    <s v="CUST1703"/>
    <s v="SP_05"/>
    <n v="4"/>
    <n v="3393.11"/>
    <n v="13572.44"/>
    <n v="9264.32"/>
    <n v="4308.12"/>
    <s v="Debit Card"/>
  </r>
  <r>
    <s v="ORD101783"/>
    <s v="2025-11-30"/>
    <x v="10"/>
    <s v="West"/>
    <s v="Rajasthan"/>
    <s v="Jaipur"/>
    <x v="0"/>
    <x v="9"/>
    <s v="CUST1033"/>
    <s v="SP_03"/>
    <n v="6"/>
    <n v="6826.77"/>
    <n v="40960.620000000003"/>
    <n v="30957.56"/>
    <n v="10003.06"/>
    <s v="UPI"/>
  </r>
  <r>
    <s v="ORD101784"/>
    <s v="2025-01-30"/>
    <x v="9"/>
    <s v="West"/>
    <s v="Maharashtra"/>
    <s v="Mumbai"/>
    <x v="2"/>
    <x v="2"/>
    <s v="CUST1854"/>
    <s v="SP_15"/>
    <n v="1"/>
    <n v="43221.79"/>
    <n v="43221.79"/>
    <n v="34711.769999999997"/>
    <n v="8510.02"/>
    <s v="Credit Card"/>
  </r>
  <r>
    <s v="ORD101785"/>
    <s v="2025-05-13"/>
    <x v="3"/>
    <s v="West"/>
    <s v="Gujarat"/>
    <s v="Ahmedabad"/>
    <x v="3"/>
    <x v="11"/>
    <s v="CUST1024"/>
    <s v="SP_05"/>
    <n v="2"/>
    <n v="112.38"/>
    <n v="224.76"/>
    <n v="115.41"/>
    <n v="109.35"/>
    <s v="UPI"/>
  </r>
  <r>
    <s v="ORD101786"/>
    <s v="2025-08-05"/>
    <x v="11"/>
    <s v="West"/>
    <s v="Gujarat"/>
    <s v="Ahmedabad"/>
    <x v="3"/>
    <x v="11"/>
    <s v="CUST1060"/>
    <s v="SP_04"/>
    <n v="7"/>
    <n v="120.3"/>
    <n v="842.1"/>
    <n v="433.72"/>
    <n v="408.38"/>
    <s v="UPI"/>
  </r>
  <r>
    <s v="ORD101787"/>
    <s v="2025-05-18"/>
    <x v="3"/>
    <s v="East"/>
    <s v="West Bengal"/>
    <s v="Kolkata"/>
    <x v="3"/>
    <x v="7"/>
    <s v="CUST1660"/>
    <s v="SP_02"/>
    <n v="8"/>
    <n v="12404.3"/>
    <n v="99234.4"/>
    <n v="68433.149999999994"/>
    <n v="30801.25"/>
    <s v="UPI"/>
  </r>
  <r>
    <s v="ORD101788"/>
    <s v="2025-08-18"/>
    <x v="11"/>
    <s v="West"/>
    <s v="Gujarat"/>
    <s v="Ahmedabad"/>
    <x v="2"/>
    <x v="4"/>
    <s v="CUST1388"/>
    <s v="SP_09"/>
    <n v="7"/>
    <n v="2714.11"/>
    <n v="18998.77"/>
    <n v="10975.59"/>
    <n v="8023.18"/>
    <s v="UPI"/>
  </r>
  <r>
    <s v="ORD101789"/>
    <s v="2025-01-02"/>
    <x v="9"/>
    <s v="East"/>
    <s v="West Bengal"/>
    <s v="Kolkata"/>
    <x v="2"/>
    <x v="10"/>
    <s v="CUST1529"/>
    <s v="SP_13"/>
    <n v="8"/>
    <n v="17149.55"/>
    <n v="137196.4"/>
    <n v="115595.43"/>
    <n v="21600.97"/>
    <s v="UPI"/>
  </r>
  <r>
    <s v="ORD101790"/>
    <s v="2025-08-27"/>
    <x v="11"/>
    <s v="West"/>
    <s v="Maharashtra"/>
    <s v="Mumbai"/>
    <x v="0"/>
    <x v="0"/>
    <s v="CUST1138"/>
    <s v="SP_06"/>
    <n v="7"/>
    <n v="3480.03"/>
    <n v="24360.21"/>
    <n v="15675.93"/>
    <n v="8684.2800000000007"/>
    <s v="UPI"/>
  </r>
  <r>
    <s v="ORD101791"/>
    <s v="2025-08-24"/>
    <x v="11"/>
    <s v="South"/>
    <s v="Tamil Nadu"/>
    <s v="Chennai"/>
    <x v="1"/>
    <x v="1"/>
    <s v="CUST1181"/>
    <s v="SP_07"/>
    <n v="2"/>
    <n v="2851.03"/>
    <n v="5702.06"/>
    <n v="3973.34"/>
    <n v="1728.72"/>
    <s v="Debit Card"/>
  </r>
  <r>
    <s v="ORD101792"/>
    <s v="2025-09-26"/>
    <x v="5"/>
    <s v="East"/>
    <s v="Odisha"/>
    <s v="Bhubaneswar"/>
    <x v="0"/>
    <x v="9"/>
    <s v="CUST1247"/>
    <s v="SP_01"/>
    <n v="3"/>
    <n v="6915.36"/>
    <n v="20746.080000000002"/>
    <n v="14744.38"/>
    <n v="6001.7"/>
    <s v="UPI"/>
  </r>
  <r>
    <s v="ORD101793"/>
    <s v="2025-12-31"/>
    <x v="7"/>
    <s v="North"/>
    <s v="Punjab"/>
    <s v="Chandigarh"/>
    <x v="2"/>
    <x v="2"/>
    <s v="CUST1843"/>
    <s v="SP_02"/>
    <n v="1"/>
    <n v="45499.67"/>
    <n v="45499.67"/>
    <n v="33446.85"/>
    <n v="12052.82"/>
    <s v="Debit Card"/>
  </r>
  <r>
    <s v="ORD101794"/>
    <s v="2025-02-22"/>
    <x v="8"/>
    <s v="North"/>
    <s v="Punjab"/>
    <s v="Chandigarh"/>
    <x v="1"/>
    <x v="5"/>
    <s v="CUST1378"/>
    <s v="SP_01"/>
    <n v="8"/>
    <n v="10096.1"/>
    <n v="80768.800000000003"/>
    <n v="57782.32"/>
    <n v="22986.48"/>
    <s v="UPI"/>
  </r>
  <r>
    <s v="ORD101795"/>
    <s v="2025-01-04"/>
    <x v="9"/>
    <s v="North"/>
    <s v="Punjab"/>
    <s v="Chandigarh"/>
    <x v="1"/>
    <x v="5"/>
    <s v="CUST1213"/>
    <s v="SP_06"/>
    <n v="2"/>
    <n v="9882.44"/>
    <n v="19764.88"/>
    <n v="15521.02"/>
    <n v="4243.8599999999997"/>
    <s v="UPI"/>
  </r>
  <r>
    <s v="ORD101796"/>
    <s v="2025-03-07"/>
    <x v="4"/>
    <s v="East"/>
    <s v="Odisha"/>
    <s v="Bhubaneswar"/>
    <x v="3"/>
    <x v="3"/>
    <s v="CUST1059"/>
    <s v="SP_08"/>
    <n v="6"/>
    <n v="24.51"/>
    <n v="147.06"/>
    <n v="57.87"/>
    <n v="89.19"/>
    <s v="UPI"/>
  </r>
  <r>
    <s v="ORD101797"/>
    <s v="2025-06-23"/>
    <x v="2"/>
    <s v="North"/>
    <s v="Uttar Pradesh"/>
    <s v="Lucknow"/>
    <x v="1"/>
    <x v="1"/>
    <s v="CUST1586"/>
    <s v="SP_09"/>
    <n v="1"/>
    <n v="3035.6"/>
    <n v="3035.6"/>
    <n v="1809"/>
    <n v="1226.5999999999999"/>
    <s v="Debit Card"/>
  </r>
  <r>
    <s v="ORD101798"/>
    <s v="2025-08-18"/>
    <x v="11"/>
    <s v="North"/>
    <s v="Delhi"/>
    <s v="Delhi"/>
    <x v="1"/>
    <x v="5"/>
    <s v="CUST1533"/>
    <s v="SP_04"/>
    <n v="1"/>
    <n v="9959.25"/>
    <n v="9959.25"/>
    <n v="7264.67"/>
    <n v="2694.58"/>
    <s v="Net Banking"/>
  </r>
  <r>
    <s v="ORD101799"/>
    <s v="2025-04-22"/>
    <x v="0"/>
    <s v="West"/>
    <s v="Rajasthan"/>
    <s v="Jaipur"/>
    <x v="1"/>
    <x v="1"/>
    <s v="CUST1594"/>
    <s v="SP_08"/>
    <n v="4"/>
    <n v="2613.6999999999998"/>
    <n v="10454.799999999999"/>
    <n v="7863.51"/>
    <n v="2591.29"/>
    <s v="Credit Card"/>
  </r>
  <r>
    <s v="ORD101800"/>
    <s v="2025-06-13"/>
    <x v="2"/>
    <s v="West"/>
    <s v="Gujarat"/>
    <s v="Ahmedabad"/>
    <x v="3"/>
    <x v="3"/>
    <s v="CUST1818"/>
    <s v="SP_11"/>
    <n v="1"/>
    <n v="23.68"/>
    <n v="23.68"/>
    <n v="10.119999999999999"/>
    <n v="13.56"/>
    <s v="Debit Card"/>
  </r>
  <r>
    <s v="ORD101801"/>
    <s v="2025-05-29"/>
    <x v="3"/>
    <s v="West"/>
    <s v="Rajasthan"/>
    <s v="Jaipur"/>
    <x v="2"/>
    <x v="2"/>
    <s v="CUST1141"/>
    <s v="SP_07"/>
    <n v="5"/>
    <n v="44853.03"/>
    <n v="224265.15"/>
    <n v="175442.35"/>
    <n v="48822.8"/>
    <s v="Credit Card"/>
  </r>
  <r>
    <s v="ORD101802"/>
    <s v="2025-08-02"/>
    <x v="11"/>
    <s v="East"/>
    <s v="Bihar"/>
    <s v="Patna"/>
    <x v="3"/>
    <x v="3"/>
    <s v="CUST1599"/>
    <s v="SP_03"/>
    <n v="8"/>
    <n v="26.09"/>
    <n v="208.72"/>
    <n v="78.260000000000005"/>
    <n v="130.46"/>
    <s v="UPI"/>
  </r>
  <r>
    <s v="ORD101803"/>
    <s v="2025-01-24"/>
    <x v="9"/>
    <s v="South"/>
    <s v="Tamil Nadu"/>
    <s v="Chennai"/>
    <x v="1"/>
    <x v="1"/>
    <s v="CUST1738"/>
    <s v="SP_07"/>
    <n v="4"/>
    <n v="2557.52"/>
    <n v="10230.08"/>
    <n v="7341.56"/>
    <n v="2888.52"/>
    <s v="Credit Card"/>
  </r>
  <r>
    <s v="ORD101804"/>
    <s v="2025-08-24"/>
    <x v="11"/>
    <s v="East"/>
    <s v="Bihar"/>
    <s v="Patna"/>
    <x v="0"/>
    <x v="9"/>
    <s v="CUST1348"/>
    <s v="SP_03"/>
    <n v="8"/>
    <n v="7658.43"/>
    <n v="61267.44"/>
    <n v="39118.03"/>
    <n v="22149.41"/>
    <s v="Net Banking"/>
  </r>
  <r>
    <s v="ORD101805"/>
    <s v="2025-11-02"/>
    <x v="10"/>
    <s v="South"/>
    <s v="Karnataka"/>
    <s v="Bengaluru"/>
    <x v="1"/>
    <x v="6"/>
    <s v="CUST1594"/>
    <s v="SP_05"/>
    <n v="2"/>
    <n v="3030.63"/>
    <n v="6061.26"/>
    <n v="4577.22"/>
    <n v="1484.04"/>
    <s v="UPI"/>
  </r>
  <r>
    <s v="ORD101806"/>
    <s v="2025-07-13"/>
    <x v="6"/>
    <s v="North"/>
    <s v="Uttar Pradesh"/>
    <s v="Lucknow"/>
    <x v="2"/>
    <x v="4"/>
    <s v="CUST1082"/>
    <s v="SP_02"/>
    <n v="6"/>
    <n v="2717.65"/>
    <n v="16305.9"/>
    <n v="9925.06"/>
    <n v="6380.84"/>
    <s v="Debit Card"/>
  </r>
  <r>
    <s v="ORD101807"/>
    <s v="2025-04-05"/>
    <x v="0"/>
    <s v="West"/>
    <s v="Maharashtra"/>
    <s v="Mumbai"/>
    <x v="3"/>
    <x v="7"/>
    <s v="CUST1086"/>
    <s v="SP_13"/>
    <n v="5"/>
    <n v="11897.07"/>
    <n v="59485.35"/>
    <n v="43667.23"/>
    <n v="15818.12"/>
    <s v="Debit Card"/>
  </r>
  <r>
    <s v="ORD101808"/>
    <s v="2025-10-31"/>
    <x v="1"/>
    <s v="South"/>
    <s v="Karnataka"/>
    <s v="Bengaluru"/>
    <x v="2"/>
    <x v="4"/>
    <s v="CUST1164"/>
    <s v="SP_10"/>
    <n v="4"/>
    <n v="2641.7"/>
    <n v="10566.8"/>
    <n v="6336.08"/>
    <n v="4230.72"/>
    <s v="UPI"/>
  </r>
  <r>
    <s v="ORD101809"/>
    <s v="2025-10-13"/>
    <x v="1"/>
    <s v="East"/>
    <s v="Bihar"/>
    <s v="Patna"/>
    <x v="0"/>
    <x v="0"/>
    <s v="CUST1153"/>
    <s v="SP_01"/>
    <n v="1"/>
    <n v="3218.6"/>
    <n v="3218.6"/>
    <n v="2183.1799999999998"/>
    <n v="1035.42"/>
    <s v="UPI"/>
  </r>
  <r>
    <s v="ORD101810"/>
    <s v="2025-10-12"/>
    <x v="1"/>
    <s v="North"/>
    <s v="Punjab"/>
    <s v="Chandigarh"/>
    <x v="2"/>
    <x v="10"/>
    <s v="CUST1976"/>
    <s v="SP_05"/>
    <n v="7"/>
    <n v="17304.47"/>
    <n v="121131.29"/>
    <n v="101045.34"/>
    <n v="20085.95"/>
    <s v="Cash"/>
  </r>
  <r>
    <s v="ORD101811"/>
    <s v="2025-08-05"/>
    <x v="11"/>
    <s v="North"/>
    <s v="Uttar Pradesh"/>
    <s v="Lucknow"/>
    <x v="0"/>
    <x v="9"/>
    <s v="CUST1868"/>
    <s v="SP_10"/>
    <n v="8"/>
    <n v="6571.33"/>
    <n v="52570.64"/>
    <n v="40276.35"/>
    <n v="12294.29"/>
    <s v="UPI"/>
  </r>
  <r>
    <s v="ORD101812"/>
    <s v="2025-08-04"/>
    <x v="11"/>
    <s v="North"/>
    <s v="Uttar Pradesh"/>
    <s v="Lucknow"/>
    <x v="3"/>
    <x v="3"/>
    <s v="CUST1114"/>
    <s v="SP_10"/>
    <n v="5"/>
    <n v="23.58"/>
    <n v="117.9"/>
    <n v="51.71"/>
    <n v="66.19"/>
    <s v="Net Banking"/>
  </r>
  <r>
    <s v="ORD101813"/>
    <s v="2025-10-09"/>
    <x v="1"/>
    <s v="South"/>
    <s v="Karnataka"/>
    <s v="Bengaluru"/>
    <x v="0"/>
    <x v="0"/>
    <s v="CUST1526"/>
    <s v="SP_06"/>
    <n v="2"/>
    <n v="3294.52"/>
    <n v="6589.04"/>
    <n v="4240.83"/>
    <n v="2348.21"/>
    <s v="Net Banking"/>
  </r>
  <r>
    <s v="ORD101814"/>
    <s v="2025-06-20"/>
    <x v="2"/>
    <s v="East"/>
    <s v="Bihar"/>
    <s v="Patna"/>
    <x v="0"/>
    <x v="8"/>
    <s v="CUST1906"/>
    <s v="SP_10"/>
    <n v="4"/>
    <n v="22381.1"/>
    <n v="89524.4"/>
    <n v="66534.080000000002"/>
    <n v="22990.32"/>
    <s v="Net Banking"/>
  </r>
  <r>
    <s v="ORD101815"/>
    <s v="2025-06-21"/>
    <x v="2"/>
    <s v="East"/>
    <s v="Odisha"/>
    <s v="Bhubaneswar"/>
    <x v="2"/>
    <x v="2"/>
    <s v="CUST1467"/>
    <s v="SP_01"/>
    <n v="5"/>
    <n v="46499.79"/>
    <n v="232498.95"/>
    <n v="177102.43"/>
    <n v="55396.52"/>
    <s v="Net Banking"/>
  </r>
  <r>
    <s v="ORD101816"/>
    <s v="2025-09-23"/>
    <x v="5"/>
    <s v="North"/>
    <s v="Punjab"/>
    <s v="Chandigarh"/>
    <x v="2"/>
    <x v="4"/>
    <s v="CUST1436"/>
    <s v="SP_04"/>
    <n v="8"/>
    <n v="2304.62"/>
    <n v="18436.96"/>
    <n v="12193.39"/>
    <n v="6243.57"/>
    <s v="Debit Card"/>
  </r>
  <r>
    <s v="ORD101817"/>
    <s v="2025-02-21"/>
    <x v="8"/>
    <s v="North"/>
    <s v="Punjab"/>
    <s v="Chandigarh"/>
    <x v="0"/>
    <x v="9"/>
    <s v="CUST1867"/>
    <s v="SP_01"/>
    <n v="5"/>
    <n v="7006.13"/>
    <n v="35030.65"/>
    <n v="25161.03"/>
    <n v="9869.6200000000008"/>
    <s v="Net Banking"/>
  </r>
  <r>
    <s v="ORD101818"/>
    <s v="2025-05-29"/>
    <x v="3"/>
    <s v="North"/>
    <s v="Delhi"/>
    <s v="Delhi"/>
    <x v="0"/>
    <x v="8"/>
    <s v="CUST1092"/>
    <s v="SP_04"/>
    <n v="6"/>
    <n v="22380.54"/>
    <n v="134283.24"/>
    <n v="98933.79"/>
    <n v="35349.449999999997"/>
    <s v="Credit Card"/>
  </r>
  <r>
    <s v="ORD101819"/>
    <s v="2025-06-14"/>
    <x v="2"/>
    <s v="North"/>
    <s v="Delhi"/>
    <s v="Delhi"/>
    <x v="1"/>
    <x v="1"/>
    <s v="CUST1087"/>
    <s v="SP_09"/>
    <n v="5"/>
    <n v="2995.79"/>
    <n v="14978.95"/>
    <n v="9276.09"/>
    <n v="5702.86"/>
    <s v="Net Banking"/>
  </r>
  <r>
    <s v="ORD101820"/>
    <s v="2025-06-14"/>
    <x v="2"/>
    <s v="North"/>
    <s v="Uttar Pradesh"/>
    <s v="Lucknow"/>
    <x v="0"/>
    <x v="0"/>
    <s v="CUST1902"/>
    <s v="SP_04"/>
    <n v="1"/>
    <n v="3577.88"/>
    <n v="3577.88"/>
    <n v="2124.69"/>
    <n v="1453.19"/>
    <s v="Debit Card"/>
  </r>
  <r>
    <s v="ORD101821"/>
    <s v="2025-04-18"/>
    <x v="0"/>
    <s v="South"/>
    <s v="Karnataka"/>
    <s v="Bengaluru"/>
    <x v="2"/>
    <x v="4"/>
    <s v="CUST1073"/>
    <s v="SP_09"/>
    <n v="1"/>
    <n v="2426.62"/>
    <n v="2426.62"/>
    <n v="1585.62"/>
    <n v="841"/>
    <s v="UPI"/>
  </r>
  <r>
    <s v="ORD101822"/>
    <s v="2025-01-06"/>
    <x v="9"/>
    <s v="East"/>
    <s v="West Bengal"/>
    <s v="Kolkata"/>
    <x v="3"/>
    <x v="7"/>
    <s v="CUST1653"/>
    <s v="SP_05"/>
    <n v="6"/>
    <n v="10989.06"/>
    <n v="65934.36"/>
    <n v="52029.15"/>
    <n v="13905.21"/>
    <s v="Cash"/>
  </r>
  <r>
    <s v="ORD101823"/>
    <s v="2025-02-14"/>
    <x v="8"/>
    <s v="East"/>
    <s v="Bihar"/>
    <s v="Patna"/>
    <x v="2"/>
    <x v="2"/>
    <s v="CUST1272"/>
    <s v="SP_15"/>
    <n v="2"/>
    <n v="48533.88"/>
    <n v="97067.76"/>
    <n v="69730.03"/>
    <n v="27337.73"/>
    <s v="Net Banking"/>
  </r>
  <r>
    <s v="ORD101824"/>
    <s v="2025-01-27"/>
    <x v="9"/>
    <s v="South"/>
    <s v="Telangana"/>
    <s v="Hyderabad"/>
    <x v="0"/>
    <x v="0"/>
    <s v="CUST1661"/>
    <s v="SP_05"/>
    <n v="1"/>
    <n v="3308.45"/>
    <n v="3308.45"/>
    <n v="2144.13"/>
    <n v="1164.32"/>
    <s v="Cash"/>
  </r>
  <r>
    <s v="ORD101825"/>
    <s v="2025-05-12"/>
    <x v="3"/>
    <s v="North"/>
    <s v="Punjab"/>
    <s v="Chandigarh"/>
    <x v="2"/>
    <x v="2"/>
    <s v="CUST1889"/>
    <s v="SP_12"/>
    <n v="2"/>
    <n v="41750.54"/>
    <n v="83501.08"/>
    <n v="66889.31"/>
    <n v="16611.77"/>
    <s v="Credit Card"/>
  </r>
  <r>
    <s v="ORD101826"/>
    <s v="2025-10-19"/>
    <x v="1"/>
    <s v="East"/>
    <s v="Bihar"/>
    <s v="Patna"/>
    <x v="0"/>
    <x v="9"/>
    <s v="CUST1277"/>
    <s v="SP_02"/>
    <n v="5"/>
    <n v="7517.25"/>
    <n v="37586.25"/>
    <n v="24457.11"/>
    <n v="13129.14"/>
    <s v="UPI"/>
  </r>
  <r>
    <s v="ORD101827"/>
    <s v="2025-12-18"/>
    <x v="7"/>
    <s v="West"/>
    <s v="Rajasthan"/>
    <s v="Jaipur"/>
    <x v="3"/>
    <x v="7"/>
    <s v="CUST1472"/>
    <s v="SP_03"/>
    <n v="5"/>
    <n v="12994.56"/>
    <n v="64972.800000000003"/>
    <n v="46346.02"/>
    <n v="18626.78"/>
    <s v="UPI"/>
  </r>
  <r>
    <s v="ORD101828"/>
    <s v="2025-04-22"/>
    <x v="0"/>
    <s v="South"/>
    <s v="Karnataka"/>
    <s v="Bengaluru"/>
    <x v="0"/>
    <x v="0"/>
    <s v="CUST1833"/>
    <s v="SP_10"/>
    <n v="1"/>
    <n v="3167.86"/>
    <n v="3167.86"/>
    <n v="2215.79"/>
    <n v="952.07"/>
    <s v="Credit Card"/>
  </r>
  <r>
    <s v="ORD101829"/>
    <s v="2025-09-23"/>
    <x v="5"/>
    <s v="East"/>
    <s v="Odisha"/>
    <s v="Bhubaneswar"/>
    <x v="2"/>
    <x v="10"/>
    <s v="CUST1271"/>
    <s v="SP_06"/>
    <n v="7"/>
    <n v="19536.580000000002"/>
    <n v="136756.06"/>
    <n v="101825.44"/>
    <n v="34930.620000000003"/>
    <s v="Debit Card"/>
  </r>
  <r>
    <s v="ORD101830"/>
    <s v="2025-05-24"/>
    <x v="3"/>
    <s v="West"/>
    <s v="Maharashtra"/>
    <s v="Mumbai"/>
    <x v="0"/>
    <x v="8"/>
    <s v="CUST1698"/>
    <s v="SP_07"/>
    <n v="2"/>
    <n v="21525.15"/>
    <n v="43050.3"/>
    <n v="35375.379999999997"/>
    <n v="7674.92"/>
    <s v="Debit Card"/>
  </r>
  <r>
    <s v="ORD101831"/>
    <s v="2025-06-01"/>
    <x v="2"/>
    <s v="North"/>
    <s v="Uttar Pradesh"/>
    <s v="Lucknow"/>
    <x v="2"/>
    <x v="10"/>
    <s v="CUST1376"/>
    <s v="SP_12"/>
    <n v="2"/>
    <n v="17013.29"/>
    <n v="34026.58"/>
    <n v="27401.46"/>
    <n v="6625.12"/>
    <s v="UPI"/>
  </r>
  <r>
    <s v="ORD101832"/>
    <s v="2025-02-02"/>
    <x v="8"/>
    <s v="North"/>
    <s v="Delhi"/>
    <s v="Delhi"/>
    <x v="2"/>
    <x v="2"/>
    <s v="CUST1715"/>
    <s v="SP_03"/>
    <n v="8"/>
    <n v="45061.02"/>
    <n v="360488.16"/>
    <n v="274697.59999999998"/>
    <n v="85790.56"/>
    <s v="UPI"/>
  </r>
  <r>
    <s v="ORD101833"/>
    <s v="2025-09-23"/>
    <x v="5"/>
    <s v="West"/>
    <s v="Gujarat"/>
    <s v="Ahmedabad"/>
    <x v="3"/>
    <x v="11"/>
    <s v="CUST1029"/>
    <s v="SP_01"/>
    <n v="1"/>
    <n v="120.67"/>
    <n v="120.67"/>
    <n v="60.98"/>
    <n v="59.69"/>
    <s v="UPI"/>
  </r>
  <r>
    <s v="ORD101834"/>
    <s v="2025-09-01"/>
    <x v="5"/>
    <s v="West"/>
    <s v="Gujarat"/>
    <s v="Ahmedabad"/>
    <x v="3"/>
    <x v="11"/>
    <s v="CUST1880"/>
    <s v="SP_01"/>
    <n v="6"/>
    <n v="125.97"/>
    <n v="755.82"/>
    <n v="351.63"/>
    <n v="404.19"/>
    <s v="Cash"/>
  </r>
  <r>
    <s v="ORD101835"/>
    <s v="2025-09-28"/>
    <x v="5"/>
    <s v="West"/>
    <s v="Maharashtra"/>
    <s v="Mumbai"/>
    <x v="0"/>
    <x v="8"/>
    <s v="CUST1529"/>
    <s v="SP_10"/>
    <n v="7"/>
    <n v="21313.33"/>
    <n v="149193.31"/>
    <n v="119609.74"/>
    <n v="29583.57"/>
    <s v="UPI"/>
  </r>
  <r>
    <s v="ORD101836"/>
    <s v="2025-05-20"/>
    <x v="3"/>
    <s v="East"/>
    <s v="West Bengal"/>
    <s v="Kolkata"/>
    <x v="3"/>
    <x v="11"/>
    <s v="CUST1527"/>
    <s v="SP_13"/>
    <n v="2"/>
    <n v="114.56"/>
    <n v="229.12"/>
    <n v="125.45"/>
    <n v="103.67"/>
    <s v="Credit Card"/>
  </r>
  <r>
    <s v="ORD101837"/>
    <s v="2025-08-20"/>
    <x v="11"/>
    <s v="South"/>
    <s v="Karnataka"/>
    <s v="Bengaluru"/>
    <x v="2"/>
    <x v="4"/>
    <s v="CUST1184"/>
    <s v="SP_14"/>
    <n v="7"/>
    <n v="2393.0100000000002"/>
    <n v="16751.07"/>
    <n v="11434.56"/>
    <n v="5316.51"/>
    <s v="Credit Card"/>
  </r>
  <r>
    <s v="ORD101838"/>
    <s v="2025-11-10"/>
    <x v="10"/>
    <s v="North"/>
    <s v="Uttar Pradesh"/>
    <s v="Lucknow"/>
    <x v="3"/>
    <x v="3"/>
    <s v="CUST1680"/>
    <s v="SP_02"/>
    <n v="8"/>
    <n v="23.05"/>
    <n v="184.4"/>
    <n v="77.98"/>
    <n v="106.42"/>
    <s v="Net Banking"/>
  </r>
  <r>
    <s v="ORD101839"/>
    <s v="2025-06-15"/>
    <x v="2"/>
    <s v="North"/>
    <s v="Uttar Pradesh"/>
    <s v="Lucknow"/>
    <x v="0"/>
    <x v="0"/>
    <s v="CUST1828"/>
    <s v="SP_10"/>
    <n v="4"/>
    <n v="3445.96"/>
    <n v="13783.84"/>
    <n v="8705.51"/>
    <n v="5078.33"/>
    <s v="Net Banking"/>
  </r>
  <r>
    <s v="ORD101840"/>
    <s v="2025-03-04"/>
    <x v="4"/>
    <s v="North"/>
    <s v="Uttar Pradesh"/>
    <s v="Lucknow"/>
    <x v="3"/>
    <x v="3"/>
    <s v="CUST1774"/>
    <s v="SP_02"/>
    <n v="6"/>
    <n v="24"/>
    <n v="144"/>
    <n v="60.64"/>
    <n v="83.36"/>
    <s v="Credit Card"/>
  </r>
  <r>
    <s v="ORD101841"/>
    <s v="2025-08-31"/>
    <x v="11"/>
    <s v="South"/>
    <s v="Tamil Nadu"/>
    <s v="Chennai"/>
    <x v="3"/>
    <x v="7"/>
    <s v="CUST1847"/>
    <s v="SP_14"/>
    <n v="8"/>
    <n v="13120.75"/>
    <n v="104966"/>
    <n v="75385.740000000005"/>
    <n v="29580.26"/>
    <s v="Credit Card"/>
  </r>
  <r>
    <s v="ORD101842"/>
    <s v="2025-10-08"/>
    <x v="1"/>
    <s v="North"/>
    <s v="Uttar Pradesh"/>
    <s v="Lucknow"/>
    <x v="2"/>
    <x v="2"/>
    <s v="CUST1208"/>
    <s v="SP_15"/>
    <n v="3"/>
    <n v="42326.81"/>
    <n v="126980.43"/>
    <n v="107321.81"/>
    <n v="19658.62"/>
    <s v="Cash"/>
  </r>
  <r>
    <s v="ORD101843"/>
    <s v="2025-11-01"/>
    <x v="10"/>
    <s v="South"/>
    <s v="Tamil Nadu"/>
    <s v="Chennai"/>
    <x v="1"/>
    <x v="6"/>
    <s v="CUST1615"/>
    <s v="SP_05"/>
    <n v="2"/>
    <n v="2935.33"/>
    <n v="5870.66"/>
    <n v="4572.96"/>
    <n v="1297.7"/>
    <s v="UPI"/>
  </r>
  <r>
    <s v="ORD101844"/>
    <s v="2025-10-01"/>
    <x v="1"/>
    <s v="East"/>
    <s v="West Bengal"/>
    <s v="Kolkata"/>
    <x v="3"/>
    <x v="3"/>
    <s v="CUST1203"/>
    <s v="SP_14"/>
    <n v="8"/>
    <n v="25.46"/>
    <n v="203.68"/>
    <n v="81.599999999999994"/>
    <n v="122.08"/>
    <s v="Debit Card"/>
  </r>
  <r>
    <s v="ORD101845"/>
    <s v="2025-12-17"/>
    <x v="7"/>
    <s v="East"/>
    <s v="West Bengal"/>
    <s v="Kolkata"/>
    <x v="3"/>
    <x v="7"/>
    <s v="CUST1767"/>
    <s v="SP_13"/>
    <n v="8"/>
    <n v="10835.78"/>
    <n v="86686.24"/>
    <n v="71224.27"/>
    <n v="15461.97"/>
    <s v="Debit Card"/>
  </r>
  <r>
    <s v="ORD101846"/>
    <s v="2025-04-11"/>
    <x v="0"/>
    <s v="North"/>
    <s v="Uttar Pradesh"/>
    <s v="Lucknow"/>
    <x v="0"/>
    <x v="8"/>
    <s v="CUST1032"/>
    <s v="SP_09"/>
    <n v="6"/>
    <n v="20702.39"/>
    <n v="124214.34"/>
    <n v="101462.6"/>
    <n v="22751.74"/>
    <s v="Net Banking"/>
  </r>
  <r>
    <s v="ORD101847"/>
    <s v="2025-05-03"/>
    <x v="3"/>
    <s v="South"/>
    <s v="Tamil Nadu"/>
    <s v="Chennai"/>
    <x v="3"/>
    <x v="11"/>
    <s v="CUST1563"/>
    <s v="SP_01"/>
    <n v="3"/>
    <n v="123.72"/>
    <n v="371.16"/>
    <n v="174.11"/>
    <n v="197.05"/>
    <s v="Credit Card"/>
  </r>
  <r>
    <s v="ORD101848"/>
    <s v="2025-10-07"/>
    <x v="1"/>
    <s v="West"/>
    <s v="Gujarat"/>
    <s v="Ahmedabad"/>
    <x v="0"/>
    <x v="9"/>
    <s v="CUST1232"/>
    <s v="SP_07"/>
    <n v="6"/>
    <n v="7621.95"/>
    <n v="45731.7"/>
    <n v="30178.36"/>
    <n v="15553.34"/>
    <s v="Credit Card"/>
  </r>
  <r>
    <s v="ORD101849"/>
    <s v="2025-01-29"/>
    <x v="9"/>
    <s v="West"/>
    <s v="Maharashtra"/>
    <s v="Mumbai"/>
    <x v="2"/>
    <x v="4"/>
    <s v="CUST1202"/>
    <s v="SP_13"/>
    <n v="6"/>
    <n v="2729.78"/>
    <n v="16378.68"/>
    <n v="9689.94"/>
    <n v="6688.74"/>
    <s v="UPI"/>
  </r>
  <r>
    <s v="ORD101850"/>
    <s v="2025-11-24"/>
    <x v="10"/>
    <s v="East"/>
    <s v="West Bengal"/>
    <s v="Kolkata"/>
    <x v="0"/>
    <x v="9"/>
    <s v="CUST1737"/>
    <s v="SP_08"/>
    <n v="2"/>
    <n v="7145.68"/>
    <n v="14291.36"/>
    <n v="10339.5"/>
    <n v="3951.86"/>
    <s v="Debit Card"/>
  </r>
  <r>
    <s v="ORD101851"/>
    <s v="2025-02-14"/>
    <x v="8"/>
    <s v="South"/>
    <s v="Tamil Nadu"/>
    <s v="Chennai"/>
    <x v="0"/>
    <x v="9"/>
    <s v="CUST1491"/>
    <s v="SP_05"/>
    <n v="7"/>
    <n v="7608.2"/>
    <n v="53257.4"/>
    <n v="34881.89"/>
    <n v="18375.509999999998"/>
    <s v="Net Banking"/>
  </r>
  <r>
    <s v="ORD101852"/>
    <s v="2025-09-01"/>
    <x v="5"/>
    <s v="South"/>
    <s v="Tamil Nadu"/>
    <s v="Chennai"/>
    <x v="1"/>
    <x v="5"/>
    <s v="CUST1053"/>
    <s v="SP_13"/>
    <n v="5"/>
    <n v="9168.98"/>
    <n v="45844.9"/>
    <n v="38658.199999999997"/>
    <n v="7186.7"/>
    <s v="Debit Card"/>
  </r>
  <r>
    <s v="ORD101853"/>
    <s v="2025-11-29"/>
    <x v="10"/>
    <s v="West"/>
    <s v="Gujarat"/>
    <s v="Ahmedabad"/>
    <x v="0"/>
    <x v="0"/>
    <s v="CUST1529"/>
    <s v="SP_14"/>
    <n v="5"/>
    <n v="3327.1"/>
    <n v="16635.5"/>
    <n v="11322.41"/>
    <n v="5313.09"/>
    <s v="Net Banking"/>
  </r>
  <r>
    <s v="ORD101854"/>
    <s v="2025-05-20"/>
    <x v="3"/>
    <s v="West"/>
    <s v="Maharashtra"/>
    <s v="Mumbai"/>
    <x v="0"/>
    <x v="0"/>
    <s v="CUST1785"/>
    <s v="SP_07"/>
    <n v="8"/>
    <n v="3767.28"/>
    <n v="30138.240000000002"/>
    <n v="17991.78"/>
    <n v="12146.46"/>
    <s v="Credit Card"/>
  </r>
  <r>
    <s v="ORD101855"/>
    <s v="2025-06-09"/>
    <x v="2"/>
    <s v="East"/>
    <s v="Bihar"/>
    <s v="Patna"/>
    <x v="0"/>
    <x v="9"/>
    <s v="CUST1831"/>
    <s v="SP_09"/>
    <n v="8"/>
    <n v="6316.63"/>
    <n v="50533.04"/>
    <n v="41416.44"/>
    <n v="9116.6"/>
    <s v="Cash"/>
  </r>
  <r>
    <s v="ORD101856"/>
    <s v="2025-02-10"/>
    <x v="8"/>
    <s v="East"/>
    <s v="Bihar"/>
    <s v="Patna"/>
    <x v="2"/>
    <x v="10"/>
    <s v="CUST1784"/>
    <s v="SP_07"/>
    <n v="3"/>
    <n v="16952.18"/>
    <n v="50856.54"/>
    <n v="42134.76"/>
    <n v="8721.7800000000007"/>
    <s v="Debit Card"/>
  </r>
  <r>
    <s v="ORD101857"/>
    <s v="2025-11-15"/>
    <x v="10"/>
    <s v="West"/>
    <s v="Gujarat"/>
    <s v="Ahmedabad"/>
    <x v="1"/>
    <x v="1"/>
    <s v="CUST1676"/>
    <s v="SP_02"/>
    <n v="6"/>
    <n v="2909.17"/>
    <n v="17455.02"/>
    <n v="11520.41"/>
    <n v="5934.61"/>
    <s v="Net Banking"/>
  </r>
  <r>
    <s v="ORD101858"/>
    <s v="2025-12-02"/>
    <x v="7"/>
    <s v="West"/>
    <s v="Gujarat"/>
    <s v="Ahmedabad"/>
    <x v="1"/>
    <x v="1"/>
    <s v="CUST1193"/>
    <s v="SP_15"/>
    <n v="8"/>
    <n v="2832.11"/>
    <n v="22656.880000000001"/>
    <n v="14730.9"/>
    <n v="7925.98"/>
    <s v="Cash"/>
  </r>
  <r>
    <s v="ORD101859"/>
    <s v="2025-10-07"/>
    <x v="1"/>
    <s v="South"/>
    <s v="Karnataka"/>
    <s v="Bengaluru"/>
    <x v="2"/>
    <x v="10"/>
    <s v="CUST1972"/>
    <s v="SP_08"/>
    <n v="7"/>
    <n v="19023.16"/>
    <n v="133162.12"/>
    <n v="101815.64"/>
    <n v="31346.48"/>
    <s v="Debit Card"/>
  </r>
  <r>
    <s v="ORD101860"/>
    <s v="2025-03-07"/>
    <x v="4"/>
    <s v="North"/>
    <s v="Delhi"/>
    <s v="Delhi"/>
    <x v="3"/>
    <x v="3"/>
    <s v="CUST1256"/>
    <s v="SP_09"/>
    <n v="2"/>
    <n v="23.54"/>
    <n v="47.08"/>
    <n v="19.809999999999999"/>
    <n v="27.27"/>
    <s v="Debit Card"/>
  </r>
  <r>
    <s v="ORD101861"/>
    <s v="2025-01-04"/>
    <x v="9"/>
    <s v="North"/>
    <s v="Delhi"/>
    <s v="Delhi"/>
    <x v="1"/>
    <x v="6"/>
    <s v="CUST1069"/>
    <s v="SP_11"/>
    <n v="8"/>
    <n v="3503.29"/>
    <n v="28026.32"/>
    <n v="18464.55"/>
    <n v="9561.77"/>
    <s v="Credit Card"/>
  </r>
  <r>
    <s v="ORD101862"/>
    <s v="2025-11-16"/>
    <x v="10"/>
    <s v="East"/>
    <s v="Bihar"/>
    <s v="Patna"/>
    <x v="3"/>
    <x v="7"/>
    <s v="CUST1992"/>
    <s v="SP_01"/>
    <n v="1"/>
    <n v="13009.32"/>
    <n v="13009.32"/>
    <n v="9160.94"/>
    <n v="3848.38"/>
    <s v="Credit Card"/>
  </r>
  <r>
    <s v="ORD101863"/>
    <s v="2025-08-11"/>
    <x v="11"/>
    <s v="West"/>
    <s v="Rajasthan"/>
    <s v="Jaipur"/>
    <x v="3"/>
    <x v="7"/>
    <s v="CUST1438"/>
    <s v="SP_06"/>
    <n v="7"/>
    <n v="12712.52"/>
    <n v="88987.64"/>
    <n v="63150.44"/>
    <n v="25837.200000000001"/>
    <s v="Credit Card"/>
  </r>
  <r>
    <s v="ORD101864"/>
    <s v="2025-05-28"/>
    <x v="3"/>
    <s v="South"/>
    <s v="Telangana"/>
    <s v="Hyderabad"/>
    <x v="0"/>
    <x v="0"/>
    <s v="CUST1037"/>
    <s v="SP_15"/>
    <n v="1"/>
    <n v="3723.01"/>
    <n v="3723.01"/>
    <n v="2145.39"/>
    <n v="1577.62"/>
    <s v="Net Banking"/>
  </r>
  <r>
    <s v="ORD101865"/>
    <s v="2025-06-29"/>
    <x v="2"/>
    <s v="North"/>
    <s v="Uttar Pradesh"/>
    <s v="Lucknow"/>
    <x v="0"/>
    <x v="8"/>
    <s v="CUST1387"/>
    <s v="SP_05"/>
    <n v="4"/>
    <n v="20061.39"/>
    <n v="80245.56"/>
    <n v="71030.98"/>
    <n v="9214.58"/>
    <s v="Debit Card"/>
  </r>
  <r>
    <s v="ORD101866"/>
    <s v="2025-10-03"/>
    <x v="1"/>
    <s v="North"/>
    <s v="Punjab"/>
    <s v="Chandigarh"/>
    <x v="3"/>
    <x v="7"/>
    <s v="CUST1985"/>
    <s v="SP_10"/>
    <n v="3"/>
    <n v="12243.77"/>
    <n v="36731.31"/>
    <n v="26862.23"/>
    <n v="9869.08"/>
    <s v="Cash"/>
  </r>
  <r>
    <s v="ORD101867"/>
    <s v="2025-09-08"/>
    <x v="5"/>
    <s v="East"/>
    <s v="Odisha"/>
    <s v="Bhubaneswar"/>
    <x v="1"/>
    <x v="5"/>
    <s v="CUST1348"/>
    <s v="SP_07"/>
    <n v="5"/>
    <n v="8833.49"/>
    <n v="44167.45"/>
    <n v="37796.69"/>
    <n v="6370.76"/>
    <s v="UPI"/>
  </r>
  <r>
    <s v="ORD101868"/>
    <s v="2025-05-03"/>
    <x v="3"/>
    <s v="East"/>
    <s v="West Bengal"/>
    <s v="Kolkata"/>
    <x v="0"/>
    <x v="9"/>
    <s v="CUST1009"/>
    <s v="SP_09"/>
    <n v="1"/>
    <n v="6997"/>
    <n v="6997"/>
    <n v="4904.24"/>
    <n v="2092.7600000000002"/>
    <s v="UPI"/>
  </r>
  <r>
    <s v="ORD101869"/>
    <s v="2025-09-27"/>
    <x v="5"/>
    <s v="West"/>
    <s v="Gujarat"/>
    <s v="Ahmedabad"/>
    <x v="1"/>
    <x v="5"/>
    <s v="CUST1631"/>
    <s v="SP_02"/>
    <n v="5"/>
    <n v="9043.3700000000008"/>
    <n v="45216.85"/>
    <n v="37403.760000000002"/>
    <n v="7813.09"/>
    <s v="Cash"/>
  </r>
  <r>
    <s v="ORD101870"/>
    <s v="2025-01-23"/>
    <x v="9"/>
    <s v="East"/>
    <s v="West Bengal"/>
    <s v="Kolkata"/>
    <x v="2"/>
    <x v="4"/>
    <s v="CUST1778"/>
    <s v="SP_11"/>
    <n v="4"/>
    <n v="2573.27"/>
    <n v="10293.08"/>
    <n v="6628.32"/>
    <n v="3664.76"/>
    <s v="Credit Card"/>
  </r>
  <r>
    <s v="ORD101871"/>
    <s v="2025-01-10"/>
    <x v="9"/>
    <s v="East"/>
    <s v="Odisha"/>
    <s v="Bhubaneswar"/>
    <x v="0"/>
    <x v="0"/>
    <s v="CUST1988"/>
    <s v="SP_08"/>
    <n v="1"/>
    <n v="3483.5"/>
    <n v="3483.5"/>
    <n v="2248.06"/>
    <n v="1235.44"/>
    <s v="Cash"/>
  </r>
  <r>
    <s v="ORD101872"/>
    <s v="2025-07-28"/>
    <x v="6"/>
    <s v="West"/>
    <s v="Maharashtra"/>
    <s v="Mumbai"/>
    <x v="0"/>
    <x v="9"/>
    <s v="CUST1638"/>
    <s v="SP_05"/>
    <n v="4"/>
    <n v="6961.58"/>
    <n v="27846.32"/>
    <n v="19679.73"/>
    <n v="8166.59"/>
    <s v="Credit Card"/>
  </r>
  <r>
    <s v="ORD101873"/>
    <s v="2025-04-28"/>
    <x v="0"/>
    <s v="North"/>
    <s v="Delhi"/>
    <s v="Delhi"/>
    <x v="2"/>
    <x v="10"/>
    <s v="CUST1686"/>
    <s v="SP_08"/>
    <n v="4"/>
    <n v="19313.63"/>
    <n v="77254.52"/>
    <n v="54411.11"/>
    <n v="22843.41"/>
    <s v="UPI"/>
  </r>
  <r>
    <s v="ORD101874"/>
    <s v="2025-03-26"/>
    <x v="4"/>
    <s v="East"/>
    <s v="West Bengal"/>
    <s v="Kolkata"/>
    <x v="0"/>
    <x v="8"/>
    <s v="CUST1793"/>
    <s v="SP_05"/>
    <n v="8"/>
    <n v="21531.040000000001"/>
    <n v="172248.32000000001"/>
    <n v="130325.82"/>
    <n v="41922.5"/>
    <s v="Cash"/>
  </r>
  <r>
    <s v="ORD101875"/>
    <s v="2025-03-20"/>
    <x v="4"/>
    <s v="East"/>
    <s v="Odisha"/>
    <s v="Bhubaneswar"/>
    <x v="3"/>
    <x v="3"/>
    <s v="CUST1971"/>
    <s v="SP_10"/>
    <n v="2"/>
    <n v="24.78"/>
    <n v="49.56"/>
    <n v="19.43"/>
    <n v="30.13"/>
    <s v="Net Banking"/>
  </r>
  <r>
    <s v="ORD101876"/>
    <s v="2025-08-15"/>
    <x v="11"/>
    <s v="East"/>
    <s v="West Bengal"/>
    <s v="Kolkata"/>
    <x v="0"/>
    <x v="0"/>
    <s v="CUST1004"/>
    <s v="SP_06"/>
    <n v="7"/>
    <n v="3828.08"/>
    <n v="26796.560000000001"/>
    <n v="15006.6"/>
    <n v="11789.96"/>
    <s v="Cash"/>
  </r>
  <r>
    <s v="ORD101877"/>
    <s v="2025-09-27"/>
    <x v="5"/>
    <s v="East"/>
    <s v="Bihar"/>
    <s v="Patna"/>
    <x v="0"/>
    <x v="0"/>
    <s v="CUST1575"/>
    <s v="SP_02"/>
    <n v="1"/>
    <n v="3190.27"/>
    <n v="3190.27"/>
    <n v="2146.77"/>
    <n v="1043.5"/>
    <s v="Credit Card"/>
  </r>
  <r>
    <s v="ORD101878"/>
    <s v="2025-05-22"/>
    <x v="3"/>
    <s v="East"/>
    <s v="Odisha"/>
    <s v="Bhubaneswar"/>
    <x v="2"/>
    <x v="2"/>
    <s v="CUST1526"/>
    <s v="SP_05"/>
    <n v="5"/>
    <n v="46457.120000000003"/>
    <n v="232285.6"/>
    <n v="169757.1"/>
    <n v="62528.5"/>
    <s v="Net Banking"/>
  </r>
  <r>
    <s v="ORD101879"/>
    <s v="2025-09-16"/>
    <x v="5"/>
    <s v="South"/>
    <s v="Telangana"/>
    <s v="Hyderabad"/>
    <x v="1"/>
    <x v="6"/>
    <s v="CUST1845"/>
    <s v="SP_13"/>
    <n v="4"/>
    <n v="2995.38"/>
    <n v="11981.52"/>
    <n v="9863.84"/>
    <n v="2117.6799999999998"/>
    <s v="UPI"/>
  </r>
  <r>
    <s v="ORD101880"/>
    <s v="2025-02-20"/>
    <x v="8"/>
    <s v="East"/>
    <s v="Odisha"/>
    <s v="Bhubaneswar"/>
    <x v="0"/>
    <x v="0"/>
    <s v="CUST1642"/>
    <s v="SP_12"/>
    <n v="4"/>
    <n v="3174.69"/>
    <n v="12698.76"/>
    <n v="8376.8799999999992"/>
    <n v="4321.88"/>
    <s v="Debit Card"/>
  </r>
  <r>
    <s v="ORD101881"/>
    <s v="2025-06-24"/>
    <x v="2"/>
    <s v="North"/>
    <s v="Delhi"/>
    <s v="Delhi"/>
    <x v="3"/>
    <x v="11"/>
    <s v="CUST1886"/>
    <s v="SP_04"/>
    <n v="1"/>
    <n v="126.48"/>
    <n v="126.48"/>
    <n v="57.4"/>
    <n v="69.08"/>
    <s v="Debit Card"/>
  </r>
  <r>
    <s v="ORD101882"/>
    <s v="2025-08-23"/>
    <x v="11"/>
    <s v="West"/>
    <s v="Rajasthan"/>
    <s v="Jaipur"/>
    <x v="1"/>
    <x v="6"/>
    <s v="CUST1087"/>
    <s v="SP_11"/>
    <n v="3"/>
    <n v="3167.51"/>
    <n v="9502.5300000000007"/>
    <n v="7034.56"/>
    <n v="2467.9699999999998"/>
    <s v="Credit Card"/>
  </r>
  <r>
    <s v="ORD101883"/>
    <s v="2025-11-09"/>
    <x v="10"/>
    <s v="West"/>
    <s v="Rajasthan"/>
    <s v="Jaipur"/>
    <x v="3"/>
    <x v="7"/>
    <s v="CUST1128"/>
    <s v="SP_04"/>
    <n v="7"/>
    <n v="13132.22"/>
    <n v="91925.54"/>
    <n v="62244.42"/>
    <n v="29681.119999999999"/>
    <s v="Net Banking"/>
  </r>
  <r>
    <s v="ORD101884"/>
    <s v="2025-12-10"/>
    <x v="7"/>
    <s v="South"/>
    <s v="Tamil Nadu"/>
    <s v="Chennai"/>
    <x v="0"/>
    <x v="9"/>
    <s v="CUST1592"/>
    <s v="SP_01"/>
    <n v="3"/>
    <n v="7098.13"/>
    <n v="21294.39"/>
    <n v="14652.44"/>
    <n v="6641.95"/>
    <s v="UPI"/>
  </r>
  <r>
    <s v="ORD101885"/>
    <s v="2025-10-10"/>
    <x v="1"/>
    <s v="North"/>
    <s v="Delhi"/>
    <s v="Delhi"/>
    <x v="2"/>
    <x v="10"/>
    <s v="CUST1920"/>
    <s v="SP_09"/>
    <n v="2"/>
    <n v="18154.830000000002"/>
    <n v="36309.660000000003"/>
    <n v="28675.61"/>
    <n v="7634.05"/>
    <s v="Cash"/>
  </r>
  <r>
    <s v="ORD101886"/>
    <s v="2025-04-24"/>
    <x v="0"/>
    <s v="North"/>
    <s v="Uttar Pradesh"/>
    <s v="Lucknow"/>
    <x v="0"/>
    <x v="0"/>
    <s v="CUST1990"/>
    <s v="SP_09"/>
    <n v="8"/>
    <n v="3537.24"/>
    <n v="28297.919999999998"/>
    <n v="17386.95"/>
    <n v="10910.97"/>
    <s v="Credit Card"/>
  </r>
  <r>
    <s v="ORD101887"/>
    <s v="2025-04-13"/>
    <x v="0"/>
    <s v="West"/>
    <s v="Gujarat"/>
    <s v="Ahmedabad"/>
    <x v="3"/>
    <x v="11"/>
    <s v="CUST1770"/>
    <s v="SP_04"/>
    <n v="1"/>
    <n v="129.63"/>
    <n v="129.63"/>
    <n v="62.12"/>
    <n v="67.510000000000005"/>
    <s v="Debit Card"/>
  </r>
  <r>
    <s v="ORD101888"/>
    <s v="2025-05-07"/>
    <x v="3"/>
    <s v="South"/>
    <s v="Telangana"/>
    <s v="Hyderabad"/>
    <x v="3"/>
    <x v="11"/>
    <s v="CUST1970"/>
    <s v="SP_07"/>
    <n v="4"/>
    <n v="121.18"/>
    <n v="484.72"/>
    <n v="242.7"/>
    <n v="242.02"/>
    <s v="Net Banking"/>
  </r>
  <r>
    <s v="ORD101889"/>
    <s v="2025-02-04"/>
    <x v="8"/>
    <s v="South"/>
    <s v="Telangana"/>
    <s v="Hyderabad"/>
    <x v="0"/>
    <x v="8"/>
    <s v="CUST1471"/>
    <s v="SP_13"/>
    <n v="7"/>
    <n v="23650.94"/>
    <n v="165556.57999999999"/>
    <n v="117321.69"/>
    <n v="48234.89"/>
    <s v="Credit Card"/>
  </r>
  <r>
    <s v="ORD101890"/>
    <s v="2025-12-18"/>
    <x v="7"/>
    <s v="South"/>
    <s v="Karnataka"/>
    <s v="Bengaluru"/>
    <x v="2"/>
    <x v="2"/>
    <s v="CUST1146"/>
    <s v="SP_05"/>
    <n v="3"/>
    <n v="45697.89"/>
    <n v="137093.67000000001"/>
    <n v="103125.08"/>
    <n v="33968.589999999997"/>
    <s v="Credit Card"/>
  </r>
  <r>
    <s v="ORD101891"/>
    <s v="2025-05-11"/>
    <x v="3"/>
    <s v="East"/>
    <s v="West Bengal"/>
    <s v="Kolkata"/>
    <x v="3"/>
    <x v="11"/>
    <s v="CUST1205"/>
    <s v="SP_11"/>
    <n v="3"/>
    <n v="129.44999999999999"/>
    <n v="388.35"/>
    <n v="179.71"/>
    <n v="208.64"/>
    <s v="Credit Card"/>
  </r>
  <r>
    <s v="ORD101892"/>
    <s v="2025-03-04"/>
    <x v="4"/>
    <s v="North"/>
    <s v="Uttar Pradesh"/>
    <s v="Lucknow"/>
    <x v="3"/>
    <x v="3"/>
    <s v="CUST1509"/>
    <s v="SP_02"/>
    <n v="1"/>
    <n v="22.81"/>
    <n v="22.81"/>
    <n v="9.7799999999999994"/>
    <n v="13.03"/>
    <s v="Debit Card"/>
  </r>
  <r>
    <s v="ORD101893"/>
    <s v="2025-07-29"/>
    <x v="6"/>
    <s v="South"/>
    <s v="Karnataka"/>
    <s v="Bengaluru"/>
    <x v="3"/>
    <x v="7"/>
    <s v="CUST1698"/>
    <s v="SP_01"/>
    <n v="5"/>
    <n v="11031.42"/>
    <n v="55157.1"/>
    <n v="43881.35"/>
    <n v="11275.75"/>
    <s v="UPI"/>
  </r>
  <r>
    <s v="ORD101894"/>
    <s v="2025-01-04"/>
    <x v="9"/>
    <s v="East"/>
    <s v="West Bengal"/>
    <s v="Kolkata"/>
    <x v="0"/>
    <x v="0"/>
    <s v="CUST1553"/>
    <s v="SP_11"/>
    <n v="4"/>
    <n v="3628.32"/>
    <n v="14513.28"/>
    <n v="8697.2199999999993"/>
    <n v="5816.06"/>
    <s v="Net Banking"/>
  </r>
  <r>
    <s v="ORD101895"/>
    <s v="2025-07-23"/>
    <x v="6"/>
    <s v="South"/>
    <s v="Karnataka"/>
    <s v="Bengaluru"/>
    <x v="3"/>
    <x v="3"/>
    <s v="CUST1425"/>
    <s v="SP_10"/>
    <n v="8"/>
    <n v="23.94"/>
    <n v="191.52"/>
    <n v="77.260000000000005"/>
    <n v="114.26"/>
    <s v="Credit Card"/>
  </r>
  <r>
    <s v="ORD101896"/>
    <s v="2025-05-07"/>
    <x v="3"/>
    <s v="East"/>
    <s v="Odisha"/>
    <s v="Bhubaneswar"/>
    <x v="3"/>
    <x v="7"/>
    <s v="CUST1965"/>
    <s v="SP_12"/>
    <n v="6"/>
    <n v="12315.33"/>
    <n v="73891.98"/>
    <n v="53683.19"/>
    <n v="20208.79"/>
    <s v="UPI"/>
  </r>
  <r>
    <s v="ORD101897"/>
    <s v="2025-05-28"/>
    <x v="3"/>
    <s v="South"/>
    <s v="Tamil Nadu"/>
    <s v="Chennai"/>
    <x v="3"/>
    <x v="3"/>
    <s v="CUST1843"/>
    <s v="SP_11"/>
    <n v="1"/>
    <n v="23.98"/>
    <n v="23.98"/>
    <n v="9.51"/>
    <n v="14.47"/>
    <s v="UPI"/>
  </r>
  <r>
    <s v="ORD101898"/>
    <s v="2025-07-12"/>
    <x v="6"/>
    <s v="South"/>
    <s v="Telangana"/>
    <s v="Hyderabad"/>
    <x v="3"/>
    <x v="7"/>
    <s v="CUST1615"/>
    <s v="SP_06"/>
    <n v="8"/>
    <n v="11807.12"/>
    <n v="94456.960000000006"/>
    <n v="70049.350000000006"/>
    <n v="24407.61"/>
    <s v="Net Banking"/>
  </r>
  <r>
    <s v="ORD101899"/>
    <s v="2025-02-25"/>
    <x v="8"/>
    <s v="West"/>
    <s v="Rajasthan"/>
    <s v="Jaipur"/>
    <x v="0"/>
    <x v="8"/>
    <s v="CUST1505"/>
    <s v="SP_08"/>
    <n v="5"/>
    <n v="22319.200000000001"/>
    <n v="111596"/>
    <n v="86796.31"/>
    <n v="24799.69"/>
    <s v="Net Banking"/>
  </r>
  <r>
    <s v="ORD101900"/>
    <s v="2025-10-13"/>
    <x v="1"/>
    <s v="North"/>
    <s v="Delhi"/>
    <s v="Delhi"/>
    <x v="2"/>
    <x v="10"/>
    <s v="CUST1853"/>
    <s v="SP_12"/>
    <n v="5"/>
    <n v="17949.34"/>
    <n v="89746.7"/>
    <n v="67961.23"/>
    <n v="21785.47"/>
    <s v="Debit Card"/>
  </r>
  <r>
    <s v="ORD101901"/>
    <s v="2025-02-24"/>
    <x v="8"/>
    <s v="West"/>
    <s v="Maharashtra"/>
    <s v="Mumbai"/>
    <x v="1"/>
    <x v="6"/>
    <s v="CUST1800"/>
    <s v="SP_01"/>
    <n v="8"/>
    <n v="3082.76"/>
    <n v="24662.080000000002"/>
    <n v="18534.68"/>
    <n v="6127.4"/>
    <s v="Debit Card"/>
  </r>
  <r>
    <s v="ORD101902"/>
    <s v="2025-02-04"/>
    <x v="8"/>
    <s v="East"/>
    <s v="Odisha"/>
    <s v="Bhubaneswar"/>
    <x v="3"/>
    <x v="3"/>
    <s v="CUST1487"/>
    <s v="SP_14"/>
    <n v="5"/>
    <n v="23.76"/>
    <n v="118.8"/>
    <n v="50.93"/>
    <n v="67.87"/>
    <s v="Credit Card"/>
  </r>
  <r>
    <s v="ORD101903"/>
    <s v="2025-01-16"/>
    <x v="9"/>
    <s v="North"/>
    <s v="Delhi"/>
    <s v="Delhi"/>
    <x v="3"/>
    <x v="11"/>
    <s v="CUST1768"/>
    <s v="SP_11"/>
    <n v="5"/>
    <n v="123.96"/>
    <n v="619.79999999999995"/>
    <n v="307.86"/>
    <n v="311.94"/>
    <s v="Net Banking"/>
  </r>
  <r>
    <s v="ORD101904"/>
    <s v="2025-03-02"/>
    <x v="4"/>
    <s v="East"/>
    <s v="Bihar"/>
    <s v="Patna"/>
    <x v="1"/>
    <x v="1"/>
    <s v="CUST1811"/>
    <s v="SP_10"/>
    <n v="8"/>
    <n v="3002.25"/>
    <n v="24018"/>
    <n v="14927.81"/>
    <n v="9090.19"/>
    <s v="Net Banking"/>
  </r>
  <r>
    <s v="ORD101905"/>
    <s v="2025-04-13"/>
    <x v="0"/>
    <s v="North"/>
    <s v="Delhi"/>
    <s v="Delhi"/>
    <x v="3"/>
    <x v="11"/>
    <s v="CUST1626"/>
    <s v="SP_01"/>
    <n v="5"/>
    <n v="109.43"/>
    <n v="547.15"/>
    <n v="313.57"/>
    <n v="233.58"/>
    <s v="UPI"/>
  </r>
  <r>
    <s v="ORD101906"/>
    <s v="2025-02-18"/>
    <x v="8"/>
    <s v="West"/>
    <s v="Maharashtra"/>
    <s v="Mumbai"/>
    <x v="2"/>
    <x v="4"/>
    <s v="CUST1823"/>
    <s v="SP_11"/>
    <n v="8"/>
    <n v="2438.9499999999998"/>
    <n v="19511.599999999999"/>
    <n v="12419.16"/>
    <n v="7092.44"/>
    <s v="Net Banking"/>
  </r>
  <r>
    <s v="ORD101907"/>
    <s v="2025-09-10"/>
    <x v="5"/>
    <s v="West"/>
    <s v="Maharashtra"/>
    <s v="Mumbai"/>
    <x v="3"/>
    <x v="7"/>
    <s v="CUST1510"/>
    <s v="SP_01"/>
    <n v="3"/>
    <n v="11082.3"/>
    <n v="33246.9"/>
    <n v="28166.93"/>
    <n v="5079.97"/>
    <s v="Debit Card"/>
  </r>
  <r>
    <s v="ORD101908"/>
    <s v="2025-04-27"/>
    <x v="0"/>
    <s v="West"/>
    <s v="Rajasthan"/>
    <s v="Jaipur"/>
    <x v="3"/>
    <x v="3"/>
    <s v="CUST1862"/>
    <s v="SP_04"/>
    <n v="1"/>
    <n v="25.65"/>
    <n v="25.65"/>
    <n v="9.7200000000000006"/>
    <n v="15.93"/>
    <s v="Debit Card"/>
  </r>
  <r>
    <s v="ORD101909"/>
    <s v="2025-05-16"/>
    <x v="3"/>
    <s v="North"/>
    <s v="Delhi"/>
    <s v="Delhi"/>
    <x v="3"/>
    <x v="7"/>
    <s v="CUST1048"/>
    <s v="SP_07"/>
    <n v="1"/>
    <n v="10964.44"/>
    <n v="10964.44"/>
    <n v="8676.5"/>
    <n v="2287.94"/>
    <s v="Credit Card"/>
  </r>
  <r>
    <s v="ORD101910"/>
    <s v="2025-09-10"/>
    <x v="5"/>
    <s v="East"/>
    <s v="West Bengal"/>
    <s v="Kolkata"/>
    <x v="3"/>
    <x v="3"/>
    <s v="CUST1585"/>
    <s v="SP_01"/>
    <n v="8"/>
    <n v="26.11"/>
    <n v="208.88"/>
    <n v="80.34"/>
    <n v="128.54"/>
    <s v="Cash"/>
  </r>
  <r>
    <s v="ORD101911"/>
    <s v="2025-12-26"/>
    <x v="7"/>
    <s v="South"/>
    <s v="Telangana"/>
    <s v="Hyderabad"/>
    <x v="1"/>
    <x v="6"/>
    <s v="CUST1354"/>
    <s v="SP_08"/>
    <n v="2"/>
    <n v="3140.52"/>
    <n v="6281.04"/>
    <n v="4639.96"/>
    <n v="1641.08"/>
    <s v="Debit Card"/>
  </r>
  <r>
    <s v="ORD101912"/>
    <s v="2025-05-31"/>
    <x v="3"/>
    <s v="North"/>
    <s v="Uttar Pradesh"/>
    <s v="Lucknow"/>
    <x v="1"/>
    <x v="6"/>
    <s v="CUST1344"/>
    <s v="SP_10"/>
    <n v="8"/>
    <n v="3464.55"/>
    <n v="27716.400000000001"/>
    <n v="19808.68"/>
    <n v="7907.72"/>
    <s v="Credit Card"/>
  </r>
  <r>
    <s v="ORD101913"/>
    <s v="2025-03-18"/>
    <x v="4"/>
    <s v="West"/>
    <s v="Gujarat"/>
    <s v="Ahmedabad"/>
    <x v="1"/>
    <x v="6"/>
    <s v="CUST1723"/>
    <s v="SP_12"/>
    <n v="3"/>
    <n v="3393.31"/>
    <n v="10179.93"/>
    <n v="7347.03"/>
    <n v="2832.9"/>
    <s v="Cash"/>
  </r>
  <r>
    <s v="ORD101914"/>
    <s v="2025-02-08"/>
    <x v="8"/>
    <s v="South"/>
    <s v="Tamil Nadu"/>
    <s v="Chennai"/>
    <x v="1"/>
    <x v="5"/>
    <s v="CUST1047"/>
    <s v="SP_10"/>
    <n v="7"/>
    <n v="9687"/>
    <n v="67809"/>
    <n v="52073.46"/>
    <n v="15735.54"/>
    <s v="Debit Card"/>
  </r>
  <r>
    <s v="ORD101915"/>
    <s v="2025-04-12"/>
    <x v="0"/>
    <s v="North"/>
    <s v="Punjab"/>
    <s v="Chandigarh"/>
    <x v="3"/>
    <x v="7"/>
    <s v="CUST1325"/>
    <s v="SP_07"/>
    <n v="7"/>
    <n v="11560.77"/>
    <n v="80925.39"/>
    <n v="62858.48"/>
    <n v="18066.91"/>
    <s v="Credit Card"/>
  </r>
  <r>
    <s v="ORD101916"/>
    <s v="2025-01-07"/>
    <x v="9"/>
    <s v="West"/>
    <s v="Maharashtra"/>
    <s v="Mumbai"/>
    <x v="0"/>
    <x v="8"/>
    <s v="CUST1631"/>
    <s v="SP_04"/>
    <n v="4"/>
    <n v="22255.87"/>
    <n v="89023.48"/>
    <n v="68826.399999999994"/>
    <n v="20197.080000000002"/>
    <s v="Net Banking"/>
  </r>
  <r>
    <s v="ORD101917"/>
    <s v="2025-06-04"/>
    <x v="2"/>
    <s v="East"/>
    <s v="Odisha"/>
    <s v="Bhubaneswar"/>
    <x v="1"/>
    <x v="5"/>
    <s v="CUST1815"/>
    <s v="SP_13"/>
    <n v="2"/>
    <n v="9750.39"/>
    <n v="19500.78"/>
    <n v="14509.45"/>
    <n v="4991.33"/>
    <s v="Credit Card"/>
  </r>
  <r>
    <s v="ORD101918"/>
    <s v="2025-07-20"/>
    <x v="6"/>
    <s v="West"/>
    <s v="Rajasthan"/>
    <s v="Jaipur"/>
    <x v="0"/>
    <x v="9"/>
    <s v="CUST1723"/>
    <s v="SP_02"/>
    <n v="3"/>
    <n v="7682.29"/>
    <n v="23046.87"/>
    <n v="14378.99"/>
    <n v="8667.8799999999992"/>
    <s v="Debit Card"/>
  </r>
  <r>
    <s v="ORD101919"/>
    <s v="2025-08-08"/>
    <x v="11"/>
    <s v="West"/>
    <s v="Gujarat"/>
    <s v="Ahmedabad"/>
    <x v="0"/>
    <x v="8"/>
    <s v="CUST1705"/>
    <s v="SP_01"/>
    <n v="5"/>
    <n v="20409.72"/>
    <n v="102048.6"/>
    <n v="87407.56"/>
    <n v="14641.04"/>
    <s v="Cash"/>
  </r>
  <r>
    <s v="ORD101920"/>
    <s v="2025-03-30"/>
    <x v="4"/>
    <s v="East"/>
    <s v="West Bengal"/>
    <s v="Kolkata"/>
    <x v="1"/>
    <x v="6"/>
    <s v="CUST1868"/>
    <s v="SP_09"/>
    <n v="1"/>
    <n v="3451.65"/>
    <n v="3451.65"/>
    <n v="2486.14"/>
    <n v="965.51"/>
    <s v="UPI"/>
  </r>
  <r>
    <s v="ORD101921"/>
    <s v="2025-07-27"/>
    <x v="6"/>
    <s v="North"/>
    <s v="Punjab"/>
    <s v="Chandigarh"/>
    <x v="1"/>
    <x v="1"/>
    <s v="CUST1891"/>
    <s v="SP_08"/>
    <n v="3"/>
    <n v="2847.13"/>
    <n v="8541.39"/>
    <n v="5585"/>
    <n v="2956.39"/>
    <s v="Credit Card"/>
  </r>
  <r>
    <s v="ORD101922"/>
    <s v="2025-01-16"/>
    <x v="9"/>
    <s v="East"/>
    <s v="Odisha"/>
    <s v="Bhubaneswar"/>
    <x v="0"/>
    <x v="9"/>
    <s v="CUST1775"/>
    <s v="SP_08"/>
    <n v="7"/>
    <n v="6682.77"/>
    <n v="46779.39"/>
    <n v="35542.79"/>
    <n v="11236.6"/>
    <s v="UPI"/>
  </r>
  <r>
    <s v="ORD101923"/>
    <s v="2025-03-18"/>
    <x v="4"/>
    <s v="East"/>
    <s v="Odisha"/>
    <s v="Bhubaneswar"/>
    <x v="1"/>
    <x v="1"/>
    <s v="CUST1921"/>
    <s v="SP_11"/>
    <n v="5"/>
    <n v="2931.2"/>
    <n v="14656"/>
    <n v="9465.65"/>
    <n v="5190.3500000000004"/>
    <s v="Net Banking"/>
  </r>
  <r>
    <s v="ORD101924"/>
    <s v="2025-01-21"/>
    <x v="9"/>
    <s v="West"/>
    <s v="Maharashtra"/>
    <s v="Mumbai"/>
    <x v="1"/>
    <x v="1"/>
    <s v="CUST1388"/>
    <s v="SP_13"/>
    <n v="6"/>
    <n v="3072.12"/>
    <n v="18432.72"/>
    <n v="11408.78"/>
    <n v="7023.94"/>
    <s v="Net Banking"/>
  </r>
  <r>
    <s v="ORD101925"/>
    <s v="2025-01-06"/>
    <x v="9"/>
    <s v="West"/>
    <s v="Rajasthan"/>
    <s v="Jaipur"/>
    <x v="3"/>
    <x v="11"/>
    <s v="CUST1981"/>
    <s v="SP_15"/>
    <n v="4"/>
    <n v="131.55000000000001"/>
    <n v="526.20000000000005"/>
    <n v="238.92"/>
    <n v="287.27999999999997"/>
    <s v="Cash"/>
  </r>
  <r>
    <s v="ORD101926"/>
    <s v="2025-07-30"/>
    <x v="6"/>
    <s v="South"/>
    <s v="Telangana"/>
    <s v="Hyderabad"/>
    <x v="0"/>
    <x v="9"/>
    <s v="CUST1322"/>
    <s v="SP_12"/>
    <n v="8"/>
    <n v="6418.34"/>
    <n v="51346.720000000001"/>
    <n v="39247.61"/>
    <n v="12099.11"/>
    <s v="UPI"/>
  </r>
  <r>
    <s v="ORD101927"/>
    <s v="2025-12-19"/>
    <x v="7"/>
    <s v="West"/>
    <s v="Maharashtra"/>
    <s v="Mumbai"/>
    <x v="1"/>
    <x v="5"/>
    <s v="CUST1592"/>
    <s v="SP_08"/>
    <n v="8"/>
    <n v="10279.74"/>
    <n v="82237.919999999998"/>
    <n v="61229.45"/>
    <n v="21008.47"/>
    <s v="UPI"/>
  </r>
  <r>
    <s v="ORD101928"/>
    <s v="2025-07-15"/>
    <x v="6"/>
    <s v="East"/>
    <s v="Odisha"/>
    <s v="Bhubaneswar"/>
    <x v="3"/>
    <x v="7"/>
    <s v="CUST1567"/>
    <s v="SP_09"/>
    <n v="7"/>
    <n v="11274.57"/>
    <n v="78921.990000000005"/>
    <n v="61525.23"/>
    <n v="17396.759999999998"/>
    <s v="UPI"/>
  </r>
  <r>
    <s v="ORD101929"/>
    <s v="2025-02-08"/>
    <x v="8"/>
    <s v="West"/>
    <s v="Rajasthan"/>
    <s v="Jaipur"/>
    <x v="1"/>
    <x v="6"/>
    <s v="CUST1882"/>
    <s v="SP_11"/>
    <n v="2"/>
    <n v="2939.56"/>
    <n v="5879.12"/>
    <n v="4802.29"/>
    <n v="1076.83"/>
    <s v="Debit Card"/>
  </r>
  <r>
    <s v="ORD101930"/>
    <s v="2025-02-17"/>
    <x v="8"/>
    <s v="East"/>
    <s v="Bihar"/>
    <s v="Patna"/>
    <x v="0"/>
    <x v="9"/>
    <s v="CUST1706"/>
    <s v="SP_08"/>
    <n v="4"/>
    <n v="6617.38"/>
    <n v="26469.52"/>
    <n v="20757.57"/>
    <n v="5711.95"/>
    <s v="Cash"/>
  </r>
  <r>
    <s v="ORD101931"/>
    <s v="2025-06-03"/>
    <x v="2"/>
    <s v="North"/>
    <s v="Uttar Pradesh"/>
    <s v="Lucknow"/>
    <x v="2"/>
    <x v="2"/>
    <s v="CUST1878"/>
    <s v="SP_06"/>
    <n v="1"/>
    <n v="46676.07"/>
    <n v="46676.07"/>
    <n v="34362.06"/>
    <n v="12314.01"/>
    <s v="Credit Card"/>
  </r>
  <r>
    <s v="ORD101932"/>
    <s v="2025-10-03"/>
    <x v="1"/>
    <s v="East"/>
    <s v="Bihar"/>
    <s v="Patna"/>
    <x v="1"/>
    <x v="1"/>
    <s v="CUST1075"/>
    <s v="SP_09"/>
    <n v="6"/>
    <n v="2693.09"/>
    <n v="16158.54"/>
    <n v="11967.27"/>
    <n v="4191.2700000000004"/>
    <s v="Debit Card"/>
  </r>
  <r>
    <s v="ORD101933"/>
    <s v="2025-12-21"/>
    <x v="7"/>
    <s v="South"/>
    <s v="Telangana"/>
    <s v="Hyderabad"/>
    <x v="3"/>
    <x v="11"/>
    <s v="CUST1253"/>
    <s v="SP_14"/>
    <n v="5"/>
    <n v="116.2"/>
    <n v="581"/>
    <n v="295.62"/>
    <n v="285.38"/>
    <s v="Cash"/>
  </r>
  <r>
    <s v="ORD101934"/>
    <s v="2025-07-13"/>
    <x v="6"/>
    <s v="North"/>
    <s v="Uttar Pradesh"/>
    <s v="Lucknow"/>
    <x v="0"/>
    <x v="0"/>
    <s v="CUST1834"/>
    <s v="SP_06"/>
    <n v="5"/>
    <n v="3217.89"/>
    <n v="16089.45"/>
    <n v="11341.13"/>
    <n v="4748.32"/>
    <s v="Net Banking"/>
  </r>
  <r>
    <s v="ORD101935"/>
    <s v="2025-12-05"/>
    <x v="7"/>
    <s v="South"/>
    <s v="Tamil Nadu"/>
    <s v="Chennai"/>
    <x v="2"/>
    <x v="4"/>
    <s v="CUST1141"/>
    <s v="SP_06"/>
    <n v="3"/>
    <n v="2575.54"/>
    <n v="7726.62"/>
    <n v="4590.08"/>
    <n v="3136.54"/>
    <s v="Credit Card"/>
  </r>
  <r>
    <s v="ORD101936"/>
    <s v="2025-03-06"/>
    <x v="4"/>
    <s v="North"/>
    <s v="Delhi"/>
    <s v="Delhi"/>
    <x v="3"/>
    <x v="3"/>
    <s v="CUST1798"/>
    <s v="SP_02"/>
    <n v="8"/>
    <n v="22.89"/>
    <n v="183.12"/>
    <n v="81.680000000000007"/>
    <n v="101.44"/>
    <s v="UPI"/>
  </r>
  <r>
    <s v="ORD101937"/>
    <s v="2025-06-03"/>
    <x v="2"/>
    <s v="West"/>
    <s v="Rajasthan"/>
    <s v="Jaipur"/>
    <x v="3"/>
    <x v="3"/>
    <s v="CUST1870"/>
    <s v="SP_03"/>
    <n v="1"/>
    <n v="24.45"/>
    <n v="24.45"/>
    <n v="9.59"/>
    <n v="14.86"/>
    <s v="Credit Card"/>
  </r>
  <r>
    <s v="ORD101938"/>
    <s v="2025-08-04"/>
    <x v="11"/>
    <s v="West"/>
    <s v="Rajasthan"/>
    <s v="Jaipur"/>
    <x v="1"/>
    <x v="1"/>
    <s v="CUST1328"/>
    <s v="SP_09"/>
    <n v="8"/>
    <n v="3003.59"/>
    <n v="24028.720000000001"/>
    <n v="15014"/>
    <n v="9014.7199999999993"/>
    <s v="Cash"/>
  </r>
  <r>
    <s v="ORD101939"/>
    <s v="2025-07-23"/>
    <x v="6"/>
    <s v="East"/>
    <s v="West Bengal"/>
    <s v="Kolkata"/>
    <x v="0"/>
    <x v="8"/>
    <s v="CUST1190"/>
    <s v="SP_06"/>
    <n v="5"/>
    <n v="23911.31"/>
    <n v="119556.55"/>
    <n v="84545.29"/>
    <n v="35011.26"/>
    <s v="Credit Card"/>
  </r>
  <r>
    <s v="ORD101940"/>
    <s v="2025-07-29"/>
    <x v="6"/>
    <s v="East"/>
    <s v="Bihar"/>
    <s v="Patna"/>
    <x v="0"/>
    <x v="8"/>
    <s v="CUST1236"/>
    <s v="SP_04"/>
    <n v="1"/>
    <n v="19931.13"/>
    <n v="19931.13"/>
    <n v="16977.27"/>
    <n v="2953.86"/>
    <s v="Cash"/>
  </r>
  <r>
    <s v="ORD101941"/>
    <s v="2025-12-30"/>
    <x v="7"/>
    <s v="West"/>
    <s v="Maharashtra"/>
    <s v="Mumbai"/>
    <x v="1"/>
    <x v="5"/>
    <s v="CUST1740"/>
    <s v="SP_13"/>
    <n v="2"/>
    <n v="10085.19"/>
    <n v="20170.38"/>
    <n v="15391.6"/>
    <n v="4778.78"/>
    <s v="UPI"/>
  </r>
  <r>
    <s v="ORD101942"/>
    <s v="2025-01-06"/>
    <x v="9"/>
    <s v="West"/>
    <s v="Maharashtra"/>
    <s v="Mumbai"/>
    <x v="2"/>
    <x v="2"/>
    <s v="CUST1745"/>
    <s v="SP_13"/>
    <n v="2"/>
    <n v="48804.91"/>
    <n v="97609.82"/>
    <n v="67167.92"/>
    <n v="30441.9"/>
    <s v="UPI"/>
  </r>
  <r>
    <s v="ORD101943"/>
    <s v="2025-05-17"/>
    <x v="3"/>
    <s v="West"/>
    <s v="Rajasthan"/>
    <s v="Jaipur"/>
    <x v="1"/>
    <x v="6"/>
    <s v="CUST1525"/>
    <s v="SP_14"/>
    <n v="7"/>
    <n v="3199.48"/>
    <n v="22396.36"/>
    <n v="17392.7"/>
    <n v="5003.66"/>
    <s v="Debit Card"/>
  </r>
  <r>
    <s v="ORD101944"/>
    <s v="2025-10-13"/>
    <x v="1"/>
    <s v="East"/>
    <s v="Odisha"/>
    <s v="Bhubaneswar"/>
    <x v="2"/>
    <x v="4"/>
    <s v="CUST1645"/>
    <s v="SP_08"/>
    <n v="2"/>
    <n v="2527.1"/>
    <n v="5054.2"/>
    <n v="3273.1"/>
    <n v="1781.1"/>
    <s v="Net Banking"/>
  </r>
  <r>
    <s v="ORD101945"/>
    <s v="2025-02-18"/>
    <x v="8"/>
    <s v="East"/>
    <s v="Odisha"/>
    <s v="Bhubaneswar"/>
    <x v="1"/>
    <x v="5"/>
    <s v="CUST1228"/>
    <s v="SP_01"/>
    <n v="8"/>
    <n v="9774.4599999999991"/>
    <n v="78195.679999999993"/>
    <n v="59568.44"/>
    <n v="18627.240000000002"/>
    <s v="Credit Card"/>
  </r>
  <r>
    <s v="ORD101946"/>
    <s v="2025-01-23"/>
    <x v="9"/>
    <s v="East"/>
    <s v="Bihar"/>
    <s v="Patna"/>
    <x v="3"/>
    <x v="7"/>
    <s v="CUST1271"/>
    <s v="SP_07"/>
    <n v="4"/>
    <n v="10888.85"/>
    <n v="43555.4"/>
    <n v="36600.800000000003"/>
    <n v="6954.6"/>
    <s v="UPI"/>
  </r>
  <r>
    <s v="ORD101947"/>
    <s v="2025-04-08"/>
    <x v="0"/>
    <s v="East"/>
    <s v="Odisha"/>
    <s v="Bhubaneswar"/>
    <x v="0"/>
    <x v="0"/>
    <s v="CUST1383"/>
    <s v="SP_05"/>
    <n v="6"/>
    <n v="3737.72"/>
    <n v="22426.32"/>
    <n v="13776.38"/>
    <n v="8649.94"/>
    <s v="UPI"/>
  </r>
  <r>
    <s v="ORD101948"/>
    <s v="2025-07-04"/>
    <x v="6"/>
    <s v="West"/>
    <s v="Maharashtra"/>
    <s v="Mumbai"/>
    <x v="3"/>
    <x v="11"/>
    <s v="CUST1655"/>
    <s v="SP_07"/>
    <n v="6"/>
    <n v="121.76"/>
    <n v="730.56"/>
    <n v="348.56"/>
    <n v="382"/>
    <s v="UPI"/>
  </r>
  <r>
    <s v="ORD101949"/>
    <s v="2025-06-07"/>
    <x v="2"/>
    <s v="East"/>
    <s v="West Bengal"/>
    <s v="Kolkata"/>
    <x v="2"/>
    <x v="4"/>
    <s v="CUST1354"/>
    <s v="SP_07"/>
    <n v="8"/>
    <n v="2747.55"/>
    <n v="21980.400000000001"/>
    <n v="12767.71"/>
    <n v="9212.69"/>
    <s v="Net Banking"/>
  </r>
  <r>
    <s v="ORD101950"/>
    <s v="2025-07-19"/>
    <x v="6"/>
    <s v="East"/>
    <s v="Odisha"/>
    <s v="Bhubaneswar"/>
    <x v="0"/>
    <x v="0"/>
    <s v="CUST1026"/>
    <s v="SP_04"/>
    <n v="4"/>
    <n v="3170.72"/>
    <n v="12682.88"/>
    <n v="8640.35"/>
    <n v="4042.53"/>
    <s v="Debit Card"/>
  </r>
  <r>
    <s v="ORD101951"/>
    <s v="2025-09-07"/>
    <x v="5"/>
    <s v="West"/>
    <s v="Gujarat"/>
    <s v="Ahmedabad"/>
    <x v="3"/>
    <x v="7"/>
    <s v="CUST1743"/>
    <s v="SP_05"/>
    <n v="6"/>
    <n v="11277.64"/>
    <n v="67665.84"/>
    <n v="51818.45"/>
    <n v="15847.39"/>
    <s v="Net Banking"/>
  </r>
  <r>
    <s v="ORD101952"/>
    <s v="2025-01-07"/>
    <x v="9"/>
    <s v="East"/>
    <s v="West Bengal"/>
    <s v="Kolkata"/>
    <x v="3"/>
    <x v="11"/>
    <s v="CUST1245"/>
    <s v="SP_06"/>
    <n v="4"/>
    <n v="127.58"/>
    <n v="510.32"/>
    <n v="236.41"/>
    <n v="273.91000000000003"/>
    <s v="Credit Card"/>
  </r>
  <r>
    <s v="ORD101953"/>
    <s v="2025-02-25"/>
    <x v="8"/>
    <s v="East"/>
    <s v="Odisha"/>
    <s v="Bhubaneswar"/>
    <x v="0"/>
    <x v="8"/>
    <s v="CUST1271"/>
    <s v="SP_01"/>
    <n v="3"/>
    <n v="21168.53"/>
    <n v="63505.59"/>
    <n v="49231.040000000001"/>
    <n v="14274.55"/>
    <s v="Credit Card"/>
  </r>
  <r>
    <s v="ORD101954"/>
    <s v="2025-10-14"/>
    <x v="1"/>
    <s v="North"/>
    <s v="Uttar Pradesh"/>
    <s v="Lucknow"/>
    <x v="2"/>
    <x v="4"/>
    <s v="CUST1334"/>
    <s v="SP_15"/>
    <n v="2"/>
    <n v="2273.12"/>
    <n v="4546.24"/>
    <n v="3204.27"/>
    <n v="1341.97"/>
    <s v="UPI"/>
  </r>
  <r>
    <s v="ORD101955"/>
    <s v="2025-12-24"/>
    <x v="7"/>
    <s v="South"/>
    <s v="Tamil Nadu"/>
    <s v="Chennai"/>
    <x v="0"/>
    <x v="8"/>
    <s v="CUST1850"/>
    <s v="SP_01"/>
    <n v="3"/>
    <n v="20576.349999999999"/>
    <n v="61729.05"/>
    <n v="51540.27"/>
    <n v="10188.780000000001"/>
    <s v="Credit Card"/>
  </r>
  <r>
    <s v="ORD101956"/>
    <s v="2025-08-31"/>
    <x v="11"/>
    <s v="North"/>
    <s v="Punjab"/>
    <s v="Chandigarh"/>
    <x v="3"/>
    <x v="11"/>
    <s v="CUST1315"/>
    <s v="SP_14"/>
    <n v="4"/>
    <n v="116.13"/>
    <n v="464.52"/>
    <n v="233.54"/>
    <n v="230.98"/>
    <s v="Net Banking"/>
  </r>
  <r>
    <s v="ORD101957"/>
    <s v="2025-04-06"/>
    <x v="0"/>
    <s v="East"/>
    <s v="Bihar"/>
    <s v="Patna"/>
    <x v="3"/>
    <x v="11"/>
    <s v="CUST1483"/>
    <s v="SP_02"/>
    <n v="8"/>
    <n v="114.99"/>
    <n v="919.92"/>
    <n v="477.1"/>
    <n v="442.82"/>
    <s v="Cash"/>
  </r>
  <r>
    <s v="ORD101958"/>
    <s v="2025-05-22"/>
    <x v="3"/>
    <s v="South"/>
    <s v="Karnataka"/>
    <s v="Bengaluru"/>
    <x v="3"/>
    <x v="7"/>
    <s v="CUST1642"/>
    <s v="SP_14"/>
    <n v="2"/>
    <n v="11865.4"/>
    <n v="23730.799999999999"/>
    <n v="18647.91"/>
    <n v="5082.8900000000003"/>
    <s v="UPI"/>
  </r>
  <r>
    <s v="ORD101959"/>
    <s v="2025-08-13"/>
    <x v="11"/>
    <s v="South"/>
    <s v="Karnataka"/>
    <s v="Bengaluru"/>
    <x v="1"/>
    <x v="6"/>
    <s v="CUST1431"/>
    <s v="SP_12"/>
    <n v="1"/>
    <n v="3437.95"/>
    <n v="3437.95"/>
    <n v="2469.87"/>
    <n v="968.08"/>
    <s v="Cash"/>
  </r>
  <r>
    <s v="ORD101960"/>
    <s v="2025-12-15"/>
    <x v="7"/>
    <s v="North"/>
    <s v="Delhi"/>
    <s v="Delhi"/>
    <x v="1"/>
    <x v="1"/>
    <s v="CUST1387"/>
    <s v="SP_09"/>
    <n v="6"/>
    <n v="2622.51"/>
    <n v="15735.06"/>
    <n v="11194.01"/>
    <n v="4541.05"/>
    <s v="UPI"/>
  </r>
  <r>
    <s v="ORD101961"/>
    <s v="2025-05-15"/>
    <x v="3"/>
    <s v="North"/>
    <s v="Uttar Pradesh"/>
    <s v="Lucknow"/>
    <x v="1"/>
    <x v="1"/>
    <s v="CUST1426"/>
    <s v="SP_06"/>
    <n v="3"/>
    <n v="3036.47"/>
    <n v="9109.41"/>
    <n v="5705.9"/>
    <n v="3403.51"/>
    <s v="Cash"/>
  </r>
  <r>
    <s v="ORD101962"/>
    <s v="2025-12-09"/>
    <x v="7"/>
    <s v="South"/>
    <s v="Tamil Nadu"/>
    <s v="Chennai"/>
    <x v="3"/>
    <x v="7"/>
    <s v="CUST1559"/>
    <s v="SP_01"/>
    <n v="1"/>
    <n v="11793.13"/>
    <n v="11793.13"/>
    <n v="9361.25"/>
    <n v="2431.88"/>
    <s v="Net Banking"/>
  </r>
  <r>
    <s v="ORD101963"/>
    <s v="2025-09-14"/>
    <x v="5"/>
    <s v="West"/>
    <s v="Rajasthan"/>
    <s v="Jaipur"/>
    <x v="1"/>
    <x v="1"/>
    <s v="CUST1432"/>
    <s v="SP_03"/>
    <n v="3"/>
    <n v="2776.13"/>
    <n v="8328.39"/>
    <n v="5578.53"/>
    <n v="2749.86"/>
    <s v="Cash"/>
  </r>
  <r>
    <s v="ORD101964"/>
    <s v="2025-11-26"/>
    <x v="10"/>
    <s v="West"/>
    <s v="Gujarat"/>
    <s v="Ahmedabad"/>
    <x v="0"/>
    <x v="8"/>
    <s v="CUST1494"/>
    <s v="SP_11"/>
    <n v="8"/>
    <n v="20158.849999999999"/>
    <n v="161270.79999999999"/>
    <n v="132728.71"/>
    <n v="28542.09"/>
    <s v="Debit Card"/>
  </r>
  <r>
    <s v="ORD101965"/>
    <s v="2025-02-04"/>
    <x v="8"/>
    <s v="South"/>
    <s v="Tamil Nadu"/>
    <s v="Chennai"/>
    <x v="1"/>
    <x v="5"/>
    <s v="CUST1240"/>
    <s v="SP_01"/>
    <n v="8"/>
    <n v="9882.41"/>
    <n v="79059.28"/>
    <n v="59081.39"/>
    <n v="19977.89"/>
    <s v="Cash"/>
  </r>
  <r>
    <s v="ORD101966"/>
    <s v="2025-12-29"/>
    <x v="7"/>
    <s v="South"/>
    <s v="Tamil Nadu"/>
    <s v="Chennai"/>
    <x v="3"/>
    <x v="3"/>
    <s v="CUST1107"/>
    <s v="SP_05"/>
    <n v="4"/>
    <n v="26.68"/>
    <n v="106.72"/>
    <n v="39.65"/>
    <n v="67.069999999999993"/>
    <s v="Net Banking"/>
  </r>
  <r>
    <s v="ORD101967"/>
    <s v="2025-09-02"/>
    <x v="5"/>
    <s v="South"/>
    <s v="Karnataka"/>
    <s v="Bengaluru"/>
    <x v="1"/>
    <x v="1"/>
    <s v="CUST1190"/>
    <s v="SP_04"/>
    <n v="1"/>
    <n v="2943.77"/>
    <n v="2943.77"/>
    <n v="1879.6"/>
    <n v="1064.17"/>
    <s v="UPI"/>
  </r>
  <r>
    <s v="ORD101968"/>
    <s v="2025-04-29"/>
    <x v="0"/>
    <s v="West"/>
    <s v="Maharashtra"/>
    <s v="Mumbai"/>
    <x v="0"/>
    <x v="0"/>
    <s v="CUST1974"/>
    <s v="SP_04"/>
    <n v="2"/>
    <n v="3650.7"/>
    <n v="7301.4"/>
    <n v="4280.72"/>
    <n v="3020.68"/>
    <s v="Credit Card"/>
  </r>
  <r>
    <s v="ORD101969"/>
    <s v="2025-04-08"/>
    <x v="0"/>
    <s v="East"/>
    <s v="Odisha"/>
    <s v="Bhubaneswar"/>
    <x v="3"/>
    <x v="11"/>
    <s v="CUST1209"/>
    <s v="SP_12"/>
    <n v="3"/>
    <n v="121.67"/>
    <n v="365.01"/>
    <n v="183.52"/>
    <n v="181.49"/>
    <s v="Debit Card"/>
  </r>
  <r>
    <s v="ORD101970"/>
    <s v="2025-07-15"/>
    <x v="6"/>
    <s v="North"/>
    <s v="Punjab"/>
    <s v="Chandigarh"/>
    <x v="3"/>
    <x v="11"/>
    <s v="CUST1003"/>
    <s v="SP_09"/>
    <n v="6"/>
    <n v="111.04"/>
    <n v="666.24"/>
    <n v="358.17"/>
    <n v="308.07"/>
    <s v="UPI"/>
  </r>
  <r>
    <s v="ORD101971"/>
    <s v="2025-07-12"/>
    <x v="6"/>
    <s v="North"/>
    <s v="Delhi"/>
    <s v="Delhi"/>
    <x v="1"/>
    <x v="5"/>
    <s v="CUST1209"/>
    <s v="SP_14"/>
    <n v="4"/>
    <n v="8640.06"/>
    <n v="34560.239999999998"/>
    <n v="29373.9"/>
    <n v="5186.34"/>
    <s v="Net Banking"/>
  </r>
  <r>
    <s v="ORD101972"/>
    <s v="2025-01-28"/>
    <x v="9"/>
    <s v="South"/>
    <s v="Telangana"/>
    <s v="Hyderabad"/>
    <x v="3"/>
    <x v="11"/>
    <s v="CUST1230"/>
    <s v="SP_15"/>
    <n v="3"/>
    <n v="127.78"/>
    <n v="383.34"/>
    <n v="182.84"/>
    <n v="200.5"/>
    <s v="Credit Card"/>
  </r>
  <r>
    <s v="ORD101973"/>
    <s v="2025-06-21"/>
    <x v="2"/>
    <s v="North"/>
    <s v="Delhi"/>
    <s v="Delhi"/>
    <x v="1"/>
    <x v="5"/>
    <s v="CUST1400"/>
    <s v="SP_09"/>
    <n v="5"/>
    <n v="9258.93"/>
    <n v="46294.65"/>
    <n v="37707.85"/>
    <n v="8586.7999999999993"/>
    <s v="Cash"/>
  </r>
  <r>
    <s v="ORD101974"/>
    <s v="2025-11-25"/>
    <x v="10"/>
    <s v="East"/>
    <s v="Odisha"/>
    <s v="Bhubaneswar"/>
    <x v="2"/>
    <x v="2"/>
    <s v="CUST1031"/>
    <s v="SP_03"/>
    <n v="1"/>
    <n v="44239.519999999997"/>
    <n v="44239.519999999997"/>
    <n v="33716.949999999997"/>
    <n v="10522.57"/>
    <s v="Net Banking"/>
  </r>
  <r>
    <s v="ORD101975"/>
    <s v="2025-07-20"/>
    <x v="6"/>
    <s v="South"/>
    <s v="Karnataka"/>
    <s v="Bengaluru"/>
    <x v="0"/>
    <x v="8"/>
    <s v="CUST1894"/>
    <s v="SP_11"/>
    <n v="1"/>
    <n v="21285.279999999999"/>
    <n v="21285.279999999999"/>
    <n v="16606.14"/>
    <n v="4679.1400000000003"/>
    <s v="Net Banking"/>
  </r>
  <r>
    <s v="ORD101976"/>
    <s v="2025-11-29"/>
    <x v="10"/>
    <s v="South"/>
    <s v="Karnataka"/>
    <s v="Bengaluru"/>
    <x v="0"/>
    <x v="0"/>
    <s v="CUST1627"/>
    <s v="SP_12"/>
    <n v="6"/>
    <n v="3384.97"/>
    <n v="20309.82"/>
    <n v="12778.19"/>
    <n v="7531.63"/>
    <s v="Net Banking"/>
  </r>
  <r>
    <s v="ORD101977"/>
    <s v="2025-04-28"/>
    <x v="0"/>
    <s v="South"/>
    <s v="Telangana"/>
    <s v="Hyderabad"/>
    <x v="2"/>
    <x v="10"/>
    <s v="CUST1479"/>
    <s v="SP_02"/>
    <n v="3"/>
    <n v="17033.59"/>
    <n v="51100.77"/>
    <n v="41008.480000000003"/>
    <n v="10092.290000000001"/>
    <s v="UPI"/>
  </r>
  <r>
    <s v="ORD101978"/>
    <s v="2025-11-08"/>
    <x v="10"/>
    <s v="South"/>
    <s v="Tamil Nadu"/>
    <s v="Chennai"/>
    <x v="1"/>
    <x v="6"/>
    <s v="CUST1215"/>
    <s v="SP_02"/>
    <n v="3"/>
    <n v="3042.64"/>
    <n v="9127.92"/>
    <n v="7216.61"/>
    <n v="1911.31"/>
    <s v="Debit Card"/>
  </r>
  <r>
    <s v="ORD101979"/>
    <s v="2025-06-25"/>
    <x v="2"/>
    <s v="East"/>
    <s v="Bihar"/>
    <s v="Patna"/>
    <x v="1"/>
    <x v="5"/>
    <s v="CUST1846"/>
    <s v="SP_03"/>
    <n v="3"/>
    <n v="10378.23"/>
    <n v="31134.69"/>
    <n v="23243.83"/>
    <n v="7890.86"/>
    <s v="Debit Card"/>
  </r>
  <r>
    <s v="ORD101980"/>
    <s v="2025-02-07"/>
    <x v="8"/>
    <s v="North"/>
    <s v="Punjab"/>
    <s v="Chandigarh"/>
    <x v="0"/>
    <x v="8"/>
    <s v="CUST1488"/>
    <s v="SP_05"/>
    <n v="3"/>
    <n v="21990.1"/>
    <n v="65970.3"/>
    <n v="53435.05"/>
    <n v="12535.25"/>
    <s v="Debit Card"/>
  </r>
  <r>
    <s v="ORD101981"/>
    <s v="2025-10-12"/>
    <x v="1"/>
    <s v="North"/>
    <s v="Delhi"/>
    <s v="Delhi"/>
    <x v="3"/>
    <x v="11"/>
    <s v="CUST1088"/>
    <s v="SP_04"/>
    <n v="7"/>
    <n v="110.5"/>
    <n v="773.5"/>
    <n v="413.01"/>
    <n v="360.49"/>
    <s v="Credit Card"/>
  </r>
  <r>
    <s v="ORD101982"/>
    <s v="2025-03-06"/>
    <x v="4"/>
    <s v="West"/>
    <s v="Rajasthan"/>
    <s v="Jaipur"/>
    <x v="0"/>
    <x v="0"/>
    <s v="CUST1766"/>
    <s v="SP_10"/>
    <n v="3"/>
    <n v="3637.63"/>
    <n v="10912.89"/>
    <n v="6801.81"/>
    <n v="4111.08"/>
    <s v="Cash"/>
  </r>
  <r>
    <s v="ORD101983"/>
    <s v="2025-06-08"/>
    <x v="2"/>
    <s v="North"/>
    <s v="Punjab"/>
    <s v="Chandigarh"/>
    <x v="3"/>
    <x v="7"/>
    <s v="CUST1786"/>
    <s v="SP_06"/>
    <n v="4"/>
    <n v="13026.95"/>
    <n v="52107.8"/>
    <n v="36736.239999999998"/>
    <n v="15371.56"/>
    <s v="Debit Card"/>
  </r>
  <r>
    <s v="ORD101984"/>
    <s v="2025-11-12"/>
    <x v="10"/>
    <s v="South"/>
    <s v="Karnataka"/>
    <s v="Bengaluru"/>
    <x v="3"/>
    <x v="3"/>
    <s v="CUST1891"/>
    <s v="SP_02"/>
    <n v="6"/>
    <n v="23.74"/>
    <n v="142.44"/>
    <n v="61.05"/>
    <n v="81.39"/>
    <s v="Net Banking"/>
  </r>
  <r>
    <s v="ORD101985"/>
    <s v="2025-09-30"/>
    <x v="5"/>
    <s v="South"/>
    <s v="Telangana"/>
    <s v="Hyderabad"/>
    <x v="0"/>
    <x v="9"/>
    <s v="CUST1284"/>
    <s v="SP_03"/>
    <n v="1"/>
    <n v="6878.68"/>
    <n v="6878.68"/>
    <n v="5058.26"/>
    <n v="1820.42"/>
    <s v="Credit Card"/>
  </r>
  <r>
    <s v="ORD101986"/>
    <s v="2025-05-22"/>
    <x v="3"/>
    <s v="West"/>
    <s v="Gujarat"/>
    <s v="Ahmedabad"/>
    <x v="2"/>
    <x v="10"/>
    <s v="CUST1256"/>
    <s v="SP_09"/>
    <n v="6"/>
    <n v="18925.18"/>
    <n v="113551.08"/>
    <n v="82783.44"/>
    <n v="30767.64"/>
    <s v="Credit Card"/>
  </r>
  <r>
    <s v="ORD101987"/>
    <s v="2025-10-21"/>
    <x v="1"/>
    <s v="North"/>
    <s v="Punjab"/>
    <s v="Chandigarh"/>
    <x v="0"/>
    <x v="0"/>
    <s v="CUST1570"/>
    <s v="SP_06"/>
    <n v="2"/>
    <n v="3236.86"/>
    <n v="6473.72"/>
    <n v="4195.05"/>
    <n v="2278.67"/>
    <s v="Net Banking"/>
  </r>
  <r>
    <s v="ORD101988"/>
    <s v="2025-10-14"/>
    <x v="1"/>
    <s v="East"/>
    <s v="Bihar"/>
    <s v="Patna"/>
    <x v="1"/>
    <x v="5"/>
    <s v="CUST1641"/>
    <s v="SP_09"/>
    <n v="7"/>
    <n v="8799.2999999999993"/>
    <n v="61595.1"/>
    <n v="55739.22"/>
    <n v="5855.88"/>
    <s v="Debit Card"/>
  </r>
  <r>
    <s v="ORD101989"/>
    <s v="2025-09-22"/>
    <x v="5"/>
    <s v="West"/>
    <s v="Gujarat"/>
    <s v="Ahmedabad"/>
    <x v="0"/>
    <x v="9"/>
    <s v="CUST1166"/>
    <s v="SP_13"/>
    <n v="1"/>
    <n v="7448.18"/>
    <n v="7448.18"/>
    <n v="4867.95"/>
    <n v="2580.23"/>
    <s v="Debit Card"/>
  </r>
  <r>
    <s v="ORD101990"/>
    <s v="2025-05-17"/>
    <x v="3"/>
    <s v="South"/>
    <s v="Tamil Nadu"/>
    <s v="Chennai"/>
    <x v="1"/>
    <x v="6"/>
    <s v="CUST1674"/>
    <s v="SP_07"/>
    <n v="8"/>
    <n v="2937.15"/>
    <n v="23497.200000000001"/>
    <n v="19557.509999999998"/>
    <n v="3939.69"/>
    <s v="Credit Card"/>
  </r>
  <r>
    <s v="ORD101991"/>
    <s v="2025-12-10"/>
    <x v="7"/>
    <s v="North"/>
    <s v="Delhi"/>
    <s v="Delhi"/>
    <x v="1"/>
    <x v="1"/>
    <s v="CUST1732"/>
    <s v="SP_04"/>
    <n v="5"/>
    <n v="2916.05"/>
    <n v="14580.25"/>
    <n v="9921.5"/>
    <n v="4658.75"/>
    <s v="Cash"/>
  </r>
  <r>
    <s v="ORD101992"/>
    <s v="2025-09-11"/>
    <x v="5"/>
    <s v="North"/>
    <s v="Uttar Pradesh"/>
    <s v="Lucknow"/>
    <x v="3"/>
    <x v="7"/>
    <s v="CUST1958"/>
    <s v="SP_13"/>
    <n v="8"/>
    <n v="12142.85"/>
    <n v="97142.8"/>
    <n v="70104.73"/>
    <n v="27038.07"/>
    <s v="Debit Card"/>
  </r>
  <r>
    <s v="ORD101993"/>
    <s v="2025-06-22"/>
    <x v="2"/>
    <s v="East"/>
    <s v="Bihar"/>
    <s v="Patna"/>
    <x v="1"/>
    <x v="1"/>
    <s v="CUST1529"/>
    <s v="SP_14"/>
    <n v="7"/>
    <n v="2637.8"/>
    <n v="18464.599999999999"/>
    <n v="13020.43"/>
    <n v="5444.17"/>
    <s v="Cash"/>
  </r>
  <r>
    <s v="ORD101994"/>
    <s v="2025-12-10"/>
    <x v="7"/>
    <s v="West"/>
    <s v="Gujarat"/>
    <s v="Ahmedabad"/>
    <x v="1"/>
    <x v="6"/>
    <s v="CUST1593"/>
    <s v="SP_13"/>
    <n v="4"/>
    <n v="3404.87"/>
    <n v="13619.48"/>
    <n v="9652.82"/>
    <n v="3966.66"/>
    <s v="Net Banking"/>
  </r>
  <r>
    <s v="ORD101995"/>
    <s v="2025-04-09"/>
    <x v="0"/>
    <s v="North"/>
    <s v="Uttar Pradesh"/>
    <s v="Lucknow"/>
    <x v="1"/>
    <x v="5"/>
    <s v="CUST1182"/>
    <s v="SP_04"/>
    <n v="3"/>
    <n v="9065.7800000000007"/>
    <n v="27197.34"/>
    <n v="22676.92"/>
    <n v="4520.42"/>
    <s v="Net Banking"/>
  </r>
  <r>
    <s v="ORD101996"/>
    <s v="2025-07-13"/>
    <x v="6"/>
    <s v="East"/>
    <s v="Bihar"/>
    <s v="Patna"/>
    <x v="1"/>
    <x v="6"/>
    <s v="CUST1702"/>
    <s v="SP_11"/>
    <n v="1"/>
    <n v="2915.88"/>
    <n v="2915.88"/>
    <n v="2324.6"/>
    <n v="591.28"/>
    <s v="Net Banking"/>
  </r>
  <r>
    <s v="ORD101997"/>
    <s v="2025-05-23"/>
    <x v="3"/>
    <s v="East"/>
    <s v="Bihar"/>
    <s v="Patna"/>
    <x v="2"/>
    <x v="4"/>
    <s v="CUST1108"/>
    <s v="SP_14"/>
    <n v="1"/>
    <n v="2541.64"/>
    <n v="2541.64"/>
    <n v="1545.59"/>
    <n v="996.05"/>
    <s v="Credit Card"/>
  </r>
  <r>
    <s v="ORD101998"/>
    <s v="2025-05-11"/>
    <x v="3"/>
    <s v="South"/>
    <s v="Telangana"/>
    <s v="Hyderabad"/>
    <x v="2"/>
    <x v="2"/>
    <s v="CUST1720"/>
    <s v="SP_11"/>
    <n v="8"/>
    <n v="48637.24"/>
    <n v="389097.92"/>
    <n v="293292.84000000003"/>
    <n v="95805.08"/>
    <s v="Net Banking"/>
  </r>
  <r>
    <s v="ORD101999"/>
    <s v="2025-04-21"/>
    <x v="0"/>
    <s v="North"/>
    <s v="Uttar Pradesh"/>
    <s v="Lucknow"/>
    <x v="2"/>
    <x v="2"/>
    <s v="CUST1983"/>
    <s v="SP_11"/>
    <n v="8"/>
    <n v="41391.89"/>
    <n v="331135.12"/>
    <n v="269028.09000000003"/>
    <n v="62107.03"/>
    <s v="Cash"/>
  </r>
  <r>
    <s v="ORD102000"/>
    <s v="2025-06-04"/>
    <x v="2"/>
    <s v="North"/>
    <s v="Punjab"/>
    <s v="Chandigarh"/>
    <x v="2"/>
    <x v="2"/>
    <s v="CUST1085"/>
    <s v="SP_13"/>
    <n v="4"/>
    <n v="40622.97"/>
    <n v="162491.88"/>
    <n v="134332.01"/>
    <n v="28159.87"/>
    <s v="UPI"/>
  </r>
  <r>
    <s v="ORD102001"/>
    <s v="2025-11-05"/>
    <x v="10"/>
    <s v="North"/>
    <s v="Delhi"/>
    <s v="Delhi"/>
    <x v="0"/>
    <x v="8"/>
    <s v="CUST1884"/>
    <s v="SP_12"/>
    <n v="3"/>
    <n v="24065.58"/>
    <n v="72196.740000000005"/>
    <n v="53518.32"/>
    <n v="18678.419999999998"/>
    <s v="Debit Card"/>
  </r>
  <r>
    <s v="ORD102002"/>
    <s v="2025-09-26"/>
    <x v="5"/>
    <s v="North"/>
    <s v="Punjab"/>
    <s v="Chandigarh"/>
    <x v="2"/>
    <x v="4"/>
    <s v="CUST1420"/>
    <s v="SP_09"/>
    <n v="2"/>
    <n v="2406.77"/>
    <n v="4813.54"/>
    <n v="3310.92"/>
    <n v="1502.62"/>
    <s v="Credit Card"/>
  </r>
  <r>
    <s v="ORD102003"/>
    <s v="2025-02-03"/>
    <x v="8"/>
    <s v="South"/>
    <s v="Karnataka"/>
    <s v="Bengaluru"/>
    <x v="0"/>
    <x v="0"/>
    <s v="CUST1892"/>
    <s v="SP_07"/>
    <n v="6"/>
    <n v="3228.78"/>
    <n v="19372.68"/>
    <n v="13704.69"/>
    <n v="5667.99"/>
    <s v="Debit Card"/>
  </r>
  <r>
    <s v="ORD102004"/>
    <s v="2025-02-23"/>
    <x v="8"/>
    <s v="South"/>
    <s v="Tamil Nadu"/>
    <s v="Chennai"/>
    <x v="1"/>
    <x v="5"/>
    <s v="CUST1224"/>
    <s v="SP_12"/>
    <n v="1"/>
    <n v="8955.24"/>
    <n v="8955.24"/>
    <n v="7669.25"/>
    <n v="1285.99"/>
    <s v="Debit Card"/>
  </r>
  <r>
    <s v="ORD102005"/>
    <s v="2025-11-13"/>
    <x v="10"/>
    <s v="West"/>
    <s v="Rajasthan"/>
    <s v="Jaipur"/>
    <x v="2"/>
    <x v="10"/>
    <s v="CUST1754"/>
    <s v="SP_15"/>
    <n v="5"/>
    <n v="16979.95"/>
    <n v="84899.75"/>
    <n v="72138.880000000005"/>
    <n v="12760.87"/>
    <s v="Cash"/>
  </r>
  <r>
    <s v="ORD102006"/>
    <s v="2025-10-01"/>
    <x v="1"/>
    <s v="East"/>
    <s v="Odisha"/>
    <s v="Bhubaneswar"/>
    <x v="3"/>
    <x v="7"/>
    <s v="CUST1967"/>
    <s v="SP_10"/>
    <n v="8"/>
    <n v="13110.42"/>
    <n v="104883.36"/>
    <n v="73947.64"/>
    <n v="30935.72"/>
    <s v="UPI"/>
  </r>
  <r>
    <s v="ORD102007"/>
    <s v="2025-04-20"/>
    <x v="0"/>
    <s v="West"/>
    <s v="Maharashtra"/>
    <s v="Mumbai"/>
    <x v="3"/>
    <x v="7"/>
    <s v="CUST1567"/>
    <s v="SP_03"/>
    <n v="5"/>
    <n v="11623.52"/>
    <n v="58117.599999999999"/>
    <n v="43380.74"/>
    <n v="14736.86"/>
    <s v="Net Banking"/>
  </r>
  <r>
    <s v="ORD102008"/>
    <s v="2025-05-13"/>
    <x v="3"/>
    <s v="West"/>
    <s v="Gujarat"/>
    <s v="Ahmedabad"/>
    <x v="0"/>
    <x v="8"/>
    <s v="CUST1845"/>
    <s v="SP_06"/>
    <n v="2"/>
    <n v="23910.43"/>
    <n v="47820.86"/>
    <n v="33124.67"/>
    <n v="14696.19"/>
    <s v="Credit Card"/>
  </r>
  <r>
    <s v="ORD102009"/>
    <s v="2025-09-30"/>
    <x v="5"/>
    <s v="West"/>
    <s v="Rajasthan"/>
    <s v="Jaipur"/>
    <x v="3"/>
    <x v="3"/>
    <s v="CUST1284"/>
    <s v="SP_11"/>
    <n v="6"/>
    <n v="26.82"/>
    <n v="160.91999999999999"/>
    <n v="60.24"/>
    <n v="100.68"/>
    <s v="UPI"/>
  </r>
  <r>
    <s v="ORD102010"/>
    <s v="2025-02-10"/>
    <x v="8"/>
    <s v="West"/>
    <s v="Rajasthan"/>
    <s v="Jaipur"/>
    <x v="1"/>
    <x v="6"/>
    <s v="CUST1205"/>
    <s v="SP_04"/>
    <n v="6"/>
    <n v="2927.8"/>
    <n v="17566.8"/>
    <n v="14399.99"/>
    <n v="3166.81"/>
    <s v="Net Banking"/>
  </r>
  <r>
    <s v="ORD102011"/>
    <s v="2025-11-24"/>
    <x v="10"/>
    <s v="South"/>
    <s v="Tamil Nadu"/>
    <s v="Chennai"/>
    <x v="0"/>
    <x v="8"/>
    <s v="CUST1737"/>
    <s v="SP_03"/>
    <n v="2"/>
    <n v="23876.05"/>
    <n v="47752.1"/>
    <n v="33436.120000000003"/>
    <n v="14315.98"/>
    <s v="UPI"/>
  </r>
  <r>
    <s v="ORD102012"/>
    <s v="2025-05-12"/>
    <x v="3"/>
    <s v="North"/>
    <s v="Delhi"/>
    <s v="Delhi"/>
    <x v="3"/>
    <x v="7"/>
    <s v="CUST1920"/>
    <s v="SP_15"/>
    <n v="7"/>
    <n v="12969.59"/>
    <n v="90787.13"/>
    <n v="63453.760000000002"/>
    <n v="27333.37"/>
    <s v="Debit Card"/>
  </r>
  <r>
    <s v="ORD102013"/>
    <s v="2025-12-03"/>
    <x v="7"/>
    <s v="South"/>
    <s v="Karnataka"/>
    <s v="Bengaluru"/>
    <x v="2"/>
    <x v="4"/>
    <s v="CUST1383"/>
    <s v="SP_01"/>
    <n v="2"/>
    <n v="2535.48"/>
    <n v="5070.96"/>
    <n v="3200.55"/>
    <n v="1870.41"/>
    <s v="UPI"/>
  </r>
  <r>
    <s v="ORD102014"/>
    <s v="2025-02-25"/>
    <x v="8"/>
    <s v="North"/>
    <s v="Punjab"/>
    <s v="Chandigarh"/>
    <x v="2"/>
    <x v="10"/>
    <s v="CUST1708"/>
    <s v="SP_04"/>
    <n v="6"/>
    <n v="18898"/>
    <n v="113388"/>
    <n v="79894.210000000006"/>
    <n v="33493.79"/>
    <s v="Credit Card"/>
  </r>
  <r>
    <s v="ORD102015"/>
    <s v="2025-04-22"/>
    <x v="0"/>
    <s v="West"/>
    <s v="Gujarat"/>
    <s v="Ahmedabad"/>
    <x v="2"/>
    <x v="10"/>
    <s v="CUST1629"/>
    <s v="SP_14"/>
    <n v="4"/>
    <n v="19210.48"/>
    <n v="76841.919999999998"/>
    <n v="54133.64"/>
    <n v="22708.28"/>
    <s v="UPI"/>
  </r>
  <r>
    <s v="ORD102016"/>
    <s v="2025-07-05"/>
    <x v="6"/>
    <s v="East"/>
    <s v="Bihar"/>
    <s v="Patna"/>
    <x v="2"/>
    <x v="2"/>
    <s v="CUST1200"/>
    <s v="SP_10"/>
    <n v="5"/>
    <n v="41154.589999999997"/>
    <n v="205772.95"/>
    <n v="177900.86"/>
    <n v="27872.09"/>
    <s v="UPI"/>
  </r>
  <r>
    <s v="ORD102017"/>
    <s v="2025-03-08"/>
    <x v="4"/>
    <s v="West"/>
    <s v="Gujarat"/>
    <s v="Ahmedabad"/>
    <x v="1"/>
    <x v="5"/>
    <s v="CUST1417"/>
    <s v="SP_07"/>
    <n v="6"/>
    <n v="9906.2900000000009"/>
    <n v="59437.74"/>
    <n v="43324.9"/>
    <n v="16112.84"/>
    <s v="UPI"/>
  </r>
  <r>
    <s v="ORD102018"/>
    <s v="2025-10-01"/>
    <x v="1"/>
    <s v="East"/>
    <s v="West Bengal"/>
    <s v="Kolkata"/>
    <x v="0"/>
    <x v="8"/>
    <s v="CUST1813"/>
    <s v="SP_07"/>
    <n v="6"/>
    <n v="22657.95"/>
    <n v="135947.70000000001"/>
    <n v="106075.52"/>
    <n v="29872.18"/>
    <s v="UPI"/>
  </r>
  <r>
    <s v="ORD102019"/>
    <s v="2025-08-03"/>
    <x v="11"/>
    <s v="North"/>
    <s v="Punjab"/>
    <s v="Chandigarh"/>
    <x v="3"/>
    <x v="7"/>
    <s v="CUST1744"/>
    <s v="SP_07"/>
    <n v="4"/>
    <n v="12203.8"/>
    <n v="48815.199999999997"/>
    <n v="36582.550000000003"/>
    <n v="12232.65"/>
    <s v="Credit Card"/>
  </r>
  <r>
    <s v="ORD102020"/>
    <s v="2025-09-26"/>
    <x v="5"/>
    <s v="West"/>
    <s v="Maharashtra"/>
    <s v="Mumbai"/>
    <x v="0"/>
    <x v="9"/>
    <s v="CUST1291"/>
    <s v="SP_11"/>
    <n v="2"/>
    <n v="7683.14"/>
    <n v="15366.28"/>
    <n v="10336.18"/>
    <n v="5030.1000000000004"/>
    <s v="Debit Card"/>
  </r>
  <r>
    <s v="ORD102021"/>
    <s v="2025-07-11"/>
    <x v="6"/>
    <s v="North"/>
    <s v="Punjab"/>
    <s v="Chandigarh"/>
    <x v="1"/>
    <x v="6"/>
    <s v="CUST1438"/>
    <s v="SP_04"/>
    <n v="2"/>
    <n v="3399.28"/>
    <n v="6798.56"/>
    <n v="4787.67"/>
    <n v="2010.89"/>
    <s v="Credit Card"/>
  </r>
  <r>
    <s v="ORD102022"/>
    <s v="2025-03-15"/>
    <x v="4"/>
    <s v="East"/>
    <s v="West Bengal"/>
    <s v="Kolkata"/>
    <x v="3"/>
    <x v="7"/>
    <s v="CUST1770"/>
    <s v="SP_14"/>
    <n v="7"/>
    <n v="13040.05"/>
    <n v="91280.35"/>
    <n v="61428.05"/>
    <n v="29852.3"/>
    <s v="Debit Card"/>
  </r>
  <r>
    <s v="ORD102023"/>
    <s v="2025-03-20"/>
    <x v="4"/>
    <s v="West"/>
    <s v="Rajasthan"/>
    <s v="Jaipur"/>
    <x v="1"/>
    <x v="1"/>
    <s v="CUST1346"/>
    <s v="SP_15"/>
    <n v="4"/>
    <n v="2916.78"/>
    <n v="11667.12"/>
    <n v="7715.8"/>
    <n v="3951.32"/>
    <s v="Net Banking"/>
  </r>
  <r>
    <s v="ORD102024"/>
    <s v="2025-08-17"/>
    <x v="11"/>
    <s v="North"/>
    <s v="Uttar Pradesh"/>
    <s v="Lucknow"/>
    <x v="1"/>
    <x v="5"/>
    <s v="CUST1555"/>
    <s v="SP_15"/>
    <n v="2"/>
    <n v="9677.93"/>
    <n v="19355.86"/>
    <n v="14544.05"/>
    <n v="4811.8100000000004"/>
    <s v="Debit Card"/>
  </r>
  <r>
    <s v="ORD102025"/>
    <s v="2025-11-27"/>
    <x v="10"/>
    <s v="North"/>
    <s v="Uttar Pradesh"/>
    <s v="Lucknow"/>
    <x v="2"/>
    <x v="10"/>
    <s v="CUST1827"/>
    <s v="SP_02"/>
    <n v="4"/>
    <n v="17943.37"/>
    <n v="71773.48"/>
    <n v="53790.01"/>
    <n v="17983.47"/>
    <s v="Debit Card"/>
  </r>
  <r>
    <s v="ORD102026"/>
    <s v="2025-07-26"/>
    <x v="6"/>
    <s v="East"/>
    <s v="Odisha"/>
    <s v="Bhubaneswar"/>
    <x v="3"/>
    <x v="7"/>
    <s v="CUST1049"/>
    <s v="SP_07"/>
    <n v="7"/>
    <n v="12946.22"/>
    <n v="90623.54"/>
    <n v="61721.34"/>
    <n v="28902.2"/>
    <s v="Debit Card"/>
  </r>
  <r>
    <s v="ORD102027"/>
    <s v="2025-08-02"/>
    <x v="11"/>
    <s v="North"/>
    <s v="Punjab"/>
    <s v="Chandigarh"/>
    <x v="2"/>
    <x v="4"/>
    <s v="CUST1123"/>
    <s v="SP_08"/>
    <n v="7"/>
    <n v="2584.88"/>
    <n v="18094.16"/>
    <n v="11540.31"/>
    <n v="6553.85"/>
    <s v="Credit Card"/>
  </r>
  <r>
    <s v="ORD102028"/>
    <s v="2025-09-14"/>
    <x v="5"/>
    <s v="North"/>
    <s v="Punjab"/>
    <s v="Chandigarh"/>
    <x v="1"/>
    <x v="1"/>
    <s v="CUST1999"/>
    <s v="SP_07"/>
    <n v="2"/>
    <n v="2589.15"/>
    <n v="5178.3"/>
    <n v="3820.11"/>
    <n v="1358.19"/>
    <s v="Credit Card"/>
  </r>
  <r>
    <s v="ORD102029"/>
    <s v="2025-09-06"/>
    <x v="5"/>
    <s v="North"/>
    <s v="Uttar Pradesh"/>
    <s v="Lucknow"/>
    <x v="1"/>
    <x v="6"/>
    <s v="CUST1207"/>
    <s v="SP_04"/>
    <n v="8"/>
    <n v="3092.98"/>
    <n v="24743.84"/>
    <n v="19710.53"/>
    <n v="5033.3100000000004"/>
    <s v="Net Banking"/>
  </r>
  <r>
    <s v="ORD102030"/>
    <s v="2025-10-03"/>
    <x v="1"/>
    <s v="South"/>
    <s v="Karnataka"/>
    <s v="Bengaluru"/>
    <x v="2"/>
    <x v="10"/>
    <s v="CUST1245"/>
    <s v="SP_10"/>
    <n v="3"/>
    <n v="17280.8"/>
    <n v="51842.400000000001"/>
    <n v="40706"/>
    <n v="11136.4"/>
    <s v="Credit Card"/>
  </r>
  <r>
    <s v="ORD102031"/>
    <s v="2025-01-07"/>
    <x v="9"/>
    <s v="West"/>
    <s v="Gujarat"/>
    <s v="Ahmedabad"/>
    <x v="1"/>
    <x v="6"/>
    <s v="CUST1312"/>
    <s v="SP_14"/>
    <n v="6"/>
    <n v="3224.65"/>
    <n v="19347.900000000001"/>
    <n v="14803.24"/>
    <n v="4544.66"/>
    <s v="Credit Card"/>
  </r>
  <r>
    <s v="ORD102032"/>
    <s v="2025-05-10"/>
    <x v="3"/>
    <s v="North"/>
    <s v="Delhi"/>
    <s v="Delhi"/>
    <x v="0"/>
    <x v="0"/>
    <s v="CUST1426"/>
    <s v="SP_05"/>
    <n v="4"/>
    <n v="3386.94"/>
    <n v="13547.76"/>
    <n v="9094.08"/>
    <n v="4453.68"/>
    <s v="Net Banking"/>
  </r>
  <r>
    <s v="ORD102033"/>
    <s v="2025-01-09"/>
    <x v="9"/>
    <s v="North"/>
    <s v="Delhi"/>
    <s v="Delhi"/>
    <x v="3"/>
    <x v="7"/>
    <s v="CUST1333"/>
    <s v="SP_05"/>
    <n v="5"/>
    <n v="13112.29"/>
    <n v="65561.45"/>
    <n v="47227.5"/>
    <n v="18333.95"/>
    <s v="Cash"/>
  </r>
  <r>
    <s v="ORD102034"/>
    <s v="2025-01-14"/>
    <x v="9"/>
    <s v="East"/>
    <s v="West Bengal"/>
    <s v="Kolkata"/>
    <x v="2"/>
    <x v="4"/>
    <s v="CUST1585"/>
    <s v="SP_01"/>
    <n v="6"/>
    <n v="2427.7800000000002"/>
    <n v="14566.68"/>
    <n v="9198.9"/>
    <n v="5367.78"/>
    <s v="Cash"/>
  </r>
  <r>
    <s v="ORD102035"/>
    <s v="2025-01-24"/>
    <x v="9"/>
    <s v="West"/>
    <s v="Maharashtra"/>
    <s v="Mumbai"/>
    <x v="3"/>
    <x v="3"/>
    <s v="CUST1198"/>
    <s v="SP_04"/>
    <n v="6"/>
    <n v="27.08"/>
    <n v="162.47999999999999"/>
    <n v="61.29"/>
    <n v="101.19"/>
    <s v="Net Banking"/>
  </r>
  <r>
    <s v="ORD102036"/>
    <s v="2025-09-09"/>
    <x v="5"/>
    <s v="East"/>
    <s v="Odisha"/>
    <s v="Bhubaneswar"/>
    <x v="2"/>
    <x v="2"/>
    <s v="CUST1824"/>
    <s v="SP_10"/>
    <n v="8"/>
    <n v="41042.68"/>
    <n v="328341.44"/>
    <n v="281623.89"/>
    <n v="46717.55"/>
    <s v="Cash"/>
  </r>
  <r>
    <s v="ORD102037"/>
    <s v="2025-09-21"/>
    <x v="5"/>
    <s v="East"/>
    <s v="Bihar"/>
    <s v="Patna"/>
    <x v="0"/>
    <x v="0"/>
    <s v="CUST1634"/>
    <s v="SP_07"/>
    <n v="3"/>
    <n v="3821.68"/>
    <n v="11465.04"/>
    <n v="6473.19"/>
    <n v="4991.8500000000004"/>
    <s v="Cash"/>
  </r>
  <r>
    <s v="ORD102038"/>
    <s v="2025-10-24"/>
    <x v="1"/>
    <s v="West"/>
    <s v="Maharashtra"/>
    <s v="Mumbai"/>
    <x v="2"/>
    <x v="10"/>
    <s v="CUST1176"/>
    <s v="SP_01"/>
    <n v="6"/>
    <n v="18818.11"/>
    <n v="112908.66"/>
    <n v="83743.73"/>
    <n v="29164.93"/>
    <s v="UPI"/>
  </r>
  <r>
    <s v="ORD102039"/>
    <s v="2025-02-23"/>
    <x v="8"/>
    <s v="North"/>
    <s v="Punjab"/>
    <s v="Chandigarh"/>
    <x v="2"/>
    <x v="2"/>
    <s v="CUST1082"/>
    <s v="SP_11"/>
    <n v="8"/>
    <n v="47730.95"/>
    <n v="381847.6"/>
    <n v="269444.56"/>
    <n v="112403.04"/>
    <s v="Debit Card"/>
  </r>
  <r>
    <s v="ORD102040"/>
    <s v="2025-01-30"/>
    <x v="9"/>
    <s v="South"/>
    <s v="Tamil Nadu"/>
    <s v="Chennai"/>
    <x v="2"/>
    <x v="4"/>
    <s v="CUST1778"/>
    <s v="SP_14"/>
    <n v="5"/>
    <n v="2645.07"/>
    <n v="13225.35"/>
    <n v="8030.95"/>
    <n v="5194.3999999999996"/>
    <s v="Net Banking"/>
  </r>
  <r>
    <s v="ORD102041"/>
    <s v="2025-02-01"/>
    <x v="8"/>
    <s v="West"/>
    <s v="Gujarat"/>
    <s v="Ahmedabad"/>
    <x v="1"/>
    <x v="6"/>
    <s v="CUST1412"/>
    <s v="SP_07"/>
    <n v="3"/>
    <n v="3314.68"/>
    <n v="9944.0400000000009"/>
    <n v="6865.12"/>
    <n v="3078.92"/>
    <s v="Credit Card"/>
  </r>
  <r>
    <s v="ORD102042"/>
    <s v="2025-06-12"/>
    <x v="2"/>
    <s v="South"/>
    <s v="Karnataka"/>
    <s v="Bengaluru"/>
    <x v="2"/>
    <x v="2"/>
    <s v="CUST1632"/>
    <s v="SP_01"/>
    <n v="1"/>
    <n v="47168.27"/>
    <n v="47168.27"/>
    <n v="33609.21"/>
    <n v="13559.06"/>
    <s v="Credit Card"/>
  </r>
  <r>
    <s v="ORD102043"/>
    <s v="2025-02-13"/>
    <x v="8"/>
    <s v="West"/>
    <s v="Maharashtra"/>
    <s v="Mumbai"/>
    <x v="1"/>
    <x v="6"/>
    <s v="CUST1910"/>
    <s v="SP_05"/>
    <n v="5"/>
    <n v="2938.19"/>
    <n v="14690.95"/>
    <n v="11562.96"/>
    <n v="3127.99"/>
    <s v="Cash"/>
  </r>
  <r>
    <s v="ORD102044"/>
    <s v="2025-11-08"/>
    <x v="10"/>
    <s v="East"/>
    <s v="Bihar"/>
    <s v="Patna"/>
    <x v="1"/>
    <x v="5"/>
    <s v="CUST1568"/>
    <s v="SP_02"/>
    <n v="1"/>
    <n v="9387.99"/>
    <n v="9387.99"/>
    <n v="7449.35"/>
    <n v="1938.64"/>
    <s v="Net Banking"/>
  </r>
  <r>
    <s v="ORD102045"/>
    <s v="2025-11-11"/>
    <x v="10"/>
    <s v="East"/>
    <s v="West Bengal"/>
    <s v="Kolkata"/>
    <x v="2"/>
    <x v="2"/>
    <s v="CUST1397"/>
    <s v="SP_03"/>
    <n v="1"/>
    <n v="40957.94"/>
    <n v="40957.94"/>
    <n v="34580.53"/>
    <n v="6377.41"/>
    <s v="Debit Card"/>
  </r>
  <r>
    <s v="ORD102046"/>
    <s v="2025-05-28"/>
    <x v="3"/>
    <s v="South"/>
    <s v="Tamil Nadu"/>
    <s v="Chennai"/>
    <x v="1"/>
    <x v="5"/>
    <s v="CUST1249"/>
    <s v="SP_03"/>
    <n v="3"/>
    <n v="9409.5300000000007"/>
    <n v="28228.59"/>
    <n v="22723.85"/>
    <n v="5504.74"/>
    <s v="UPI"/>
  </r>
  <r>
    <s v="ORD102047"/>
    <s v="2025-10-02"/>
    <x v="1"/>
    <s v="West"/>
    <s v="Maharashtra"/>
    <s v="Mumbai"/>
    <x v="3"/>
    <x v="7"/>
    <s v="CUST1673"/>
    <s v="SP_09"/>
    <n v="1"/>
    <n v="11821.79"/>
    <n v="11821.79"/>
    <n v="9270.43"/>
    <n v="2551.36"/>
    <s v="UPI"/>
  </r>
  <r>
    <s v="ORD102048"/>
    <s v="2025-01-21"/>
    <x v="9"/>
    <s v="South"/>
    <s v="Tamil Nadu"/>
    <s v="Chennai"/>
    <x v="1"/>
    <x v="1"/>
    <s v="CUST1421"/>
    <s v="SP_09"/>
    <n v="5"/>
    <n v="2714.57"/>
    <n v="13572.85"/>
    <n v="9714.23"/>
    <n v="3858.62"/>
    <s v="Debit Card"/>
  </r>
  <r>
    <s v="ORD102049"/>
    <s v="2025-02-11"/>
    <x v="8"/>
    <s v="West"/>
    <s v="Gujarat"/>
    <s v="Ahmedabad"/>
    <x v="3"/>
    <x v="3"/>
    <s v="CUST1651"/>
    <s v="SP_11"/>
    <n v="6"/>
    <n v="26.01"/>
    <n v="156.06"/>
    <n v="60.85"/>
    <n v="95.21"/>
    <s v="Debit Card"/>
  </r>
  <r>
    <s v="ORD102050"/>
    <s v="2025-07-13"/>
    <x v="6"/>
    <s v="South"/>
    <s v="Telangana"/>
    <s v="Hyderabad"/>
    <x v="1"/>
    <x v="1"/>
    <s v="CUST1284"/>
    <s v="SP_06"/>
    <n v="4"/>
    <n v="2954.4"/>
    <n v="11817.6"/>
    <n v="7897.88"/>
    <n v="3919.72"/>
    <s v="Credit Card"/>
  </r>
  <r>
    <s v="ORD102051"/>
    <s v="2025-03-08"/>
    <x v="4"/>
    <s v="South"/>
    <s v="Tamil Nadu"/>
    <s v="Chennai"/>
    <x v="0"/>
    <x v="9"/>
    <s v="CUST1595"/>
    <s v="SP_14"/>
    <n v="5"/>
    <n v="7397.32"/>
    <n v="36986.6"/>
    <n v="23875.16"/>
    <n v="13111.44"/>
    <s v="Credit Card"/>
  </r>
  <r>
    <s v="ORD102052"/>
    <s v="2025-08-21"/>
    <x v="11"/>
    <s v="West"/>
    <s v="Gujarat"/>
    <s v="Ahmedabad"/>
    <x v="0"/>
    <x v="9"/>
    <s v="CUST1911"/>
    <s v="SP_04"/>
    <n v="2"/>
    <n v="7232.69"/>
    <n v="14465.38"/>
    <n v="9615.73"/>
    <n v="4849.6499999999996"/>
    <s v="Debit Card"/>
  </r>
  <r>
    <s v="ORD102053"/>
    <s v="2025-07-14"/>
    <x v="6"/>
    <s v="West"/>
    <s v="Maharashtra"/>
    <s v="Mumbai"/>
    <x v="2"/>
    <x v="4"/>
    <s v="CUST1276"/>
    <s v="SP_07"/>
    <n v="1"/>
    <n v="2582.14"/>
    <n v="2582.14"/>
    <n v="1522.93"/>
    <n v="1059.21"/>
    <s v="Cash"/>
  </r>
  <r>
    <s v="ORD102054"/>
    <s v="2025-06-28"/>
    <x v="2"/>
    <s v="West"/>
    <s v="Gujarat"/>
    <s v="Ahmedabad"/>
    <x v="1"/>
    <x v="1"/>
    <s v="CUST1670"/>
    <s v="SP_05"/>
    <n v="4"/>
    <n v="2694.11"/>
    <n v="10776.44"/>
    <n v="7811.14"/>
    <n v="2965.3"/>
    <s v="UPI"/>
  </r>
  <r>
    <s v="ORD102055"/>
    <s v="2025-04-27"/>
    <x v="0"/>
    <s v="North"/>
    <s v="Delhi"/>
    <s v="Delhi"/>
    <x v="1"/>
    <x v="1"/>
    <s v="CUST1085"/>
    <s v="SP_02"/>
    <n v="3"/>
    <n v="2668.29"/>
    <n v="8004.87"/>
    <n v="5458.01"/>
    <n v="2546.86"/>
    <s v="UPI"/>
  </r>
  <r>
    <s v="ORD102056"/>
    <s v="2025-02-20"/>
    <x v="8"/>
    <s v="South"/>
    <s v="Tamil Nadu"/>
    <s v="Chennai"/>
    <x v="0"/>
    <x v="0"/>
    <s v="CUST1416"/>
    <s v="SP_01"/>
    <n v="6"/>
    <n v="3294.21"/>
    <n v="19765.259999999998"/>
    <n v="12861.44"/>
    <n v="6903.82"/>
    <s v="Cash"/>
  </r>
  <r>
    <s v="ORD102057"/>
    <s v="2025-08-06"/>
    <x v="11"/>
    <s v="East"/>
    <s v="Bihar"/>
    <s v="Patna"/>
    <x v="3"/>
    <x v="7"/>
    <s v="CUST1688"/>
    <s v="SP_06"/>
    <n v="5"/>
    <n v="12144.5"/>
    <n v="60722.5"/>
    <n v="43476.97"/>
    <n v="17245.53"/>
    <s v="Cash"/>
  </r>
  <r>
    <s v="ORD102058"/>
    <s v="2025-07-18"/>
    <x v="6"/>
    <s v="West"/>
    <s v="Maharashtra"/>
    <s v="Mumbai"/>
    <x v="3"/>
    <x v="3"/>
    <s v="CUST1353"/>
    <s v="SP_01"/>
    <n v="6"/>
    <n v="23.56"/>
    <n v="141.36000000000001"/>
    <n v="58.95"/>
    <n v="82.41"/>
    <s v="Credit Card"/>
  </r>
  <r>
    <s v="ORD102059"/>
    <s v="2025-09-06"/>
    <x v="5"/>
    <s v="North"/>
    <s v="Punjab"/>
    <s v="Chandigarh"/>
    <x v="2"/>
    <x v="4"/>
    <s v="CUST1278"/>
    <s v="SP_04"/>
    <n v="8"/>
    <n v="2537.34"/>
    <n v="20298.72"/>
    <n v="12335.21"/>
    <n v="7963.51"/>
    <s v="UPI"/>
  </r>
  <r>
    <s v="ORD102060"/>
    <s v="2025-10-24"/>
    <x v="1"/>
    <s v="North"/>
    <s v="Delhi"/>
    <s v="Delhi"/>
    <x v="0"/>
    <x v="8"/>
    <s v="CUST1288"/>
    <s v="SP_13"/>
    <n v="6"/>
    <n v="22209.42"/>
    <n v="133256.51999999999"/>
    <n v="106748.62"/>
    <n v="26507.9"/>
    <s v="Net Banking"/>
  </r>
  <r>
    <s v="ORD102061"/>
    <s v="2025-03-15"/>
    <x v="4"/>
    <s v="South"/>
    <s v="Karnataka"/>
    <s v="Bengaluru"/>
    <x v="3"/>
    <x v="11"/>
    <s v="CUST1758"/>
    <s v="SP_05"/>
    <n v="5"/>
    <n v="128.25"/>
    <n v="641.25"/>
    <n v="307.56"/>
    <n v="333.69"/>
    <s v="Debit Card"/>
  </r>
  <r>
    <s v="ORD102062"/>
    <s v="2025-08-16"/>
    <x v="11"/>
    <s v="South"/>
    <s v="Karnataka"/>
    <s v="Bengaluru"/>
    <x v="2"/>
    <x v="4"/>
    <s v="CUST1761"/>
    <s v="SP_15"/>
    <n v="3"/>
    <n v="2613.81"/>
    <n v="7841.43"/>
    <n v="4931.97"/>
    <n v="2909.46"/>
    <s v="Cash"/>
  </r>
  <r>
    <s v="ORD102063"/>
    <s v="2025-11-24"/>
    <x v="10"/>
    <s v="South"/>
    <s v="Karnataka"/>
    <s v="Bengaluru"/>
    <x v="0"/>
    <x v="8"/>
    <s v="CUST1794"/>
    <s v="SP_04"/>
    <n v="5"/>
    <n v="23538.5"/>
    <n v="117692.5"/>
    <n v="83475.509999999995"/>
    <n v="34216.99"/>
    <s v="Net Banking"/>
  </r>
  <r>
    <s v="ORD102064"/>
    <s v="2025-07-29"/>
    <x v="6"/>
    <s v="South"/>
    <s v="Telangana"/>
    <s v="Hyderabad"/>
    <x v="3"/>
    <x v="7"/>
    <s v="CUST1760"/>
    <s v="SP_09"/>
    <n v="1"/>
    <n v="10805.91"/>
    <n v="10805.91"/>
    <n v="9061.43"/>
    <n v="1744.48"/>
    <s v="Net Banking"/>
  </r>
  <r>
    <s v="ORD102065"/>
    <s v="2025-10-14"/>
    <x v="1"/>
    <s v="West"/>
    <s v="Maharashtra"/>
    <s v="Mumbai"/>
    <x v="0"/>
    <x v="9"/>
    <s v="CUST1524"/>
    <s v="SP_05"/>
    <n v="6"/>
    <n v="6458.61"/>
    <n v="38751.660000000003"/>
    <n v="31342.560000000001"/>
    <n v="7409.1"/>
    <s v="Credit Card"/>
  </r>
  <r>
    <s v="ORD102066"/>
    <s v="2025-03-27"/>
    <x v="4"/>
    <s v="West"/>
    <s v="Rajasthan"/>
    <s v="Jaipur"/>
    <x v="3"/>
    <x v="11"/>
    <s v="CUST1943"/>
    <s v="SP_02"/>
    <n v="3"/>
    <n v="126.24"/>
    <n v="378.72"/>
    <n v="188.61"/>
    <n v="190.11"/>
    <s v="Debit Card"/>
  </r>
  <r>
    <s v="ORD102067"/>
    <s v="2025-08-27"/>
    <x v="11"/>
    <s v="East"/>
    <s v="Bihar"/>
    <s v="Patna"/>
    <x v="2"/>
    <x v="2"/>
    <s v="CUST1840"/>
    <s v="SP_11"/>
    <n v="2"/>
    <n v="47316.62"/>
    <n v="94633.24"/>
    <n v="68772.87"/>
    <n v="25860.37"/>
    <s v="Credit Card"/>
  </r>
  <r>
    <s v="ORD102068"/>
    <s v="2025-07-24"/>
    <x v="6"/>
    <s v="West"/>
    <s v="Rajasthan"/>
    <s v="Jaipur"/>
    <x v="2"/>
    <x v="10"/>
    <s v="CUST1217"/>
    <s v="SP_04"/>
    <n v="1"/>
    <n v="18268.68"/>
    <n v="18268.68"/>
    <n v="13724.84"/>
    <n v="4543.84"/>
    <s v="Cash"/>
  </r>
  <r>
    <s v="ORD102069"/>
    <s v="2025-02-08"/>
    <x v="8"/>
    <s v="West"/>
    <s v="Maharashtra"/>
    <s v="Mumbai"/>
    <x v="1"/>
    <x v="5"/>
    <s v="CUST1934"/>
    <s v="SP_05"/>
    <n v="2"/>
    <n v="9292.86"/>
    <n v="18585.72"/>
    <n v="14964.68"/>
    <n v="3621.04"/>
    <s v="UPI"/>
  </r>
  <r>
    <s v="ORD102070"/>
    <s v="2025-08-26"/>
    <x v="11"/>
    <s v="East"/>
    <s v="West Bengal"/>
    <s v="Kolkata"/>
    <x v="0"/>
    <x v="8"/>
    <s v="CUST1341"/>
    <s v="SP_05"/>
    <n v="8"/>
    <n v="21076.58"/>
    <n v="168612.64"/>
    <n v="141471.12"/>
    <n v="27141.52"/>
    <s v="UPI"/>
  </r>
  <r>
    <s v="ORD102071"/>
    <s v="2025-09-10"/>
    <x v="5"/>
    <s v="South"/>
    <s v="Tamil Nadu"/>
    <s v="Chennai"/>
    <x v="2"/>
    <x v="4"/>
    <s v="CUST1846"/>
    <s v="SP_15"/>
    <n v="3"/>
    <n v="2690.43"/>
    <n v="8071.29"/>
    <n v="4880.91"/>
    <n v="3190.38"/>
    <s v="Credit Card"/>
  </r>
  <r>
    <s v="ORD102072"/>
    <s v="2025-04-18"/>
    <x v="0"/>
    <s v="East"/>
    <s v="Odisha"/>
    <s v="Bhubaneswar"/>
    <x v="1"/>
    <x v="6"/>
    <s v="CUST1059"/>
    <s v="SP_08"/>
    <n v="1"/>
    <n v="3169.59"/>
    <n v="3169.59"/>
    <n v="2356.83"/>
    <n v="812.76"/>
    <s v="Debit Card"/>
  </r>
  <r>
    <s v="ORD102073"/>
    <s v="2025-07-17"/>
    <x v="6"/>
    <s v="North"/>
    <s v="Punjab"/>
    <s v="Chandigarh"/>
    <x v="0"/>
    <x v="8"/>
    <s v="CUST1255"/>
    <s v="SP_05"/>
    <n v="5"/>
    <n v="20983.85"/>
    <n v="104919.25"/>
    <n v="84108.44"/>
    <n v="20810.810000000001"/>
    <s v="UPI"/>
  </r>
  <r>
    <s v="ORD102074"/>
    <s v="2025-02-03"/>
    <x v="8"/>
    <s v="South"/>
    <s v="Telangana"/>
    <s v="Hyderabad"/>
    <x v="0"/>
    <x v="0"/>
    <s v="CUST1780"/>
    <s v="SP_01"/>
    <n v="4"/>
    <n v="3600.19"/>
    <n v="14400.76"/>
    <n v="8961"/>
    <n v="5439.76"/>
    <s v="Debit Card"/>
  </r>
  <r>
    <s v="ORD102075"/>
    <s v="2025-07-20"/>
    <x v="6"/>
    <s v="North"/>
    <s v="Uttar Pradesh"/>
    <s v="Lucknow"/>
    <x v="2"/>
    <x v="4"/>
    <s v="CUST1802"/>
    <s v="SP_13"/>
    <n v="3"/>
    <n v="2692.39"/>
    <n v="8077.17"/>
    <n v="4786.32"/>
    <n v="3290.85"/>
    <s v="Net Banking"/>
  </r>
  <r>
    <s v="ORD102076"/>
    <s v="2025-10-05"/>
    <x v="1"/>
    <s v="South"/>
    <s v="Telangana"/>
    <s v="Hyderabad"/>
    <x v="1"/>
    <x v="5"/>
    <s v="CUST1418"/>
    <s v="SP_06"/>
    <n v="3"/>
    <n v="9513.4"/>
    <n v="28540.2"/>
    <n v="22038.55"/>
    <n v="6501.65"/>
    <s v="Credit Card"/>
  </r>
  <r>
    <s v="ORD102077"/>
    <s v="2025-08-25"/>
    <x v="11"/>
    <s v="East"/>
    <s v="Bihar"/>
    <s v="Patna"/>
    <x v="0"/>
    <x v="8"/>
    <s v="CUST1509"/>
    <s v="SP_08"/>
    <n v="8"/>
    <n v="21003.55"/>
    <n v="168028.4"/>
    <n v="131329.81"/>
    <n v="36698.589999999997"/>
    <s v="Credit Card"/>
  </r>
  <r>
    <s v="ORD102078"/>
    <s v="2025-09-05"/>
    <x v="5"/>
    <s v="East"/>
    <s v="Odisha"/>
    <s v="Bhubaneswar"/>
    <x v="3"/>
    <x v="11"/>
    <s v="CUST1825"/>
    <s v="SP_13"/>
    <n v="3"/>
    <n v="115.96"/>
    <n v="347.88"/>
    <n v="188.63"/>
    <n v="159.25"/>
    <s v="Cash"/>
  </r>
  <r>
    <s v="ORD102079"/>
    <s v="2025-08-07"/>
    <x v="11"/>
    <s v="North"/>
    <s v="Delhi"/>
    <s v="Delhi"/>
    <x v="1"/>
    <x v="1"/>
    <s v="CUST1033"/>
    <s v="SP_07"/>
    <n v="7"/>
    <n v="2632.68"/>
    <n v="18428.759999999998"/>
    <n v="13010.3"/>
    <n v="5418.46"/>
    <s v="Cash"/>
  </r>
  <r>
    <s v="ORD102080"/>
    <s v="2025-05-03"/>
    <x v="3"/>
    <s v="East"/>
    <s v="Odisha"/>
    <s v="Bhubaneswar"/>
    <x v="2"/>
    <x v="4"/>
    <s v="CUST1208"/>
    <s v="SP_09"/>
    <n v="2"/>
    <n v="2391.5700000000002"/>
    <n v="4783.1400000000003"/>
    <n v="3336.7"/>
    <n v="1446.44"/>
    <s v="UPI"/>
  </r>
  <r>
    <s v="ORD102081"/>
    <s v="2025-09-30"/>
    <x v="5"/>
    <s v="East"/>
    <s v="Bihar"/>
    <s v="Patna"/>
    <x v="1"/>
    <x v="6"/>
    <s v="CUST1662"/>
    <s v="SP_04"/>
    <n v="8"/>
    <n v="3030"/>
    <n v="24240"/>
    <n v="19973.88"/>
    <n v="4266.12"/>
    <s v="Net Banking"/>
  </r>
  <r>
    <s v="ORD102082"/>
    <s v="2025-09-17"/>
    <x v="5"/>
    <s v="South"/>
    <s v="Tamil Nadu"/>
    <s v="Chennai"/>
    <x v="2"/>
    <x v="4"/>
    <s v="CUST1960"/>
    <s v="SP_10"/>
    <n v="4"/>
    <n v="2744.71"/>
    <n v="10978.84"/>
    <n v="6447.28"/>
    <n v="4531.5600000000004"/>
    <s v="Credit Card"/>
  </r>
  <r>
    <s v="ORD102083"/>
    <s v="2025-01-11"/>
    <x v="9"/>
    <s v="South"/>
    <s v="Tamil Nadu"/>
    <s v="Chennai"/>
    <x v="2"/>
    <x v="2"/>
    <s v="CUST1765"/>
    <s v="SP_09"/>
    <n v="6"/>
    <n v="43387.27"/>
    <n v="260323.62"/>
    <n v="213388.76"/>
    <n v="46934.86"/>
    <s v="Net Banking"/>
  </r>
  <r>
    <s v="ORD102084"/>
    <s v="2025-02-09"/>
    <x v="8"/>
    <s v="North"/>
    <s v="Punjab"/>
    <s v="Chandigarh"/>
    <x v="0"/>
    <x v="0"/>
    <s v="CUST1970"/>
    <s v="SP_08"/>
    <n v="7"/>
    <n v="3679.21"/>
    <n v="25754.47"/>
    <n v="15110.93"/>
    <n v="10643.54"/>
    <s v="UPI"/>
  </r>
  <r>
    <s v="ORD102085"/>
    <s v="2025-10-09"/>
    <x v="1"/>
    <s v="North"/>
    <s v="Punjab"/>
    <s v="Chandigarh"/>
    <x v="1"/>
    <x v="6"/>
    <s v="CUST1455"/>
    <s v="SP_07"/>
    <n v="1"/>
    <n v="3242.42"/>
    <n v="3242.42"/>
    <n v="2293.29"/>
    <n v="949.13"/>
    <s v="UPI"/>
  </r>
  <r>
    <s v="ORD102086"/>
    <s v="2025-09-14"/>
    <x v="5"/>
    <s v="West"/>
    <s v="Rajasthan"/>
    <s v="Jaipur"/>
    <x v="0"/>
    <x v="8"/>
    <s v="CUST1085"/>
    <s v="SP_11"/>
    <n v="3"/>
    <n v="20558.310000000001"/>
    <n v="61674.93"/>
    <n v="52882.71"/>
    <n v="8792.2199999999993"/>
    <s v="UPI"/>
  </r>
  <r>
    <s v="ORD102087"/>
    <s v="2025-02-11"/>
    <x v="8"/>
    <s v="North"/>
    <s v="Uttar Pradesh"/>
    <s v="Lucknow"/>
    <x v="0"/>
    <x v="0"/>
    <s v="CUST1018"/>
    <s v="SP_12"/>
    <n v="7"/>
    <n v="3623.96"/>
    <n v="25367.72"/>
    <n v="16084.59"/>
    <n v="9283.1299999999992"/>
    <s v="Credit Card"/>
  </r>
  <r>
    <s v="ORD102088"/>
    <s v="2025-02-23"/>
    <x v="8"/>
    <s v="South"/>
    <s v="Telangana"/>
    <s v="Hyderabad"/>
    <x v="1"/>
    <x v="1"/>
    <s v="CUST1084"/>
    <s v="SP_15"/>
    <n v="7"/>
    <n v="2877.81"/>
    <n v="20144.669999999998"/>
    <n v="13197.59"/>
    <n v="6947.08"/>
    <s v="UPI"/>
  </r>
  <r>
    <s v="ORD102089"/>
    <s v="2025-12-06"/>
    <x v="7"/>
    <s v="East"/>
    <s v="Odisha"/>
    <s v="Bhubaneswar"/>
    <x v="3"/>
    <x v="11"/>
    <s v="CUST1644"/>
    <s v="SP_14"/>
    <n v="7"/>
    <n v="131.49"/>
    <n v="920.43"/>
    <n v="413.97"/>
    <n v="506.46"/>
    <s v="Credit Card"/>
  </r>
  <r>
    <s v="ORD102090"/>
    <s v="2025-02-09"/>
    <x v="8"/>
    <s v="East"/>
    <s v="West Bengal"/>
    <s v="Kolkata"/>
    <x v="3"/>
    <x v="11"/>
    <s v="CUST1760"/>
    <s v="SP_09"/>
    <n v="6"/>
    <n v="120.5"/>
    <n v="723"/>
    <n v="357.69"/>
    <n v="365.31"/>
    <s v="Net Banking"/>
  </r>
  <r>
    <s v="ORD102091"/>
    <s v="2025-12-10"/>
    <x v="7"/>
    <s v="West"/>
    <s v="Maharashtra"/>
    <s v="Mumbai"/>
    <x v="2"/>
    <x v="2"/>
    <s v="CUST1221"/>
    <s v="SP_02"/>
    <n v="5"/>
    <n v="40994.33"/>
    <n v="204971.65"/>
    <n v="179076.77"/>
    <n v="25894.880000000001"/>
    <s v="UPI"/>
  </r>
  <r>
    <s v="ORD102092"/>
    <s v="2025-09-16"/>
    <x v="5"/>
    <s v="North"/>
    <s v="Punjab"/>
    <s v="Chandigarh"/>
    <x v="3"/>
    <x v="11"/>
    <s v="CUST1496"/>
    <s v="SP_09"/>
    <n v="7"/>
    <n v="126.02"/>
    <n v="882.14"/>
    <n v="435.11"/>
    <n v="447.03"/>
    <s v="Credit Card"/>
  </r>
  <r>
    <s v="ORD102093"/>
    <s v="2025-01-12"/>
    <x v="9"/>
    <s v="South"/>
    <s v="Karnataka"/>
    <s v="Bengaluru"/>
    <x v="2"/>
    <x v="10"/>
    <s v="CUST1891"/>
    <s v="SP_15"/>
    <n v="4"/>
    <n v="17602.349999999999"/>
    <n v="70409.399999999994"/>
    <n v="55444.07"/>
    <n v="14965.33"/>
    <s v="Net Banking"/>
  </r>
  <r>
    <s v="ORD102094"/>
    <s v="2025-10-03"/>
    <x v="1"/>
    <s v="West"/>
    <s v="Rajasthan"/>
    <s v="Jaipur"/>
    <x v="3"/>
    <x v="11"/>
    <s v="CUST1760"/>
    <s v="SP_04"/>
    <n v="5"/>
    <n v="118.81"/>
    <n v="594.04999999999995"/>
    <n v="309.79000000000002"/>
    <n v="284.26"/>
    <s v="Net Banking"/>
  </r>
  <r>
    <s v="ORD102095"/>
    <s v="2025-12-25"/>
    <x v="7"/>
    <s v="East"/>
    <s v="Odisha"/>
    <s v="Bhubaneswar"/>
    <x v="0"/>
    <x v="0"/>
    <s v="CUST1161"/>
    <s v="SP_09"/>
    <n v="7"/>
    <n v="3802.29"/>
    <n v="26616.03"/>
    <n v="15242.04"/>
    <n v="11373.99"/>
    <s v="Credit Card"/>
  </r>
  <r>
    <s v="ORD102096"/>
    <s v="2025-05-02"/>
    <x v="3"/>
    <s v="South"/>
    <s v="Karnataka"/>
    <s v="Bengaluru"/>
    <x v="1"/>
    <x v="1"/>
    <s v="CUST1478"/>
    <s v="SP_05"/>
    <n v="3"/>
    <n v="2966.4"/>
    <n v="8899.2000000000007"/>
    <n v="5893.85"/>
    <n v="3005.35"/>
    <s v="Cash"/>
  </r>
  <r>
    <s v="ORD102097"/>
    <s v="2025-12-19"/>
    <x v="7"/>
    <s v="West"/>
    <s v="Rajasthan"/>
    <s v="Jaipur"/>
    <x v="1"/>
    <x v="1"/>
    <s v="CUST1834"/>
    <s v="SP_11"/>
    <n v="6"/>
    <n v="2599.64"/>
    <n v="15597.84"/>
    <n v="11557.98"/>
    <n v="4039.86"/>
    <s v="UPI"/>
  </r>
  <r>
    <s v="ORD102098"/>
    <s v="2025-09-04"/>
    <x v="5"/>
    <s v="East"/>
    <s v="Bihar"/>
    <s v="Patna"/>
    <x v="3"/>
    <x v="11"/>
    <s v="CUST1880"/>
    <s v="SP_05"/>
    <n v="3"/>
    <n v="110.17"/>
    <n v="330.51"/>
    <n v="178.07"/>
    <n v="152.44"/>
    <s v="Net Banking"/>
  </r>
  <r>
    <s v="ORD102099"/>
    <s v="2025-04-17"/>
    <x v="0"/>
    <s v="North"/>
    <s v="Punjab"/>
    <s v="Chandigarh"/>
    <x v="2"/>
    <x v="4"/>
    <s v="CUST1531"/>
    <s v="SP_13"/>
    <n v="7"/>
    <n v="2356.4499999999998"/>
    <n v="16495.150000000001"/>
    <n v="11533.65"/>
    <n v="4961.5"/>
    <s v="Debit Card"/>
  </r>
  <r>
    <s v="ORD102100"/>
    <s v="2025-04-16"/>
    <x v="0"/>
    <s v="North"/>
    <s v="Uttar Pradesh"/>
    <s v="Lucknow"/>
    <x v="0"/>
    <x v="9"/>
    <s v="CUST1115"/>
    <s v="SP_05"/>
    <n v="2"/>
    <n v="6498.04"/>
    <n v="12996.08"/>
    <n v="9511.56"/>
    <n v="3484.52"/>
    <s v="Credit Card"/>
  </r>
  <r>
    <s v="ORD102101"/>
    <s v="2025-04-29"/>
    <x v="0"/>
    <s v="South"/>
    <s v="Tamil Nadu"/>
    <s v="Chennai"/>
    <x v="1"/>
    <x v="1"/>
    <s v="CUST1848"/>
    <s v="SP_02"/>
    <n v="6"/>
    <n v="3067.05"/>
    <n v="18402.3"/>
    <n v="10988.75"/>
    <n v="7413.55"/>
    <s v="Credit Card"/>
  </r>
  <r>
    <s v="ORD102102"/>
    <s v="2025-06-07"/>
    <x v="2"/>
    <s v="South"/>
    <s v="Tamil Nadu"/>
    <s v="Chennai"/>
    <x v="3"/>
    <x v="7"/>
    <s v="CUST1243"/>
    <s v="SP_09"/>
    <n v="7"/>
    <n v="12231.77"/>
    <n v="85622.39"/>
    <n v="60352.33"/>
    <n v="25270.06"/>
    <s v="Credit Card"/>
  </r>
  <r>
    <s v="ORD102103"/>
    <s v="2025-06-01"/>
    <x v="2"/>
    <s v="East"/>
    <s v="Bihar"/>
    <s v="Patna"/>
    <x v="2"/>
    <x v="4"/>
    <s v="CUST1244"/>
    <s v="SP_06"/>
    <n v="7"/>
    <n v="2496.38"/>
    <n v="17474.66"/>
    <n v="11683.29"/>
    <n v="5791.37"/>
    <s v="Cash"/>
  </r>
  <r>
    <s v="ORD102104"/>
    <s v="2025-12-18"/>
    <x v="7"/>
    <s v="West"/>
    <s v="Maharashtra"/>
    <s v="Mumbai"/>
    <x v="0"/>
    <x v="9"/>
    <s v="CUST1638"/>
    <s v="SP_10"/>
    <n v="5"/>
    <n v="6547.71"/>
    <n v="32738.55"/>
    <n v="25626.38"/>
    <n v="7112.17"/>
    <s v="Credit Card"/>
  </r>
  <r>
    <s v="ORD102105"/>
    <s v="2025-06-27"/>
    <x v="2"/>
    <s v="South"/>
    <s v="Telangana"/>
    <s v="Hyderabad"/>
    <x v="1"/>
    <x v="6"/>
    <s v="CUST1485"/>
    <s v="SP_15"/>
    <n v="1"/>
    <n v="2929.31"/>
    <n v="2929.31"/>
    <n v="2473.52"/>
    <n v="455.79"/>
    <s v="Credit Card"/>
  </r>
  <r>
    <s v="ORD102106"/>
    <s v="2025-12-04"/>
    <x v="7"/>
    <s v="North"/>
    <s v="Delhi"/>
    <s v="Delhi"/>
    <x v="3"/>
    <x v="11"/>
    <s v="CUST1404"/>
    <s v="SP_07"/>
    <n v="2"/>
    <n v="123.87"/>
    <n v="247.74"/>
    <n v="120.96"/>
    <n v="126.78"/>
    <s v="Credit Card"/>
  </r>
  <r>
    <s v="ORD102107"/>
    <s v="2025-10-16"/>
    <x v="1"/>
    <s v="North"/>
    <s v="Delhi"/>
    <s v="Delhi"/>
    <x v="0"/>
    <x v="8"/>
    <s v="CUST1040"/>
    <s v="SP_13"/>
    <n v="3"/>
    <n v="21368.81"/>
    <n v="64106.43"/>
    <n v="51748.07"/>
    <n v="12358.36"/>
    <s v="Net Banking"/>
  </r>
  <r>
    <s v="ORD102108"/>
    <s v="2025-12-17"/>
    <x v="7"/>
    <s v="South"/>
    <s v="Tamil Nadu"/>
    <s v="Chennai"/>
    <x v="2"/>
    <x v="4"/>
    <s v="CUST1906"/>
    <s v="SP_12"/>
    <n v="1"/>
    <n v="2334.42"/>
    <n v="2334.42"/>
    <n v="1613.89"/>
    <n v="720.53"/>
    <s v="Cash"/>
  </r>
  <r>
    <s v="ORD102109"/>
    <s v="2025-09-03"/>
    <x v="5"/>
    <s v="West"/>
    <s v="Rajasthan"/>
    <s v="Jaipur"/>
    <x v="2"/>
    <x v="10"/>
    <s v="CUST1298"/>
    <s v="SP_01"/>
    <n v="6"/>
    <n v="16711.099999999999"/>
    <n v="100266.6"/>
    <n v="83732.77"/>
    <n v="16533.830000000002"/>
    <s v="Debit Card"/>
  </r>
  <r>
    <s v="ORD102110"/>
    <s v="2025-07-04"/>
    <x v="6"/>
    <s v="North"/>
    <s v="Delhi"/>
    <s v="Delhi"/>
    <x v="0"/>
    <x v="0"/>
    <s v="CUST1609"/>
    <s v="SP_01"/>
    <n v="7"/>
    <n v="3273.42"/>
    <n v="22913.94"/>
    <n v="14634.12"/>
    <n v="8279.82"/>
    <s v="Debit Card"/>
  </r>
  <r>
    <s v="ORD102111"/>
    <s v="2025-04-09"/>
    <x v="0"/>
    <s v="East"/>
    <s v="Odisha"/>
    <s v="Bhubaneswar"/>
    <x v="1"/>
    <x v="5"/>
    <s v="CUST1084"/>
    <s v="SP_10"/>
    <n v="1"/>
    <n v="8975.2900000000009"/>
    <n v="8975.2900000000009"/>
    <n v="7664.6"/>
    <n v="1310.69"/>
    <s v="Debit Card"/>
  </r>
  <r>
    <s v="ORD102112"/>
    <s v="2025-05-28"/>
    <x v="3"/>
    <s v="East"/>
    <s v="Bihar"/>
    <s v="Patna"/>
    <x v="1"/>
    <x v="6"/>
    <s v="CUST1218"/>
    <s v="SP_10"/>
    <n v="6"/>
    <n v="3186.83"/>
    <n v="19120.98"/>
    <n v="13853.1"/>
    <n v="5267.88"/>
    <s v="UPI"/>
  </r>
  <r>
    <s v="ORD102113"/>
    <s v="2025-04-24"/>
    <x v="0"/>
    <s v="South"/>
    <s v="Tamil Nadu"/>
    <s v="Chennai"/>
    <x v="3"/>
    <x v="7"/>
    <s v="CUST1400"/>
    <s v="SP_11"/>
    <n v="2"/>
    <n v="11277.17"/>
    <n v="22554.34"/>
    <n v="17786.84"/>
    <n v="4767.5"/>
    <s v="Cash"/>
  </r>
  <r>
    <s v="ORD102114"/>
    <s v="2025-09-09"/>
    <x v="5"/>
    <s v="North"/>
    <s v="Punjab"/>
    <s v="Chandigarh"/>
    <x v="3"/>
    <x v="3"/>
    <s v="CUST1154"/>
    <s v="SP_13"/>
    <n v="8"/>
    <n v="23.44"/>
    <n v="187.52"/>
    <n v="76.61"/>
    <n v="110.91"/>
    <s v="Debit Card"/>
  </r>
  <r>
    <s v="ORD102115"/>
    <s v="2025-06-03"/>
    <x v="2"/>
    <s v="South"/>
    <s v="Karnataka"/>
    <s v="Bengaluru"/>
    <x v="0"/>
    <x v="8"/>
    <s v="CUST1310"/>
    <s v="SP_04"/>
    <n v="3"/>
    <n v="20884.89"/>
    <n v="62654.67"/>
    <n v="50623.75"/>
    <n v="12030.92"/>
    <s v="Debit Card"/>
  </r>
  <r>
    <s v="ORD102116"/>
    <s v="2025-05-04"/>
    <x v="3"/>
    <s v="North"/>
    <s v="Delhi"/>
    <s v="Delhi"/>
    <x v="0"/>
    <x v="0"/>
    <s v="CUST1674"/>
    <s v="SP_10"/>
    <n v="7"/>
    <n v="3685.94"/>
    <n v="25801.58"/>
    <n v="16127.85"/>
    <n v="9673.73"/>
    <s v="Credit Card"/>
  </r>
  <r>
    <s v="ORD102117"/>
    <s v="2025-04-19"/>
    <x v="0"/>
    <s v="South"/>
    <s v="Tamil Nadu"/>
    <s v="Chennai"/>
    <x v="3"/>
    <x v="7"/>
    <s v="CUST1481"/>
    <s v="SP_02"/>
    <n v="6"/>
    <n v="11716.73"/>
    <n v="70300.38"/>
    <n v="55916.44"/>
    <n v="14383.94"/>
    <s v="Net Banking"/>
  </r>
  <r>
    <s v="ORD102118"/>
    <s v="2025-03-03"/>
    <x v="4"/>
    <s v="South"/>
    <s v="Karnataka"/>
    <s v="Bengaluru"/>
    <x v="3"/>
    <x v="11"/>
    <s v="CUST1954"/>
    <s v="SP_08"/>
    <n v="8"/>
    <n v="127.94"/>
    <n v="1023.52"/>
    <n v="502.81"/>
    <n v="520.71"/>
    <s v="Cash"/>
  </r>
  <r>
    <s v="ORD102119"/>
    <s v="2025-04-20"/>
    <x v="0"/>
    <s v="South"/>
    <s v="Tamil Nadu"/>
    <s v="Chennai"/>
    <x v="3"/>
    <x v="7"/>
    <s v="CUST1024"/>
    <s v="SP_11"/>
    <n v="7"/>
    <n v="10938.31"/>
    <n v="76568.17"/>
    <n v="64117.61"/>
    <n v="12450.56"/>
    <s v="UPI"/>
  </r>
  <r>
    <s v="ORD102120"/>
    <s v="2025-11-20"/>
    <x v="10"/>
    <s v="West"/>
    <s v="Gujarat"/>
    <s v="Ahmedabad"/>
    <x v="2"/>
    <x v="2"/>
    <s v="CUST1415"/>
    <s v="SP_10"/>
    <n v="8"/>
    <n v="48406.33"/>
    <n v="387250.64"/>
    <n v="277827.53000000003"/>
    <n v="109423.11"/>
    <s v="Debit Card"/>
  </r>
  <r>
    <s v="ORD102121"/>
    <s v="2025-12-05"/>
    <x v="7"/>
    <s v="North"/>
    <s v="Delhi"/>
    <s v="Delhi"/>
    <x v="2"/>
    <x v="4"/>
    <s v="CUST1062"/>
    <s v="SP_06"/>
    <n v="4"/>
    <n v="2578.13"/>
    <n v="10312.52"/>
    <n v="6315.71"/>
    <n v="3996.81"/>
    <s v="UPI"/>
  </r>
  <r>
    <s v="ORD102122"/>
    <s v="2025-05-20"/>
    <x v="3"/>
    <s v="South"/>
    <s v="Tamil Nadu"/>
    <s v="Chennai"/>
    <x v="0"/>
    <x v="8"/>
    <s v="CUST1501"/>
    <s v="SP_09"/>
    <n v="3"/>
    <n v="23985.75"/>
    <n v="71957.25"/>
    <n v="49422.95"/>
    <n v="22534.3"/>
    <s v="UPI"/>
  </r>
  <r>
    <s v="ORD102123"/>
    <s v="2025-07-24"/>
    <x v="6"/>
    <s v="North"/>
    <s v="Uttar Pradesh"/>
    <s v="Lucknow"/>
    <x v="0"/>
    <x v="8"/>
    <s v="CUST1645"/>
    <s v="SP_14"/>
    <n v="7"/>
    <n v="23218.22"/>
    <n v="162527.54"/>
    <n v="116980.51"/>
    <n v="45547.03"/>
    <s v="Cash"/>
  </r>
  <r>
    <s v="ORD102124"/>
    <s v="2025-06-25"/>
    <x v="2"/>
    <s v="East"/>
    <s v="Bihar"/>
    <s v="Patna"/>
    <x v="1"/>
    <x v="5"/>
    <s v="CUST1690"/>
    <s v="SP_04"/>
    <n v="1"/>
    <n v="8599.5400000000009"/>
    <n v="8599.5400000000009"/>
    <n v="7827.27"/>
    <n v="772.27"/>
    <s v="Cash"/>
  </r>
  <r>
    <s v="ORD102125"/>
    <s v="2025-10-19"/>
    <x v="1"/>
    <s v="West"/>
    <s v="Maharashtra"/>
    <s v="Mumbai"/>
    <x v="2"/>
    <x v="2"/>
    <s v="CUST1540"/>
    <s v="SP_11"/>
    <n v="5"/>
    <n v="45155.519999999997"/>
    <n v="225777.6"/>
    <n v="178478.42"/>
    <n v="47299.18"/>
    <s v="Net Banking"/>
  </r>
  <r>
    <s v="ORD102126"/>
    <s v="2025-08-21"/>
    <x v="11"/>
    <s v="East"/>
    <s v="Bihar"/>
    <s v="Patna"/>
    <x v="1"/>
    <x v="5"/>
    <s v="CUST1566"/>
    <s v="SP_15"/>
    <n v="2"/>
    <n v="10249.59"/>
    <n v="20499.18"/>
    <n v="15925.13"/>
    <n v="4574.05"/>
    <s v="Debit Card"/>
  </r>
  <r>
    <s v="ORD102127"/>
    <s v="2025-09-01"/>
    <x v="5"/>
    <s v="South"/>
    <s v="Tamil Nadu"/>
    <s v="Chennai"/>
    <x v="0"/>
    <x v="9"/>
    <s v="CUST1438"/>
    <s v="SP_02"/>
    <n v="7"/>
    <n v="7494.13"/>
    <n v="52458.91"/>
    <n v="34889.14"/>
    <n v="17569.77"/>
    <s v="Cash"/>
  </r>
  <r>
    <s v="ORD102128"/>
    <s v="2025-03-10"/>
    <x v="4"/>
    <s v="North"/>
    <s v="Uttar Pradesh"/>
    <s v="Lucknow"/>
    <x v="1"/>
    <x v="6"/>
    <s v="CUST1756"/>
    <s v="SP_12"/>
    <n v="7"/>
    <n v="3361.01"/>
    <n v="23527.07"/>
    <n v="17071.650000000001"/>
    <n v="6455.42"/>
    <s v="Credit Card"/>
  </r>
  <r>
    <s v="ORD102129"/>
    <s v="2025-03-01"/>
    <x v="4"/>
    <s v="South"/>
    <s v="Tamil Nadu"/>
    <s v="Chennai"/>
    <x v="1"/>
    <x v="6"/>
    <s v="CUST1254"/>
    <s v="SP_07"/>
    <n v="4"/>
    <n v="3278.39"/>
    <n v="13113.56"/>
    <n v="9890.5400000000009"/>
    <n v="3223.02"/>
    <s v="UPI"/>
  </r>
  <r>
    <s v="ORD102130"/>
    <s v="2025-02-23"/>
    <x v="8"/>
    <s v="North"/>
    <s v="Delhi"/>
    <s v="Delhi"/>
    <x v="1"/>
    <x v="1"/>
    <s v="CUST1912"/>
    <s v="SP_01"/>
    <n v="8"/>
    <n v="2792.93"/>
    <n v="22343.439999999999"/>
    <n v="14507.11"/>
    <n v="7836.33"/>
    <s v="Credit Card"/>
  </r>
  <r>
    <s v="ORD102131"/>
    <s v="2025-02-23"/>
    <x v="8"/>
    <s v="South"/>
    <s v="Telangana"/>
    <s v="Hyderabad"/>
    <x v="3"/>
    <x v="7"/>
    <s v="CUST1643"/>
    <s v="SP_15"/>
    <n v="5"/>
    <n v="11754.92"/>
    <n v="58774.6"/>
    <n v="43583.78"/>
    <n v="15190.82"/>
    <s v="Debit Card"/>
  </r>
  <r>
    <s v="ORD102132"/>
    <s v="2025-01-24"/>
    <x v="9"/>
    <s v="East"/>
    <s v="Bihar"/>
    <s v="Patna"/>
    <x v="3"/>
    <x v="7"/>
    <s v="CUST1202"/>
    <s v="SP_04"/>
    <n v="8"/>
    <n v="10960.23"/>
    <n v="87681.84"/>
    <n v="72894.98"/>
    <n v="14786.86"/>
    <s v="Credit Card"/>
  </r>
  <r>
    <s v="ORD102133"/>
    <s v="2025-11-16"/>
    <x v="10"/>
    <s v="West"/>
    <s v="Gujarat"/>
    <s v="Ahmedabad"/>
    <x v="2"/>
    <x v="4"/>
    <s v="CUST1836"/>
    <s v="SP_13"/>
    <n v="6"/>
    <n v="2390.38"/>
    <n v="14342.28"/>
    <n v="9281.15"/>
    <n v="5061.13"/>
    <s v="Cash"/>
  </r>
  <r>
    <s v="ORD102134"/>
    <s v="2025-11-23"/>
    <x v="10"/>
    <s v="South"/>
    <s v="Karnataka"/>
    <s v="Bengaluru"/>
    <x v="2"/>
    <x v="2"/>
    <s v="CUST1834"/>
    <s v="SP_13"/>
    <n v="6"/>
    <n v="42497.93"/>
    <n v="254987.58"/>
    <n v="218241.54"/>
    <n v="36746.04"/>
    <s v="UPI"/>
  </r>
  <r>
    <s v="ORD102135"/>
    <s v="2025-12-01"/>
    <x v="7"/>
    <s v="North"/>
    <s v="Delhi"/>
    <s v="Delhi"/>
    <x v="1"/>
    <x v="1"/>
    <s v="CUST1084"/>
    <s v="SP_12"/>
    <n v="6"/>
    <n v="2633.53"/>
    <n v="15801.18"/>
    <n v="11068.99"/>
    <n v="4732.1899999999996"/>
    <s v="Credit Card"/>
  </r>
  <r>
    <s v="ORD102136"/>
    <s v="2025-05-21"/>
    <x v="3"/>
    <s v="East"/>
    <s v="Odisha"/>
    <s v="Bhubaneswar"/>
    <x v="1"/>
    <x v="1"/>
    <s v="CUST1095"/>
    <s v="SP_06"/>
    <n v="5"/>
    <n v="2589.61"/>
    <n v="12948.05"/>
    <n v="9708.33"/>
    <n v="3239.72"/>
    <s v="Cash"/>
  </r>
  <r>
    <s v="ORD102137"/>
    <s v="2025-10-07"/>
    <x v="1"/>
    <s v="South"/>
    <s v="Telangana"/>
    <s v="Hyderabad"/>
    <x v="1"/>
    <x v="6"/>
    <s v="CUST1295"/>
    <s v="SP_01"/>
    <n v="8"/>
    <n v="3456.99"/>
    <n v="27655.919999999998"/>
    <n v="20121.89"/>
    <n v="7534.03"/>
    <s v="Net Banking"/>
  </r>
  <r>
    <s v="ORD102138"/>
    <s v="2025-01-16"/>
    <x v="9"/>
    <s v="West"/>
    <s v="Maharashtra"/>
    <s v="Mumbai"/>
    <x v="3"/>
    <x v="3"/>
    <s v="CUST1696"/>
    <s v="SP_02"/>
    <n v="4"/>
    <n v="23.24"/>
    <n v="92.96"/>
    <n v="38.24"/>
    <n v="54.72"/>
    <s v="Credit Card"/>
  </r>
  <r>
    <s v="ORD102139"/>
    <s v="2025-02-26"/>
    <x v="8"/>
    <s v="North"/>
    <s v="Delhi"/>
    <s v="Delhi"/>
    <x v="2"/>
    <x v="10"/>
    <s v="CUST1300"/>
    <s v="SP_11"/>
    <n v="5"/>
    <n v="17671.73"/>
    <n v="88358.65"/>
    <n v="70786.649999999994"/>
    <n v="17572"/>
    <s v="Credit Card"/>
  </r>
  <r>
    <s v="ORD102140"/>
    <s v="2025-04-21"/>
    <x v="0"/>
    <s v="South"/>
    <s v="Tamil Nadu"/>
    <s v="Chennai"/>
    <x v="3"/>
    <x v="11"/>
    <s v="CUST1853"/>
    <s v="SP_05"/>
    <n v="4"/>
    <n v="111.32"/>
    <n v="445.28"/>
    <n v="235.65"/>
    <n v="209.63"/>
    <s v="Credit Card"/>
  </r>
  <r>
    <s v="ORD102141"/>
    <s v="2025-08-22"/>
    <x v="11"/>
    <s v="East"/>
    <s v="Bihar"/>
    <s v="Patna"/>
    <x v="0"/>
    <x v="0"/>
    <s v="CUST1241"/>
    <s v="SP_02"/>
    <n v="2"/>
    <n v="3571.45"/>
    <n v="7142.9"/>
    <n v="4313.2"/>
    <n v="2829.7"/>
    <s v="Net Banking"/>
  </r>
  <r>
    <s v="ORD102142"/>
    <s v="2025-11-03"/>
    <x v="10"/>
    <s v="West"/>
    <s v="Rajasthan"/>
    <s v="Jaipur"/>
    <x v="3"/>
    <x v="7"/>
    <s v="CUST1173"/>
    <s v="SP_14"/>
    <n v="3"/>
    <n v="10900.99"/>
    <n v="32702.97"/>
    <n v="26847.57"/>
    <n v="5855.4"/>
    <s v="Cash"/>
  </r>
  <r>
    <s v="ORD102143"/>
    <s v="2025-04-23"/>
    <x v="0"/>
    <s v="West"/>
    <s v="Maharashtra"/>
    <s v="Mumbai"/>
    <x v="1"/>
    <x v="6"/>
    <s v="CUST1555"/>
    <s v="SP_01"/>
    <n v="3"/>
    <n v="3275.13"/>
    <n v="9825.39"/>
    <n v="7495.18"/>
    <n v="2330.21"/>
    <s v="Debit Card"/>
  </r>
  <r>
    <s v="ORD102144"/>
    <s v="2025-02-21"/>
    <x v="8"/>
    <s v="East"/>
    <s v="West Bengal"/>
    <s v="Kolkata"/>
    <x v="3"/>
    <x v="7"/>
    <s v="CUST1002"/>
    <s v="SP_05"/>
    <n v="8"/>
    <n v="11012.43"/>
    <n v="88099.44"/>
    <n v="73781.23"/>
    <n v="14318.21"/>
    <s v="Credit Card"/>
  </r>
  <r>
    <s v="ORD102145"/>
    <s v="2025-03-10"/>
    <x v="4"/>
    <s v="North"/>
    <s v="Delhi"/>
    <s v="Delhi"/>
    <x v="0"/>
    <x v="9"/>
    <s v="CUST1741"/>
    <s v="SP_14"/>
    <n v="2"/>
    <n v="6705.26"/>
    <n v="13410.52"/>
    <n v="10321.049999999999"/>
    <n v="3089.47"/>
    <s v="UPI"/>
  </r>
  <r>
    <s v="ORD102146"/>
    <s v="2025-11-19"/>
    <x v="10"/>
    <s v="East"/>
    <s v="Odisha"/>
    <s v="Bhubaneswar"/>
    <x v="2"/>
    <x v="10"/>
    <s v="CUST1465"/>
    <s v="SP_01"/>
    <n v="5"/>
    <n v="17045.330000000002"/>
    <n v="85226.65"/>
    <n v="67984.23"/>
    <n v="17242.419999999998"/>
    <s v="Cash"/>
  </r>
  <r>
    <s v="ORD102147"/>
    <s v="2025-03-28"/>
    <x v="4"/>
    <s v="West"/>
    <s v="Rajasthan"/>
    <s v="Jaipur"/>
    <x v="0"/>
    <x v="0"/>
    <s v="CUST1561"/>
    <s v="SP_13"/>
    <n v="6"/>
    <n v="3780.58"/>
    <n v="22683.48"/>
    <n v="13085.28"/>
    <n v="9598.2000000000007"/>
    <s v="Credit Card"/>
  </r>
  <r>
    <s v="ORD102148"/>
    <s v="2025-04-08"/>
    <x v="0"/>
    <s v="West"/>
    <s v="Maharashtra"/>
    <s v="Mumbai"/>
    <x v="2"/>
    <x v="2"/>
    <s v="CUST1753"/>
    <s v="SP_03"/>
    <n v="1"/>
    <n v="46480.13"/>
    <n v="46480.13"/>
    <n v="36597.43"/>
    <n v="9882.7000000000007"/>
    <s v="UPI"/>
  </r>
  <r>
    <s v="ORD102149"/>
    <s v="2025-05-08"/>
    <x v="3"/>
    <s v="South"/>
    <s v="Karnataka"/>
    <s v="Bengaluru"/>
    <x v="0"/>
    <x v="0"/>
    <s v="CUST1149"/>
    <s v="SP_10"/>
    <n v="4"/>
    <n v="3312.24"/>
    <n v="13248.96"/>
    <n v="8789.59"/>
    <n v="4459.37"/>
    <s v="Net Banking"/>
  </r>
  <r>
    <s v="ORD102150"/>
    <s v="2025-01-10"/>
    <x v="9"/>
    <s v="East"/>
    <s v="Bihar"/>
    <s v="Patna"/>
    <x v="2"/>
    <x v="4"/>
    <s v="CUST1302"/>
    <s v="SP_04"/>
    <n v="2"/>
    <n v="2543.42"/>
    <n v="5086.84"/>
    <n v="3179.71"/>
    <n v="1907.13"/>
    <s v="UPI"/>
  </r>
  <r>
    <s v="ORD102151"/>
    <s v="2025-01-02"/>
    <x v="9"/>
    <s v="East"/>
    <s v="West Bengal"/>
    <s v="Kolkata"/>
    <x v="0"/>
    <x v="9"/>
    <s v="CUST1998"/>
    <s v="SP_10"/>
    <n v="8"/>
    <n v="6693.91"/>
    <n v="53551.28"/>
    <n v="41180.9"/>
    <n v="12370.38"/>
    <s v="Cash"/>
  </r>
  <r>
    <s v="ORD102152"/>
    <s v="2025-11-06"/>
    <x v="10"/>
    <s v="North"/>
    <s v="Delhi"/>
    <s v="Delhi"/>
    <x v="2"/>
    <x v="4"/>
    <s v="CUST1984"/>
    <s v="SP_11"/>
    <n v="7"/>
    <n v="2480.7600000000002"/>
    <n v="17365.32"/>
    <n v="11148.64"/>
    <n v="6216.68"/>
    <s v="Cash"/>
  </r>
  <r>
    <s v="ORD102153"/>
    <s v="2025-06-25"/>
    <x v="2"/>
    <s v="North"/>
    <s v="Punjab"/>
    <s v="Chandigarh"/>
    <x v="2"/>
    <x v="10"/>
    <s v="CUST1162"/>
    <s v="SP_07"/>
    <n v="5"/>
    <n v="16905.689999999999"/>
    <n v="84528.45"/>
    <n v="73045.86"/>
    <n v="11482.59"/>
    <s v="UPI"/>
  </r>
  <r>
    <s v="ORD102154"/>
    <s v="2025-06-09"/>
    <x v="2"/>
    <s v="North"/>
    <s v="Punjab"/>
    <s v="Chandigarh"/>
    <x v="0"/>
    <x v="9"/>
    <s v="CUST1404"/>
    <s v="SP_09"/>
    <n v="5"/>
    <n v="7598.48"/>
    <n v="37992.400000000001"/>
    <n v="24251.8"/>
    <n v="13740.6"/>
    <s v="Net Banking"/>
  </r>
  <r>
    <s v="ORD102155"/>
    <s v="2025-08-20"/>
    <x v="11"/>
    <s v="West"/>
    <s v="Rajasthan"/>
    <s v="Jaipur"/>
    <x v="0"/>
    <x v="0"/>
    <s v="CUST1570"/>
    <s v="SP_03"/>
    <n v="8"/>
    <n v="3263.7"/>
    <n v="26109.599999999999"/>
    <n v="18408.32"/>
    <n v="7701.28"/>
    <s v="Debit Card"/>
  </r>
  <r>
    <s v="ORD102156"/>
    <s v="2025-08-24"/>
    <x v="11"/>
    <s v="North"/>
    <s v="Punjab"/>
    <s v="Chandigarh"/>
    <x v="3"/>
    <x v="3"/>
    <s v="CUST1497"/>
    <s v="SP_12"/>
    <n v="7"/>
    <n v="22.78"/>
    <n v="159.46"/>
    <n v="66.739999999999995"/>
    <n v="92.72"/>
    <s v="Debit Card"/>
  </r>
  <r>
    <s v="ORD102157"/>
    <s v="2025-10-16"/>
    <x v="1"/>
    <s v="North"/>
    <s v="Punjab"/>
    <s v="Chandigarh"/>
    <x v="2"/>
    <x v="10"/>
    <s v="CUST1061"/>
    <s v="SP_06"/>
    <n v="1"/>
    <n v="19077.32"/>
    <n v="19077.32"/>
    <n v="14420.65"/>
    <n v="4656.67"/>
    <s v="Cash"/>
  </r>
  <r>
    <s v="ORD102158"/>
    <s v="2025-09-07"/>
    <x v="5"/>
    <s v="South"/>
    <s v="Tamil Nadu"/>
    <s v="Chennai"/>
    <x v="0"/>
    <x v="9"/>
    <s v="CUST1764"/>
    <s v="SP_05"/>
    <n v="8"/>
    <n v="7181.88"/>
    <n v="57455.040000000001"/>
    <n v="41407.35"/>
    <n v="16047.69"/>
    <s v="Credit Card"/>
  </r>
  <r>
    <s v="ORD102159"/>
    <s v="2025-04-17"/>
    <x v="0"/>
    <s v="North"/>
    <s v="Uttar Pradesh"/>
    <s v="Lucknow"/>
    <x v="2"/>
    <x v="2"/>
    <s v="CUST1499"/>
    <s v="SP_11"/>
    <n v="4"/>
    <n v="41122.620000000003"/>
    <n v="164490.48000000001"/>
    <n v="145499.53"/>
    <n v="18990.95"/>
    <s v="UPI"/>
  </r>
  <r>
    <s v="ORD102160"/>
    <s v="2025-08-03"/>
    <x v="11"/>
    <s v="South"/>
    <s v="Telangana"/>
    <s v="Hyderabad"/>
    <x v="1"/>
    <x v="5"/>
    <s v="CUST1251"/>
    <s v="SP_09"/>
    <n v="5"/>
    <n v="9319.2000000000007"/>
    <n v="46596"/>
    <n v="37608.980000000003"/>
    <n v="8987.02"/>
    <s v="UPI"/>
  </r>
  <r>
    <s v="ORD102161"/>
    <s v="2025-09-17"/>
    <x v="5"/>
    <s v="South"/>
    <s v="Tamil Nadu"/>
    <s v="Chennai"/>
    <x v="3"/>
    <x v="11"/>
    <s v="CUST1206"/>
    <s v="SP_13"/>
    <n v="4"/>
    <n v="108.97"/>
    <n v="435.88"/>
    <n v="245.59"/>
    <n v="190.29"/>
    <s v="Credit Card"/>
  </r>
  <r>
    <s v="ORD102162"/>
    <s v="2025-01-26"/>
    <x v="9"/>
    <s v="South"/>
    <s v="Tamil Nadu"/>
    <s v="Chennai"/>
    <x v="2"/>
    <x v="4"/>
    <s v="CUST1534"/>
    <s v="SP_02"/>
    <n v="2"/>
    <n v="2571.7800000000002"/>
    <n v="5143.5600000000004"/>
    <n v="3144.48"/>
    <n v="1999.08"/>
    <s v="Credit Card"/>
  </r>
  <r>
    <s v="ORD102163"/>
    <s v="2025-07-16"/>
    <x v="6"/>
    <s v="North"/>
    <s v="Delhi"/>
    <s v="Delhi"/>
    <x v="2"/>
    <x v="4"/>
    <s v="CUST1337"/>
    <s v="SP_07"/>
    <n v="2"/>
    <n v="2372.56"/>
    <n v="4745.12"/>
    <n v="3350.13"/>
    <n v="1394.99"/>
    <s v="Credit Card"/>
  </r>
  <r>
    <s v="ORD102164"/>
    <s v="2025-08-13"/>
    <x v="11"/>
    <s v="East"/>
    <s v="Odisha"/>
    <s v="Bhubaneswar"/>
    <x v="1"/>
    <x v="1"/>
    <s v="CUST1992"/>
    <s v="SP_10"/>
    <n v="4"/>
    <n v="2958.01"/>
    <n v="11832.04"/>
    <n v="7940.66"/>
    <n v="3891.38"/>
    <s v="Credit Card"/>
  </r>
  <r>
    <s v="ORD102165"/>
    <s v="2025-04-14"/>
    <x v="0"/>
    <s v="South"/>
    <s v="Tamil Nadu"/>
    <s v="Chennai"/>
    <x v="2"/>
    <x v="4"/>
    <s v="CUST1317"/>
    <s v="SP_05"/>
    <n v="7"/>
    <n v="2680.89"/>
    <n v="18766.23"/>
    <n v="11208.61"/>
    <n v="7557.62"/>
    <s v="Credit Card"/>
  </r>
  <r>
    <s v="ORD102166"/>
    <s v="2025-08-08"/>
    <x v="11"/>
    <s v="East"/>
    <s v="Bihar"/>
    <s v="Patna"/>
    <x v="0"/>
    <x v="0"/>
    <s v="CUST1437"/>
    <s v="SP_08"/>
    <n v="5"/>
    <n v="3390"/>
    <n v="16950"/>
    <n v="10551.45"/>
    <n v="6398.55"/>
    <s v="Net Banking"/>
  </r>
  <r>
    <s v="ORD102167"/>
    <s v="2025-11-21"/>
    <x v="10"/>
    <s v="South"/>
    <s v="Tamil Nadu"/>
    <s v="Chennai"/>
    <x v="1"/>
    <x v="6"/>
    <s v="CUST1056"/>
    <s v="SP_11"/>
    <n v="2"/>
    <n v="2956.48"/>
    <n v="5912.96"/>
    <n v="4613.7299999999996"/>
    <n v="1299.23"/>
    <s v="Debit Card"/>
  </r>
  <r>
    <s v="ORD102168"/>
    <s v="2025-10-13"/>
    <x v="1"/>
    <s v="East"/>
    <s v="Odisha"/>
    <s v="Bhubaneswar"/>
    <x v="1"/>
    <x v="5"/>
    <s v="CUST1432"/>
    <s v="SP_12"/>
    <n v="2"/>
    <n v="9056.3700000000008"/>
    <n v="18112.740000000002"/>
    <n v="14965.02"/>
    <n v="3147.72"/>
    <s v="Debit Card"/>
  </r>
  <r>
    <s v="ORD102169"/>
    <s v="2025-12-24"/>
    <x v="7"/>
    <s v="East"/>
    <s v="West Bengal"/>
    <s v="Kolkata"/>
    <x v="0"/>
    <x v="0"/>
    <s v="CUST1730"/>
    <s v="SP_05"/>
    <n v="3"/>
    <n v="3514.02"/>
    <n v="10542.06"/>
    <n v="6854.4"/>
    <n v="3687.66"/>
    <s v="Debit Card"/>
  </r>
  <r>
    <s v="ORD102170"/>
    <s v="2025-09-04"/>
    <x v="5"/>
    <s v="East"/>
    <s v="West Bengal"/>
    <s v="Kolkata"/>
    <x v="3"/>
    <x v="7"/>
    <s v="CUST1060"/>
    <s v="SP_06"/>
    <n v="1"/>
    <n v="12626.37"/>
    <n v="12626.37"/>
    <n v="9280.09"/>
    <n v="3346.28"/>
    <s v="Debit Card"/>
  </r>
  <r>
    <s v="ORD102171"/>
    <s v="2025-12-20"/>
    <x v="7"/>
    <s v="South"/>
    <s v="Tamil Nadu"/>
    <s v="Chennai"/>
    <x v="3"/>
    <x v="7"/>
    <s v="CUST1797"/>
    <s v="SP_12"/>
    <n v="5"/>
    <n v="11792.84"/>
    <n v="58964.2"/>
    <n v="43256.09"/>
    <n v="15708.11"/>
    <s v="Cash"/>
  </r>
  <r>
    <s v="ORD102172"/>
    <s v="2025-11-03"/>
    <x v="10"/>
    <s v="North"/>
    <s v="Delhi"/>
    <s v="Delhi"/>
    <x v="0"/>
    <x v="9"/>
    <s v="CUST1609"/>
    <s v="SP_08"/>
    <n v="5"/>
    <n v="7096.94"/>
    <n v="35484.699999999997"/>
    <n v="23949.68"/>
    <n v="11535.02"/>
    <s v="Net Banking"/>
  </r>
  <r>
    <s v="ORD102173"/>
    <s v="2025-02-08"/>
    <x v="8"/>
    <s v="North"/>
    <s v="Punjab"/>
    <s v="Chandigarh"/>
    <x v="3"/>
    <x v="3"/>
    <s v="CUST1238"/>
    <s v="SP_14"/>
    <n v="4"/>
    <n v="23.31"/>
    <n v="93.24"/>
    <n v="39.43"/>
    <n v="53.81"/>
    <s v="Cash"/>
  </r>
  <r>
    <s v="ORD102174"/>
    <s v="2025-07-25"/>
    <x v="6"/>
    <s v="South"/>
    <s v="Telangana"/>
    <s v="Hyderabad"/>
    <x v="0"/>
    <x v="9"/>
    <s v="CUST1074"/>
    <s v="SP_01"/>
    <n v="8"/>
    <n v="7525.17"/>
    <n v="60201.36"/>
    <n v="38176.339999999997"/>
    <n v="22025.02"/>
    <s v="UPI"/>
  </r>
  <r>
    <s v="ORD102175"/>
    <s v="2025-02-08"/>
    <x v="8"/>
    <s v="East"/>
    <s v="West Bengal"/>
    <s v="Kolkata"/>
    <x v="0"/>
    <x v="0"/>
    <s v="CUST1635"/>
    <s v="SP_02"/>
    <n v="3"/>
    <n v="3175.53"/>
    <n v="9526.59"/>
    <n v="6498.37"/>
    <n v="3028.22"/>
    <s v="Debit Card"/>
  </r>
  <r>
    <s v="ORD102176"/>
    <s v="2025-01-28"/>
    <x v="9"/>
    <s v="East"/>
    <s v="Odisha"/>
    <s v="Bhubaneswar"/>
    <x v="2"/>
    <x v="2"/>
    <s v="CUST1424"/>
    <s v="SP_05"/>
    <n v="7"/>
    <n v="45199.39"/>
    <n v="316395.73"/>
    <n v="246476.82"/>
    <n v="69918.91"/>
    <s v="Debit Card"/>
  </r>
  <r>
    <s v="ORD102177"/>
    <s v="2025-01-05"/>
    <x v="9"/>
    <s v="South"/>
    <s v="Karnataka"/>
    <s v="Bengaluru"/>
    <x v="0"/>
    <x v="0"/>
    <s v="CUST1466"/>
    <s v="SP_05"/>
    <n v="5"/>
    <n v="3646.85"/>
    <n v="18234.25"/>
    <n v="11433.89"/>
    <n v="6800.36"/>
    <s v="UPI"/>
  </r>
  <r>
    <s v="ORD102178"/>
    <s v="2025-04-11"/>
    <x v="0"/>
    <s v="West"/>
    <s v="Gujarat"/>
    <s v="Ahmedabad"/>
    <x v="1"/>
    <x v="6"/>
    <s v="CUST1022"/>
    <s v="SP_01"/>
    <n v="1"/>
    <n v="3348.17"/>
    <n v="3348.17"/>
    <n v="2330.8000000000002"/>
    <n v="1017.37"/>
    <s v="Net Banking"/>
  </r>
  <r>
    <s v="ORD102179"/>
    <s v="2025-03-25"/>
    <x v="4"/>
    <s v="East"/>
    <s v="Odisha"/>
    <s v="Bhubaneswar"/>
    <x v="3"/>
    <x v="7"/>
    <s v="CUST1177"/>
    <s v="SP_11"/>
    <n v="5"/>
    <n v="13158.09"/>
    <n v="65790.45"/>
    <n v="46658.38"/>
    <n v="19132.07"/>
    <s v="Cash"/>
  </r>
  <r>
    <s v="ORD102180"/>
    <s v="2025-12-19"/>
    <x v="7"/>
    <s v="North"/>
    <s v="Delhi"/>
    <s v="Delhi"/>
    <x v="3"/>
    <x v="3"/>
    <s v="CUST1424"/>
    <s v="SP_06"/>
    <n v="4"/>
    <n v="26.24"/>
    <n v="104.96"/>
    <n v="40"/>
    <n v="64.959999999999994"/>
    <s v="UPI"/>
  </r>
  <r>
    <s v="ORD102181"/>
    <s v="2025-06-27"/>
    <x v="2"/>
    <s v="North"/>
    <s v="Punjab"/>
    <s v="Chandigarh"/>
    <x v="1"/>
    <x v="5"/>
    <s v="CUST1103"/>
    <s v="SP_05"/>
    <n v="1"/>
    <n v="9973.57"/>
    <n v="9973.57"/>
    <n v="7509.58"/>
    <n v="2463.9899999999998"/>
    <s v="Cash"/>
  </r>
  <r>
    <s v="ORD102182"/>
    <s v="2025-01-07"/>
    <x v="9"/>
    <s v="West"/>
    <s v="Rajasthan"/>
    <s v="Jaipur"/>
    <x v="0"/>
    <x v="9"/>
    <s v="CUST1812"/>
    <s v="SP_04"/>
    <n v="4"/>
    <n v="7477.36"/>
    <n v="29909.439999999999"/>
    <n v="19619.62"/>
    <n v="10289.82"/>
    <s v="Credit Card"/>
  </r>
  <r>
    <s v="ORD102183"/>
    <s v="2025-01-13"/>
    <x v="9"/>
    <s v="West"/>
    <s v="Rajasthan"/>
    <s v="Jaipur"/>
    <x v="3"/>
    <x v="7"/>
    <s v="CUST1444"/>
    <s v="SP_15"/>
    <n v="4"/>
    <n v="11569.34"/>
    <n v="46277.36"/>
    <n v="35871.19"/>
    <n v="10406.17"/>
    <s v="UPI"/>
  </r>
  <r>
    <s v="ORD102184"/>
    <s v="2025-08-01"/>
    <x v="11"/>
    <s v="North"/>
    <s v="Punjab"/>
    <s v="Chandigarh"/>
    <x v="0"/>
    <x v="9"/>
    <s v="CUST1487"/>
    <s v="SP_06"/>
    <n v="8"/>
    <n v="7001.38"/>
    <n v="56011.040000000001"/>
    <n v="39071.74"/>
    <n v="16939.3"/>
    <s v="Net Banking"/>
  </r>
  <r>
    <s v="ORD102185"/>
    <s v="2025-04-30"/>
    <x v="0"/>
    <s v="South"/>
    <s v="Tamil Nadu"/>
    <s v="Chennai"/>
    <x v="3"/>
    <x v="7"/>
    <s v="CUST1061"/>
    <s v="SP_07"/>
    <n v="5"/>
    <n v="12063.8"/>
    <n v="60319"/>
    <n v="45975.38"/>
    <n v="14343.62"/>
    <s v="UPI"/>
  </r>
  <r>
    <s v="ORD102186"/>
    <s v="2025-06-29"/>
    <x v="2"/>
    <s v="North"/>
    <s v="Delhi"/>
    <s v="Delhi"/>
    <x v="1"/>
    <x v="1"/>
    <s v="CUST1350"/>
    <s v="SP_02"/>
    <n v="8"/>
    <n v="2847.53"/>
    <n v="22780.240000000002"/>
    <n v="14858.39"/>
    <n v="7921.85"/>
    <s v="Debit Card"/>
  </r>
  <r>
    <s v="ORD102187"/>
    <s v="2025-05-08"/>
    <x v="3"/>
    <s v="North"/>
    <s v="Uttar Pradesh"/>
    <s v="Lucknow"/>
    <x v="0"/>
    <x v="0"/>
    <s v="CUST1677"/>
    <s v="SP_02"/>
    <n v="2"/>
    <n v="3708.01"/>
    <n v="7416.02"/>
    <n v="4235.1400000000003"/>
    <n v="3180.88"/>
    <s v="Debit Card"/>
  </r>
  <r>
    <s v="ORD102188"/>
    <s v="2025-02-07"/>
    <x v="8"/>
    <s v="East"/>
    <s v="West Bengal"/>
    <s v="Kolkata"/>
    <x v="0"/>
    <x v="0"/>
    <s v="CUST1225"/>
    <s v="SP_02"/>
    <n v="4"/>
    <n v="3349.88"/>
    <n v="13399.52"/>
    <n v="8808.44"/>
    <n v="4591.08"/>
    <s v="UPI"/>
  </r>
  <r>
    <s v="ORD102189"/>
    <s v="2025-04-29"/>
    <x v="0"/>
    <s v="North"/>
    <s v="Delhi"/>
    <s v="Delhi"/>
    <x v="2"/>
    <x v="2"/>
    <s v="CUST1212"/>
    <s v="SP_04"/>
    <n v="6"/>
    <n v="43443.06"/>
    <n v="260658.36"/>
    <n v="214216.14"/>
    <n v="46442.22"/>
    <s v="Net Banking"/>
  </r>
  <r>
    <s v="ORD102190"/>
    <s v="2025-07-04"/>
    <x v="6"/>
    <s v="West"/>
    <s v="Rajasthan"/>
    <s v="Jaipur"/>
    <x v="1"/>
    <x v="5"/>
    <s v="CUST1681"/>
    <s v="SP_15"/>
    <n v="3"/>
    <n v="10365.84"/>
    <n v="31097.52"/>
    <n v="22114.2"/>
    <n v="8983.32"/>
    <s v="Cash"/>
  </r>
  <r>
    <s v="ORD102191"/>
    <s v="2025-11-13"/>
    <x v="10"/>
    <s v="South"/>
    <s v="Karnataka"/>
    <s v="Bengaluru"/>
    <x v="2"/>
    <x v="2"/>
    <s v="CUST1705"/>
    <s v="SP_06"/>
    <n v="6"/>
    <n v="48584.91"/>
    <n v="291509.46000000002"/>
    <n v="216121.94"/>
    <n v="75387.520000000004"/>
    <s v="Cash"/>
  </r>
  <r>
    <s v="ORD102192"/>
    <s v="2025-01-12"/>
    <x v="9"/>
    <s v="South"/>
    <s v="Telangana"/>
    <s v="Hyderabad"/>
    <x v="3"/>
    <x v="7"/>
    <s v="CUST1666"/>
    <s v="SP_01"/>
    <n v="5"/>
    <n v="11330.03"/>
    <n v="56650.15"/>
    <n v="43299.89"/>
    <n v="13350.26"/>
    <s v="Debit Card"/>
  </r>
  <r>
    <s v="ORD102193"/>
    <s v="2025-06-16"/>
    <x v="2"/>
    <s v="East"/>
    <s v="West Bengal"/>
    <s v="Kolkata"/>
    <x v="2"/>
    <x v="4"/>
    <s v="CUST1350"/>
    <s v="SP_11"/>
    <n v="6"/>
    <n v="2745.82"/>
    <n v="16474.919999999998"/>
    <n v="9728.43"/>
    <n v="6746.49"/>
    <s v="Cash"/>
  </r>
  <r>
    <s v="ORD102194"/>
    <s v="2025-12-30"/>
    <x v="7"/>
    <s v="West"/>
    <s v="Gujarat"/>
    <s v="Ahmedabad"/>
    <x v="0"/>
    <x v="9"/>
    <s v="CUST1086"/>
    <s v="SP_14"/>
    <n v="2"/>
    <n v="6656.54"/>
    <n v="13313.08"/>
    <n v="9541.7999999999993"/>
    <n v="3771.28"/>
    <s v="Cash"/>
  </r>
  <r>
    <s v="ORD102195"/>
    <s v="2025-10-27"/>
    <x v="1"/>
    <s v="North"/>
    <s v="Uttar Pradesh"/>
    <s v="Lucknow"/>
    <x v="3"/>
    <x v="3"/>
    <s v="CUST1919"/>
    <s v="SP_12"/>
    <n v="5"/>
    <n v="27.06"/>
    <n v="135.30000000000001"/>
    <n v="49.95"/>
    <n v="85.35"/>
    <s v="Debit Card"/>
  </r>
  <r>
    <s v="ORD102196"/>
    <s v="2025-09-04"/>
    <x v="5"/>
    <s v="North"/>
    <s v="Delhi"/>
    <s v="Delhi"/>
    <x v="2"/>
    <x v="10"/>
    <s v="CUST1776"/>
    <s v="SP_03"/>
    <n v="4"/>
    <n v="18613.39"/>
    <n v="74453.56"/>
    <n v="55850.5"/>
    <n v="18603.060000000001"/>
    <s v="UPI"/>
  </r>
  <r>
    <s v="ORD102197"/>
    <s v="2025-06-23"/>
    <x v="2"/>
    <s v="South"/>
    <s v="Karnataka"/>
    <s v="Bengaluru"/>
    <x v="2"/>
    <x v="2"/>
    <s v="CUST1481"/>
    <s v="SP_12"/>
    <n v="6"/>
    <n v="42989.440000000002"/>
    <n v="257936.64000000001"/>
    <n v="214767.51"/>
    <n v="43169.13"/>
    <s v="Net Banking"/>
  </r>
  <r>
    <s v="ORD102198"/>
    <s v="2025-02-11"/>
    <x v="8"/>
    <s v="West"/>
    <s v="Gujarat"/>
    <s v="Ahmedabad"/>
    <x v="1"/>
    <x v="1"/>
    <s v="CUST1542"/>
    <s v="SP_05"/>
    <n v="8"/>
    <n v="2904.34"/>
    <n v="23234.720000000001"/>
    <n v="14539.33"/>
    <n v="8695.39"/>
    <s v="Cash"/>
  </r>
  <r>
    <s v="ORD102199"/>
    <s v="2025-10-10"/>
    <x v="1"/>
    <s v="West"/>
    <s v="Gujarat"/>
    <s v="Ahmedabad"/>
    <x v="2"/>
    <x v="2"/>
    <s v="CUST1704"/>
    <s v="SP_01"/>
    <n v="6"/>
    <n v="44316.3"/>
    <n v="265897.8"/>
    <n v="206211.84"/>
    <n v="59685.96"/>
    <s v="Cash"/>
  </r>
  <r>
    <s v="ORD102200"/>
    <s v="2025-10-01"/>
    <x v="1"/>
    <s v="North"/>
    <s v="Delhi"/>
    <s v="Delhi"/>
    <x v="1"/>
    <x v="5"/>
    <s v="CUST1659"/>
    <s v="SP_12"/>
    <n v="8"/>
    <n v="8635"/>
    <n v="69080"/>
    <n v="63758.54"/>
    <n v="5321.46"/>
    <s v="Debit Card"/>
  </r>
  <r>
    <s v="ORD102201"/>
    <s v="2025-01-23"/>
    <x v="9"/>
    <s v="East"/>
    <s v="Odisha"/>
    <s v="Bhubaneswar"/>
    <x v="3"/>
    <x v="3"/>
    <s v="CUST1387"/>
    <s v="SP_08"/>
    <n v="5"/>
    <n v="26.68"/>
    <n v="133.4"/>
    <n v="49.94"/>
    <n v="83.46"/>
    <s v="Debit Card"/>
  </r>
  <r>
    <s v="ORD102202"/>
    <s v="2025-01-26"/>
    <x v="9"/>
    <s v="North"/>
    <s v="Delhi"/>
    <s v="Delhi"/>
    <x v="3"/>
    <x v="7"/>
    <s v="CUST1005"/>
    <s v="SP_03"/>
    <n v="1"/>
    <n v="12695.82"/>
    <n v="12695.82"/>
    <n v="9173.57"/>
    <n v="3522.25"/>
    <s v="Cash"/>
  </r>
  <r>
    <s v="ORD102203"/>
    <s v="2025-01-15"/>
    <x v="9"/>
    <s v="East"/>
    <s v="West Bengal"/>
    <s v="Kolkata"/>
    <x v="1"/>
    <x v="1"/>
    <s v="CUST1417"/>
    <s v="SP_03"/>
    <n v="4"/>
    <n v="3010.31"/>
    <n v="12041.24"/>
    <n v="7291.33"/>
    <n v="4749.91"/>
    <s v="Debit Card"/>
  </r>
  <r>
    <s v="ORD102204"/>
    <s v="2025-08-09"/>
    <x v="11"/>
    <s v="West"/>
    <s v="Gujarat"/>
    <s v="Ahmedabad"/>
    <x v="0"/>
    <x v="8"/>
    <s v="CUST1715"/>
    <s v="SP_05"/>
    <n v="4"/>
    <n v="20034.939999999999"/>
    <n v="80139.759999999995"/>
    <n v="69252.649999999994"/>
    <n v="10887.11"/>
    <s v="Net Banking"/>
  </r>
  <r>
    <s v="ORD102205"/>
    <s v="2025-04-27"/>
    <x v="0"/>
    <s v="North"/>
    <s v="Punjab"/>
    <s v="Chandigarh"/>
    <x v="0"/>
    <x v="9"/>
    <s v="CUST1541"/>
    <s v="SP_03"/>
    <n v="1"/>
    <n v="7264.34"/>
    <n v="7264.34"/>
    <n v="5115.0200000000004"/>
    <n v="2149.3200000000002"/>
    <s v="Credit Card"/>
  </r>
  <r>
    <s v="ORD102206"/>
    <s v="2025-07-05"/>
    <x v="6"/>
    <s v="South"/>
    <s v="Tamil Nadu"/>
    <s v="Chennai"/>
    <x v="1"/>
    <x v="6"/>
    <s v="CUST1606"/>
    <s v="SP_01"/>
    <n v="8"/>
    <n v="2958.74"/>
    <n v="23669.919999999998"/>
    <n v="19515.8"/>
    <n v="4154.12"/>
    <s v="Debit Card"/>
  </r>
  <r>
    <s v="ORD102207"/>
    <s v="2025-05-30"/>
    <x v="3"/>
    <s v="North"/>
    <s v="Delhi"/>
    <s v="Delhi"/>
    <x v="2"/>
    <x v="10"/>
    <s v="CUST1065"/>
    <s v="SP_08"/>
    <n v="5"/>
    <n v="18929.75"/>
    <n v="94648.75"/>
    <n v="70023.34"/>
    <n v="24625.41"/>
    <s v="UPI"/>
  </r>
  <r>
    <s v="ORD102208"/>
    <s v="2025-06-25"/>
    <x v="2"/>
    <s v="East"/>
    <s v="West Bengal"/>
    <s v="Kolkata"/>
    <x v="2"/>
    <x v="2"/>
    <s v="CUST1540"/>
    <s v="SP_08"/>
    <n v="2"/>
    <n v="42089.96"/>
    <n v="84179.92"/>
    <n v="66960.23"/>
    <n v="17219.689999999999"/>
    <s v="Credit Card"/>
  </r>
  <r>
    <s v="ORD102209"/>
    <s v="2025-12-14"/>
    <x v="7"/>
    <s v="West"/>
    <s v="Maharashtra"/>
    <s v="Mumbai"/>
    <x v="1"/>
    <x v="6"/>
    <s v="CUST1448"/>
    <s v="SP_03"/>
    <n v="5"/>
    <n v="3006.22"/>
    <n v="15031.1"/>
    <n v="11561.14"/>
    <n v="3469.96"/>
    <s v="Debit Card"/>
  </r>
  <r>
    <s v="ORD102210"/>
    <s v="2025-01-25"/>
    <x v="9"/>
    <s v="North"/>
    <s v="Delhi"/>
    <s v="Delhi"/>
    <x v="2"/>
    <x v="2"/>
    <s v="CUST1272"/>
    <s v="SP_01"/>
    <n v="5"/>
    <n v="48665.38"/>
    <n v="243326.9"/>
    <n v="168848.66"/>
    <n v="74478.240000000005"/>
    <s v="Cash"/>
  </r>
  <r>
    <s v="ORD102211"/>
    <s v="2025-12-21"/>
    <x v="7"/>
    <s v="East"/>
    <s v="Odisha"/>
    <s v="Bhubaneswar"/>
    <x v="3"/>
    <x v="3"/>
    <s v="CUST1088"/>
    <s v="SP_14"/>
    <n v="4"/>
    <n v="26.51"/>
    <n v="106.04"/>
    <n v="39.58"/>
    <n v="66.459999999999994"/>
    <s v="Credit Card"/>
  </r>
  <r>
    <s v="ORD102212"/>
    <s v="2025-08-27"/>
    <x v="11"/>
    <s v="South"/>
    <s v="Telangana"/>
    <s v="Hyderabad"/>
    <x v="1"/>
    <x v="6"/>
    <s v="CUST1476"/>
    <s v="SP_05"/>
    <n v="7"/>
    <n v="2943.86"/>
    <n v="20607.02"/>
    <n v="16645.97"/>
    <n v="3961.05"/>
    <s v="Cash"/>
  </r>
  <r>
    <s v="ORD102213"/>
    <s v="2025-09-10"/>
    <x v="5"/>
    <s v="West"/>
    <s v="Gujarat"/>
    <s v="Ahmedabad"/>
    <x v="2"/>
    <x v="10"/>
    <s v="CUST1214"/>
    <s v="SP_06"/>
    <n v="4"/>
    <n v="19190.919999999998"/>
    <n v="76763.679999999993"/>
    <n v="55172"/>
    <n v="21591.68"/>
    <s v="Credit Card"/>
  </r>
  <r>
    <s v="ORD102214"/>
    <s v="2025-10-07"/>
    <x v="1"/>
    <s v="South"/>
    <s v="Telangana"/>
    <s v="Hyderabad"/>
    <x v="0"/>
    <x v="9"/>
    <s v="CUST1573"/>
    <s v="SP_09"/>
    <n v="3"/>
    <n v="7136.23"/>
    <n v="21408.69"/>
    <n v="15712.77"/>
    <n v="5695.92"/>
    <s v="Net Banking"/>
  </r>
  <r>
    <s v="ORD102215"/>
    <s v="2025-01-06"/>
    <x v="9"/>
    <s v="North"/>
    <s v="Delhi"/>
    <s v="Delhi"/>
    <x v="3"/>
    <x v="7"/>
    <s v="CUST1649"/>
    <s v="SP_12"/>
    <n v="3"/>
    <n v="11553.8"/>
    <n v="34661.4"/>
    <n v="25958.959999999999"/>
    <n v="8702.44"/>
    <s v="Credit Card"/>
  </r>
  <r>
    <s v="ORD102216"/>
    <s v="2025-10-25"/>
    <x v="1"/>
    <s v="South"/>
    <s v="Tamil Nadu"/>
    <s v="Chennai"/>
    <x v="0"/>
    <x v="9"/>
    <s v="CUST1461"/>
    <s v="SP_11"/>
    <n v="8"/>
    <n v="6860.41"/>
    <n v="54883.28"/>
    <n v="41197.339999999997"/>
    <n v="13685.94"/>
    <s v="Net Banking"/>
  </r>
  <r>
    <s v="ORD102217"/>
    <s v="2025-08-29"/>
    <x v="11"/>
    <s v="North"/>
    <s v="Uttar Pradesh"/>
    <s v="Lucknow"/>
    <x v="2"/>
    <x v="10"/>
    <s v="CUST1690"/>
    <s v="SP_10"/>
    <n v="6"/>
    <n v="17444.43"/>
    <n v="104666.58"/>
    <n v="81020.2"/>
    <n v="23646.38"/>
    <s v="UPI"/>
  </r>
  <r>
    <s v="ORD102218"/>
    <s v="2025-04-28"/>
    <x v="0"/>
    <s v="West"/>
    <s v="Gujarat"/>
    <s v="Ahmedabad"/>
    <x v="2"/>
    <x v="10"/>
    <s v="CUST1682"/>
    <s v="SP_10"/>
    <n v="3"/>
    <n v="18949.54"/>
    <n v="56848.62"/>
    <n v="43539.6"/>
    <n v="13309.02"/>
    <s v="Cash"/>
  </r>
  <r>
    <s v="ORD102219"/>
    <s v="2025-02-10"/>
    <x v="8"/>
    <s v="South"/>
    <s v="Telangana"/>
    <s v="Hyderabad"/>
    <x v="0"/>
    <x v="0"/>
    <s v="CUST1896"/>
    <s v="SP_14"/>
    <n v="7"/>
    <n v="3538.44"/>
    <n v="24769.08"/>
    <n v="15364.8"/>
    <n v="9404.2800000000007"/>
    <s v="Cash"/>
  </r>
  <r>
    <s v="ORD102220"/>
    <s v="2025-03-15"/>
    <x v="4"/>
    <s v="West"/>
    <s v="Gujarat"/>
    <s v="Ahmedabad"/>
    <x v="0"/>
    <x v="0"/>
    <s v="CUST1717"/>
    <s v="SP_11"/>
    <n v="3"/>
    <n v="3600.61"/>
    <n v="10801.83"/>
    <n v="6403.65"/>
    <n v="4398.18"/>
    <s v="Debit Card"/>
  </r>
  <r>
    <s v="ORD102221"/>
    <s v="2025-07-24"/>
    <x v="6"/>
    <s v="East"/>
    <s v="Odisha"/>
    <s v="Bhubaneswar"/>
    <x v="1"/>
    <x v="1"/>
    <s v="CUST1526"/>
    <s v="SP_09"/>
    <n v="3"/>
    <n v="2909.86"/>
    <n v="8729.58"/>
    <n v="5931.03"/>
    <n v="2798.55"/>
    <s v="UPI"/>
  </r>
  <r>
    <s v="ORD102222"/>
    <s v="2025-03-25"/>
    <x v="4"/>
    <s v="North"/>
    <s v="Delhi"/>
    <s v="Delhi"/>
    <x v="3"/>
    <x v="3"/>
    <s v="CUST1746"/>
    <s v="SP_10"/>
    <n v="5"/>
    <n v="25.31"/>
    <n v="126.55"/>
    <n v="49.01"/>
    <n v="77.540000000000006"/>
    <s v="Cash"/>
  </r>
  <r>
    <s v="ORD102223"/>
    <s v="2025-01-31"/>
    <x v="9"/>
    <s v="East"/>
    <s v="Odisha"/>
    <s v="Bhubaneswar"/>
    <x v="1"/>
    <x v="5"/>
    <s v="CUST1457"/>
    <s v="SP_10"/>
    <n v="7"/>
    <n v="9599.31"/>
    <n v="67195.17"/>
    <n v="52184.97"/>
    <n v="15010.2"/>
    <s v="Debit Card"/>
  </r>
  <r>
    <s v="ORD102224"/>
    <s v="2025-12-01"/>
    <x v="7"/>
    <s v="West"/>
    <s v="Gujarat"/>
    <s v="Ahmedabad"/>
    <x v="3"/>
    <x v="7"/>
    <s v="CUST1860"/>
    <s v="SP_02"/>
    <n v="7"/>
    <n v="12444.28"/>
    <n v="87109.96"/>
    <n v="60820.29"/>
    <n v="26289.67"/>
    <s v="Debit Card"/>
  </r>
  <r>
    <s v="ORD102225"/>
    <s v="2025-06-24"/>
    <x v="2"/>
    <s v="East"/>
    <s v="Bihar"/>
    <s v="Patna"/>
    <x v="3"/>
    <x v="7"/>
    <s v="CUST1158"/>
    <s v="SP_07"/>
    <n v="3"/>
    <n v="10879.35"/>
    <n v="32638.05"/>
    <n v="26913.8"/>
    <n v="5724.25"/>
    <s v="Debit Card"/>
  </r>
  <r>
    <s v="ORD102226"/>
    <s v="2025-08-02"/>
    <x v="11"/>
    <s v="East"/>
    <s v="Bihar"/>
    <s v="Patna"/>
    <x v="3"/>
    <x v="11"/>
    <s v="CUST1738"/>
    <s v="SP_12"/>
    <n v="1"/>
    <n v="109.51"/>
    <n v="109.51"/>
    <n v="57.2"/>
    <n v="52.31"/>
    <s v="UPI"/>
  </r>
  <r>
    <s v="ORD102227"/>
    <s v="2025-07-22"/>
    <x v="6"/>
    <s v="West"/>
    <s v="Gujarat"/>
    <s v="Ahmedabad"/>
    <x v="2"/>
    <x v="10"/>
    <s v="CUST1596"/>
    <s v="SP_07"/>
    <n v="3"/>
    <n v="16323.99"/>
    <n v="48971.97"/>
    <n v="40302.589999999997"/>
    <n v="8669.3799999999992"/>
    <s v="UPI"/>
  </r>
  <r>
    <s v="ORD102228"/>
    <s v="2025-01-05"/>
    <x v="9"/>
    <s v="West"/>
    <s v="Maharashtra"/>
    <s v="Mumbai"/>
    <x v="3"/>
    <x v="3"/>
    <s v="CUST1613"/>
    <s v="SP_13"/>
    <n v="2"/>
    <n v="24.99"/>
    <n v="49.98"/>
    <n v="20.84"/>
    <n v="29.14"/>
    <s v="Cash"/>
  </r>
  <r>
    <s v="ORD102229"/>
    <s v="2025-03-31"/>
    <x v="4"/>
    <s v="South"/>
    <s v="Tamil Nadu"/>
    <s v="Chennai"/>
    <x v="2"/>
    <x v="10"/>
    <s v="CUST1983"/>
    <s v="SP_08"/>
    <n v="3"/>
    <n v="16616.45"/>
    <n v="49849.35"/>
    <n v="41635.51"/>
    <n v="8213.84"/>
    <s v="Net Banking"/>
  </r>
  <r>
    <s v="ORD102230"/>
    <s v="2025-10-12"/>
    <x v="1"/>
    <s v="South"/>
    <s v="Tamil Nadu"/>
    <s v="Chennai"/>
    <x v="1"/>
    <x v="6"/>
    <s v="CUST1528"/>
    <s v="SP_01"/>
    <n v="7"/>
    <n v="3289.43"/>
    <n v="23026.01"/>
    <n v="17254.29"/>
    <n v="5771.72"/>
    <s v="Credit Card"/>
  </r>
  <r>
    <s v="ORD102231"/>
    <s v="2025-01-26"/>
    <x v="9"/>
    <s v="West"/>
    <s v="Rajasthan"/>
    <s v="Jaipur"/>
    <x v="3"/>
    <x v="7"/>
    <s v="CUST1881"/>
    <s v="SP_05"/>
    <n v="6"/>
    <n v="11192.46"/>
    <n v="67154.759999999995"/>
    <n v="55660.160000000003"/>
    <n v="11494.6"/>
    <s v="Net Banking"/>
  </r>
  <r>
    <s v="ORD102232"/>
    <s v="2025-11-11"/>
    <x v="10"/>
    <s v="South"/>
    <s v="Karnataka"/>
    <s v="Bengaluru"/>
    <x v="0"/>
    <x v="0"/>
    <s v="CUST1194"/>
    <s v="SP_02"/>
    <n v="6"/>
    <n v="3645.02"/>
    <n v="21870.12"/>
    <n v="13003.03"/>
    <n v="8867.09"/>
    <s v="Net Banking"/>
  </r>
  <r>
    <s v="ORD102233"/>
    <s v="2025-01-13"/>
    <x v="9"/>
    <s v="West"/>
    <s v="Gujarat"/>
    <s v="Ahmedabad"/>
    <x v="2"/>
    <x v="10"/>
    <s v="CUST1819"/>
    <s v="SP_15"/>
    <n v="5"/>
    <n v="17714.71"/>
    <n v="88573.55"/>
    <n v="72767.97"/>
    <n v="15805.58"/>
    <s v="Net Banking"/>
  </r>
  <r>
    <s v="ORD102234"/>
    <s v="2025-11-22"/>
    <x v="10"/>
    <s v="North"/>
    <s v="Punjab"/>
    <s v="Chandigarh"/>
    <x v="1"/>
    <x v="5"/>
    <s v="CUST1649"/>
    <s v="SP_02"/>
    <n v="8"/>
    <n v="10144.030000000001"/>
    <n v="81152.240000000005"/>
    <n v="61342.89"/>
    <n v="19809.349999999999"/>
    <s v="Debit Card"/>
  </r>
  <r>
    <s v="ORD102235"/>
    <s v="2025-09-07"/>
    <x v="5"/>
    <s v="West"/>
    <s v="Gujarat"/>
    <s v="Ahmedabad"/>
    <x v="1"/>
    <x v="5"/>
    <s v="CUST1377"/>
    <s v="SP_05"/>
    <n v="2"/>
    <n v="9140.9599999999991"/>
    <n v="18281.919999999998"/>
    <n v="14925.06"/>
    <n v="3356.86"/>
    <s v="Cash"/>
  </r>
  <r>
    <s v="ORD102236"/>
    <s v="2025-02-15"/>
    <x v="8"/>
    <s v="South"/>
    <s v="Tamil Nadu"/>
    <s v="Chennai"/>
    <x v="3"/>
    <x v="3"/>
    <s v="CUST1349"/>
    <s v="SP_05"/>
    <n v="1"/>
    <n v="27.09"/>
    <n v="27.09"/>
    <n v="10.17"/>
    <n v="16.920000000000002"/>
    <s v="Cash"/>
  </r>
  <r>
    <s v="ORD102237"/>
    <s v="2025-12-07"/>
    <x v="7"/>
    <s v="South"/>
    <s v="Tamil Nadu"/>
    <s v="Chennai"/>
    <x v="0"/>
    <x v="8"/>
    <s v="CUST1994"/>
    <s v="SP_12"/>
    <n v="3"/>
    <n v="20585.759999999998"/>
    <n v="61757.279999999999"/>
    <n v="50057.02"/>
    <n v="11700.26"/>
    <s v="UPI"/>
  </r>
  <r>
    <s v="ORD102238"/>
    <s v="2025-11-10"/>
    <x v="10"/>
    <s v="North"/>
    <s v="Punjab"/>
    <s v="Chandigarh"/>
    <x v="2"/>
    <x v="10"/>
    <s v="CUST1184"/>
    <s v="SP_03"/>
    <n v="8"/>
    <n v="18567.82"/>
    <n v="148542.56"/>
    <n v="114135.82"/>
    <n v="34406.74"/>
    <s v="Cash"/>
  </r>
  <r>
    <s v="ORD102239"/>
    <s v="2025-09-02"/>
    <x v="5"/>
    <s v="East"/>
    <s v="Odisha"/>
    <s v="Bhubaneswar"/>
    <x v="2"/>
    <x v="4"/>
    <s v="CUST1628"/>
    <s v="SP_13"/>
    <n v="5"/>
    <n v="2525.5700000000002"/>
    <n v="12627.85"/>
    <n v="8276.66"/>
    <n v="4351.1899999999996"/>
    <s v="Debit Card"/>
  </r>
  <r>
    <s v="ORD102240"/>
    <s v="2025-03-31"/>
    <x v="4"/>
    <s v="North"/>
    <s v="Delhi"/>
    <s v="Delhi"/>
    <x v="3"/>
    <x v="7"/>
    <s v="CUST1320"/>
    <s v="SP_13"/>
    <n v="8"/>
    <n v="10920.77"/>
    <n v="87366.16"/>
    <n v="74960.740000000005"/>
    <n v="12405.42"/>
    <s v="Credit Card"/>
  </r>
  <r>
    <s v="ORD102241"/>
    <s v="2025-07-02"/>
    <x v="6"/>
    <s v="West"/>
    <s v="Rajasthan"/>
    <s v="Jaipur"/>
    <x v="2"/>
    <x v="2"/>
    <s v="CUST1685"/>
    <s v="SP_10"/>
    <n v="2"/>
    <n v="47362.94"/>
    <n v="94725.88"/>
    <n v="68801.53"/>
    <n v="25924.35"/>
    <s v="Cash"/>
  </r>
  <r>
    <s v="ORD102242"/>
    <s v="2025-06-26"/>
    <x v="2"/>
    <s v="West"/>
    <s v="Maharashtra"/>
    <s v="Mumbai"/>
    <x v="3"/>
    <x v="7"/>
    <s v="CUST1663"/>
    <s v="SP_05"/>
    <n v="1"/>
    <n v="11053.44"/>
    <n v="11053.44"/>
    <n v="8965.44"/>
    <n v="2088"/>
    <s v="Net Banking"/>
  </r>
  <r>
    <s v="ORD102243"/>
    <s v="2025-04-24"/>
    <x v="0"/>
    <s v="West"/>
    <s v="Gujarat"/>
    <s v="Ahmedabad"/>
    <x v="2"/>
    <x v="4"/>
    <s v="CUST1324"/>
    <s v="SP_04"/>
    <n v="7"/>
    <n v="2342.54"/>
    <n v="16397.78"/>
    <n v="10900.43"/>
    <n v="5497.35"/>
    <s v="Cash"/>
  </r>
  <r>
    <s v="ORD102244"/>
    <s v="2025-05-20"/>
    <x v="3"/>
    <s v="North"/>
    <s v="Punjab"/>
    <s v="Chandigarh"/>
    <x v="0"/>
    <x v="8"/>
    <s v="CUST1140"/>
    <s v="SP_03"/>
    <n v="4"/>
    <n v="21266.65"/>
    <n v="85066.6"/>
    <n v="70358.880000000005"/>
    <n v="14707.72"/>
    <s v="Credit Card"/>
  </r>
  <r>
    <s v="ORD102245"/>
    <s v="2025-06-23"/>
    <x v="2"/>
    <s v="North"/>
    <s v="Uttar Pradesh"/>
    <s v="Lucknow"/>
    <x v="2"/>
    <x v="2"/>
    <s v="CUST1989"/>
    <s v="SP_04"/>
    <n v="6"/>
    <n v="49058.6"/>
    <n v="294351.59999999998"/>
    <n v="199846.35"/>
    <n v="94505.25"/>
    <s v="UPI"/>
  </r>
  <r>
    <s v="ORD102246"/>
    <s v="2025-12-14"/>
    <x v="7"/>
    <s v="North"/>
    <s v="Uttar Pradesh"/>
    <s v="Lucknow"/>
    <x v="1"/>
    <x v="1"/>
    <s v="CUST1490"/>
    <s v="SP_14"/>
    <n v="1"/>
    <n v="2849.12"/>
    <n v="2849.12"/>
    <n v="1826.77"/>
    <n v="1022.35"/>
    <s v="Credit Card"/>
  </r>
  <r>
    <s v="ORD102247"/>
    <s v="2025-03-17"/>
    <x v="4"/>
    <s v="East"/>
    <s v="Odisha"/>
    <s v="Bhubaneswar"/>
    <x v="3"/>
    <x v="11"/>
    <s v="CUST1939"/>
    <s v="SP_01"/>
    <n v="4"/>
    <n v="127.63"/>
    <n v="510.52"/>
    <n v="230.22"/>
    <n v="280.3"/>
    <s v="Debit Card"/>
  </r>
  <r>
    <s v="ORD102248"/>
    <s v="2025-01-12"/>
    <x v="9"/>
    <s v="North"/>
    <s v="Delhi"/>
    <s v="Delhi"/>
    <x v="2"/>
    <x v="4"/>
    <s v="CUST1228"/>
    <s v="SP_05"/>
    <n v="8"/>
    <n v="2731.75"/>
    <n v="21854"/>
    <n v="12354.56"/>
    <n v="9499.44"/>
    <s v="Cash"/>
  </r>
  <r>
    <s v="ORD102249"/>
    <s v="2025-10-05"/>
    <x v="1"/>
    <s v="East"/>
    <s v="Bihar"/>
    <s v="Patna"/>
    <x v="1"/>
    <x v="6"/>
    <s v="CUST1277"/>
    <s v="SP_02"/>
    <n v="5"/>
    <n v="3472.76"/>
    <n v="17363.8"/>
    <n v="12250.22"/>
    <n v="5113.58"/>
    <s v="Credit Card"/>
  </r>
  <r>
    <s v="ORD102250"/>
    <s v="2025-04-08"/>
    <x v="0"/>
    <s v="West"/>
    <s v="Gujarat"/>
    <s v="Ahmedabad"/>
    <x v="2"/>
    <x v="2"/>
    <s v="CUST1923"/>
    <s v="SP_07"/>
    <n v="3"/>
    <n v="46144.12"/>
    <n v="138432.35999999999"/>
    <n v="106173.48"/>
    <n v="32258.880000000001"/>
    <s v="Cash"/>
  </r>
  <r>
    <s v="ORD102251"/>
    <s v="2025-01-08"/>
    <x v="9"/>
    <s v="West"/>
    <s v="Gujarat"/>
    <s v="Ahmedabad"/>
    <x v="2"/>
    <x v="10"/>
    <s v="CUST1388"/>
    <s v="SP_04"/>
    <n v="8"/>
    <n v="18237.11"/>
    <n v="145896.88"/>
    <n v="115797.23"/>
    <n v="30099.65"/>
    <s v="Debit Card"/>
  </r>
  <r>
    <s v="ORD102252"/>
    <s v="2025-11-16"/>
    <x v="10"/>
    <s v="West"/>
    <s v="Rajasthan"/>
    <s v="Jaipur"/>
    <x v="3"/>
    <x v="3"/>
    <s v="CUST1284"/>
    <s v="SP_06"/>
    <n v="8"/>
    <n v="22.91"/>
    <n v="183.28"/>
    <n v="76.2"/>
    <n v="107.08"/>
    <s v="Debit Card"/>
  </r>
  <r>
    <s v="ORD102253"/>
    <s v="2025-03-19"/>
    <x v="4"/>
    <s v="South"/>
    <s v="Karnataka"/>
    <s v="Bengaluru"/>
    <x v="2"/>
    <x v="2"/>
    <s v="CUST1198"/>
    <s v="SP_13"/>
    <n v="5"/>
    <n v="43774.94"/>
    <n v="218874.7"/>
    <n v="167030.74"/>
    <n v="51843.96"/>
    <s v="Credit Card"/>
  </r>
  <r>
    <s v="ORD102254"/>
    <s v="2025-04-08"/>
    <x v="0"/>
    <s v="East"/>
    <s v="West Bengal"/>
    <s v="Kolkata"/>
    <x v="1"/>
    <x v="6"/>
    <s v="CUST1065"/>
    <s v="SP_04"/>
    <n v="5"/>
    <n v="2947.61"/>
    <n v="14738.05"/>
    <n v="11893.37"/>
    <n v="2844.68"/>
    <s v="Credit Card"/>
  </r>
  <r>
    <s v="ORD102255"/>
    <s v="2025-12-01"/>
    <x v="7"/>
    <s v="East"/>
    <s v="Odisha"/>
    <s v="Bhubaneswar"/>
    <x v="0"/>
    <x v="9"/>
    <s v="CUST1951"/>
    <s v="SP_12"/>
    <n v="4"/>
    <n v="6686.78"/>
    <n v="26747.119999999999"/>
    <n v="20199.63"/>
    <n v="6547.49"/>
    <s v="Net Banking"/>
  </r>
  <r>
    <s v="ORD102256"/>
    <s v="2025-09-14"/>
    <x v="5"/>
    <s v="West"/>
    <s v="Maharashtra"/>
    <s v="Mumbai"/>
    <x v="3"/>
    <x v="7"/>
    <s v="CUST1391"/>
    <s v="SP_09"/>
    <n v="1"/>
    <n v="12859.62"/>
    <n v="12859.62"/>
    <n v="8675.33"/>
    <n v="4184.29"/>
    <s v="Debit Card"/>
  </r>
  <r>
    <s v="ORD102257"/>
    <s v="2025-08-20"/>
    <x v="11"/>
    <s v="South"/>
    <s v="Telangana"/>
    <s v="Hyderabad"/>
    <x v="2"/>
    <x v="4"/>
    <s v="CUST1821"/>
    <s v="SP_08"/>
    <n v="3"/>
    <n v="2555.7399999999998"/>
    <n v="7667.22"/>
    <n v="4645.3900000000003"/>
    <n v="3021.83"/>
    <s v="UPI"/>
  </r>
  <r>
    <s v="ORD102258"/>
    <s v="2025-11-23"/>
    <x v="10"/>
    <s v="North"/>
    <s v="Punjab"/>
    <s v="Chandigarh"/>
    <x v="0"/>
    <x v="0"/>
    <s v="CUST1041"/>
    <s v="SP_11"/>
    <n v="3"/>
    <n v="3375.14"/>
    <n v="10125.42"/>
    <n v="6404.86"/>
    <n v="3720.56"/>
    <s v="Debit Card"/>
  </r>
  <r>
    <s v="ORD102259"/>
    <s v="2025-03-13"/>
    <x v="4"/>
    <s v="North"/>
    <s v="Delhi"/>
    <s v="Delhi"/>
    <x v="1"/>
    <x v="1"/>
    <s v="CUST1003"/>
    <s v="SP_15"/>
    <n v="6"/>
    <n v="2746.36"/>
    <n v="16478.16"/>
    <n v="10871.84"/>
    <n v="5606.32"/>
    <s v="Debit Card"/>
  </r>
  <r>
    <s v="ORD102260"/>
    <s v="2025-12-01"/>
    <x v="7"/>
    <s v="North"/>
    <s v="Punjab"/>
    <s v="Chandigarh"/>
    <x v="1"/>
    <x v="5"/>
    <s v="CUST1261"/>
    <s v="SP_13"/>
    <n v="8"/>
    <n v="10113.540000000001"/>
    <n v="80908.320000000007"/>
    <n v="61617.18"/>
    <n v="19291.14"/>
    <s v="Debit Card"/>
  </r>
  <r>
    <s v="ORD102261"/>
    <s v="2025-08-14"/>
    <x v="11"/>
    <s v="North"/>
    <s v="Uttar Pradesh"/>
    <s v="Lucknow"/>
    <x v="2"/>
    <x v="10"/>
    <s v="CUST1002"/>
    <s v="SP_09"/>
    <n v="8"/>
    <n v="17818.13"/>
    <n v="142545.04"/>
    <n v="114413.16"/>
    <n v="28131.88"/>
    <s v="Debit Card"/>
  </r>
  <r>
    <s v="ORD102262"/>
    <s v="2025-04-09"/>
    <x v="0"/>
    <s v="East"/>
    <s v="Bihar"/>
    <s v="Patna"/>
    <x v="3"/>
    <x v="11"/>
    <s v="CUST1110"/>
    <s v="SP_05"/>
    <n v="5"/>
    <n v="128.78"/>
    <n v="643.9"/>
    <n v="311.18"/>
    <n v="332.72"/>
    <s v="Credit Card"/>
  </r>
  <r>
    <s v="ORD102263"/>
    <s v="2025-12-04"/>
    <x v="7"/>
    <s v="North"/>
    <s v="Delhi"/>
    <s v="Delhi"/>
    <x v="2"/>
    <x v="10"/>
    <s v="CUST1927"/>
    <s v="SP_14"/>
    <n v="5"/>
    <n v="16730.36"/>
    <n v="83651.8"/>
    <n v="72296.740000000005"/>
    <n v="11355.06"/>
    <s v="Debit Card"/>
  </r>
  <r>
    <s v="ORD102264"/>
    <s v="2025-10-17"/>
    <x v="1"/>
    <s v="West"/>
    <s v="Maharashtra"/>
    <s v="Mumbai"/>
    <x v="2"/>
    <x v="4"/>
    <s v="CUST1998"/>
    <s v="SP_15"/>
    <n v="1"/>
    <n v="2540.1999999999998"/>
    <n v="2540.1999999999998"/>
    <n v="1657.51"/>
    <n v="882.69"/>
    <s v="UPI"/>
  </r>
  <r>
    <s v="ORD102265"/>
    <s v="2025-09-13"/>
    <x v="5"/>
    <s v="South"/>
    <s v="Tamil Nadu"/>
    <s v="Chennai"/>
    <x v="0"/>
    <x v="0"/>
    <s v="CUST1778"/>
    <s v="SP_07"/>
    <n v="1"/>
    <n v="3497.43"/>
    <n v="3497.43"/>
    <n v="2187.19"/>
    <n v="1310.24"/>
    <s v="Cash"/>
  </r>
  <r>
    <s v="ORD102266"/>
    <s v="2025-02-20"/>
    <x v="8"/>
    <s v="West"/>
    <s v="Gujarat"/>
    <s v="Ahmedabad"/>
    <x v="1"/>
    <x v="1"/>
    <s v="CUST1384"/>
    <s v="SP_09"/>
    <n v="6"/>
    <n v="2925.09"/>
    <n v="17550.54"/>
    <n v="11962.91"/>
    <n v="5587.63"/>
    <s v="Debit Card"/>
  </r>
  <r>
    <s v="ORD102267"/>
    <s v="2025-05-06"/>
    <x v="3"/>
    <s v="North"/>
    <s v="Punjab"/>
    <s v="Chandigarh"/>
    <x v="2"/>
    <x v="10"/>
    <s v="CUST1950"/>
    <s v="SP_01"/>
    <n v="2"/>
    <n v="19595.38"/>
    <n v="39190.76"/>
    <n v="27500.86"/>
    <n v="11689.9"/>
    <s v="Net Banking"/>
  </r>
  <r>
    <s v="ORD102268"/>
    <s v="2025-08-01"/>
    <x v="11"/>
    <s v="West"/>
    <s v="Maharashtra"/>
    <s v="Mumbai"/>
    <x v="3"/>
    <x v="11"/>
    <s v="CUST1882"/>
    <s v="SP_08"/>
    <n v="7"/>
    <n v="122.66"/>
    <n v="858.62"/>
    <n v="437.53"/>
    <n v="421.09"/>
    <s v="Cash"/>
  </r>
  <r>
    <s v="ORD102269"/>
    <s v="2025-07-19"/>
    <x v="6"/>
    <s v="South"/>
    <s v="Telangana"/>
    <s v="Hyderabad"/>
    <x v="3"/>
    <x v="7"/>
    <s v="CUST1336"/>
    <s v="SP_09"/>
    <n v="7"/>
    <n v="13103.39"/>
    <n v="91723.73"/>
    <n v="64861.68"/>
    <n v="26862.05"/>
    <s v="UPI"/>
  </r>
  <r>
    <s v="ORD102270"/>
    <s v="2025-01-17"/>
    <x v="9"/>
    <s v="East"/>
    <s v="Bihar"/>
    <s v="Patna"/>
    <x v="0"/>
    <x v="8"/>
    <s v="CUST1156"/>
    <s v="SP_09"/>
    <n v="8"/>
    <n v="23797.27"/>
    <n v="190378.16"/>
    <n v="141422.87"/>
    <n v="48955.29"/>
    <s v="Net Banking"/>
  </r>
  <r>
    <s v="ORD102271"/>
    <s v="2025-11-21"/>
    <x v="10"/>
    <s v="West"/>
    <s v="Rajasthan"/>
    <s v="Jaipur"/>
    <x v="3"/>
    <x v="7"/>
    <s v="CUST1421"/>
    <s v="SP_02"/>
    <n v="7"/>
    <n v="11484.93"/>
    <n v="80394.509999999995"/>
    <n v="60677.16"/>
    <n v="19717.349999999999"/>
    <s v="UPI"/>
  </r>
  <r>
    <s v="ORD102272"/>
    <s v="2025-09-15"/>
    <x v="5"/>
    <s v="North"/>
    <s v="Punjab"/>
    <s v="Chandigarh"/>
    <x v="3"/>
    <x v="3"/>
    <s v="CUST1276"/>
    <s v="SP_06"/>
    <n v="3"/>
    <n v="25.24"/>
    <n v="75.72"/>
    <n v="31.32"/>
    <n v="44.4"/>
    <s v="UPI"/>
  </r>
  <r>
    <s v="ORD102273"/>
    <s v="2025-07-30"/>
    <x v="6"/>
    <s v="North"/>
    <s v="Punjab"/>
    <s v="Chandigarh"/>
    <x v="2"/>
    <x v="2"/>
    <s v="CUST1531"/>
    <s v="SP_12"/>
    <n v="3"/>
    <n v="45048.65"/>
    <n v="135145.95000000001"/>
    <n v="110138.86"/>
    <n v="25007.09"/>
    <s v="Cash"/>
  </r>
  <r>
    <s v="ORD102274"/>
    <s v="2025-03-10"/>
    <x v="4"/>
    <s v="North"/>
    <s v="Delhi"/>
    <s v="Delhi"/>
    <x v="0"/>
    <x v="8"/>
    <s v="CUST1140"/>
    <s v="SP_03"/>
    <n v="5"/>
    <n v="23390.1"/>
    <n v="116950.5"/>
    <n v="84993.91"/>
    <n v="31956.59"/>
    <s v="Net Banking"/>
  </r>
  <r>
    <s v="ORD102275"/>
    <s v="2025-07-21"/>
    <x v="6"/>
    <s v="North"/>
    <s v="Punjab"/>
    <s v="Chandigarh"/>
    <x v="0"/>
    <x v="0"/>
    <s v="CUST1657"/>
    <s v="SP_05"/>
    <n v="4"/>
    <n v="3843.17"/>
    <n v="15372.68"/>
    <n v="8969.35"/>
    <n v="6403.33"/>
    <s v="Cash"/>
  </r>
  <r>
    <s v="ORD102276"/>
    <s v="2025-08-11"/>
    <x v="11"/>
    <s v="South"/>
    <s v="Karnataka"/>
    <s v="Bengaluru"/>
    <x v="3"/>
    <x v="11"/>
    <s v="CUST1716"/>
    <s v="SP_01"/>
    <n v="5"/>
    <n v="131.47"/>
    <n v="657.35"/>
    <n v="293.55"/>
    <n v="363.8"/>
    <s v="Cash"/>
  </r>
  <r>
    <s v="ORD102277"/>
    <s v="2025-06-13"/>
    <x v="2"/>
    <s v="North"/>
    <s v="Delhi"/>
    <s v="Delhi"/>
    <x v="1"/>
    <x v="6"/>
    <s v="CUST1875"/>
    <s v="SP_06"/>
    <n v="5"/>
    <n v="3249.82"/>
    <n v="16249.1"/>
    <n v="12088.92"/>
    <n v="4160.18"/>
    <s v="UPI"/>
  </r>
  <r>
    <s v="ORD102278"/>
    <s v="2025-10-30"/>
    <x v="1"/>
    <s v="East"/>
    <s v="Odisha"/>
    <s v="Bhubaneswar"/>
    <x v="3"/>
    <x v="3"/>
    <s v="CUST1645"/>
    <s v="SP_11"/>
    <n v="5"/>
    <n v="25.16"/>
    <n v="125.8"/>
    <n v="52.04"/>
    <n v="73.760000000000005"/>
    <s v="UPI"/>
  </r>
  <r>
    <s v="ORD102279"/>
    <s v="2025-01-04"/>
    <x v="9"/>
    <s v="South"/>
    <s v="Tamil Nadu"/>
    <s v="Chennai"/>
    <x v="2"/>
    <x v="4"/>
    <s v="CUST1072"/>
    <s v="SP_12"/>
    <n v="7"/>
    <n v="2389.33"/>
    <n v="16725.310000000001"/>
    <n v="11139.96"/>
    <n v="5585.35"/>
    <s v="Debit Card"/>
  </r>
  <r>
    <s v="ORD102280"/>
    <s v="2025-03-01"/>
    <x v="4"/>
    <s v="North"/>
    <s v="Delhi"/>
    <s v="Delhi"/>
    <x v="3"/>
    <x v="11"/>
    <s v="CUST1747"/>
    <s v="SP_15"/>
    <n v="6"/>
    <n v="117.63"/>
    <n v="705.78"/>
    <n v="350.91"/>
    <n v="354.87"/>
    <s v="UPI"/>
  </r>
  <r>
    <s v="ORD102281"/>
    <s v="2025-07-08"/>
    <x v="6"/>
    <s v="East"/>
    <s v="West Bengal"/>
    <s v="Kolkata"/>
    <x v="3"/>
    <x v="3"/>
    <s v="CUST1466"/>
    <s v="SP_15"/>
    <n v="3"/>
    <n v="27.04"/>
    <n v="81.12"/>
    <n v="30"/>
    <n v="51.12"/>
    <s v="Debit Card"/>
  </r>
  <r>
    <s v="ORD102282"/>
    <s v="2025-02-22"/>
    <x v="8"/>
    <s v="East"/>
    <s v="West Bengal"/>
    <s v="Kolkata"/>
    <x v="3"/>
    <x v="11"/>
    <s v="CUST1614"/>
    <s v="SP_14"/>
    <n v="2"/>
    <n v="124.34"/>
    <n v="248.68"/>
    <n v="118.07"/>
    <n v="130.61000000000001"/>
    <s v="Debit Card"/>
  </r>
  <r>
    <s v="ORD102283"/>
    <s v="2025-08-28"/>
    <x v="11"/>
    <s v="South"/>
    <s v="Karnataka"/>
    <s v="Bengaluru"/>
    <x v="1"/>
    <x v="5"/>
    <s v="CUST1294"/>
    <s v="SP_09"/>
    <n v="7"/>
    <n v="8823.4500000000007"/>
    <n v="61764.15"/>
    <n v="51147.16"/>
    <n v="10616.99"/>
    <s v="Net Banking"/>
  </r>
  <r>
    <s v="ORD102284"/>
    <s v="2025-07-14"/>
    <x v="6"/>
    <s v="East"/>
    <s v="Bihar"/>
    <s v="Patna"/>
    <x v="0"/>
    <x v="9"/>
    <s v="CUST1240"/>
    <s v="SP_05"/>
    <n v="8"/>
    <n v="7581.9"/>
    <n v="60655.199999999997"/>
    <n v="40231.379999999997"/>
    <n v="20423.82"/>
    <s v="Net Banking"/>
  </r>
  <r>
    <s v="ORD102285"/>
    <s v="2025-12-29"/>
    <x v="7"/>
    <s v="North"/>
    <s v="Delhi"/>
    <s v="Delhi"/>
    <x v="1"/>
    <x v="1"/>
    <s v="CUST1707"/>
    <s v="SP_09"/>
    <n v="5"/>
    <n v="3062.5"/>
    <n v="15312.5"/>
    <n v="9086.8700000000008"/>
    <n v="6225.63"/>
    <s v="Credit Card"/>
  </r>
  <r>
    <s v="ORD102286"/>
    <s v="2025-05-06"/>
    <x v="3"/>
    <s v="East"/>
    <s v="Odisha"/>
    <s v="Bhubaneswar"/>
    <x v="0"/>
    <x v="9"/>
    <s v="CUST1891"/>
    <s v="SP_09"/>
    <n v="6"/>
    <n v="6376.48"/>
    <n v="38258.879999999997"/>
    <n v="31071.200000000001"/>
    <n v="7187.68"/>
    <s v="UPI"/>
  </r>
  <r>
    <s v="ORD102287"/>
    <s v="2025-03-09"/>
    <x v="4"/>
    <s v="South"/>
    <s v="Karnataka"/>
    <s v="Bengaluru"/>
    <x v="1"/>
    <x v="5"/>
    <s v="CUST1126"/>
    <s v="SP_15"/>
    <n v="1"/>
    <n v="10439.5"/>
    <n v="10439.5"/>
    <n v="7527.8"/>
    <n v="2911.7"/>
    <s v="Debit Card"/>
  </r>
  <r>
    <s v="ORD102288"/>
    <s v="2025-01-28"/>
    <x v="9"/>
    <s v="East"/>
    <s v="Odisha"/>
    <s v="Bhubaneswar"/>
    <x v="1"/>
    <x v="6"/>
    <s v="CUST1244"/>
    <s v="SP_01"/>
    <n v="2"/>
    <n v="3326.16"/>
    <n v="6652.32"/>
    <n v="4838.8999999999996"/>
    <n v="1813.42"/>
    <s v="Credit Card"/>
  </r>
  <r>
    <s v="ORD102289"/>
    <s v="2025-01-10"/>
    <x v="9"/>
    <s v="North"/>
    <s v="Uttar Pradesh"/>
    <s v="Lucknow"/>
    <x v="3"/>
    <x v="3"/>
    <s v="CUST1381"/>
    <s v="SP_08"/>
    <n v="8"/>
    <n v="24.4"/>
    <n v="195.2"/>
    <n v="79.900000000000006"/>
    <n v="115.3"/>
    <s v="Net Banking"/>
  </r>
  <r>
    <s v="ORD102290"/>
    <s v="2025-03-03"/>
    <x v="4"/>
    <s v="South"/>
    <s v="Karnataka"/>
    <s v="Bengaluru"/>
    <x v="3"/>
    <x v="3"/>
    <s v="CUST1766"/>
    <s v="SP_15"/>
    <n v="2"/>
    <n v="22.89"/>
    <n v="45.78"/>
    <n v="20.75"/>
    <n v="25.03"/>
    <s v="Cash"/>
  </r>
  <r>
    <s v="ORD102291"/>
    <s v="2025-07-10"/>
    <x v="6"/>
    <s v="South"/>
    <s v="Karnataka"/>
    <s v="Bengaluru"/>
    <x v="3"/>
    <x v="3"/>
    <s v="CUST1411"/>
    <s v="SP_02"/>
    <n v="8"/>
    <n v="22.85"/>
    <n v="182.8"/>
    <n v="80.77"/>
    <n v="102.03"/>
    <s v="Credit Card"/>
  </r>
  <r>
    <s v="ORD102292"/>
    <s v="2025-03-06"/>
    <x v="4"/>
    <s v="North"/>
    <s v="Delhi"/>
    <s v="Delhi"/>
    <x v="2"/>
    <x v="10"/>
    <s v="CUST1705"/>
    <s v="SP_05"/>
    <n v="7"/>
    <n v="17338.28"/>
    <n v="121367.96"/>
    <n v="97309.15"/>
    <n v="24058.81"/>
    <s v="Debit Card"/>
  </r>
  <r>
    <s v="ORD102293"/>
    <s v="2025-08-08"/>
    <x v="11"/>
    <s v="South"/>
    <s v="Karnataka"/>
    <s v="Bengaluru"/>
    <x v="2"/>
    <x v="2"/>
    <s v="CUST1748"/>
    <s v="SP_01"/>
    <n v="3"/>
    <n v="45995.66"/>
    <n v="137986.98000000001"/>
    <n v="106346"/>
    <n v="31640.98"/>
    <s v="UPI"/>
  </r>
  <r>
    <s v="ORD102294"/>
    <s v="2025-12-19"/>
    <x v="7"/>
    <s v="West"/>
    <s v="Rajasthan"/>
    <s v="Jaipur"/>
    <x v="1"/>
    <x v="1"/>
    <s v="CUST1801"/>
    <s v="SP_02"/>
    <n v="1"/>
    <n v="2585.87"/>
    <n v="2585.87"/>
    <n v="1810.21"/>
    <n v="775.66"/>
    <s v="UPI"/>
  </r>
  <r>
    <s v="ORD102295"/>
    <s v="2025-01-03"/>
    <x v="9"/>
    <s v="South"/>
    <s v="Karnataka"/>
    <s v="Bengaluru"/>
    <x v="1"/>
    <x v="5"/>
    <s v="CUST1647"/>
    <s v="SP_14"/>
    <n v="5"/>
    <n v="10115.84"/>
    <n v="50579.199999999997"/>
    <n v="39752.07"/>
    <n v="10827.13"/>
    <s v="UPI"/>
  </r>
  <r>
    <s v="ORD102296"/>
    <s v="2025-06-30"/>
    <x v="2"/>
    <s v="South"/>
    <s v="Tamil Nadu"/>
    <s v="Chennai"/>
    <x v="0"/>
    <x v="8"/>
    <s v="CUST1712"/>
    <s v="SP_12"/>
    <n v="2"/>
    <n v="24053.73"/>
    <n v="48107.46"/>
    <n v="32907.760000000002"/>
    <n v="15199.7"/>
    <s v="Credit Card"/>
  </r>
  <r>
    <s v="ORD102297"/>
    <s v="2025-03-09"/>
    <x v="4"/>
    <s v="South"/>
    <s v="Karnataka"/>
    <s v="Bengaluru"/>
    <x v="2"/>
    <x v="10"/>
    <s v="CUST1635"/>
    <s v="SP_13"/>
    <n v="6"/>
    <n v="18391.7"/>
    <n v="110350.2"/>
    <n v="80708.289999999994"/>
    <n v="29641.91"/>
    <s v="Credit Card"/>
  </r>
  <r>
    <s v="ORD102298"/>
    <s v="2025-08-27"/>
    <x v="11"/>
    <s v="North"/>
    <s v="Uttar Pradesh"/>
    <s v="Lucknow"/>
    <x v="1"/>
    <x v="6"/>
    <s v="CUST1780"/>
    <s v="SP_09"/>
    <n v="2"/>
    <n v="3399.93"/>
    <n v="6799.86"/>
    <n v="4981.49"/>
    <n v="1818.37"/>
    <s v="Net Banking"/>
  </r>
  <r>
    <s v="ORD102299"/>
    <s v="2025-07-30"/>
    <x v="6"/>
    <s v="South"/>
    <s v="Karnataka"/>
    <s v="Bengaluru"/>
    <x v="3"/>
    <x v="11"/>
    <s v="CUST1960"/>
    <s v="SP_04"/>
    <n v="5"/>
    <n v="112.73"/>
    <n v="563.65"/>
    <n v="289.35000000000002"/>
    <n v="274.3"/>
    <s v="Cash"/>
  </r>
  <r>
    <s v="ORD102300"/>
    <s v="2025-05-16"/>
    <x v="3"/>
    <s v="East"/>
    <s v="Odisha"/>
    <s v="Bhubaneswar"/>
    <x v="1"/>
    <x v="5"/>
    <s v="CUST1233"/>
    <s v="SP_14"/>
    <n v="3"/>
    <n v="9545.7199999999993"/>
    <n v="28637.16"/>
    <n v="22456.9"/>
    <n v="6180.26"/>
    <s v="Net Banking"/>
  </r>
  <r>
    <s v="ORD102301"/>
    <s v="2025-12-24"/>
    <x v="7"/>
    <s v="East"/>
    <s v="West Bengal"/>
    <s v="Kolkata"/>
    <x v="0"/>
    <x v="9"/>
    <s v="CUST1483"/>
    <s v="SP_05"/>
    <n v="4"/>
    <n v="6348.73"/>
    <n v="25394.92"/>
    <n v="20250.38"/>
    <n v="5144.54"/>
    <s v="Debit Card"/>
  </r>
  <r>
    <s v="ORD102302"/>
    <s v="2025-07-12"/>
    <x v="6"/>
    <s v="North"/>
    <s v="Uttar Pradesh"/>
    <s v="Lucknow"/>
    <x v="1"/>
    <x v="5"/>
    <s v="CUST1020"/>
    <s v="SP_13"/>
    <n v="2"/>
    <n v="9175.7900000000009"/>
    <n v="18351.580000000002"/>
    <n v="15316.82"/>
    <n v="3034.76"/>
    <s v="Net Banking"/>
  </r>
  <r>
    <s v="ORD102303"/>
    <s v="2025-04-03"/>
    <x v="0"/>
    <s v="West"/>
    <s v="Gujarat"/>
    <s v="Ahmedabad"/>
    <x v="3"/>
    <x v="7"/>
    <s v="CUST1879"/>
    <s v="SP_10"/>
    <n v="3"/>
    <n v="12096.76"/>
    <n v="36290.28"/>
    <n v="25935.83"/>
    <n v="10354.450000000001"/>
    <s v="Debit Card"/>
  </r>
  <r>
    <s v="ORD102304"/>
    <s v="2025-01-06"/>
    <x v="9"/>
    <s v="North"/>
    <s v="Punjab"/>
    <s v="Chandigarh"/>
    <x v="2"/>
    <x v="2"/>
    <s v="CUST1985"/>
    <s v="SP_14"/>
    <n v="1"/>
    <n v="44956.51"/>
    <n v="44956.51"/>
    <n v="33950.81"/>
    <n v="11005.7"/>
    <s v="Cash"/>
  </r>
  <r>
    <s v="ORD102305"/>
    <s v="2025-01-26"/>
    <x v="9"/>
    <s v="North"/>
    <s v="Delhi"/>
    <s v="Delhi"/>
    <x v="0"/>
    <x v="9"/>
    <s v="CUST1595"/>
    <s v="SP_03"/>
    <n v="2"/>
    <n v="6809.09"/>
    <n v="13618.18"/>
    <n v="10216.98"/>
    <n v="3401.2"/>
    <s v="Credit Card"/>
  </r>
  <r>
    <s v="ORD102306"/>
    <s v="2025-06-11"/>
    <x v="2"/>
    <s v="South"/>
    <s v="Tamil Nadu"/>
    <s v="Chennai"/>
    <x v="2"/>
    <x v="4"/>
    <s v="CUST1821"/>
    <s v="SP_13"/>
    <n v="2"/>
    <n v="2534.69"/>
    <n v="5069.38"/>
    <n v="3206.79"/>
    <n v="1862.59"/>
    <s v="UPI"/>
  </r>
  <r>
    <s v="ORD102307"/>
    <s v="2025-12-23"/>
    <x v="7"/>
    <s v="East"/>
    <s v="Odisha"/>
    <s v="Bhubaneswar"/>
    <x v="2"/>
    <x v="10"/>
    <s v="CUST1846"/>
    <s v="SP_06"/>
    <n v="3"/>
    <n v="19401.84"/>
    <n v="58205.52"/>
    <n v="42314.66"/>
    <n v="15890.86"/>
    <s v="Cash"/>
  </r>
  <r>
    <s v="ORD102308"/>
    <s v="2025-05-14"/>
    <x v="3"/>
    <s v="North"/>
    <s v="Punjab"/>
    <s v="Chandigarh"/>
    <x v="0"/>
    <x v="9"/>
    <s v="CUST1262"/>
    <s v="SP_01"/>
    <n v="2"/>
    <n v="6698.08"/>
    <n v="13396.16"/>
    <n v="9896.33"/>
    <n v="3499.83"/>
    <s v="Cash"/>
  </r>
  <r>
    <s v="ORD102309"/>
    <s v="2025-05-26"/>
    <x v="3"/>
    <s v="East"/>
    <s v="West Bengal"/>
    <s v="Kolkata"/>
    <x v="1"/>
    <x v="5"/>
    <s v="CUST1695"/>
    <s v="SP_04"/>
    <n v="1"/>
    <n v="10345.59"/>
    <n v="10345.59"/>
    <n v="7518.46"/>
    <n v="2827.13"/>
    <s v="Credit Card"/>
  </r>
  <r>
    <s v="ORD102310"/>
    <s v="2025-09-11"/>
    <x v="5"/>
    <s v="South"/>
    <s v="Karnataka"/>
    <s v="Bengaluru"/>
    <x v="0"/>
    <x v="0"/>
    <s v="CUST1476"/>
    <s v="SP_03"/>
    <n v="1"/>
    <n v="3543.9"/>
    <n v="3543.9"/>
    <n v="2203.48"/>
    <n v="1340.42"/>
    <s v="Credit Card"/>
  </r>
  <r>
    <s v="ORD102311"/>
    <s v="2025-05-23"/>
    <x v="3"/>
    <s v="East"/>
    <s v="Bihar"/>
    <s v="Patna"/>
    <x v="0"/>
    <x v="8"/>
    <s v="CUST1000"/>
    <s v="SP_08"/>
    <n v="5"/>
    <n v="22655.64"/>
    <n v="113278.2"/>
    <n v="85918.96"/>
    <n v="27359.24"/>
    <s v="Cash"/>
  </r>
  <r>
    <s v="ORD102312"/>
    <s v="2025-07-27"/>
    <x v="6"/>
    <s v="South"/>
    <s v="Karnataka"/>
    <s v="Bengaluru"/>
    <x v="0"/>
    <x v="9"/>
    <s v="CUST1335"/>
    <s v="SP_03"/>
    <n v="1"/>
    <n v="6992.93"/>
    <n v="6992.93"/>
    <n v="5015.42"/>
    <n v="1977.51"/>
    <s v="Debit Card"/>
  </r>
  <r>
    <s v="ORD102313"/>
    <s v="2025-09-17"/>
    <x v="5"/>
    <s v="South"/>
    <s v="Karnataka"/>
    <s v="Bengaluru"/>
    <x v="3"/>
    <x v="7"/>
    <s v="CUST1432"/>
    <s v="SP_01"/>
    <n v="3"/>
    <n v="11356.86"/>
    <n v="34070.58"/>
    <n v="26987.29"/>
    <n v="7083.29"/>
    <s v="UPI"/>
  </r>
  <r>
    <s v="ORD102314"/>
    <s v="2025-08-06"/>
    <x v="11"/>
    <s v="East"/>
    <s v="Odisha"/>
    <s v="Bhubaneswar"/>
    <x v="3"/>
    <x v="11"/>
    <s v="CUST1894"/>
    <s v="SP_10"/>
    <n v="1"/>
    <n v="114.92"/>
    <n v="114.92"/>
    <n v="59.3"/>
    <n v="55.62"/>
    <s v="Cash"/>
  </r>
  <r>
    <s v="ORD102315"/>
    <s v="2025-10-08"/>
    <x v="1"/>
    <s v="East"/>
    <s v="Odisha"/>
    <s v="Bhubaneswar"/>
    <x v="3"/>
    <x v="3"/>
    <s v="CUST1259"/>
    <s v="SP_01"/>
    <n v="1"/>
    <n v="24.48"/>
    <n v="24.48"/>
    <n v="9.7899999999999991"/>
    <n v="14.69"/>
    <s v="Credit Card"/>
  </r>
  <r>
    <s v="ORD102316"/>
    <s v="2025-05-28"/>
    <x v="3"/>
    <s v="North"/>
    <s v="Delhi"/>
    <s v="Delhi"/>
    <x v="1"/>
    <x v="1"/>
    <s v="CUST1657"/>
    <s v="SP_02"/>
    <n v="4"/>
    <n v="2857.09"/>
    <n v="11428.36"/>
    <n v="7250.42"/>
    <n v="4177.9399999999996"/>
    <s v="Cash"/>
  </r>
  <r>
    <s v="ORD102317"/>
    <s v="2025-04-01"/>
    <x v="0"/>
    <s v="South"/>
    <s v="Telangana"/>
    <s v="Hyderabad"/>
    <x v="1"/>
    <x v="6"/>
    <s v="CUST1183"/>
    <s v="SP_07"/>
    <n v="7"/>
    <n v="3315.05"/>
    <n v="23205.35"/>
    <n v="17520.32"/>
    <n v="5685.03"/>
    <s v="Net Banking"/>
  </r>
  <r>
    <s v="ORD102318"/>
    <s v="2025-04-20"/>
    <x v="0"/>
    <s v="South"/>
    <s v="Telangana"/>
    <s v="Hyderabad"/>
    <x v="1"/>
    <x v="6"/>
    <s v="CUST1484"/>
    <s v="SP_03"/>
    <n v="2"/>
    <n v="3020.02"/>
    <n v="6040.04"/>
    <n v="4733.09"/>
    <n v="1306.95"/>
    <s v="Debit Card"/>
  </r>
  <r>
    <s v="ORD102319"/>
    <s v="2025-01-05"/>
    <x v="9"/>
    <s v="East"/>
    <s v="Odisha"/>
    <s v="Bhubaneswar"/>
    <x v="3"/>
    <x v="11"/>
    <s v="CUST1999"/>
    <s v="SP_05"/>
    <n v="5"/>
    <n v="122.73"/>
    <n v="613.65"/>
    <n v="295.49"/>
    <n v="318.16000000000003"/>
    <s v="Cash"/>
  </r>
  <r>
    <s v="ORD102320"/>
    <s v="2025-12-10"/>
    <x v="7"/>
    <s v="East"/>
    <s v="Odisha"/>
    <s v="Bhubaneswar"/>
    <x v="0"/>
    <x v="9"/>
    <s v="CUST1452"/>
    <s v="SP_12"/>
    <n v="3"/>
    <n v="6531.55"/>
    <n v="19594.650000000001"/>
    <n v="14282.21"/>
    <n v="5312.44"/>
    <s v="Credit Card"/>
  </r>
  <r>
    <s v="ORD102321"/>
    <s v="2025-01-18"/>
    <x v="9"/>
    <s v="South"/>
    <s v="Telangana"/>
    <s v="Hyderabad"/>
    <x v="3"/>
    <x v="7"/>
    <s v="CUST1932"/>
    <s v="SP_11"/>
    <n v="1"/>
    <n v="12100.08"/>
    <n v="12100.08"/>
    <n v="9256.5"/>
    <n v="2843.58"/>
    <s v="Net Banking"/>
  </r>
  <r>
    <s v="ORD102322"/>
    <s v="2025-08-23"/>
    <x v="11"/>
    <s v="West"/>
    <s v="Maharashtra"/>
    <s v="Mumbai"/>
    <x v="2"/>
    <x v="2"/>
    <s v="CUST1154"/>
    <s v="SP_12"/>
    <n v="1"/>
    <n v="45446.53"/>
    <n v="45446.53"/>
    <n v="34292.089999999997"/>
    <n v="11154.44"/>
    <s v="Credit Card"/>
  </r>
  <r>
    <s v="ORD102323"/>
    <s v="2025-07-15"/>
    <x v="6"/>
    <s v="West"/>
    <s v="Gujarat"/>
    <s v="Ahmedabad"/>
    <x v="1"/>
    <x v="1"/>
    <s v="CUST1362"/>
    <s v="SP_07"/>
    <n v="3"/>
    <n v="2633.87"/>
    <n v="7901.61"/>
    <n v="5809.55"/>
    <n v="2092.06"/>
    <s v="Cash"/>
  </r>
  <r>
    <s v="ORD102324"/>
    <s v="2025-05-21"/>
    <x v="3"/>
    <s v="West"/>
    <s v="Maharashtra"/>
    <s v="Mumbai"/>
    <x v="3"/>
    <x v="11"/>
    <s v="CUST1623"/>
    <s v="SP_11"/>
    <n v="3"/>
    <n v="111.6"/>
    <n v="334.8"/>
    <n v="179.86"/>
    <n v="154.94"/>
    <s v="Cash"/>
  </r>
  <r>
    <s v="ORD102325"/>
    <s v="2025-07-01"/>
    <x v="6"/>
    <s v="South"/>
    <s v="Karnataka"/>
    <s v="Bengaluru"/>
    <x v="2"/>
    <x v="10"/>
    <s v="CUST1282"/>
    <s v="SP_09"/>
    <n v="2"/>
    <n v="18161.759999999998"/>
    <n v="36323.519999999997"/>
    <n v="28361.34"/>
    <n v="7962.18"/>
    <s v="Credit Card"/>
  </r>
  <r>
    <s v="ORD102326"/>
    <s v="2025-07-16"/>
    <x v="6"/>
    <s v="West"/>
    <s v="Gujarat"/>
    <s v="Ahmedabad"/>
    <x v="2"/>
    <x v="4"/>
    <s v="CUST1654"/>
    <s v="SP_02"/>
    <n v="3"/>
    <n v="2709.81"/>
    <n v="8129.43"/>
    <n v="4634.17"/>
    <n v="3495.26"/>
    <s v="Credit Card"/>
  </r>
  <r>
    <s v="ORD102327"/>
    <s v="2025-09-30"/>
    <x v="5"/>
    <s v="South"/>
    <s v="Tamil Nadu"/>
    <s v="Chennai"/>
    <x v="2"/>
    <x v="4"/>
    <s v="CUST1269"/>
    <s v="SP_12"/>
    <n v="1"/>
    <n v="2288.6"/>
    <n v="2288.6"/>
    <n v="1535.79"/>
    <n v="752.81"/>
    <s v="Debit Card"/>
  </r>
  <r>
    <s v="ORD102328"/>
    <s v="2025-11-15"/>
    <x v="10"/>
    <s v="West"/>
    <s v="Maharashtra"/>
    <s v="Mumbai"/>
    <x v="3"/>
    <x v="7"/>
    <s v="CUST1004"/>
    <s v="SP_03"/>
    <n v="5"/>
    <n v="10857.55"/>
    <n v="54287.75"/>
    <n v="43902.19"/>
    <n v="10385.56"/>
    <s v="Debit Card"/>
  </r>
  <r>
    <s v="ORD102329"/>
    <s v="2025-06-26"/>
    <x v="2"/>
    <s v="North"/>
    <s v="Uttar Pradesh"/>
    <s v="Lucknow"/>
    <x v="2"/>
    <x v="2"/>
    <s v="CUST1763"/>
    <s v="SP_07"/>
    <n v="2"/>
    <n v="41379.480000000003"/>
    <n v="82758.960000000006"/>
    <n v="71237.740000000005"/>
    <n v="11521.22"/>
    <s v="Debit Card"/>
  </r>
  <r>
    <s v="ORD102330"/>
    <s v="2025-05-15"/>
    <x v="3"/>
    <s v="South"/>
    <s v="Karnataka"/>
    <s v="Bengaluru"/>
    <x v="0"/>
    <x v="0"/>
    <s v="CUST1350"/>
    <s v="SP_11"/>
    <n v="1"/>
    <n v="3670.32"/>
    <n v="3670.32"/>
    <n v="2188.12"/>
    <n v="1482.2"/>
    <s v="Cash"/>
  </r>
  <r>
    <s v="ORD102331"/>
    <s v="2025-04-19"/>
    <x v="0"/>
    <s v="North"/>
    <s v="Delhi"/>
    <s v="Delhi"/>
    <x v="2"/>
    <x v="4"/>
    <s v="CUST1757"/>
    <s v="SP_10"/>
    <n v="4"/>
    <n v="2548.88"/>
    <n v="10195.52"/>
    <n v="6461.28"/>
    <n v="3734.24"/>
    <s v="Cash"/>
  </r>
  <r>
    <s v="ORD102332"/>
    <s v="2025-05-23"/>
    <x v="3"/>
    <s v="East"/>
    <s v="Odisha"/>
    <s v="Bhubaneswar"/>
    <x v="2"/>
    <x v="2"/>
    <s v="CUST1216"/>
    <s v="SP_09"/>
    <n v="7"/>
    <n v="42600.76"/>
    <n v="298205.32"/>
    <n v="254250.12"/>
    <n v="43955.199999999997"/>
    <s v="Cash"/>
  </r>
  <r>
    <s v="ORD102333"/>
    <s v="2025-08-14"/>
    <x v="11"/>
    <s v="North"/>
    <s v="Punjab"/>
    <s v="Chandigarh"/>
    <x v="0"/>
    <x v="8"/>
    <s v="CUST1653"/>
    <s v="SP_03"/>
    <n v="8"/>
    <n v="20472.87"/>
    <n v="163782.96"/>
    <n v="129488.52"/>
    <n v="34294.44"/>
    <s v="Credit Card"/>
  </r>
  <r>
    <s v="ORD102334"/>
    <s v="2025-11-16"/>
    <x v="10"/>
    <s v="North"/>
    <s v="Punjab"/>
    <s v="Chandigarh"/>
    <x v="0"/>
    <x v="8"/>
    <s v="CUST1042"/>
    <s v="SP_06"/>
    <n v="3"/>
    <n v="20851.46"/>
    <n v="62554.38"/>
    <n v="52674.91"/>
    <n v="9879.4699999999993"/>
    <s v="Debit Card"/>
  </r>
  <r>
    <s v="ORD102335"/>
    <s v="2025-09-29"/>
    <x v="5"/>
    <s v="West"/>
    <s v="Rajasthan"/>
    <s v="Jaipur"/>
    <x v="1"/>
    <x v="1"/>
    <s v="CUST1720"/>
    <s v="SP_13"/>
    <n v="1"/>
    <n v="2856.93"/>
    <n v="2856.93"/>
    <n v="1849.86"/>
    <n v="1007.07"/>
    <s v="Debit Card"/>
  </r>
  <r>
    <s v="ORD102336"/>
    <s v="2025-03-01"/>
    <x v="4"/>
    <s v="East"/>
    <s v="Odisha"/>
    <s v="Bhubaneswar"/>
    <x v="1"/>
    <x v="1"/>
    <s v="CUST1414"/>
    <s v="SP_10"/>
    <n v="4"/>
    <n v="2607.9499999999998"/>
    <n v="10431.799999999999"/>
    <n v="7725.38"/>
    <n v="2706.42"/>
    <s v="UPI"/>
  </r>
  <r>
    <s v="ORD102337"/>
    <s v="2025-09-17"/>
    <x v="5"/>
    <s v="West"/>
    <s v="Gujarat"/>
    <s v="Ahmedabad"/>
    <x v="2"/>
    <x v="2"/>
    <s v="CUST1540"/>
    <s v="SP_06"/>
    <n v="4"/>
    <n v="43938.19"/>
    <n v="175752.76"/>
    <n v="141256.38"/>
    <n v="34496.379999999997"/>
    <s v="Credit Card"/>
  </r>
  <r>
    <s v="ORD102338"/>
    <s v="2025-10-08"/>
    <x v="1"/>
    <s v="South"/>
    <s v="Karnataka"/>
    <s v="Bengaluru"/>
    <x v="1"/>
    <x v="5"/>
    <s v="CUST1529"/>
    <s v="SP_14"/>
    <n v="1"/>
    <n v="9735.2999999999993"/>
    <n v="9735.2999999999993"/>
    <n v="7480.87"/>
    <n v="2254.4299999999998"/>
    <s v="Cash"/>
  </r>
  <r>
    <s v="ORD102339"/>
    <s v="2025-10-27"/>
    <x v="1"/>
    <s v="West"/>
    <s v="Rajasthan"/>
    <s v="Jaipur"/>
    <x v="1"/>
    <x v="1"/>
    <s v="CUST1718"/>
    <s v="SP_06"/>
    <n v="5"/>
    <n v="2875.07"/>
    <n v="14375.35"/>
    <n v="9689.74"/>
    <n v="4685.6099999999997"/>
    <s v="Credit Card"/>
  </r>
  <r>
    <s v="ORD102340"/>
    <s v="2025-08-21"/>
    <x v="11"/>
    <s v="South"/>
    <s v="Karnataka"/>
    <s v="Bengaluru"/>
    <x v="3"/>
    <x v="3"/>
    <s v="CUST1575"/>
    <s v="SP_08"/>
    <n v="6"/>
    <n v="23.27"/>
    <n v="139.62"/>
    <n v="57.66"/>
    <n v="81.96"/>
    <s v="Net Banking"/>
  </r>
  <r>
    <s v="ORD102341"/>
    <s v="2025-09-24"/>
    <x v="5"/>
    <s v="West"/>
    <s v="Rajasthan"/>
    <s v="Jaipur"/>
    <x v="1"/>
    <x v="1"/>
    <s v="CUST1249"/>
    <s v="SP_04"/>
    <n v="5"/>
    <n v="2747.7"/>
    <n v="13738.5"/>
    <n v="9531.76"/>
    <n v="4206.74"/>
    <s v="Net Banking"/>
  </r>
  <r>
    <s v="ORD102342"/>
    <s v="2025-08-28"/>
    <x v="11"/>
    <s v="East"/>
    <s v="West Bengal"/>
    <s v="Kolkata"/>
    <x v="1"/>
    <x v="5"/>
    <s v="CUST1321"/>
    <s v="SP_12"/>
    <n v="4"/>
    <n v="10178.76"/>
    <n v="40715.040000000001"/>
    <n v="29356.05"/>
    <n v="11358.99"/>
    <s v="UPI"/>
  </r>
  <r>
    <s v="ORD102343"/>
    <s v="2025-06-27"/>
    <x v="2"/>
    <s v="East"/>
    <s v="West Bengal"/>
    <s v="Kolkata"/>
    <x v="3"/>
    <x v="7"/>
    <s v="CUST1508"/>
    <s v="SP_08"/>
    <n v="1"/>
    <n v="12557.31"/>
    <n v="12557.31"/>
    <n v="8966.68"/>
    <n v="3590.63"/>
    <s v="Credit Card"/>
  </r>
  <r>
    <s v="ORD102344"/>
    <s v="2025-06-01"/>
    <x v="2"/>
    <s v="South"/>
    <s v="Karnataka"/>
    <s v="Bengaluru"/>
    <x v="3"/>
    <x v="3"/>
    <s v="CUST1383"/>
    <s v="SP_11"/>
    <n v="5"/>
    <n v="24.92"/>
    <n v="124.6"/>
    <n v="50.39"/>
    <n v="74.209999999999994"/>
    <s v="Debit Card"/>
  </r>
  <r>
    <s v="ORD102345"/>
    <s v="2025-10-03"/>
    <x v="1"/>
    <s v="South"/>
    <s v="Karnataka"/>
    <s v="Bengaluru"/>
    <x v="3"/>
    <x v="11"/>
    <s v="CUST1141"/>
    <s v="SP_06"/>
    <n v="5"/>
    <n v="109.63"/>
    <n v="548.15"/>
    <n v="303.85000000000002"/>
    <n v="244.3"/>
    <s v="Debit Card"/>
  </r>
  <r>
    <s v="ORD102346"/>
    <s v="2025-07-08"/>
    <x v="6"/>
    <s v="South"/>
    <s v="Tamil Nadu"/>
    <s v="Chennai"/>
    <x v="1"/>
    <x v="5"/>
    <s v="CUST1912"/>
    <s v="SP_08"/>
    <n v="2"/>
    <n v="8857.86"/>
    <n v="17715.72"/>
    <n v="15291.48"/>
    <n v="2424.2399999999998"/>
    <s v="UPI"/>
  </r>
  <r>
    <s v="ORD102347"/>
    <s v="2025-03-09"/>
    <x v="4"/>
    <s v="South"/>
    <s v="Telangana"/>
    <s v="Hyderabad"/>
    <x v="1"/>
    <x v="6"/>
    <s v="CUST1772"/>
    <s v="SP_13"/>
    <n v="5"/>
    <n v="3183.79"/>
    <n v="15918.95"/>
    <n v="11795.65"/>
    <n v="4123.3"/>
    <s v="Cash"/>
  </r>
  <r>
    <s v="ORD102348"/>
    <s v="2025-02-14"/>
    <x v="8"/>
    <s v="West"/>
    <s v="Maharashtra"/>
    <s v="Mumbai"/>
    <x v="2"/>
    <x v="2"/>
    <s v="CUST1404"/>
    <s v="SP_07"/>
    <n v="7"/>
    <n v="45841.18"/>
    <n v="320888.26"/>
    <n v="255707.92"/>
    <n v="65180.34"/>
    <s v="Net Banking"/>
  </r>
  <r>
    <s v="ORD102349"/>
    <s v="2025-04-18"/>
    <x v="0"/>
    <s v="West"/>
    <s v="Rajasthan"/>
    <s v="Jaipur"/>
    <x v="1"/>
    <x v="5"/>
    <s v="CUST1113"/>
    <s v="SP_10"/>
    <n v="1"/>
    <n v="10102.65"/>
    <n v="10102.65"/>
    <n v="7358.95"/>
    <n v="2743.7"/>
    <s v="Credit Card"/>
  </r>
  <r>
    <s v="ORD102350"/>
    <s v="2025-12-30"/>
    <x v="7"/>
    <s v="North"/>
    <s v="Punjab"/>
    <s v="Chandigarh"/>
    <x v="3"/>
    <x v="3"/>
    <s v="CUST1857"/>
    <s v="SP_06"/>
    <n v="2"/>
    <n v="24.71"/>
    <n v="49.42"/>
    <n v="20.27"/>
    <n v="29.15"/>
    <s v="Cash"/>
  </r>
  <r>
    <s v="ORD102351"/>
    <s v="2025-03-07"/>
    <x v="4"/>
    <s v="South"/>
    <s v="Tamil Nadu"/>
    <s v="Chennai"/>
    <x v="2"/>
    <x v="4"/>
    <s v="CUST1442"/>
    <s v="SP_05"/>
    <n v="7"/>
    <n v="2381.9899999999998"/>
    <n v="16673.93"/>
    <n v="11024.25"/>
    <n v="5649.68"/>
    <s v="Debit Card"/>
  </r>
  <r>
    <s v="ORD102352"/>
    <s v="2025-04-30"/>
    <x v="0"/>
    <s v="South"/>
    <s v="Telangana"/>
    <s v="Hyderabad"/>
    <x v="3"/>
    <x v="11"/>
    <s v="CUST1989"/>
    <s v="SP_11"/>
    <n v="7"/>
    <n v="120.12"/>
    <n v="840.84"/>
    <n v="426.3"/>
    <n v="414.54"/>
    <s v="UPI"/>
  </r>
  <r>
    <s v="ORD102353"/>
    <s v="2025-05-15"/>
    <x v="3"/>
    <s v="South"/>
    <s v="Tamil Nadu"/>
    <s v="Chennai"/>
    <x v="1"/>
    <x v="5"/>
    <s v="CUST1391"/>
    <s v="SP_10"/>
    <n v="7"/>
    <n v="9713.2000000000007"/>
    <n v="67992.399999999994"/>
    <n v="53560.05"/>
    <n v="14432.35"/>
    <s v="Cash"/>
  </r>
  <r>
    <s v="ORD102354"/>
    <s v="2025-07-13"/>
    <x v="6"/>
    <s v="West"/>
    <s v="Gujarat"/>
    <s v="Ahmedabad"/>
    <x v="3"/>
    <x v="3"/>
    <s v="CUST1110"/>
    <s v="SP_06"/>
    <n v="6"/>
    <n v="23.58"/>
    <n v="141.47999999999999"/>
    <n v="61.53"/>
    <n v="79.95"/>
    <s v="Debit Card"/>
  </r>
  <r>
    <s v="ORD102355"/>
    <s v="2025-09-22"/>
    <x v="5"/>
    <s v="East"/>
    <s v="Odisha"/>
    <s v="Bhubaneswar"/>
    <x v="1"/>
    <x v="5"/>
    <s v="CUST1687"/>
    <s v="SP_12"/>
    <n v="7"/>
    <n v="8627.5300000000007"/>
    <n v="60392.71"/>
    <n v="51999.14"/>
    <n v="8393.57"/>
    <s v="UPI"/>
  </r>
  <r>
    <s v="ORD102356"/>
    <s v="2025-11-28"/>
    <x v="10"/>
    <s v="West"/>
    <s v="Maharashtra"/>
    <s v="Mumbai"/>
    <x v="3"/>
    <x v="7"/>
    <s v="CUST1179"/>
    <s v="SP_12"/>
    <n v="7"/>
    <n v="11962.75"/>
    <n v="83739.25"/>
    <n v="63291.69"/>
    <n v="20447.560000000001"/>
    <s v="Cash"/>
  </r>
  <r>
    <s v="ORD102357"/>
    <s v="2025-07-16"/>
    <x v="6"/>
    <s v="North"/>
    <s v="Delhi"/>
    <s v="Delhi"/>
    <x v="3"/>
    <x v="11"/>
    <s v="CUST1580"/>
    <s v="SP_04"/>
    <n v="4"/>
    <n v="110.45"/>
    <n v="441.8"/>
    <n v="243.18"/>
    <n v="198.62"/>
    <s v="Debit Card"/>
  </r>
  <r>
    <s v="ORD102358"/>
    <s v="2025-10-02"/>
    <x v="1"/>
    <s v="South"/>
    <s v="Tamil Nadu"/>
    <s v="Chennai"/>
    <x v="1"/>
    <x v="6"/>
    <s v="CUST1487"/>
    <s v="SP_03"/>
    <n v="8"/>
    <n v="3199.72"/>
    <n v="25597.759999999998"/>
    <n v="20018.599999999999"/>
    <n v="5579.16"/>
    <s v="Credit Card"/>
  </r>
  <r>
    <s v="ORD102359"/>
    <s v="2025-11-23"/>
    <x v="10"/>
    <s v="East"/>
    <s v="Bihar"/>
    <s v="Patna"/>
    <x v="0"/>
    <x v="8"/>
    <s v="CUST1743"/>
    <s v="SP_01"/>
    <n v="4"/>
    <n v="23270.77"/>
    <n v="93083.08"/>
    <n v="68831.55"/>
    <n v="24251.53"/>
    <s v="Net Banking"/>
  </r>
  <r>
    <s v="ORD102360"/>
    <s v="2025-10-13"/>
    <x v="1"/>
    <s v="North"/>
    <s v="Punjab"/>
    <s v="Chandigarh"/>
    <x v="2"/>
    <x v="10"/>
    <s v="CUST1330"/>
    <s v="SP_05"/>
    <n v="6"/>
    <n v="16718.68"/>
    <n v="100312.08"/>
    <n v="80953.56"/>
    <n v="19358.52"/>
    <s v="Credit Card"/>
  </r>
  <r>
    <s v="ORD102361"/>
    <s v="2025-03-19"/>
    <x v="4"/>
    <s v="South"/>
    <s v="Karnataka"/>
    <s v="Bengaluru"/>
    <x v="2"/>
    <x v="4"/>
    <s v="CUST1083"/>
    <s v="SP_08"/>
    <n v="5"/>
    <n v="2436.56"/>
    <n v="12182.8"/>
    <n v="7738.06"/>
    <n v="4444.74"/>
    <s v="Cash"/>
  </r>
  <r>
    <s v="ORD102362"/>
    <s v="2025-01-15"/>
    <x v="9"/>
    <s v="East"/>
    <s v="West Bengal"/>
    <s v="Kolkata"/>
    <x v="2"/>
    <x v="2"/>
    <s v="CUST1717"/>
    <s v="SP_01"/>
    <n v="1"/>
    <n v="49227.59"/>
    <n v="49227.59"/>
    <n v="33929.19"/>
    <n v="15298.4"/>
    <s v="Debit Card"/>
  </r>
  <r>
    <s v="ORD102363"/>
    <s v="2025-04-10"/>
    <x v="0"/>
    <s v="East"/>
    <s v="Odisha"/>
    <s v="Bhubaneswar"/>
    <x v="3"/>
    <x v="7"/>
    <s v="CUST1688"/>
    <s v="SP_12"/>
    <n v="8"/>
    <n v="12762.57"/>
    <n v="102100.56"/>
    <n v="70315.34"/>
    <n v="31785.22"/>
    <s v="Credit Card"/>
  </r>
  <r>
    <s v="ORD102364"/>
    <s v="2025-09-13"/>
    <x v="5"/>
    <s v="South"/>
    <s v="Telangana"/>
    <s v="Hyderabad"/>
    <x v="0"/>
    <x v="0"/>
    <s v="CUST1166"/>
    <s v="SP_14"/>
    <n v="3"/>
    <n v="3372.34"/>
    <n v="10117.02"/>
    <n v="6432.96"/>
    <n v="3684.06"/>
    <s v="Net Banking"/>
  </r>
  <r>
    <s v="ORD102365"/>
    <s v="2025-10-16"/>
    <x v="1"/>
    <s v="South"/>
    <s v="Telangana"/>
    <s v="Hyderabad"/>
    <x v="0"/>
    <x v="8"/>
    <s v="CUST1376"/>
    <s v="SP_12"/>
    <n v="3"/>
    <n v="22598.22"/>
    <n v="67794.66"/>
    <n v="51541.43"/>
    <n v="16253.23"/>
    <s v="UPI"/>
  </r>
  <r>
    <s v="ORD102366"/>
    <s v="2025-03-22"/>
    <x v="4"/>
    <s v="West"/>
    <s v="Rajasthan"/>
    <s v="Jaipur"/>
    <x v="3"/>
    <x v="11"/>
    <s v="CUST1088"/>
    <s v="SP_14"/>
    <n v="5"/>
    <n v="124.81"/>
    <n v="624.04999999999995"/>
    <n v="287.64"/>
    <n v="336.41"/>
    <s v="Debit Card"/>
  </r>
  <r>
    <s v="ORD102367"/>
    <s v="2025-08-12"/>
    <x v="11"/>
    <s v="North"/>
    <s v="Delhi"/>
    <s v="Delhi"/>
    <x v="2"/>
    <x v="2"/>
    <s v="CUST1267"/>
    <s v="SP_09"/>
    <n v="4"/>
    <n v="41964.23"/>
    <n v="167856.92"/>
    <n v="146340.97"/>
    <n v="21515.95"/>
    <s v="Credit Card"/>
  </r>
  <r>
    <s v="ORD102368"/>
    <s v="2025-09-13"/>
    <x v="5"/>
    <s v="West"/>
    <s v="Rajasthan"/>
    <s v="Jaipur"/>
    <x v="3"/>
    <x v="3"/>
    <s v="CUST1868"/>
    <s v="SP_03"/>
    <n v="5"/>
    <n v="24.18"/>
    <n v="120.9"/>
    <n v="49.08"/>
    <n v="71.819999999999993"/>
    <s v="UPI"/>
  </r>
  <r>
    <s v="ORD102369"/>
    <s v="2025-03-05"/>
    <x v="4"/>
    <s v="East"/>
    <s v="Odisha"/>
    <s v="Bhubaneswar"/>
    <x v="3"/>
    <x v="11"/>
    <s v="CUST1482"/>
    <s v="SP_13"/>
    <n v="3"/>
    <n v="120.28"/>
    <n v="360.84"/>
    <n v="182.74"/>
    <n v="178.1"/>
    <s v="Debit Card"/>
  </r>
  <r>
    <s v="ORD102370"/>
    <s v="2025-12-18"/>
    <x v="7"/>
    <s v="East"/>
    <s v="Bihar"/>
    <s v="Patna"/>
    <x v="0"/>
    <x v="8"/>
    <s v="CUST1400"/>
    <s v="SP_03"/>
    <n v="3"/>
    <n v="23828.74"/>
    <n v="71486.22"/>
    <n v="49796.15"/>
    <n v="21690.07"/>
    <s v="UPI"/>
  </r>
  <r>
    <s v="ORD102371"/>
    <s v="2025-12-23"/>
    <x v="7"/>
    <s v="East"/>
    <s v="Bihar"/>
    <s v="Patna"/>
    <x v="2"/>
    <x v="2"/>
    <s v="CUST1684"/>
    <s v="SP_09"/>
    <n v="7"/>
    <n v="41817.370000000003"/>
    <n v="292721.59000000003"/>
    <n v="243350.2"/>
    <n v="49371.39"/>
    <s v="Credit Card"/>
  </r>
  <r>
    <s v="ORD102372"/>
    <s v="2025-12-17"/>
    <x v="7"/>
    <s v="West"/>
    <s v="Maharashtra"/>
    <s v="Mumbai"/>
    <x v="3"/>
    <x v="7"/>
    <s v="CUST1576"/>
    <s v="SP_08"/>
    <n v="8"/>
    <n v="12736.61"/>
    <n v="101892.88"/>
    <n v="68510.179999999993"/>
    <n v="33382.699999999997"/>
    <s v="Net Banking"/>
  </r>
  <r>
    <s v="ORD102373"/>
    <s v="2025-07-18"/>
    <x v="6"/>
    <s v="East"/>
    <s v="Odisha"/>
    <s v="Bhubaneswar"/>
    <x v="3"/>
    <x v="3"/>
    <s v="CUST1078"/>
    <s v="SP_09"/>
    <n v="2"/>
    <n v="26.72"/>
    <n v="53.44"/>
    <n v="19.34"/>
    <n v="34.1"/>
    <s v="Net Banking"/>
  </r>
  <r>
    <s v="ORD102374"/>
    <s v="2025-11-02"/>
    <x v="10"/>
    <s v="North"/>
    <s v="Punjab"/>
    <s v="Chandigarh"/>
    <x v="1"/>
    <x v="5"/>
    <s v="CUST1222"/>
    <s v="SP_12"/>
    <n v="5"/>
    <n v="9061.14"/>
    <n v="45305.7"/>
    <n v="36173.19"/>
    <n v="9132.51"/>
    <s v="Cash"/>
  </r>
  <r>
    <s v="ORD102375"/>
    <s v="2025-04-22"/>
    <x v="0"/>
    <s v="East"/>
    <s v="West Bengal"/>
    <s v="Kolkata"/>
    <x v="0"/>
    <x v="0"/>
    <s v="CUST1395"/>
    <s v="SP_11"/>
    <n v="5"/>
    <n v="3589.8"/>
    <n v="17949"/>
    <n v="10897.88"/>
    <n v="7051.12"/>
    <s v="Cash"/>
  </r>
  <r>
    <s v="ORD102376"/>
    <s v="2025-08-31"/>
    <x v="11"/>
    <s v="South"/>
    <s v="Karnataka"/>
    <s v="Bengaluru"/>
    <x v="0"/>
    <x v="9"/>
    <s v="CUST1292"/>
    <s v="SP_14"/>
    <n v="5"/>
    <n v="6727.06"/>
    <n v="33635.300000000003"/>
    <n v="25552.35"/>
    <n v="8082.95"/>
    <s v="Credit Card"/>
  </r>
  <r>
    <s v="ORD102377"/>
    <s v="2025-06-21"/>
    <x v="2"/>
    <s v="East"/>
    <s v="Odisha"/>
    <s v="Bhubaneswar"/>
    <x v="3"/>
    <x v="3"/>
    <s v="CUST1244"/>
    <s v="SP_07"/>
    <n v="3"/>
    <n v="24.62"/>
    <n v="73.86"/>
    <n v="28.94"/>
    <n v="44.92"/>
    <s v="Net Banking"/>
  </r>
  <r>
    <s v="ORD102378"/>
    <s v="2025-05-01"/>
    <x v="3"/>
    <s v="East"/>
    <s v="Odisha"/>
    <s v="Bhubaneswar"/>
    <x v="1"/>
    <x v="6"/>
    <s v="CUST1637"/>
    <s v="SP_15"/>
    <n v="6"/>
    <n v="3500.88"/>
    <n v="21005.279999999999"/>
    <n v="14398.43"/>
    <n v="6606.85"/>
    <s v="Debit Card"/>
  </r>
  <r>
    <s v="ORD102379"/>
    <s v="2025-09-25"/>
    <x v="5"/>
    <s v="South"/>
    <s v="Karnataka"/>
    <s v="Bengaluru"/>
    <x v="2"/>
    <x v="10"/>
    <s v="CUST1247"/>
    <s v="SP_03"/>
    <n v="7"/>
    <n v="19696.310000000001"/>
    <n v="137874.17000000001"/>
    <n v="94241.55"/>
    <n v="43632.62"/>
    <s v="Cash"/>
  </r>
  <r>
    <s v="ORD102380"/>
    <s v="2025-10-21"/>
    <x v="1"/>
    <s v="West"/>
    <s v="Rajasthan"/>
    <s v="Jaipur"/>
    <x v="3"/>
    <x v="11"/>
    <s v="CUST1538"/>
    <s v="SP_03"/>
    <n v="1"/>
    <n v="122.98"/>
    <n v="122.98"/>
    <n v="61.39"/>
    <n v="61.59"/>
    <s v="Cash"/>
  </r>
  <r>
    <s v="ORD102381"/>
    <s v="2025-01-16"/>
    <x v="9"/>
    <s v="West"/>
    <s v="Maharashtra"/>
    <s v="Mumbai"/>
    <x v="0"/>
    <x v="9"/>
    <s v="CUST1225"/>
    <s v="SP_03"/>
    <n v="7"/>
    <n v="6907.18"/>
    <n v="48350.26"/>
    <n v="35573.29"/>
    <n v="12776.97"/>
    <s v="Net Banking"/>
  </r>
  <r>
    <s v="ORD102382"/>
    <s v="2025-10-26"/>
    <x v="1"/>
    <s v="East"/>
    <s v="Odisha"/>
    <s v="Bhubaneswar"/>
    <x v="2"/>
    <x v="2"/>
    <s v="CUST1500"/>
    <s v="SP_06"/>
    <n v="5"/>
    <n v="45973.85"/>
    <n v="229869.25"/>
    <n v="169252.17"/>
    <n v="60617.08"/>
    <s v="Debit Card"/>
  </r>
  <r>
    <s v="ORD102383"/>
    <s v="2025-02-19"/>
    <x v="8"/>
    <s v="South"/>
    <s v="Karnataka"/>
    <s v="Bengaluru"/>
    <x v="0"/>
    <x v="8"/>
    <s v="CUST1206"/>
    <s v="SP_08"/>
    <n v="2"/>
    <n v="23804.93"/>
    <n v="47609.86"/>
    <n v="32673.15"/>
    <n v="14936.71"/>
    <s v="UPI"/>
  </r>
  <r>
    <s v="ORD102384"/>
    <s v="2025-01-30"/>
    <x v="9"/>
    <s v="West"/>
    <s v="Gujarat"/>
    <s v="Ahmedabad"/>
    <x v="0"/>
    <x v="0"/>
    <s v="CUST1746"/>
    <s v="SP_03"/>
    <n v="7"/>
    <n v="3329.16"/>
    <n v="23304.12"/>
    <n v="16072.97"/>
    <n v="7231.15"/>
    <s v="Cash"/>
  </r>
  <r>
    <s v="ORD102385"/>
    <s v="2025-07-05"/>
    <x v="6"/>
    <s v="West"/>
    <s v="Gujarat"/>
    <s v="Ahmedabad"/>
    <x v="0"/>
    <x v="8"/>
    <s v="CUST1864"/>
    <s v="SP_08"/>
    <n v="5"/>
    <n v="21824.36"/>
    <n v="109121.8"/>
    <n v="84334.24"/>
    <n v="24787.56"/>
    <s v="Debit Card"/>
  </r>
  <r>
    <s v="ORD102386"/>
    <s v="2025-07-22"/>
    <x v="6"/>
    <s v="West"/>
    <s v="Maharashtra"/>
    <s v="Mumbai"/>
    <x v="3"/>
    <x v="11"/>
    <s v="CUST1952"/>
    <s v="SP_08"/>
    <n v="6"/>
    <n v="130.93"/>
    <n v="785.58"/>
    <n v="355.68"/>
    <n v="429.9"/>
    <s v="UPI"/>
  </r>
  <r>
    <s v="ORD102387"/>
    <s v="2025-05-31"/>
    <x v="3"/>
    <s v="South"/>
    <s v="Karnataka"/>
    <s v="Bengaluru"/>
    <x v="1"/>
    <x v="5"/>
    <s v="CUST1938"/>
    <s v="SP_07"/>
    <n v="1"/>
    <n v="10251.65"/>
    <n v="10251.65"/>
    <n v="7297.05"/>
    <n v="2954.6"/>
    <s v="Cash"/>
  </r>
  <r>
    <s v="ORD102388"/>
    <s v="2025-10-08"/>
    <x v="1"/>
    <s v="South"/>
    <s v="Telangana"/>
    <s v="Hyderabad"/>
    <x v="3"/>
    <x v="11"/>
    <s v="CUST1712"/>
    <s v="SP_08"/>
    <n v="8"/>
    <n v="108.56"/>
    <n v="868.48"/>
    <n v="489.39"/>
    <n v="379.09"/>
    <s v="Cash"/>
  </r>
  <r>
    <s v="ORD102389"/>
    <s v="2025-05-02"/>
    <x v="3"/>
    <s v="South"/>
    <s v="Tamil Nadu"/>
    <s v="Chennai"/>
    <x v="1"/>
    <x v="1"/>
    <s v="CUST1748"/>
    <s v="SP_13"/>
    <n v="4"/>
    <n v="3057.01"/>
    <n v="12228.04"/>
    <n v="7763.26"/>
    <n v="4464.78"/>
    <s v="Debit Card"/>
  </r>
  <r>
    <s v="ORD102390"/>
    <s v="2025-06-05"/>
    <x v="2"/>
    <s v="South"/>
    <s v="Karnataka"/>
    <s v="Bengaluru"/>
    <x v="0"/>
    <x v="0"/>
    <s v="CUST1383"/>
    <s v="SP_15"/>
    <n v="8"/>
    <n v="3780.86"/>
    <n v="30246.880000000001"/>
    <n v="17198.36"/>
    <n v="13048.52"/>
    <s v="Credit Card"/>
  </r>
  <r>
    <s v="ORD102391"/>
    <s v="2025-08-23"/>
    <x v="11"/>
    <s v="West"/>
    <s v="Maharashtra"/>
    <s v="Mumbai"/>
    <x v="3"/>
    <x v="7"/>
    <s v="CUST1808"/>
    <s v="SP_10"/>
    <n v="1"/>
    <n v="10966.55"/>
    <n v="10966.55"/>
    <n v="9174.56"/>
    <n v="1791.99"/>
    <s v="Cash"/>
  </r>
  <r>
    <s v="ORD102392"/>
    <s v="2025-01-18"/>
    <x v="9"/>
    <s v="North"/>
    <s v="Uttar Pradesh"/>
    <s v="Lucknow"/>
    <x v="2"/>
    <x v="2"/>
    <s v="CUST1152"/>
    <s v="SP_15"/>
    <n v="2"/>
    <n v="45664.54"/>
    <n v="91329.08"/>
    <n v="68794.77"/>
    <n v="22534.31"/>
    <s v="Cash"/>
  </r>
  <r>
    <s v="ORD102393"/>
    <s v="2025-05-08"/>
    <x v="3"/>
    <s v="West"/>
    <s v="Gujarat"/>
    <s v="Ahmedabad"/>
    <x v="0"/>
    <x v="9"/>
    <s v="CUST1487"/>
    <s v="SP_13"/>
    <n v="8"/>
    <n v="7048.72"/>
    <n v="56389.760000000002"/>
    <n v="39812.089999999997"/>
    <n v="16577.669999999998"/>
    <s v="Debit Card"/>
  </r>
  <r>
    <s v="ORD102394"/>
    <s v="2025-12-05"/>
    <x v="7"/>
    <s v="East"/>
    <s v="Odisha"/>
    <s v="Bhubaneswar"/>
    <x v="0"/>
    <x v="8"/>
    <s v="CUST1481"/>
    <s v="SP_09"/>
    <n v="6"/>
    <n v="23001.8"/>
    <n v="138010.79999999999"/>
    <n v="104319.16"/>
    <n v="33691.64"/>
    <s v="UPI"/>
  </r>
  <r>
    <s v="ORD102395"/>
    <s v="2025-08-23"/>
    <x v="11"/>
    <s v="East"/>
    <s v="Bihar"/>
    <s v="Patna"/>
    <x v="3"/>
    <x v="11"/>
    <s v="CUST1644"/>
    <s v="SP_15"/>
    <n v="8"/>
    <n v="114.65"/>
    <n v="917.2"/>
    <n v="490.39"/>
    <n v="426.81"/>
    <s v="Cash"/>
  </r>
  <r>
    <s v="ORD102396"/>
    <s v="2025-12-01"/>
    <x v="7"/>
    <s v="East"/>
    <s v="Odisha"/>
    <s v="Bhubaneswar"/>
    <x v="1"/>
    <x v="5"/>
    <s v="CUST1743"/>
    <s v="SP_05"/>
    <n v="6"/>
    <n v="10346.33"/>
    <n v="62077.98"/>
    <n v="44931.39"/>
    <n v="17146.59"/>
    <s v="Credit Card"/>
  </r>
  <r>
    <s v="ORD102397"/>
    <s v="2025-07-22"/>
    <x v="6"/>
    <s v="West"/>
    <s v="Maharashtra"/>
    <s v="Mumbai"/>
    <x v="1"/>
    <x v="5"/>
    <s v="CUST1389"/>
    <s v="SP_13"/>
    <n v="3"/>
    <n v="8774.0300000000007"/>
    <n v="26322.09"/>
    <n v="22586.47"/>
    <n v="3735.62"/>
    <s v="Net Banking"/>
  </r>
  <r>
    <s v="ORD102398"/>
    <s v="2025-09-28"/>
    <x v="5"/>
    <s v="West"/>
    <s v="Maharashtra"/>
    <s v="Mumbai"/>
    <x v="1"/>
    <x v="5"/>
    <s v="CUST1152"/>
    <s v="SP_01"/>
    <n v="6"/>
    <n v="10304.469999999999"/>
    <n v="61826.82"/>
    <n v="44151.35"/>
    <n v="17675.47"/>
    <s v="Credit Card"/>
  </r>
  <r>
    <s v="ORD102399"/>
    <s v="2025-07-03"/>
    <x v="6"/>
    <s v="South"/>
    <s v="Telangana"/>
    <s v="Hyderabad"/>
    <x v="0"/>
    <x v="9"/>
    <s v="CUST1839"/>
    <s v="SP_12"/>
    <n v="7"/>
    <n v="6659.71"/>
    <n v="46617.97"/>
    <n v="35779.550000000003"/>
    <n v="10838.42"/>
    <s v="UPI"/>
  </r>
  <r>
    <s v="ORD102400"/>
    <s v="2025-06-08"/>
    <x v="2"/>
    <s v="East"/>
    <s v="Bihar"/>
    <s v="Patna"/>
    <x v="2"/>
    <x v="2"/>
    <s v="CUST1212"/>
    <s v="SP_13"/>
    <n v="6"/>
    <n v="45894.44"/>
    <n v="275366.64"/>
    <n v="219211.46"/>
    <n v="56155.18"/>
    <s v="Credit Card"/>
  </r>
  <r>
    <s v="ORD102401"/>
    <s v="2025-11-23"/>
    <x v="10"/>
    <s v="West"/>
    <s v="Gujarat"/>
    <s v="Ahmedabad"/>
    <x v="1"/>
    <x v="5"/>
    <s v="CUST1462"/>
    <s v="SP_07"/>
    <n v="4"/>
    <n v="9383.25"/>
    <n v="37533"/>
    <n v="30070.1"/>
    <n v="7462.9"/>
    <s v="Net Banking"/>
  </r>
  <r>
    <s v="ORD102402"/>
    <s v="2025-10-16"/>
    <x v="1"/>
    <s v="East"/>
    <s v="Bihar"/>
    <s v="Patna"/>
    <x v="2"/>
    <x v="4"/>
    <s v="CUST1599"/>
    <s v="SP_14"/>
    <n v="2"/>
    <n v="2492.92"/>
    <n v="4985.84"/>
    <n v="3073.15"/>
    <n v="1912.69"/>
    <s v="Cash"/>
  </r>
  <r>
    <s v="ORD102403"/>
    <s v="2025-08-03"/>
    <x v="11"/>
    <s v="East"/>
    <s v="West Bengal"/>
    <s v="Kolkata"/>
    <x v="2"/>
    <x v="10"/>
    <s v="CUST1523"/>
    <s v="SP_10"/>
    <n v="8"/>
    <n v="17510.71"/>
    <n v="140085.68"/>
    <n v="109424.59"/>
    <n v="30661.09"/>
    <s v="Debit Card"/>
  </r>
  <r>
    <s v="ORD102404"/>
    <s v="2025-07-04"/>
    <x v="6"/>
    <s v="East"/>
    <s v="Odisha"/>
    <s v="Bhubaneswar"/>
    <x v="2"/>
    <x v="2"/>
    <s v="CUST1366"/>
    <s v="SP_09"/>
    <n v="5"/>
    <n v="42765.84"/>
    <n v="213829.2"/>
    <n v="180576.16"/>
    <n v="33253.040000000001"/>
    <s v="UPI"/>
  </r>
  <r>
    <s v="ORD102405"/>
    <s v="2025-08-04"/>
    <x v="11"/>
    <s v="West"/>
    <s v="Maharashtra"/>
    <s v="Mumbai"/>
    <x v="0"/>
    <x v="9"/>
    <s v="CUST1045"/>
    <s v="SP_09"/>
    <n v="1"/>
    <n v="6938.07"/>
    <n v="6938.07"/>
    <n v="4858.33"/>
    <n v="2079.7399999999998"/>
    <s v="Credit Card"/>
  </r>
  <r>
    <s v="ORD102406"/>
    <s v="2025-08-28"/>
    <x v="11"/>
    <s v="South"/>
    <s v="Karnataka"/>
    <s v="Bengaluru"/>
    <x v="0"/>
    <x v="0"/>
    <s v="CUST1061"/>
    <s v="SP_08"/>
    <n v="3"/>
    <n v="3809.51"/>
    <n v="11428.53"/>
    <n v="6795.29"/>
    <n v="4633.24"/>
    <s v="Credit Card"/>
  </r>
  <r>
    <s v="ORD102407"/>
    <s v="2025-03-05"/>
    <x v="4"/>
    <s v="South"/>
    <s v="Karnataka"/>
    <s v="Bengaluru"/>
    <x v="0"/>
    <x v="8"/>
    <s v="CUST1654"/>
    <s v="SP_04"/>
    <n v="3"/>
    <n v="21621.040000000001"/>
    <n v="64863.12"/>
    <n v="50754.400000000001"/>
    <n v="14108.72"/>
    <s v="Net Banking"/>
  </r>
  <r>
    <s v="ORD102408"/>
    <s v="2025-05-31"/>
    <x v="3"/>
    <s v="South"/>
    <s v="Tamil Nadu"/>
    <s v="Chennai"/>
    <x v="2"/>
    <x v="4"/>
    <s v="CUST1069"/>
    <s v="SP_14"/>
    <n v="4"/>
    <n v="2333.92"/>
    <n v="9335.68"/>
    <n v="6543.85"/>
    <n v="2791.83"/>
    <s v="UPI"/>
  </r>
  <r>
    <s v="ORD102409"/>
    <s v="2025-12-27"/>
    <x v="7"/>
    <s v="North"/>
    <s v="Uttar Pradesh"/>
    <s v="Lucknow"/>
    <x v="1"/>
    <x v="5"/>
    <s v="CUST1260"/>
    <s v="SP_01"/>
    <n v="4"/>
    <n v="10202.92"/>
    <n v="40811.68"/>
    <n v="29077.99"/>
    <n v="11733.69"/>
    <s v="Cash"/>
  </r>
  <r>
    <s v="ORD102410"/>
    <s v="2025-08-21"/>
    <x v="11"/>
    <s v="South"/>
    <s v="Telangana"/>
    <s v="Hyderabad"/>
    <x v="2"/>
    <x v="10"/>
    <s v="CUST1548"/>
    <s v="SP_14"/>
    <n v="5"/>
    <n v="18437.830000000002"/>
    <n v="92189.15"/>
    <n v="67285.929999999993"/>
    <n v="24903.22"/>
    <s v="Net Banking"/>
  </r>
  <r>
    <s v="ORD102411"/>
    <s v="2025-09-26"/>
    <x v="5"/>
    <s v="East"/>
    <s v="West Bengal"/>
    <s v="Kolkata"/>
    <x v="0"/>
    <x v="9"/>
    <s v="CUST1349"/>
    <s v="SP_13"/>
    <n v="3"/>
    <n v="7018.31"/>
    <n v="21054.93"/>
    <n v="14556.26"/>
    <n v="6498.67"/>
    <s v="Credit Card"/>
  </r>
  <r>
    <s v="ORD102412"/>
    <s v="2025-05-30"/>
    <x v="3"/>
    <s v="East"/>
    <s v="West Bengal"/>
    <s v="Kolkata"/>
    <x v="3"/>
    <x v="7"/>
    <s v="CUST1288"/>
    <s v="SP_14"/>
    <n v="2"/>
    <n v="11355.68"/>
    <n v="22711.360000000001"/>
    <n v="17663.53"/>
    <n v="5047.83"/>
    <s v="Net Banking"/>
  </r>
  <r>
    <s v="ORD102413"/>
    <s v="2025-04-15"/>
    <x v="0"/>
    <s v="East"/>
    <s v="West Bengal"/>
    <s v="Kolkata"/>
    <x v="3"/>
    <x v="11"/>
    <s v="CUST1887"/>
    <s v="SP_11"/>
    <n v="7"/>
    <n v="122.76"/>
    <n v="859.32"/>
    <n v="409.92"/>
    <n v="449.4"/>
    <s v="Debit Card"/>
  </r>
  <r>
    <s v="ORD102414"/>
    <s v="2025-09-16"/>
    <x v="5"/>
    <s v="West"/>
    <s v="Gujarat"/>
    <s v="Ahmedabad"/>
    <x v="2"/>
    <x v="10"/>
    <s v="CUST1542"/>
    <s v="SP_06"/>
    <n v="7"/>
    <n v="19374.38"/>
    <n v="135620.66"/>
    <n v="99458.4"/>
    <n v="36162.26"/>
    <s v="Cash"/>
  </r>
  <r>
    <s v="ORD102415"/>
    <s v="2025-11-03"/>
    <x v="10"/>
    <s v="West"/>
    <s v="Gujarat"/>
    <s v="Ahmedabad"/>
    <x v="3"/>
    <x v="3"/>
    <s v="CUST1699"/>
    <s v="SP_01"/>
    <n v="4"/>
    <n v="24.59"/>
    <n v="98.36"/>
    <n v="39.1"/>
    <n v="59.26"/>
    <s v="Net Banking"/>
  </r>
  <r>
    <s v="ORD102416"/>
    <s v="2025-08-01"/>
    <x v="11"/>
    <s v="East"/>
    <s v="Odisha"/>
    <s v="Bhubaneswar"/>
    <x v="3"/>
    <x v="7"/>
    <s v="CUST1151"/>
    <s v="SP_04"/>
    <n v="4"/>
    <n v="12325.44"/>
    <n v="49301.760000000002"/>
    <n v="34722"/>
    <n v="14579.76"/>
    <s v="Debit Card"/>
  </r>
  <r>
    <s v="ORD102417"/>
    <s v="2025-04-07"/>
    <x v="0"/>
    <s v="East"/>
    <s v="Odisha"/>
    <s v="Bhubaneswar"/>
    <x v="3"/>
    <x v="7"/>
    <s v="CUST1403"/>
    <s v="SP_08"/>
    <n v="6"/>
    <n v="11331.13"/>
    <n v="67986.78"/>
    <n v="52891.79"/>
    <n v="15094.99"/>
    <s v="Credit Card"/>
  </r>
  <r>
    <s v="ORD102418"/>
    <s v="2025-10-11"/>
    <x v="1"/>
    <s v="North"/>
    <s v="Delhi"/>
    <s v="Delhi"/>
    <x v="2"/>
    <x v="2"/>
    <s v="CUST1173"/>
    <s v="SP_09"/>
    <n v="6"/>
    <n v="49499.7"/>
    <n v="296998.2"/>
    <n v="211731.75"/>
    <n v="85266.45"/>
    <s v="Credit Card"/>
  </r>
  <r>
    <s v="ORD102419"/>
    <s v="2025-11-10"/>
    <x v="10"/>
    <s v="South"/>
    <s v="Telangana"/>
    <s v="Hyderabad"/>
    <x v="1"/>
    <x v="6"/>
    <s v="CUST1165"/>
    <s v="SP_03"/>
    <n v="1"/>
    <n v="3057.03"/>
    <n v="3057.03"/>
    <n v="2507.04"/>
    <n v="549.99"/>
    <s v="Credit Card"/>
  </r>
  <r>
    <s v="ORD102420"/>
    <s v="2025-04-15"/>
    <x v="0"/>
    <s v="North"/>
    <s v="Punjab"/>
    <s v="Chandigarh"/>
    <x v="1"/>
    <x v="1"/>
    <s v="CUST1002"/>
    <s v="SP_15"/>
    <n v="1"/>
    <n v="3033.07"/>
    <n v="3033.07"/>
    <n v="1867.98"/>
    <n v="1165.0899999999999"/>
    <s v="Credit Card"/>
  </r>
  <r>
    <s v="ORD102421"/>
    <s v="2025-05-04"/>
    <x v="3"/>
    <s v="South"/>
    <s v="Telangana"/>
    <s v="Hyderabad"/>
    <x v="2"/>
    <x v="10"/>
    <s v="CUST1640"/>
    <s v="SP_15"/>
    <n v="3"/>
    <n v="17914.12"/>
    <n v="53742.36"/>
    <n v="40387.480000000003"/>
    <n v="13354.88"/>
    <s v="Cash"/>
  </r>
  <r>
    <s v="ORD102422"/>
    <s v="2025-01-15"/>
    <x v="9"/>
    <s v="North"/>
    <s v="Uttar Pradesh"/>
    <s v="Lucknow"/>
    <x v="2"/>
    <x v="4"/>
    <s v="CUST1943"/>
    <s v="SP_14"/>
    <n v="6"/>
    <n v="2289.61"/>
    <n v="13737.66"/>
    <n v="9286.83"/>
    <n v="4450.83"/>
    <s v="UPI"/>
  </r>
  <r>
    <s v="ORD102423"/>
    <s v="2025-09-17"/>
    <x v="5"/>
    <s v="South"/>
    <s v="Karnataka"/>
    <s v="Bengaluru"/>
    <x v="3"/>
    <x v="7"/>
    <s v="CUST1295"/>
    <s v="SP_10"/>
    <n v="8"/>
    <n v="12632.18"/>
    <n v="101057.44"/>
    <n v="68837.34"/>
    <n v="32220.1"/>
    <s v="Net Banking"/>
  </r>
  <r>
    <s v="ORD102424"/>
    <s v="2025-08-25"/>
    <x v="11"/>
    <s v="North"/>
    <s v="Delhi"/>
    <s v="Delhi"/>
    <x v="0"/>
    <x v="8"/>
    <s v="CUST1293"/>
    <s v="SP_06"/>
    <n v="3"/>
    <n v="23231.91"/>
    <n v="69695.73"/>
    <n v="49200.69"/>
    <n v="20495.04"/>
    <s v="Debit Card"/>
  </r>
  <r>
    <s v="ORD102425"/>
    <s v="2025-11-04"/>
    <x v="10"/>
    <s v="East"/>
    <s v="Odisha"/>
    <s v="Bhubaneswar"/>
    <x v="0"/>
    <x v="9"/>
    <s v="CUST1246"/>
    <s v="SP_06"/>
    <n v="5"/>
    <n v="6665.58"/>
    <n v="33327.9"/>
    <n v="26234.73"/>
    <n v="7093.17"/>
    <s v="Debit Card"/>
  </r>
  <r>
    <s v="ORD102426"/>
    <s v="2025-08-13"/>
    <x v="11"/>
    <s v="East"/>
    <s v="Odisha"/>
    <s v="Bhubaneswar"/>
    <x v="0"/>
    <x v="9"/>
    <s v="CUST1287"/>
    <s v="SP_04"/>
    <n v="8"/>
    <n v="7113.87"/>
    <n v="56910.96"/>
    <n v="38057.64"/>
    <n v="18853.32"/>
    <s v="UPI"/>
  </r>
  <r>
    <s v="ORD102427"/>
    <s v="2025-03-12"/>
    <x v="4"/>
    <s v="West"/>
    <s v="Maharashtra"/>
    <s v="Mumbai"/>
    <x v="2"/>
    <x v="4"/>
    <s v="CUST1447"/>
    <s v="SP_09"/>
    <n v="2"/>
    <n v="2652.6"/>
    <n v="5305.2"/>
    <n v="3344.88"/>
    <n v="1960.32"/>
    <s v="Cash"/>
  </r>
  <r>
    <s v="ORD102428"/>
    <s v="2025-01-09"/>
    <x v="9"/>
    <s v="North"/>
    <s v="Delhi"/>
    <s v="Delhi"/>
    <x v="2"/>
    <x v="4"/>
    <s v="CUST1752"/>
    <s v="SP_04"/>
    <n v="3"/>
    <n v="2734.98"/>
    <n v="8204.94"/>
    <n v="4726.92"/>
    <n v="3478.02"/>
    <s v="UPI"/>
  </r>
  <r>
    <s v="ORD102429"/>
    <s v="2025-05-06"/>
    <x v="3"/>
    <s v="East"/>
    <s v="Bihar"/>
    <s v="Patna"/>
    <x v="1"/>
    <x v="1"/>
    <s v="CUST1377"/>
    <s v="SP_10"/>
    <n v="4"/>
    <n v="2893.36"/>
    <n v="11573.44"/>
    <n v="7563.93"/>
    <n v="4009.51"/>
    <s v="UPI"/>
  </r>
  <r>
    <s v="ORD102430"/>
    <s v="2025-05-12"/>
    <x v="3"/>
    <s v="East"/>
    <s v="Bihar"/>
    <s v="Patna"/>
    <x v="1"/>
    <x v="6"/>
    <s v="CUST1894"/>
    <s v="SP_12"/>
    <n v="2"/>
    <n v="3410.06"/>
    <n v="6820.12"/>
    <n v="4907.1400000000003"/>
    <n v="1912.98"/>
    <s v="Cash"/>
  </r>
  <r>
    <s v="ORD102431"/>
    <s v="2025-10-08"/>
    <x v="1"/>
    <s v="North"/>
    <s v="Delhi"/>
    <s v="Delhi"/>
    <x v="2"/>
    <x v="10"/>
    <s v="CUST1578"/>
    <s v="SP_05"/>
    <n v="7"/>
    <n v="17847.900000000001"/>
    <n v="124935.3"/>
    <n v="101657.31"/>
    <n v="23277.99"/>
    <s v="Net Banking"/>
  </r>
  <r>
    <s v="ORD102432"/>
    <s v="2025-12-29"/>
    <x v="7"/>
    <s v="South"/>
    <s v="Telangana"/>
    <s v="Hyderabad"/>
    <x v="2"/>
    <x v="4"/>
    <s v="CUST1879"/>
    <s v="SP_15"/>
    <n v="2"/>
    <n v="2479.88"/>
    <n v="4959.76"/>
    <n v="3082.52"/>
    <n v="1877.24"/>
    <s v="Credit Card"/>
  </r>
  <r>
    <s v="ORD102433"/>
    <s v="2025-11-16"/>
    <x v="10"/>
    <s v="West"/>
    <s v="Maharashtra"/>
    <s v="Mumbai"/>
    <x v="3"/>
    <x v="11"/>
    <s v="CUST1505"/>
    <s v="SP_08"/>
    <n v="2"/>
    <n v="131.30000000000001"/>
    <n v="262.60000000000002"/>
    <n v="125.2"/>
    <n v="137.4"/>
    <s v="Net Banking"/>
  </r>
  <r>
    <s v="ORD102434"/>
    <s v="2025-08-13"/>
    <x v="11"/>
    <s v="West"/>
    <s v="Gujarat"/>
    <s v="Ahmedabad"/>
    <x v="2"/>
    <x v="2"/>
    <s v="CUST1623"/>
    <s v="SP_12"/>
    <n v="5"/>
    <n v="41322.89"/>
    <n v="206614.45"/>
    <n v="178729.53"/>
    <n v="27884.92"/>
    <s v="Cash"/>
  </r>
  <r>
    <s v="ORD102435"/>
    <s v="2025-01-31"/>
    <x v="9"/>
    <s v="West"/>
    <s v="Rajasthan"/>
    <s v="Jaipur"/>
    <x v="1"/>
    <x v="6"/>
    <s v="CUST1844"/>
    <s v="SP_08"/>
    <n v="8"/>
    <n v="3177.14"/>
    <n v="25417.119999999999"/>
    <n v="19296.73"/>
    <n v="6120.39"/>
    <s v="UPI"/>
  </r>
  <r>
    <s v="ORD102436"/>
    <s v="2025-03-02"/>
    <x v="4"/>
    <s v="South"/>
    <s v="Tamil Nadu"/>
    <s v="Chennai"/>
    <x v="2"/>
    <x v="2"/>
    <s v="CUST1452"/>
    <s v="SP_09"/>
    <n v="7"/>
    <n v="42449.31"/>
    <n v="297145.17"/>
    <n v="245846.46"/>
    <n v="51298.71"/>
    <s v="Debit Card"/>
  </r>
  <r>
    <s v="ORD102437"/>
    <s v="2025-07-04"/>
    <x v="6"/>
    <s v="East"/>
    <s v="West Bengal"/>
    <s v="Kolkata"/>
    <x v="2"/>
    <x v="10"/>
    <s v="CUST1928"/>
    <s v="SP_10"/>
    <n v="6"/>
    <n v="16972.88"/>
    <n v="101837.28"/>
    <n v="87843.79"/>
    <n v="13993.49"/>
    <s v="Debit Card"/>
  </r>
  <r>
    <s v="ORD102438"/>
    <s v="2025-01-09"/>
    <x v="9"/>
    <s v="South"/>
    <s v="Karnataka"/>
    <s v="Bengaluru"/>
    <x v="0"/>
    <x v="9"/>
    <s v="CUST1351"/>
    <s v="SP_06"/>
    <n v="7"/>
    <n v="7008.69"/>
    <n v="49060.83"/>
    <n v="33897.75"/>
    <n v="15163.08"/>
    <s v="Credit Card"/>
  </r>
  <r>
    <s v="ORD102439"/>
    <s v="2025-12-08"/>
    <x v="7"/>
    <s v="West"/>
    <s v="Rajasthan"/>
    <s v="Jaipur"/>
    <x v="0"/>
    <x v="8"/>
    <s v="CUST1796"/>
    <s v="SP_07"/>
    <n v="2"/>
    <n v="19928.2"/>
    <n v="39856.400000000001"/>
    <n v="34651.839999999997"/>
    <n v="5204.5600000000004"/>
    <s v="Cash"/>
  </r>
  <r>
    <s v="ORD102440"/>
    <s v="2025-06-12"/>
    <x v="2"/>
    <s v="North"/>
    <s v="Punjab"/>
    <s v="Chandigarh"/>
    <x v="1"/>
    <x v="6"/>
    <s v="CUST1994"/>
    <s v="SP_04"/>
    <n v="2"/>
    <n v="3300.51"/>
    <n v="6601.02"/>
    <n v="4914.16"/>
    <n v="1686.86"/>
    <s v="Cash"/>
  </r>
  <r>
    <s v="ORD102441"/>
    <s v="2025-08-17"/>
    <x v="11"/>
    <s v="West"/>
    <s v="Gujarat"/>
    <s v="Ahmedabad"/>
    <x v="3"/>
    <x v="11"/>
    <s v="CUST1851"/>
    <s v="SP_15"/>
    <n v="7"/>
    <n v="118.88"/>
    <n v="832.16"/>
    <n v="432.03"/>
    <n v="400.13"/>
    <s v="Cash"/>
  </r>
  <r>
    <s v="ORD102442"/>
    <s v="2025-04-04"/>
    <x v="0"/>
    <s v="West"/>
    <s v="Rajasthan"/>
    <s v="Jaipur"/>
    <x v="2"/>
    <x v="2"/>
    <s v="CUST1123"/>
    <s v="SP_10"/>
    <n v="7"/>
    <n v="41517.14"/>
    <n v="290619.98"/>
    <n v="247347.17"/>
    <n v="43272.81"/>
    <s v="Net Banking"/>
  </r>
  <r>
    <s v="ORD102443"/>
    <s v="2025-02-07"/>
    <x v="8"/>
    <s v="West"/>
    <s v="Gujarat"/>
    <s v="Ahmedabad"/>
    <x v="0"/>
    <x v="9"/>
    <s v="CUST1683"/>
    <s v="SP_02"/>
    <n v="1"/>
    <n v="6503.57"/>
    <n v="6503.57"/>
    <n v="4964.28"/>
    <n v="1539.29"/>
    <s v="Net Banking"/>
  </r>
  <r>
    <s v="ORD102444"/>
    <s v="2025-04-16"/>
    <x v="0"/>
    <s v="North"/>
    <s v="Delhi"/>
    <s v="Delhi"/>
    <x v="0"/>
    <x v="0"/>
    <s v="CUST1351"/>
    <s v="SP_10"/>
    <n v="5"/>
    <n v="3735.37"/>
    <n v="18676.849999999999"/>
    <n v="10857.58"/>
    <n v="7819.27"/>
    <s v="Net Banking"/>
  </r>
  <r>
    <s v="ORD102445"/>
    <s v="2025-08-22"/>
    <x v="11"/>
    <s v="North"/>
    <s v="Delhi"/>
    <s v="Delhi"/>
    <x v="0"/>
    <x v="8"/>
    <s v="CUST1656"/>
    <s v="SP_11"/>
    <n v="4"/>
    <n v="20297.45"/>
    <n v="81189.8"/>
    <n v="67234.83"/>
    <n v="13954.97"/>
    <s v="Net Banking"/>
  </r>
  <r>
    <s v="ORD102446"/>
    <s v="2025-10-01"/>
    <x v="1"/>
    <s v="North"/>
    <s v="Punjab"/>
    <s v="Chandigarh"/>
    <x v="3"/>
    <x v="3"/>
    <s v="CUST1218"/>
    <s v="SP_08"/>
    <n v="8"/>
    <n v="22.64"/>
    <n v="181.12"/>
    <n v="83.55"/>
    <n v="97.57"/>
    <s v="Cash"/>
  </r>
  <r>
    <s v="ORD102447"/>
    <s v="2025-10-01"/>
    <x v="1"/>
    <s v="East"/>
    <s v="Odisha"/>
    <s v="Bhubaneswar"/>
    <x v="3"/>
    <x v="3"/>
    <s v="CUST1107"/>
    <s v="SP_14"/>
    <n v="2"/>
    <n v="24.94"/>
    <n v="49.88"/>
    <n v="19.25"/>
    <n v="30.63"/>
    <s v="Credit Card"/>
  </r>
  <r>
    <s v="ORD102448"/>
    <s v="2025-04-11"/>
    <x v="0"/>
    <s v="South"/>
    <s v="Telangana"/>
    <s v="Hyderabad"/>
    <x v="0"/>
    <x v="9"/>
    <s v="CUST1995"/>
    <s v="SP_05"/>
    <n v="1"/>
    <n v="7389.92"/>
    <n v="7389.92"/>
    <n v="5085.62"/>
    <n v="2304.3000000000002"/>
    <s v="Net Banking"/>
  </r>
  <r>
    <s v="ORD102449"/>
    <s v="2025-03-25"/>
    <x v="4"/>
    <s v="East"/>
    <s v="Bihar"/>
    <s v="Patna"/>
    <x v="0"/>
    <x v="8"/>
    <s v="CUST1313"/>
    <s v="SP_03"/>
    <n v="3"/>
    <n v="23483.68"/>
    <n v="70451.039999999994"/>
    <n v="51100.75"/>
    <n v="19350.29"/>
    <s v="Cash"/>
  </r>
  <r>
    <s v="ORD102450"/>
    <s v="2025-01-28"/>
    <x v="9"/>
    <s v="South"/>
    <s v="Telangana"/>
    <s v="Hyderabad"/>
    <x v="1"/>
    <x v="5"/>
    <s v="CUST1244"/>
    <s v="SP_09"/>
    <n v="1"/>
    <n v="9195.98"/>
    <n v="9195.98"/>
    <n v="7291.57"/>
    <n v="1904.41"/>
    <s v="Net Banking"/>
  </r>
  <r>
    <s v="ORD102451"/>
    <s v="2025-01-21"/>
    <x v="9"/>
    <s v="South"/>
    <s v="Tamil Nadu"/>
    <s v="Chennai"/>
    <x v="0"/>
    <x v="8"/>
    <s v="CUST1978"/>
    <s v="SP_11"/>
    <n v="6"/>
    <n v="23472.35"/>
    <n v="140834.1"/>
    <n v="98592.99"/>
    <n v="42241.11"/>
    <s v="UPI"/>
  </r>
  <r>
    <s v="ORD102452"/>
    <s v="2025-05-18"/>
    <x v="3"/>
    <s v="West"/>
    <s v="Gujarat"/>
    <s v="Ahmedabad"/>
    <x v="3"/>
    <x v="11"/>
    <s v="CUST1757"/>
    <s v="SP_10"/>
    <n v="8"/>
    <n v="116.13"/>
    <n v="929.04"/>
    <n v="499.4"/>
    <n v="429.64"/>
    <s v="Credit Card"/>
  </r>
  <r>
    <s v="ORD102453"/>
    <s v="2025-03-19"/>
    <x v="4"/>
    <s v="North"/>
    <s v="Uttar Pradesh"/>
    <s v="Lucknow"/>
    <x v="2"/>
    <x v="10"/>
    <s v="CUST1293"/>
    <s v="SP_01"/>
    <n v="1"/>
    <n v="17759.830000000002"/>
    <n v="17759.830000000002"/>
    <n v="13808.01"/>
    <n v="3951.82"/>
    <s v="UPI"/>
  </r>
  <r>
    <s v="ORD102454"/>
    <s v="2025-12-31"/>
    <x v="7"/>
    <s v="West"/>
    <s v="Maharashtra"/>
    <s v="Mumbai"/>
    <x v="3"/>
    <x v="3"/>
    <s v="CUST1578"/>
    <s v="SP_05"/>
    <n v="5"/>
    <n v="26.9"/>
    <n v="134.5"/>
    <n v="50.02"/>
    <n v="84.48"/>
    <s v="Cash"/>
  </r>
  <r>
    <s v="ORD102455"/>
    <s v="2025-02-10"/>
    <x v="8"/>
    <s v="North"/>
    <s v="Uttar Pradesh"/>
    <s v="Lucknow"/>
    <x v="0"/>
    <x v="8"/>
    <s v="CUST1888"/>
    <s v="SP_01"/>
    <n v="2"/>
    <n v="22164.58"/>
    <n v="44329.16"/>
    <n v="35122.449999999997"/>
    <n v="9206.7099999999991"/>
    <s v="Cash"/>
  </r>
  <r>
    <s v="ORD102456"/>
    <s v="2025-12-24"/>
    <x v="7"/>
    <s v="South"/>
    <s v="Tamil Nadu"/>
    <s v="Chennai"/>
    <x v="3"/>
    <x v="3"/>
    <s v="CUST1341"/>
    <s v="SP_15"/>
    <n v="5"/>
    <n v="25.82"/>
    <n v="129.1"/>
    <n v="47.95"/>
    <n v="81.150000000000006"/>
    <s v="Net Banking"/>
  </r>
  <r>
    <s v="ORD102457"/>
    <s v="2025-07-10"/>
    <x v="6"/>
    <s v="East"/>
    <s v="West Bengal"/>
    <s v="Kolkata"/>
    <x v="1"/>
    <x v="5"/>
    <s v="CUST1917"/>
    <s v="SP_12"/>
    <n v="8"/>
    <n v="9001.8799999999992"/>
    <n v="72015.039999999994"/>
    <n v="59557.08"/>
    <n v="12457.96"/>
    <s v="Debit Card"/>
  </r>
  <r>
    <s v="ORD102458"/>
    <s v="2025-02-02"/>
    <x v="8"/>
    <s v="East"/>
    <s v="Bihar"/>
    <s v="Patna"/>
    <x v="3"/>
    <x v="11"/>
    <s v="CUST1185"/>
    <s v="SP_07"/>
    <n v="7"/>
    <n v="109.25"/>
    <n v="764.75"/>
    <n v="411.6"/>
    <n v="353.15"/>
    <s v="Credit Card"/>
  </r>
  <r>
    <s v="ORD102459"/>
    <s v="2025-04-16"/>
    <x v="0"/>
    <s v="West"/>
    <s v="Maharashtra"/>
    <s v="Mumbai"/>
    <x v="2"/>
    <x v="10"/>
    <s v="CUST1548"/>
    <s v="SP_02"/>
    <n v="5"/>
    <n v="16396.22"/>
    <n v="81981.100000000006"/>
    <n v="69681.119999999995"/>
    <n v="12299.98"/>
    <s v="UPI"/>
  </r>
  <r>
    <s v="ORD102460"/>
    <s v="2025-03-19"/>
    <x v="4"/>
    <s v="West"/>
    <s v="Rajasthan"/>
    <s v="Jaipur"/>
    <x v="0"/>
    <x v="9"/>
    <s v="CUST1813"/>
    <s v="SP_03"/>
    <n v="6"/>
    <n v="7251.63"/>
    <n v="43509.78"/>
    <n v="30594.59"/>
    <n v="12915.19"/>
    <s v="Net Banking"/>
  </r>
  <r>
    <s v="ORD102461"/>
    <s v="2025-07-12"/>
    <x v="6"/>
    <s v="East"/>
    <s v="West Bengal"/>
    <s v="Kolkata"/>
    <x v="2"/>
    <x v="2"/>
    <s v="CUST1733"/>
    <s v="SP_14"/>
    <n v="2"/>
    <n v="46695.49"/>
    <n v="93390.98"/>
    <n v="71828.5"/>
    <n v="21562.48"/>
    <s v="Net Banking"/>
  </r>
  <r>
    <s v="ORD102462"/>
    <s v="2025-01-11"/>
    <x v="9"/>
    <s v="South"/>
    <s v="Karnataka"/>
    <s v="Bengaluru"/>
    <x v="2"/>
    <x v="10"/>
    <s v="CUST1640"/>
    <s v="SP_13"/>
    <n v="7"/>
    <n v="16343.22"/>
    <n v="114402.54"/>
    <n v="95541.43"/>
    <n v="18861.11"/>
    <s v="Cash"/>
  </r>
  <r>
    <s v="ORD102463"/>
    <s v="2025-02-12"/>
    <x v="8"/>
    <s v="East"/>
    <s v="Bihar"/>
    <s v="Patna"/>
    <x v="0"/>
    <x v="0"/>
    <s v="CUST1078"/>
    <s v="SP_07"/>
    <n v="4"/>
    <n v="3477.16"/>
    <n v="13908.64"/>
    <n v="9230.35"/>
    <n v="4678.29"/>
    <s v="Cash"/>
  </r>
  <r>
    <s v="ORD102464"/>
    <s v="2025-11-15"/>
    <x v="10"/>
    <s v="East"/>
    <s v="West Bengal"/>
    <s v="Kolkata"/>
    <x v="0"/>
    <x v="0"/>
    <s v="CUST1372"/>
    <s v="SP_06"/>
    <n v="3"/>
    <n v="3756.27"/>
    <n v="11268.81"/>
    <n v="6774.42"/>
    <n v="4494.3900000000003"/>
    <s v="Cash"/>
  </r>
  <r>
    <s v="ORD102465"/>
    <s v="2025-02-26"/>
    <x v="8"/>
    <s v="North"/>
    <s v="Uttar Pradesh"/>
    <s v="Lucknow"/>
    <x v="1"/>
    <x v="6"/>
    <s v="CUST1621"/>
    <s v="SP_02"/>
    <n v="6"/>
    <n v="3441.62"/>
    <n v="20649.72"/>
    <n v="13816.54"/>
    <n v="6833.18"/>
    <s v="Credit Card"/>
  </r>
  <r>
    <s v="ORD102466"/>
    <s v="2025-12-10"/>
    <x v="7"/>
    <s v="East"/>
    <s v="West Bengal"/>
    <s v="Kolkata"/>
    <x v="1"/>
    <x v="6"/>
    <s v="CUST1191"/>
    <s v="SP_12"/>
    <n v="6"/>
    <n v="3113.55"/>
    <n v="18681.3"/>
    <n v="14661.37"/>
    <n v="4019.93"/>
    <s v="UPI"/>
  </r>
  <r>
    <s v="ORD102467"/>
    <s v="2025-03-23"/>
    <x v="4"/>
    <s v="East"/>
    <s v="Bihar"/>
    <s v="Patna"/>
    <x v="0"/>
    <x v="0"/>
    <s v="CUST1323"/>
    <s v="SP_06"/>
    <n v="6"/>
    <n v="3686.2"/>
    <n v="22117.200000000001"/>
    <n v="13075.49"/>
    <n v="9041.7099999999991"/>
    <s v="Credit Card"/>
  </r>
  <r>
    <s v="ORD102468"/>
    <s v="2025-11-29"/>
    <x v="10"/>
    <s v="South"/>
    <s v="Tamil Nadu"/>
    <s v="Chennai"/>
    <x v="3"/>
    <x v="11"/>
    <s v="CUST1867"/>
    <s v="SP_05"/>
    <n v="1"/>
    <n v="127.97"/>
    <n v="127.97"/>
    <n v="59"/>
    <n v="68.97"/>
    <s v="Credit Card"/>
  </r>
  <r>
    <s v="ORD102469"/>
    <s v="2025-01-25"/>
    <x v="9"/>
    <s v="West"/>
    <s v="Maharashtra"/>
    <s v="Mumbai"/>
    <x v="3"/>
    <x v="11"/>
    <s v="CUST1244"/>
    <s v="SP_14"/>
    <n v="2"/>
    <n v="125.79"/>
    <n v="251.58"/>
    <n v="118.21"/>
    <n v="133.37"/>
    <s v="Credit Card"/>
  </r>
  <r>
    <s v="ORD102470"/>
    <s v="2025-02-22"/>
    <x v="8"/>
    <s v="North"/>
    <s v="Uttar Pradesh"/>
    <s v="Lucknow"/>
    <x v="1"/>
    <x v="5"/>
    <s v="CUST1293"/>
    <s v="SP_12"/>
    <n v="3"/>
    <n v="10206.14"/>
    <n v="30618.42"/>
    <n v="22746.18"/>
    <n v="7872.24"/>
    <s v="UPI"/>
  </r>
  <r>
    <s v="ORD102471"/>
    <s v="2025-07-18"/>
    <x v="6"/>
    <s v="West"/>
    <s v="Maharashtra"/>
    <s v="Mumbai"/>
    <x v="2"/>
    <x v="2"/>
    <s v="CUST1888"/>
    <s v="SP_15"/>
    <n v="6"/>
    <n v="42773.82"/>
    <n v="256642.92"/>
    <n v="219348.34"/>
    <n v="37294.58"/>
    <s v="UPI"/>
  </r>
  <r>
    <s v="ORD102472"/>
    <s v="2025-12-16"/>
    <x v="7"/>
    <s v="South"/>
    <s v="Telangana"/>
    <s v="Hyderabad"/>
    <x v="2"/>
    <x v="10"/>
    <s v="CUST1895"/>
    <s v="SP_07"/>
    <n v="2"/>
    <n v="17928.13"/>
    <n v="35856.26"/>
    <n v="28763.18"/>
    <n v="7093.08"/>
    <s v="Debit Card"/>
  </r>
  <r>
    <s v="ORD102473"/>
    <s v="2025-05-06"/>
    <x v="3"/>
    <s v="South"/>
    <s v="Tamil Nadu"/>
    <s v="Chennai"/>
    <x v="0"/>
    <x v="8"/>
    <s v="CUST1269"/>
    <s v="SP_08"/>
    <n v="3"/>
    <n v="21574.799999999999"/>
    <n v="64724.4"/>
    <n v="52413.73"/>
    <n v="12310.67"/>
    <s v="Credit Card"/>
  </r>
  <r>
    <s v="ORD102474"/>
    <s v="2025-02-17"/>
    <x v="8"/>
    <s v="North"/>
    <s v="Delhi"/>
    <s v="Delhi"/>
    <x v="2"/>
    <x v="2"/>
    <s v="CUST1232"/>
    <s v="SP_14"/>
    <n v="7"/>
    <n v="48399.22"/>
    <n v="338794.54"/>
    <n v="243179.44"/>
    <n v="95615.1"/>
    <s v="Credit Card"/>
  </r>
  <r>
    <s v="ORD102475"/>
    <s v="2025-11-10"/>
    <x v="10"/>
    <s v="East"/>
    <s v="Odisha"/>
    <s v="Bhubaneswar"/>
    <x v="2"/>
    <x v="4"/>
    <s v="CUST1519"/>
    <s v="SP_15"/>
    <n v="8"/>
    <n v="2420.25"/>
    <n v="19362"/>
    <n v="12659.27"/>
    <n v="6702.73"/>
    <s v="Credit Card"/>
  </r>
  <r>
    <s v="ORD102476"/>
    <s v="2025-11-04"/>
    <x v="10"/>
    <s v="West"/>
    <s v="Maharashtra"/>
    <s v="Mumbai"/>
    <x v="0"/>
    <x v="0"/>
    <s v="CUST1303"/>
    <s v="SP_03"/>
    <n v="7"/>
    <n v="3571.18"/>
    <n v="24998.26"/>
    <n v="15026.13"/>
    <n v="9972.1299999999992"/>
    <s v="Debit Card"/>
  </r>
  <r>
    <s v="ORD102477"/>
    <s v="2025-09-17"/>
    <x v="5"/>
    <s v="East"/>
    <s v="Bihar"/>
    <s v="Patna"/>
    <x v="2"/>
    <x v="4"/>
    <s v="CUST1092"/>
    <s v="SP_03"/>
    <n v="4"/>
    <n v="2646.7"/>
    <n v="10586.8"/>
    <n v="6161.5"/>
    <n v="4425.3"/>
    <s v="Debit Card"/>
  </r>
  <r>
    <s v="ORD102478"/>
    <s v="2025-04-24"/>
    <x v="0"/>
    <s v="East"/>
    <s v="Odisha"/>
    <s v="Bhubaneswar"/>
    <x v="1"/>
    <x v="6"/>
    <s v="CUST1491"/>
    <s v="SP_02"/>
    <n v="7"/>
    <n v="2979.64"/>
    <n v="20857.48"/>
    <n v="16401.900000000001"/>
    <n v="4455.58"/>
    <s v="Credit Card"/>
  </r>
  <r>
    <s v="ORD102479"/>
    <s v="2025-05-06"/>
    <x v="3"/>
    <s v="West"/>
    <s v="Gujarat"/>
    <s v="Ahmedabad"/>
    <x v="2"/>
    <x v="4"/>
    <s v="CUST1691"/>
    <s v="SP_04"/>
    <n v="5"/>
    <n v="2413.41"/>
    <n v="12067.05"/>
    <n v="8286.34"/>
    <n v="3780.71"/>
    <s v="UPI"/>
  </r>
  <r>
    <s v="ORD102480"/>
    <s v="2025-09-03"/>
    <x v="5"/>
    <s v="North"/>
    <s v="Punjab"/>
    <s v="Chandigarh"/>
    <x v="3"/>
    <x v="7"/>
    <s v="CUST1815"/>
    <s v="SP_05"/>
    <n v="6"/>
    <n v="13004.66"/>
    <n v="78027.960000000006"/>
    <n v="53794.720000000001"/>
    <n v="24233.24"/>
    <s v="Net Banking"/>
  </r>
  <r>
    <s v="ORD102481"/>
    <s v="2025-08-08"/>
    <x v="11"/>
    <s v="South"/>
    <s v="Tamil Nadu"/>
    <s v="Chennai"/>
    <x v="0"/>
    <x v="0"/>
    <s v="CUST1613"/>
    <s v="SP_08"/>
    <n v="4"/>
    <n v="3256.95"/>
    <n v="13027.8"/>
    <n v="8846.1299999999992"/>
    <n v="4181.67"/>
    <s v="Net Banking"/>
  </r>
  <r>
    <s v="ORD102482"/>
    <s v="2025-08-10"/>
    <x v="11"/>
    <s v="West"/>
    <s v="Rajasthan"/>
    <s v="Jaipur"/>
    <x v="0"/>
    <x v="9"/>
    <s v="CUST1646"/>
    <s v="SP_01"/>
    <n v="1"/>
    <n v="7146.7"/>
    <n v="7146.7"/>
    <n v="5066.42"/>
    <n v="2080.2800000000002"/>
    <s v="Cash"/>
  </r>
  <r>
    <s v="ORD102483"/>
    <s v="2025-08-23"/>
    <x v="11"/>
    <s v="North"/>
    <s v="Delhi"/>
    <s v="Delhi"/>
    <x v="2"/>
    <x v="2"/>
    <s v="CUST1235"/>
    <s v="SP_14"/>
    <n v="8"/>
    <n v="44407.26"/>
    <n v="355258.08"/>
    <n v="290831.13"/>
    <n v="64426.95"/>
    <s v="Credit Card"/>
  </r>
  <r>
    <s v="ORD102484"/>
    <s v="2025-07-10"/>
    <x v="6"/>
    <s v="West"/>
    <s v="Rajasthan"/>
    <s v="Jaipur"/>
    <x v="1"/>
    <x v="5"/>
    <s v="CUST1970"/>
    <s v="SP_05"/>
    <n v="4"/>
    <n v="9093.01"/>
    <n v="36372.04"/>
    <n v="29086.42"/>
    <n v="7285.62"/>
    <s v="Net Banking"/>
  </r>
  <r>
    <s v="ORD102485"/>
    <s v="2025-10-08"/>
    <x v="1"/>
    <s v="South"/>
    <s v="Karnataka"/>
    <s v="Bengaluru"/>
    <x v="3"/>
    <x v="3"/>
    <s v="CUST1954"/>
    <s v="SP_02"/>
    <n v="7"/>
    <n v="23.37"/>
    <n v="163.59"/>
    <n v="72.290000000000006"/>
    <n v="91.3"/>
    <s v="UPI"/>
  </r>
  <r>
    <s v="ORD102486"/>
    <s v="2025-07-26"/>
    <x v="6"/>
    <s v="West"/>
    <s v="Maharashtra"/>
    <s v="Mumbai"/>
    <x v="0"/>
    <x v="0"/>
    <s v="CUST1108"/>
    <s v="SP_09"/>
    <n v="2"/>
    <n v="3231.97"/>
    <n v="6463.94"/>
    <n v="4500"/>
    <n v="1963.94"/>
    <s v="Cash"/>
  </r>
  <r>
    <s v="ORD102487"/>
    <s v="2025-08-02"/>
    <x v="11"/>
    <s v="West"/>
    <s v="Gujarat"/>
    <s v="Ahmedabad"/>
    <x v="2"/>
    <x v="2"/>
    <s v="CUST1423"/>
    <s v="SP_01"/>
    <n v="6"/>
    <n v="46632.29"/>
    <n v="279793.74"/>
    <n v="213878.41"/>
    <n v="65915.33"/>
    <s v="Net Banking"/>
  </r>
  <r>
    <s v="ORD102488"/>
    <s v="2025-02-10"/>
    <x v="8"/>
    <s v="South"/>
    <s v="Karnataka"/>
    <s v="Bengaluru"/>
    <x v="0"/>
    <x v="8"/>
    <s v="CUST1826"/>
    <s v="SP_02"/>
    <n v="5"/>
    <n v="20394.04"/>
    <n v="101970.2"/>
    <n v="87138.46"/>
    <n v="14831.74"/>
    <s v="Debit Card"/>
  </r>
  <r>
    <s v="ORD102489"/>
    <s v="2025-05-04"/>
    <x v="3"/>
    <s v="South"/>
    <s v="Telangana"/>
    <s v="Hyderabad"/>
    <x v="3"/>
    <x v="7"/>
    <s v="CUST1939"/>
    <s v="SP_06"/>
    <n v="2"/>
    <n v="11036.35"/>
    <n v="22072.7"/>
    <n v="17271.25"/>
    <n v="4801.45"/>
    <s v="Cash"/>
  </r>
  <r>
    <s v="ORD102490"/>
    <s v="2025-11-16"/>
    <x v="10"/>
    <s v="North"/>
    <s v="Punjab"/>
    <s v="Chandigarh"/>
    <x v="1"/>
    <x v="5"/>
    <s v="CUST1202"/>
    <s v="SP_11"/>
    <n v="5"/>
    <n v="8571.0300000000007"/>
    <n v="42855.15"/>
    <n v="39866.76"/>
    <n v="2988.39"/>
    <s v="Net Banking"/>
  </r>
  <r>
    <s v="ORD102491"/>
    <s v="2025-11-02"/>
    <x v="10"/>
    <s v="South"/>
    <s v="Karnataka"/>
    <s v="Bengaluru"/>
    <x v="3"/>
    <x v="7"/>
    <s v="CUST1892"/>
    <s v="SP_04"/>
    <n v="6"/>
    <n v="11043.65"/>
    <n v="66261.899999999994"/>
    <n v="54538.03"/>
    <n v="11723.87"/>
    <s v="Cash"/>
  </r>
  <r>
    <s v="ORD102492"/>
    <s v="2025-05-01"/>
    <x v="3"/>
    <s v="North"/>
    <s v="Uttar Pradesh"/>
    <s v="Lucknow"/>
    <x v="2"/>
    <x v="10"/>
    <s v="CUST1374"/>
    <s v="SP_08"/>
    <n v="3"/>
    <n v="19228.21"/>
    <n v="57684.63"/>
    <n v="43043.09"/>
    <n v="14641.54"/>
    <s v="Debit Card"/>
  </r>
  <r>
    <s v="ORD102493"/>
    <s v="2025-11-22"/>
    <x v="10"/>
    <s v="North"/>
    <s v="Delhi"/>
    <s v="Delhi"/>
    <x v="1"/>
    <x v="6"/>
    <s v="CUST1601"/>
    <s v="SP_05"/>
    <n v="4"/>
    <n v="3202.93"/>
    <n v="12811.72"/>
    <n v="9487.59"/>
    <n v="3324.13"/>
    <s v="UPI"/>
  </r>
  <r>
    <s v="ORD102494"/>
    <s v="2025-11-03"/>
    <x v="10"/>
    <s v="North"/>
    <s v="Uttar Pradesh"/>
    <s v="Lucknow"/>
    <x v="3"/>
    <x v="7"/>
    <s v="CUST1278"/>
    <s v="SP_08"/>
    <n v="7"/>
    <n v="11705.5"/>
    <n v="81938.5"/>
    <n v="61084.07"/>
    <n v="20854.43"/>
    <s v="Credit Card"/>
  </r>
  <r>
    <s v="ORD102495"/>
    <s v="2025-06-17"/>
    <x v="2"/>
    <s v="East"/>
    <s v="Bihar"/>
    <s v="Patna"/>
    <x v="0"/>
    <x v="9"/>
    <s v="CUST1608"/>
    <s v="SP_04"/>
    <n v="2"/>
    <n v="6919.66"/>
    <n v="13839.32"/>
    <n v="9711.56"/>
    <n v="4127.76"/>
    <s v="Net Banking"/>
  </r>
  <r>
    <s v="ORD102496"/>
    <s v="2025-10-09"/>
    <x v="1"/>
    <s v="East"/>
    <s v="Bihar"/>
    <s v="Patna"/>
    <x v="1"/>
    <x v="1"/>
    <s v="CUST1872"/>
    <s v="SP_13"/>
    <n v="3"/>
    <n v="2933.34"/>
    <n v="8800.02"/>
    <n v="5465.23"/>
    <n v="3334.79"/>
    <s v="Debit Card"/>
  </r>
  <r>
    <s v="ORD102497"/>
    <s v="2025-06-03"/>
    <x v="2"/>
    <s v="East"/>
    <s v="Odisha"/>
    <s v="Bhubaneswar"/>
    <x v="1"/>
    <x v="1"/>
    <s v="CUST1150"/>
    <s v="SP_03"/>
    <n v="2"/>
    <n v="2604.8000000000002"/>
    <n v="5209.6000000000004"/>
    <n v="3955.82"/>
    <n v="1253.78"/>
    <s v="UPI"/>
  </r>
  <r>
    <s v="ORD102498"/>
    <s v="2025-01-20"/>
    <x v="9"/>
    <s v="West"/>
    <s v="Gujarat"/>
    <s v="Ahmedabad"/>
    <x v="3"/>
    <x v="3"/>
    <s v="CUST1280"/>
    <s v="SP_03"/>
    <n v="4"/>
    <n v="26.78"/>
    <n v="107.12"/>
    <n v="40.86"/>
    <n v="66.260000000000005"/>
    <s v="Debit Card"/>
  </r>
  <r>
    <s v="ORD102499"/>
    <s v="2025-07-28"/>
    <x v="6"/>
    <s v="East"/>
    <s v="Bihar"/>
    <s v="Patna"/>
    <x v="3"/>
    <x v="3"/>
    <s v="CUST1942"/>
    <s v="SP_07"/>
    <n v="3"/>
    <n v="22.55"/>
    <n v="67.650000000000006"/>
    <n v="30.41"/>
    <n v="37.24"/>
    <s v="Net Banking"/>
  </r>
  <r>
    <s v="ORD102500"/>
    <s v="2025-12-21"/>
    <x v="7"/>
    <s v="North"/>
    <s v="Uttar Pradesh"/>
    <s v="Lucknow"/>
    <x v="1"/>
    <x v="1"/>
    <s v="CUST1213"/>
    <s v="SP_08"/>
    <n v="8"/>
    <n v="2953.18"/>
    <n v="23625.439999999999"/>
    <n v="15854.43"/>
    <n v="7771.01"/>
    <s v="Cash"/>
  </r>
  <r>
    <s v="ORD102501"/>
    <s v="2025-04-24"/>
    <x v="0"/>
    <s v="West"/>
    <s v="Gujarat"/>
    <s v="Ahmedabad"/>
    <x v="1"/>
    <x v="6"/>
    <s v="CUST1917"/>
    <s v="SP_08"/>
    <n v="8"/>
    <n v="3497.94"/>
    <n v="27983.52"/>
    <n v="19853.490000000002"/>
    <n v="8130.03"/>
    <s v="Cash"/>
  </r>
  <r>
    <s v="ORD102502"/>
    <s v="2025-09-15"/>
    <x v="5"/>
    <s v="West"/>
    <s v="Maharashtra"/>
    <s v="Mumbai"/>
    <x v="0"/>
    <x v="8"/>
    <s v="CUST1704"/>
    <s v="SP_10"/>
    <n v="5"/>
    <n v="20833.04"/>
    <n v="104165.2"/>
    <n v="84287.02"/>
    <n v="19878.18"/>
    <s v="UPI"/>
  </r>
  <r>
    <s v="ORD102503"/>
    <s v="2025-08-31"/>
    <x v="11"/>
    <s v="West"/>
    <s v="Rajasthan"/>
    <s v="Jaipur"/>
    <x v="3"/>
    <x v="3"/>
    <s v="CUST1666"/>
    <s v="SP_15"/>
    <n v="7"/>
    <n v="27.5"/>
    <n v="192.5"/>
    <n v="70.94"/>
    <n v="121.56"/>
    <s v="Debit Card"/>
  </r>
  <r>
    <s v="ORD102504"/>
    <s v="2025-01-02"/>
    <x v="9"/>
    <s v="North"/>
    <s v="Punjab"/>
    <s v="Chandigarh"/>
    <x v="3"/>
    <x v="7"/>
    <s v="CUST1498"/>
    <s v="SP_12"/>
    <n v="4"/>
    <n v="12032.91"/>
    <n v="48131.64"/>
    <n v="35625.31"/>
    <n v="12506.33"/>
    <s v="Debit Card"/>
  </r>
  <r>
    <s v="ORD102505"/>
    <s v="2025-03-02"/>
    <x v="4"/>
    <s v="North"/>
    <s v="Delhi"/>
    <s v="Delhi"/>
    <x v="2"/>
    <x v="10"/>
    <s v="CUST1255"/>
    <s v="SP_12"/>
    <n v="7"/>
    <n v="18244.96"/>
    <n v="127714.72"/>
    <n v="96464.47"/>
    <n v="31250.25"/>
    <s v="UPI"/>
  </r>
  <r>
    <s v="ORD102506"/>
    <s v="2025-02-08"/>
    <x v="8"/>
    <s v="East"/>
    <s v="Bihar"/>
    <s v="Patna"/>
    <x v="2"/>
    <x v="2"/>
    <s v="CUST1597"/>
    <s v="SP_02"/>
    <n v="8"/>
    <n v="41254.300000000003"/>
    <n v="330034.40000000002"/>
    <n v="268653.67"/>
    <n v="61380.73"/>
    <s v="Debit Card"/>
  </r>
  <r>
    <s v="ORD102507"/>
    <s v="2025-08-09"/>
    <x v="11"/>
    <s v="West"/>
    <s v="Gujarat"/>
    <s v="Ahmedabad"/>
    <x v="3"/>
    <x v="3"/>
    <s v="CUST1055"/>
    <s v="SP_04"/>
    <n v="7"/>
    <n v="22.88"/>
    <n v="160.16"/>
    <n v="67.33"/>
    <n v="92.83"/>
    <s v="Credit Card"/>
  </r>
  <r>
    <s v="ORD102508"/>
    <s v="2025-05-24"/>
    <x v="3"/>
    <s v="East"/>
    <s v="West Bengal"/>
    <s v="Kolkata"/>
    <x v="1"/>
    <x v="6"/>
    <s v="CUST1732"/>
    <s v="SP_07"/>
    <n v="1"/>
    <n v="2893.09"/>
    <n v="2893.09"/>
    <n v="2353.67"/>
    <n v="539.41999999999996"/>
    <s v="Credit Card"/>
  </r>
  <r>
    <s v="ORD102509"/>
    <s v="2025-10-05"/>
    <x v="1"/>
    <s v="West"/>
    <s v="Gujarat"/>
    <s v="Ahmedabad"/>
    <x v="0"/>
    <x v="9"/>
    <s v="CUST1628"/>
    <s v="SP_03"/>
    <n v="8"/>
    <n v="7045.18"/>
    <n v="56361.440000000002"/>
    <n v="38345.31"/>
    <n v="18016.13"/>
    <s v="Cash"/>
  </r>
  <r>
    <s v="ORD102510"/>
    <s v="2025-07-28"/>
    <x v="6"/>
    <s v="West"/>
    <s v="Rajasthan"/>
    <s v="Jaipur"/>
    <x v="1"/>
    <x v="5"/>
    <s v="CUST1211"/>
    <s v="SP_13"/>
    <n v="2"/>
    <n v="8849.39"/>
    <n v="17698.78"/>
    <n v="15410.96"/>
    <n v="2287.8200000000002"/>
    <s v="Cash"/>
  </r>
  <r>
    <s v="ORD102511"/>
    <s v="2025-09-08"/>
    <x v="5"/>
    <s v="North"/>
    <s v="Uttar Pradesh"/>
    <s v="Lucknow"/>
    <x v="2"/>
    <x v="10"/>
    <s v="CUST1669"/>
    <s v="SP_08"/>
    <n v="1"/>
    <n v="18970.62"/>
    <n v="18970.62"/>
    <n v="13814.42"/>
    <n v="5156.2"/>
    <s v="Credit Card"/>
  </r>
  <r>
    <s v="ORD102512"/>
    <s v="2025-10-14"/>
    <x v="1"/>
    <s v="East"/>
    <s v="Odisha"/>
    <s v="Bhubaneswar"/>
    <x v="3"/>
    <x v="11"/>
    <s v="CUST1781"/>
    <s v="SP_14"/>
    <n v="1"/>
    <n v="126.39"/>
    <n v="126.39"/>
    <n v="58.13"/>
    <n v="68.260000000000005"/>
    <s v="UPI"/>
  </r>
  <r>
    <s v="ORD102513"/>
    <s v="2025-08-06"/>
    <x v="11"/>
    <s v="West"/>
    <s v="Maharashtra"/>
    <s v="Mumbai"/>
    <x v="3"/>
    <x v="11"/>
    <s v="CUST1302"/>
    <s v="SP_05"/>
    <n v="6"/>
    <n v="115.97"/>
    <n v="695.82"/>
    <n v="349.94"/>
    <n v="345.88"/>
    <s v="Cash"/>
  </r>
  <r>
    <s v="ORD102514"/>
    <s v="2025-12-22"/>
    <x v="7"/>
    <s v="North"/>
    <s v="Punjab"/>
    <s v="Chandigarh"/>
    <x v="1"/>
    <x v="1"/>
    <s v="CUST1059"/>
    <s v="SP_01"/>
    <n v="8"/>
    <n v="2612.4299999999998"/>
    <n v="20899.439999999999"/>
    <n v="15168.41"/>
    <n v="5731.03"/>
    <s v="UPI"/>
  </r>
  <r>
    <s v="ORD102515"/>
    <s v="2025-07-22"/>
    <x v="6"/>
    <s v="West"/>
    <s v="Gujarat"/>
    <s v="Ahmedabad"/>
    <x v="1"/>
    <x v="5"/>
    <s v="CUST1240"/>
    <s v="SP_11"/>
    <n v="5"/>
    <n v="10402.76"/>
    <n v="52013.8"/>
    <n v="37426.400000000001"/>
    <n v="14587.4"/>
    <s v="Cash"/>
  </r>
  <r>
    <s v="ORD102516"/>
    <s v="2025-05-26"/>
    <x v="3"/>
    <s v="North"/>
    <s v="Delhi"/>
    <s v="Delhi"/>
    <x v="3"/>
    <x v="3"/>
    <s v="CUST1205"/>
    <s v="SP_11"/>
    <n v="1"/>
    <n v="24.54"/>
    <n v="24.54"/>
    <n v="10.27"/>
    <n v="14.27"/>
    <s v="Debit Card"/>
  </r>
  <r>
    <s v="ORD102517"/>
    <s v="2025-05-31"/>
    <x v="3"/>
    <s v="West"/>
    <s v="Maharashtra"/>
    <s v="Mumbai"/>
    <x v="3"/>
    <x v="7"/>
    <s v="CUST1960"/>
    <s v="SP_09"/>
    <n v="7"/>
    <n v="13188.66"/>
    <n v="92320.62"/>
    <n v="63142.720000000001"/>
    <n v="29177.9"/>
    <s v="Cash"/>
  </r>
  <r>
    <s v="ORD102518"/>
    <s v="2025-12-31"/>
    <x v="7"/>
    <s v="East"/>
    <s v="Bihar"/>
    <s v="Patna"/>
    <x v="3"/>
    <x v="11"/>
    <s v="CUST1629"/>
    <s v="SP_04"/>
    <n v="4"/>
    <n v="109.78"/>
    <n v="439.12"/>
    <n v="232.15"/>
    <n v="206.97"/>
    <s v="Credit Card"/>
  </r>
  <r>
    <s v="ORD102519"/>
    <s v="2025-03-06"/>
    <x v="4"/>
    <s v="North"/>
    <s v="Uttar Pradesh"/>
    <s v="Lucknow"/>
    <x v="2"/>
    <x v="10"/>
    <s v="CUST1320"/>
    <s v="SP_08"/>
    <n v="3"/>
    <n v="19051.3"/>
    <n v="57153.9"/>
    <n v="40138.9"/>
    <n v="17015"/>
    <s v="Debit Card"/>
  </r>
  <r>
    <s v="ORD102520"/>
    <s v="2025-01-14"/>
    <x v="9"/>
    <s v="West"/>
    <s v="Rajasthan"/>
    <s v="Jaipur"/>
    <x v="2"/>
    <x v="10"/>
    <s v="CUST1852"/>
    <s v="SP_02"/>
    <n v="5"/>
    <n v="17534.8"/>
    <n v="87674"/>
    <n v="70402.38"/>
    <n v="17271.62"/>
    <s v="Net Banking"/>
  </r>
  <r>
    <s v="ORD102521"/>
    <s v="2025-08-13"/>
    <x v="11"/>
    <s v="South"/>
    <s v="Telangana"/>
    <s v="Hyderabad"/>
    <x v="1"/>
    <x v="1"/>
    <s v="CUST1259"/>
    <s v="SP_04"/>
    <n v="4"/>
    <n v="2913.08"/>
    <n v="11652.32"/>
    <n v="7459.36"/>
    <n v="4192.96"/>
    <s v="Debit Card"/>
  </r>
  <r>
    <s v="ORD102522"/>
    <s v="2025-04-25"/>
    <x v="0"/>
    <s v="East"/>
    <s v="Bihar"/>
    <s v="Patna"/>
    <x v="1"/>
    <x v="6"/>
    <s v="CUST1423"/>
    <s v="SP_02"/>
    <n v="4"/>
    <n v="2984.19"/>
    <n v="11936.76"/>
    <n v="9164.11"/>
    <n v="2772.65"/>
    <s v="Net Banking"/>
  </r>
  <r>
    <s v="ORD102523"/>
    <s v="2025-06-10"/>
    <x v="2"/>
    <s v="South"/>
    <s v="Telangana"/>
    <s v="Hyderabad"/>
    <x v="1"/>
    <x v="5"/>
    <s v="CUST1191"/>
    <s v="SP_09"/>
    <n v="3"/>
    <n v="9522.57"/>
    <n v="28567.71"/>
    <n v="22362.720000000001"/>
    <n v="6204.99"/>
    <s v="Debit Card"/>
  </r>
  <r>
    <s v="ORD102524"/>
    <s v="2025-05-30"/>
    <x v="3"/>
    <s v="West"/>
    <s v="Rajasthan"/>
    <s v="Jaipur"/>
    <x v="0"/>
    <x v="8"/>
    <s v="CUST1346"/>
    <s v="SP_08"/>
    <n v="2"/>
    <n v="20788.98"/>
    <n v="41577.96"/>
    <n v="34716.28"/>
    <n v="6861.68"/>
    <s v="Debit Card"/>
  </r>
  <r>
    <s v="ORD102525"/>
    <s v="2025-12-18"/>
    <x v="7"/>
    <s v="West"/>
    <s v="Gujarat"/>
    <s v="Ahmedabad"/>
    <x v="0"/>
    <x v="9"/>
    <s v="CUST1747"/>
    <s v="SP_05"/>
    <n v="3"/>
    <n v="6945.23"/>
    <n v="20835.689999999999"/>
    <n v="14344.11"/>
    <n v="6491.58"/>
    <s v="Credit Card"/>
  </r>
  <r>
    <s v="ORD102526"/>
    <s v="2025-08-31"/>
    <x v="11"/>
    <s v="West"/>
    <s v="Rajasthan"/>
    <s v="Jaipur"/>
    <x v="3"/>
    <x v="11"/>
    <s v="CUST1463"/>
    <s v="SP_07"/>
    <n v="7"/>
    <n v="120.53"/>
    <n v="843.71"/>
    <n v="409"/>
    <n v="434.71"/>
    <s v="Debit Card"/>
  </r>
  <r>
    <s v="ORD102527"/>
    <s v="2025-11-21"/>
    <x v="10"/>
    <s v="North"/>
    <s v="Delhi"/>
    <s v="Delhi"/>
    <x v="1"/>
    <x v="1"/>
    <s v="CUST1593"/>
    <s v="SP_15"/>
    <n v="4"/>
    <n v="2826.23"/>
    <n v="11304.92"/>
    <n v="7832.23"/>
    <n v="3472.69"/>
    <s v="Debit Card"/>
  </r>
  <r>
    <s v="ORD102528"/>
    <s v="2025-08-31"/>
    <x v="11"/>
    <s v="North"/>
    <s v="Delhi"/>
    <s v="Delhi"/>
    <x v="3"/>
    <x v="11"/>
    <s v="CUST1519"/>
    <s v="SP_13"/>
    <n v="4"/>
    <n v="123.43"/>
    <n v="493.72"/>
    <n v="235.45"/>
    <n v="258.27"/>
    <s v="Net Banking"/>
  </r>
  <r>
    <s v="ORD102529"/>
    <s v="2025-03-21"/>
    <x v="4"/>
    <s v="East"/>
    <s v="Odisha"/>
    <s v="Bhubaneswar"/>
    <x v="1"/>
    <x v="6"/>
    <s v="CUST1244"/>
    <s v="SP_14"/>
    <n v="6"/>
    <n v="2938.21"/>
    <n v="17629.259999999998"/>
    <n v="15023.49"/>
    <n v="2605.77"/>
    <s v="UPI"/>
  </r>
  <r>
    <s v="ORD102530"/>
    <s v="2025-02-20"/>
    <x v="8"/>
    <s v="East"/>
    <s v="West Bengal"/>
    <s v="Kolkata"/>
    <x v="1"/>
    <x v="6"/>
    <s v="CUST1643"/>
    <s v="SP_04"/>
    <n v="2"/>
    <n v="3301.41"/>
    <n v="6602.82"/>
    <n v="4896.1099999999997"/>
    <n v="1706.71"/>
    <s v="UPI"/>
  </r>
  <r>
    <s v="ORD102531"/>
    <s v="2025-09-10"/>
    <x v="5"/>
    <s v="West"/>
    <s v="Maharashtra"/>
    <s v="Mumbai"/>
    <x v="0"/>
    <x v="8"/>
    <s v="CUST1726"/>
    <s v="SP_05"/>
    <n v="7"/>
    <n v="23845.38"/>
    <n v="166917.66"/>
    <n v="113371"/>
    <n v="53546.66"/>
    <s v="Net Banking"/>
  </r>
  <r>
    <s v="ORD102532"/>
    <s v="2025-05-11"/>
    <x v="3"/>
    <s v="North"/>
    <s v="Uttar Pradesh"/>
    <s v="Lucknow"/>
    <x v="2"/>
    <x v="4"/>
    <s v="CUST1477"/>
    <s v="SP_05"/>
    <n v="2"/>
    <n v="2496.66"/>
    <n v="4993.32"/>
    <n v="3306.85"/>
    <n v="1686.47"/>
    <s v="UPI"/>
  </r>
  <r>
    <s v="ORD102533"/>
    <s v="2025-12-23"/>
    <x v="7"/>
    <s v="South"/>
    <s v="Tamil Nadu"/>
    <s v="Chennai"/>
    <x v="3"/>
    <x v="7"/>
    <s v="CUST1981"/>
    <s v="SP_03"/>
    <n v="1"/>
    <n v="12866.49"/>
    <n v="12866.49"/>
    <n v="8713.75"/>
    <n v="4152.74"/>
    <s v="Net Banking"/>
  </r>
  <r>
    <s v="ORD102534"/>
    <s v="2025-07-13"/>
    <x v="6"/>
    <s v="West"/>
    <s v="Gujarat"/>
    <s v="Ahmedabad"/>
    <x v="0"/>
    <x v="9"/>
    <s v="CUST1962"/>
    <s v="SP_05"/>
    <n v="2"/>
    <n v="7676.23"/>
    <n v="15352.46"/>
    <n v="9601.48"/>
    <n v="5750.98"/>
    <s v="UPI"/>
  </r>
  <r>
    <s v="ORD102535"/>
    <s v="2025-02-28"/>
    <x v="8"/>
    <s v="South"/>
    <s v="Tamil Nadu"/>
    <s v="Chennai"/>
    <x v="3"/>
    <x v="3"/>
    <s v="CUST1985"/>
    <s v="SP_06"/>
    <n v="5"/>
    <n v="25.49"/>
    <n v="127.45"/>
    <n v="48.89"/>
    <n v="78.56"/>
    <s v="Credit Card"/>
  </r>
  <r>
    <s v="ORD102536"/>
    <s v="2025-12-07"/>
    <x v="7"/>
    <s v="West"/>
    <s v="Rajasthan"/>
    <s v="Jaipur"/>
    <x v="2"/>
    <x v="4"/>
    <s v="CUST1082"/>
    <s v="SP_06"/>
    <n v="4"/>
    <n v="2267.1999999999998"/>
    <n v="9068.7999999999993"/>
    <n v="6622.46"/>
    <n v="2446.34"/>
    <s v="Net Banking"/>
  </r>
  <r>
    <s v="ORD102537"/>
    <s v="2025-05-29"/>
    <x v="3"/>
    <s v="South"/>
    <s v="Telangana"/>
    <s v="Hyderabad"/>
    <x v="2"/>
    <x v="4"/>
    <s v="CUST1042"/>
    <s v="SP_05"/>
    <n v="5"/>
    <n v="2533.54"/>
    <n v="12667.7"/>
    <n v="8088.68"/>
    <n v="4579.0200000000004"/>
    <s v="Credit Card"/>
  </r>
  <r>
    <s v="ORD102538"/>
    <s v="2025-04-25"/>
    <x v="0"/>
    <s v="West"/>
    <s v="Gujarat"/>
    <s v="Ahmedabad"/>
    <x v="2"/>
    <x v="2"/>
    <s v="CUST1189"/>
    <s v="SP_01"/>
    <n v="7"/>
    <n v="49485.29"/>
    <n v="346397.03"/>
    <n v="244230.07"/>
    <n v="102166.96"/>
    <s v="Net Banking"/>
  </r>
  <r>
    <s v="ORD102539"/>
    <s v="2025-08-05"/>
    <x v="11"/>
    <s v="East"/>
    <s v="West Bengal"/>
    <s v="Kolkata"/>
    <x v="0"/>
    <x v="8"/>
    <s v="CUST1080"/>
    <s v="SP_07"/>
    <n v="1"/>
    <n v="19853.77"/>
    <n v="19853.77"/>
    <n v="17762.87"/>
    <n v="2090.9"/>
    <s v="Credit Card"/>
  </r>
  <r>
    <s v="ORD102540"/>
    <s v="2025-06-03"/>
    <x v="2"/>
    <s v="South"/>
    <s v="Tamil Nadu"/>
    <s v="Chennai"/>
    <x v="3"/>
    <x v="7"/>
    <s v="CUST1574"/>
    <s v="SP_02"/>
    <n v="2"/>
    <n v="12409.3"/>
    <n v="24818.6"/>
    <n v="18521.07"/>
    <n v="6297.53"/>
    <s v="Cash"/>
  </r>
  <r>
    <s v="ORD102541"/>
    <s v="2025-09-05"/>
    <x v="5"/>
    <s v="East"/>
    <s v="Odisha"/>
    <s v="Bhubaneswar"/>
    <x v="1"/>
    <x v="5"/>
    <s v="CUST1120"/>
    <s v="SP_07"/>
    <n v="5"/>
    <n v="8597.69"/>
    <n v="42988.45"/>
    <n v="37236.550000000003"/>
    <n v="5751.9"/>
    <s v="Debit Card"/>
  </r>
  <r>
    <s v="ORD102542"/>
    <s v="2025-02-15"/>
    <x v="8"/>
    <s v="North"/>
    <s v="Punjab"/>
    <s v="Chandigarh"/>
    <x v="0"/>
    <x v="9"/>
    <s v="CUST1396"/>
    <s v="SP_01"/>
    <n v="4"/>
    <n v="7276.59"/>
    <n v="29106.36"/>
    <n v="19445.93"/>
    <n v="9660.43"/>
    <s v="UPI"/>
  </r>
  <r>
    <s v="ORD102543"/>
    <s v="2025-05-29"/>
    <x v="3"/>
    <s v="North"/>
    <s v="Uttar Pradesh"/>
    <s v="Lucknow"/>
    <x v="3"/>
    <x v="7"/>
    <s v="CUST1860"/>
    <s v="SP_02"/>
    <n v="6"/>
    <n v="11569.79"/>
    <n v="69418.740000000005"/>
    <n v="51793.15"/>
    <n v="17625.59"/>
    <s v="Credit Card"/>
  </r>
  <r>
    <s v="ORD102544"/>
    <s v="2025-07-31"/>
    <x v="6"/>
    <s v="North"/>
    <s v="Delhi"/>
    <s v="Delhi"/>
    <x v="0"/>
    <x v="0"/>
    <s v="CUST1373"/>
    <s v="SP_05"/>
    <n v="6"/>
    <n v="3420.43"/>
    <n v="20522.580000000002"/>
    <n v="13825.96"/>
    <n v="6696.62"/>
    <s v="Net Banking"/>
  </r>
  <r>
    <s v="ORD102545"/>
    <s v="2025-01-25"/>
    <x v="9"/>
    <s v="East"/>
    <s v="Bihar"/>
    <s v="Patna"/>
    <x v="1"/>
    <x v="1"/>
    <s v="CUST1219"/>
    <s v="SP_03"/>
    <n v="6"/>
    <n v="2739.16"/>
    <n v="16434.96"/>
    <n v="11788.04"/>
    <n v="4646.92"/>
    <s v="Cash"/>
  </r>
  <r>
    <s v="ORD102546"/>
    <s v="2025-10-07"/>
    <x v="1"/>
    <s v="East"/>
    <s v="Bihar"/>
    <s v="Patna"/>
    <x v="1"/>
    <x v="5"/>
    <s v="CUST1757"/>
    <s v="SP_15"/>
    <n v="8"/>
    <n v="9488.36"/>
    <n v="75906.880000000005"/>
    <n v="58152.92"/>
    <n v="17753.96"/>
    <s v="Net Banking"/>
  </r>
  <r>
    <s v="ORD102547"/>
    <s v="2025-12-22"/>
    <x v="7"/>
    <s v="West"/>
    <s v="Gujarat"/>
    <s v="Ahmedabad"/>
    <x v="1"/>
    <x v="1"/>
    <s v="CUST1575"/>
    <s v="SP_05"/>
    <n v="8"/>
    <n v="2721.17"/>
    <n v="21769.360000000001"/>
    <n v="14762.05"/>
    <n v="7007.31"/>
    <s v="Debit Card"/>
  </r>
  <r>
    <s v="ORD102548"/>
    <s v="2025-11-14"/>
    <x v="10"/>
    <s v="North"/>
    <s v="Punjab"/>
    <s v="Chandigarh"/>
    <x v="0"/>
    <x v="0"/>
    <s v="CUST1164"/>
    <s v="SP_09"/>
    <n v="5"/>
    <n v="3688.46"/>
    <n v="18442.3"/>
    <n v="11092.43"/>
    <n v="7349.87"/>
    <s v="UPI"/>
  </r>
  <r>
    <s v="ORD102549"/>
    <s v="2025-07-04"/>
    <x v="6"/>
    <s v="West"/>
    <s v="Gujarat"/>
    <s v="Ahmedabad"/>
    <x v="2"/>
    <x v="10"/>
    <s v="CUST1541"/>
    <s v="SP_02"/>
    <n v="5"/>
    <n v="17959.759999999998"/>
    <n v="89798.8"/>
    <n v="66625.97"/>
    <n v="23172.83"/>
    <s v="Debit Card"/>
  </r>
  <r>
    <s v="ORD102550"/>
    <s v="2025-12-14"/>
    <x v="7"/>
    <s v="North"/>
    <s v="Uttar Pradesh"/>
    <s v="Lucknow"/>
    <x v="1"/>
    <x v="1"/>
    <s v="CUST1720"/>
    <s v="SP_11"/>
    <n v="5"/>
    <n v="2742.13"/>
    <n v="13710.65"/>
    <n v="9673.6"/>
    <n v="4037.05"/>
    <s v="Net Banking"/>
  </r>
  <r>
    <s v="ORD102551"/>
    <s v="2025-02-28"/>
    <x v="8"/>
    <s v="South"/>
    <s v="Karnataka"/>
    <s v="Bengaluru"/>
    <x v="3"/>
    <x v="3"/>
    <s v="CUST1300"/>
    <s v="SP_09"/>
    <n v="4"/>
    <n v="24.35"/>
    <n v="97.4"/>
    <n v="40.369999999999997"/>
    <n v="57.03"/>
    <s v="Net Banking"/>
  </r>
  <r>
    <s v="ORD102552"/>
    <s v="2025-11-29"/>
    <x v="10"/>
    <s v="South"/>
    <s v="Telangana"/>
    <s v="Hyderabad"/>
    <x v="0"/>
    <x v="0"/>
    <s v="CUST1475"/>
    <s v="SP_08"/>
    <n v="8"/>
    <n v="3524.41"/>
    <n v="28195.279999999999"/>
    <n v="17891.240000000002"/>
    <n v="10304.040000000001"/>
    <s v="Debit Card"/>
  </r>
  <r>
    <s v="ORD102553"/>
    <s v="2025-01-25"/>
    <x v="9"/>
    <s v="East"/>
    <s v="Bihar"/>
    <s v="Patna"/>
    <x v="3"/>
    <x v="3"/>
    <s v="CUST1220"/>
    <s v="SP_07"/>
    <n v="6"/>
    <n v="26.96"/>
    <n v="161.76"/>
    <n v="60.81"/>
    <n v="100.95"/>
    <s v="Cash"/>
  </r>
  <r>
    <s v="ORD102554"/>
    <s v="2025-11-24"/>
    <x v="10"/>
    <s v="North"/>
    <s v="Delhi"/>
    <s v="Delhi"/>
    <x v="3"/>
    <x v="7"/>
    <s v="CUST1343"/>
    <s v="SP_07"/>
    <n v="8"/>
    <n v="13190.46"/>
    <n v="105523.68"/>
    <n v="72724.820000000007"/>
    <n v="32798.86"/>
    <s v="Net Banking"/>
  </r>
  <r>
    <s v="ORD102555"/>
    <s v="2025-09-09"/>
    <x v="5"/>
    <s v="North"/>
    <s v="Delhi"/>
    <s v="Delhi"/>
    <x v="3"/>
    <x v="3"/>
    <s v="CUST1418"/>
    <s v="SP_04"/>
    <n v="2"/>
    <n v="23.02"/>
    <n v="46.04"/>
    <n v="19.079999999999998"/>
    <n v="26.96"/>
    <s v="Net Banking"/>
  </r>
  <r>
    <s v="ORD102556"/>
    <s v="2025-01-12"/>
    <x v="9"/>
    <s v="East"/>
    <s v="Odisha"/>
    <s v="Bhubaneswar"/>
    <x v="0"/>
    <x v="0"/>
    <s v="CUST1868"/>
    <s v="SP_08"/>
    <n v="3"/>
    <n v="3785.59"/>
    <n v="11356.77"/>
    <n v="6640.93"/>
    <n v="4715.84"/>
    <s v="Credit Card"/>
  </r>
  <r>
    <s v="ORD102557"/>
    <s v="2025-04-20"/>
    <x v="0"/>
    <s v="South"/>
    <s v="Tamil Nadu"/>
    <s v="Chennai"/>
    <x v="0"/>
    <x v="0"/>
    <s v="CUST1842"/>
    <s v="SP_14"/>
    <n v="4"/>
    <n v="3239.01"/>
    <n v="12956.04"/>
    <n v="8518.5499999999993"/>
    <n v="4437.49"/>
    <s v="Debit Card"/>
  </r>
  <r>
    <s v="ORD102558"/>
    <s v="2025-08-18"/>
    <x v="11"/>
    <s v="North"/>
    <s v="Uttar Pradesh"/>
    <s v="Lucknow"/>
    <x v="1"/>
    <x v="1"/>
    <s v="CUST1810"/>
    <s v="SP_02"/>
    <n v="7"/>
    <n v="2775.24"/>
    <n v="19426.68"/>
    <n v="13069.6"/>
    <n v="6357.08"/>
    <s v="Credit Card"/>
  </r>
  <r>
    <s v="ORD102559"/>
    <s v="2025-06-10"/>
    <x v="2"/>
    <s v="West"/>
    <s v="Rajasthan"/>
    <s v="Jaipur"/>
    <x v="2"/>
    <x v="4"/>
    <s v="CUST1357"/>
    <s v="SP_10"/>
    <n v="8"/>
    <n v="2664.26"/>
    <n v="21314.080000000002"/>
    <n v="12940.82"/>
    <n v="8373.26"/>
    <s v="UPI"/>
  </r>
  <r>
    <s v="ORD102560"/>
    <s v="2025-02-15"/>
    <x v="8"/>
    <s v="North"/>
    <s v="Delhi"/>
    <s v="Delhi"/>
    <x v="0"/>
    <x v="8"/>
    <s v="CUST1105"/>
    <s v="SP_14"/>
    <n v="3"/>
    <n v="20655.099999999999"/>
    <n v="61965.3"/>
    <n v="52858.559999999998"/>
    <n v="9106.74"/>
    <s v="Credit Card"/>
  </r>
  <r>
    <s v="ORD102561"/>
    <s v="2025-07-19"/>
    <x v="6"/>
    <s v="East"/>
    <s v="West Bengal"/>
    <s v="Kolkata"/>
    <x v="0"/>
    <x v="9"/>
    <s v="CUST1044"/>
    <s v="SP_05"/>
    <n v="1"/>
    <n v="6872.42"/>
    <n v="6872.42"/>
    <n v="4798.1499999999996"/>
    <n v="2074.27"/>
    <s v="Credit Card"/>
  </r>
  <r>
    <s v="ORD102562"/>
    <s v="2025-04-07"/>
    <x v="0"/>
    <s v="West"/>
    <s v="Maharashtra"/>
    <s v="Mumbai"/>
    <x v="0"/>
    <x v="0"/>
    <s v="CUST1594"/>
    <s v="SP_08"/>
    <n v="3"/>
    <n v="3671.56"/>
    <n v="11014.68"/>
    <n v="6363.3"/>
    <n v="4651.38"/>
    <s v="Net Banking"/>
  </r>
  <r>
    <s v="ORD102563"/>
    <s v="2025-10-30"/>
    <x v="1"/>
    <s v="East"/>
    <s v="Odisha"/>
    <s v="Bhubaneswar"/>
    <x v="3"/>
    <x v="3"/>
    <s v="CUST1233"/>
    <s v="SP_11"/>
    <n v="1"/>
    <n v="26.92"/>
    <n v="26.92"/>
    <n v="10.38"/>
    <n v="16.54"/>
    <s v="Debit Card"/>
  </r>
  <r>
    <s v="ORD102564"/>
    <s v="2025-10-31"/>
    <x v="1"/>
    <s v="North"/>
    <s v="Delhi"/>
    <s v="Delhi"/>
    <x v="2"/>
    <x v="4"/>
    <s v="CUST1953"/>
    <s v="SP_09"/>
    <n v="4"/>
    <n v="2569.77"/>
    <n v="10279.08"/>
    <n v="6649.4"/>
    <n v="3629.68"/>
    <s v="Debit Card"/>
  </r>
  <r>
    <s v="ORD102565"/>
    <s v="2025-06-02"/>
    <x v="2"/>
    <s v="East"/>
    <s v="Bihar"/>
    <s v="Patna"/>
    <x v="2"/>
    <x v="4"/>
    <s v="CUST1883"/>
    <s v="SP_15"/>
    <n v="4"/>
    <n v="2578.83"/>
    <n v="10315.32"/>
    <n v="6553.77"/>
    <n v="3761.55"/>
    <s v="Debit Card"/>
  </r>
  <r>
    <s v="ORD102566"/>
    <s v="2025-07-04"/>
    <x v="6"/>
    <s v="West"/>
    <s v="Gujarat"/>
    <s v="Ahmedabad"/>
    <x v="0"/>
    <x v="8"/>
    <s v="CUST1728"/>
    <s v="SP_14"/>
    <n v="6"/>
    <n v="20175.509999999998"/>
    <n v="121053.06"/>
    <n v="98369"/>
    <n v="22684.06"/>
    <s v="Credit Card"/>
  </r>
  <r>
    <s v="ORD102567"/>
    <s v="2025-12-21"/>
    <x v="7"/>
    <s v="East"/>
    <s v="Odisha"/>
    <s v="Bhubaneswar"/>
    <x v="3"/>
    <x v="11"/>
    <s v="CUST1471"/>
    <s v="SP_05"/>
    <n v="1"/>
    <n v="114.4"/>
    <n v="114.4"/>
    <n v="62.32"/>
    <n v="52.08"/>
    <s v="Net Banking"/>
  </r>
  <r>
    <s v="ORD102568"/>
    <s v="2025-10-03"/>
    <x v="1"/>
    <s v="East"/>
    <s v="West Bengal"/>
    <s v="Kolkata"/>
    <x v="2"/>
    <x v="10"/>
    <s v="CUST1238"/>
    <s v="SP_03"/>
    <n v="1"/>
    <n v="19604.689999999999"/>
    <n v="19604.689999999999"/>
    <n v="13766.1"/>
    <n v="5838.59"/>
    <s v="Credit Card"/>
  </r>
  <r>
    <s v="ORD102569"/>
    <s v="2025-04-25"/>
    <x v="0"/>
    <s v="North"/>
    <s v="Punjab"/>
    <s v="Chandigarh"/>
    <x v="2"/>
    <x v="2"/>
    <s v="CUST1767"/>
    <s v="SP_11"/>
    <n v="1"/>
    <n v="48514.65"/>
    <n v="48514.65"/>
    <n v="35402.36"/>
    <n v="13112.29"/>
    <s v="Debit Card"/>
  </r>
  <r>
    <s v="ORD102570"/>
    <s v="2025-03-17"/>
    <x v="4"/>
    <s v="East"/>
    <s v="Odisha"/>
    <s v="Bhubaneswar"/>
    <x v="3"/>
    <x v="3"/>
    <s v="CUST1483"/>
    <s v="SP_01"/>
    <n v="5"/>
    <n v="26.99"/>
    <n v="134.94999999999999"/>
    <n v="50.25"/>
    <n v="84.7"/>
    <s v="Net Banking"/>
  </r>
  <r>
    <s v="ORD102571"/>
    <s v="2025-11-01"/>
    <x v="10"/>
    <s v="West"/>
    <s v="Maharashtra"/>
    <s v="Mumbai"/>
    <x v="1"/>
    <x v="6"/>
    <s v="CUST1604"/>
    <s v="SP_12"/>
    <n v="4"/>
    <n v="3443.3"/>
    <n v="13773.2"/>
    <n v="9799.89"/>
    <n v="3973.31"/>
    <s v="Credit Card"/>
  </r>
  <r>
    <s v="ORD102572"/>
    <s v="2025-07-15"/>
    <x v="6"/>
    <s v="East"/>
    <s v="Odisha"/>
    <s v="Bhubaneswar"/>
    <x v="3"/>
    <x v="11"/>
    <s v="CUST1840"/>
    <s v="SP_13"/>
    <n v="7"/>
    <n v="129.09"/>
    <n v="903.63"/>
    <n v="433.58"/>
    <n v="470.05"/>
    <s v="UPI"/>
  </r>
  <r>
    <s v="ORD102573"/>
    <s v="2025-03-25"/>
    <x v="4"/>
    <s v="North"/>
    <s v="Punjab"/>
    <s v="Chandigarh"/>
    <x v="1"/>
    <x v="1"/>
    <s v="CUST1175"/>
    <s v="SP_09"/>
    <n v="2"/>
    <n v="2701.06"/>
    <n v="5402.12"/>
    <n v="3650.41"/>
    <n v="1751.71"/>
    <s v="Debit Card"/>
  </r>
  <r>
    <s v="ORD102574"/>
    <s v="2025-02-13"/>
    <x v="8"/>
    <s v="South"/>
    <s v="Tamil Nadu"/>
    <s v="Chennai"/>
    <x v="1"/>
    <x v="1"/>
    <s v="CUST1984"/>
    <s v="SP_03"/>
    <n v="5"/>
    <n v="2561.54"/>
    <n v="12807.7"/>
    <n v="9877.9500000000007"/>
    <n v="2929.75"/>
    <s v="Credit Card"/>
  </r>
  <r>
    <s v="ORD102575"/>
    <s v="2025-12-08"/>
    <x v="7"/>
    <s v="South"/>
    <s v="Tamil Nadu"/>
    <s v="Chennai"/>
    <x v="1"/>
    <x v="6"/>
    <s v="CUST1159"/>
    <s v="SP_07"/>
    <n v="1"/>
    <n v="2954.02"/>
    <n v="2954.02"/>
    <n v="2370.59"/>
    <n v="583.42999999999995"/>
    <s v="Debit Card"/>
  </r>
  <r>
    <s v="ORD102576"/>
    <s v="2025-04-27"/>
    <x v="0"/>
    <s v="North"/>
    <s v="Punjab"/>
    <s v="Chandigarh"/>
    <x v="1"/>
    <x v="5"/>
    <s v="CUST1314"/>
    <s v="SP_12"/>
    <n v="1"/>
    <n v="8853.7999999999993"/>
    <n v="8853.7999999999993"/>
    <n v="7294.56"/>
    <n v="1559.24"/>
    <s v="Debit Card"/>
  </r>
  <r>
    <s v="ORD102577"/>
    <s v="2025-05-15"/>
    <x v="3"/>
    <s v="South"/>
    <s v="Telangana"/>
    <s v="Hyderabad"/>
    <x v="3"/>
    <x v="7"/>
    <s v="CUST1692"/>
    <s v="SP_08"/>
    <n v="3"/>
    <n v="11143.95"/>
    <n v="33431.85"/>
    <n v="27640.11"/>
    <n v="5791.74"/>
    <s v="UPI"/>
  </r>
  <r>
    <s v="ORD102578"/>
    <s v="2025-04-27"/>
    <x v="0"/>
    <s v="South"/>
    <s v="Tamil Nadu"/>
    <s v="Chennai"/>
    <x v="1"/>
    <x v="5"/>
    <s v="CUST1605"/>
    <s v="SP_02"/>
    <n v="3"/>
    <n v="8717.5300000000007"/>
    <n v="26152.59"/>
    <n v="23099.58"/>
    <n v="3053.01"/>
    <s v="Credit Card"/>
  </r>
  <r>
    <s v="ORD102579"/>
    <s v="2025-12-18"/>
    <x v="7"/>
    <s v="North"/>
    <s v="Uttar Pradesh"/>
    <s v="Lucknow"/>
    <x v="3"/>
    <x v="3"/>
    <s v="CUST1467"/>
    <s v="SP_07"/>
    <n v="8"/>
    <n v="26.53"/>
    <n v="212.24"/>
    <n v="82.01"/>
    <n v="130.22999999999999"/>
    <s v="Credit Card"/>
  </r>
  <r>
    <s v="ORD102580"/>
    <s v="2025-05-07"/>
    <x v="3"/>
    <s v="West"/>
    <s v="Gujarat"/>
    <s v="Ahmedabad"/>
    <x v="3"/>
    <x v="11"/>
    <s v="CUST1421"/>
    <s v="SP_14"/>
    <n v="3"/>
    <n v="131.06"/>
    <n v="393.18"/>
    <n v="175.41"/>
    <n v="217.77"/>
    <s v="Credit Card"/>
  </r>
  <r>
    <s v="ORD102581"/>
    <s v="2025-09-29"/>
    <x v="5"/>
    <s v="West"/>
    <s v="Maharashtra"/>
    <s v="Mumbai"/>
    <x v="0"/>
    <x v="0"/>
    <s v="CUST1936"/>
    <s v="SP_06"/>
    <n v="1"/>
    <n v="3601.49"/>
    <n v="3601.49"/>
    <n v="2168.67"/>
    <n v="1432.82"/>
    <s v="Cash"/>
  </r>
  <r>
    <s v="ORD102582"/>
    <s v="2025-05-13"/>
    <x v="3"/>
    <s v="East"/>
    <s v="West Bengal"/>
    <s v="Kolkata"/>
    <x v="0"/>
    <x v="9"/>
    <s v="CUST1326"/>
    <s v="SP_13"/>
    <n v="2"/>
    <n v="7649.25"/>
    <n v="15298.5"/>
    <n v="10137.44"/>
    <n v="5161.0600000000004"/>
    <s v="Cash"/>
  </r>
  <r>
    <s v="ORD102583"/>
    <s v="2025-12-21"/>
    <x v="7"/>
    <s v="East"/>
    <s v="Bihar"/>
    <s v="Patna"/>
    <x v="3"/>
    <x v="7"/>
    <s v="CUST1562"/>
    <s v="SP_03"/>
    <n v="7"/>
    <n v="11479.68"/>
    <n v="80357.759999999995"/>
    <n v="61320.33"/>
    <n v="19037.43"/>
    <s v="Debit Card"/>
  </r>
  <r>
    <s v="ORD102584"/>
    <s v="2025-08-18"/>
    <x v="11"/>
    <s v="South"/>
    <s v="Karnataka"/>
    <s v="Bengaluru"/>
    <x v="3"/>
    <x v="3"/>
    <s v="CUST1840"/>
    <s v="SP_05"/>
    <n v="6"/>
    <n v="23.31"/>
    <n v="139.86000000000001"/>
    <n v="61.49"/>
    <n v="78.37"/>
    <s v="Debit Card"/>
  </r>
  <r>
    <s v="ORD102585"/>
    <s v="2025-12-18"/>
    <x v="7"/>
    <s v="North"/>
    <s v="Uttar Pradesh"/>
    <s v="Lucknow"/>
    <x v="3"/>
    <x v="11"/>
    <s v="CUST1000"/>
    <s v="SP_05"/>
    <n v="8"/>
    <n v="116.63"/>
    <n v="933.04"/>
    <n v="496.12"/>
    <n v="436.92"/>
    <s v="Net Banking"/>
  </r>
  <r>
    <s v="ORD102586"/>
    <s v="2025-07-14"/>
    <x v="6"/>
    <s v="East"/>
    <s v="Bihar"/>
    <s v="Patna"/>
    <x v="0"/>
    <x v="8"/>
    <s v="CUST1968"/>
    <s v="SP_04"/>
    <n v="3"/>
    <n v="20497.830000000002"/>
    <n v="61493.49"/>
    <n v="52153.57"/>
    <n v="9339.92"/>
    <s v="Net Banking"/>
  </r>
  <r>
    <s v="ORD102587"/>
    <s v="2025-03-24"/>
    <x v="4"/>
    <s v="South"/>
    <s v="Tamil Nadu"/>
    <s v="Chennai"/>
    <x v="1"/>
    <x v="5"/>
    <s v="CUST1257"/>
    <s v="SP_02"/>
    <n v="1"/>
    <n v="9688.35"/>
    <n v="9688.35"/>
    <n v="7420.35"/>
    <n v="2268"/>
    <s v="Credit Card"/>
  </r>
  <r>
    <s v="ORD102588"/>
    <s v="2025-08-29"/>
    <x v="11"/>
    <s v="West"/>
    <s v="Rajasthan"/>
    <s v="Jaipur"/>
    <x v="1"/>
    <x v="6"/>
    <s v="CUST1086"/>
    <s v="SP_01"/>
    <n v="7"/>
    <n v="3420.72"/>
    <n v="23945.040000000001"/>
    <n v="16839.509999999998"/>
    <n v="7105.53"/>
    <s v="Net Banking"/>
  </r>
  <r>
    <s v="ORD102589"/>
    <s v="2025-10-08"/>
    <x v="1"/>
    <s v="North"/>
    <s v="Uttar Pradesh"/>
    <s v="Lucknow"/>
    <x v="1"/>
    <x v="5"/>
    <s v="CUST1766"/>
    <s v="SP_05"/>
    <n v="6"/>
    <n v="10171.76"/>
    <n v="61030.559999999998"/>
    <n v="45539.45"/>
    <n v="15491.11"/>
    <s v="Net Banking"/>
  </r>
  <r>
    <s v="ORD102590"/>
    <s v="2025-09-14"/>
    <x v="5"/>
    <s v="North"/>
    <s v="Uttar Pradesh"/>
    <s v="Lucknow"/>
    <x v="1"/>
    <x v="5"/>
    <s v="CUST1545"/>
    <s v="SP_02"/>
    <n v="8"/>
    <n v="9824.61"/>
    <n v="78596.88"/>
    <n v="58951.98"/>
    <n v="19644.900000000001"/>
    <s v="UPI"/>
  </r>
  <r>
    <s v="ORD102591"/>
    <s v="2025-07-09"/>
    <x v="6"/>
    <s v="North"/>
    <s v="Uttar Pradesh"/>
    <s v="Lucknow"/>
    <x v="3"/>
    <x v="11"/>
    <s v="CUST1962"/>
    <s v="SP_14"/>
    <n v="5"/>
    <n v="131.47"/>
    <n v="657.35"/>
    <n v="307.39999999999998"/>
    <n v="349.95"/>
    <s v="Debit Card"/>
  </r>
  <r>
    <s v="ORD102592"/>
    <s v="2025-07-16"/>
    <x v="6"/>
    <s v="West"/>
    <s v="Maharashtra"/>
    <s v="Mumbai"/>
    <x v="0"/>
    <x v="9"/>
    <s v="CUST1218"/>
    <s v="SP_01"/>
    <n v="2"/>
    <n v="6992.28"/>
    <n v="13984.56"/>
    <n v="9732.48"/>
    <n v="4252.08"/>
    <s v="Credit Card"/>
  </r>
  <r>
    <s v="ORD102593"/>
    <s v="2025-01-03"/>
    <x v="9"/>
    <s v="East"/>
    <s v="Odisha"/>
    <s v="Bhubaneswar"/>
    <x v="0"/>
    <x v="9"/>
    <s v="CUST1599"/>
    <s v="SP_14"/>
    <n v="5"/>
    <n v="6845.14"/>
    <n v="34225.699999999997"/>
    <n v="25030.17"/>
    <n v="9195.5300000000007"/>
    <s v="Net Banking"/>
  </r>
  <r>
    <s v="ORD102594"/>
    <s v="2025-01-12"/>
    <x v="9"/>
    <s v="South"/>
    <s v="Karnataka"/>
    <s v="Bengaluru"/>
    <x v="3"/>
    <x v="7"/>
    <s v="CUST1640"/>
    <s v="SP_15"/>
    <n v="1"/>
    <n v="12536.07"/>
    <n v="12536.07"/>
    <n v="9130.1200000000008"/>
    <n v="3405.95"/>
    <s v="Net Banking"/>
  </r>
  <r>
    <s v="ORD102595"/>
    <s v="2025-06-20"/>
    <x v="2"/>
    <s v="West"/>
    <s v="Rajasthan"/>
    <s v="Jaipur"/>
    <x v="1"/>
    <x v="5"/>
    <s v="CUST1417"/>
    <s v="SP_04"/>
    <n v="2"/>
    <n v="10410.56"/>
    <n v="20821.12"/>
    <n v="15329.05"/>
    <n v="5492.07"/>
    <s v="Debit Card"/>
  </r>
  <r>
    <s v="ORD102596"/>
    <s v="2025-01-28"/>
    <x v="9"/>
    <s v="North"/>
    <s v="Punjab"/>
    <s v="Chandigarh"/>
    <x v="3"/>
    <x v="7"/>
    <s v="CUST1723"/>
    <s v="SP_15"/>
    <n v="2"/>
    <n v="12381.72"/>
    <n v="24763.439999999999"/>
    <n v="18792.419999999998"/>
    <n v="5971.02"/>
    <s v="Net Banking"/>
  </r>
  <r>
    <s v="ORD102597"/>
    <s v="2025-06-07"/>
    <x v="2"/>
    <s v="South"/>
    <s v="Karnataka"/>
    <s v="Bengaluru"/>
    <x v="2"/>
    <x v="4"/>
    <s v="CUST1122"/>
    <s v="SP_06"/>
    <n v="5"/>
    <n v="2576.6799999999998"/>
    <n v="12883.4"/>
    <n v="7798.59"/>
    <n v="5084.8100000000004"/>
    <s v="Net Banking"/>
  </r>
  <r>
    <s v="ORD102598"/>
    <s v="2025-08-26"/>
    <x v="11"/>
    <s v="North"/>
    <s v="Punjab"/>
    <s v="Chandigarh"/>
    <x v="2"/>
    <x v="10"/>
    <s v="CUST1741"/>
    <s v="SP_03"/>
    <n v="7"/>
    <n v="18699.3"/>
    <n v="130895.1"/>
    <n v="96260.03"/>
    <n v="34635.07"/>
    <s v="Net Banking"/>
  </r>
  <r>
    <s v="ORD102599"/>
    <s v="2025-11-29"/>
    <x v="10"/>
    <s v="East"/>
    <s v="Bihar"/>
    <s v="Patna"/>
    <x v="1"/>
    <x v="5"/>
    <s v="CUST1488"/>
    <s v="SP_02"/>
    <n v="8"/>
    <n v="9003.35"/>
    <n v="72026.8"/>
    <n v="57896.67"/>
    <n v="14130.13"/>
    <s v="Credit Card"/>
  </r>
  <r>
    <s v="ORD102600"/>
    <s v="2025-10-31"/>
    <x v="1"/>
    <s v="North"/>
    <s v="Delhi"/>
    <s v="Delhi"/>
    <x v="3"/>
    <x v="3"/>
    <s v="CUST1761"/>
    <s v="SP_09"/>
    <n v="4"/>
    <n v="26.66"/>
    <n v="106.64"/>
    <n v="40.1"/>
    <n v="66.540000000000006"/>
    <s v="Cash"/>
  </r>
  <r>
    <s v="ORD102601"/>
    <s v="2025-04-19"/>
    <x v="0"/>
    <s v="South"/>
    <s v="Tamil Nadu"/>
    <s v="Chennai"/>
    <x v="2"/>
    <x v="4"/>
    <s v="CUST1678"/>
    <s v="SP_09"/>
    <n v="8"/>
    <n v="2328.5"/>
    <n v="18628"/>
    <n v="12782.2"/>
    <n v="5845.8"/>
    <s v="Net Banking"/>
  </r>
  <r>
    <s v="ORD102602"/>
    <s v="2025-05-01"/>
    <x v="3"/>
    <s v="North"/>
    <s v="Delhi"/>
    <s v="Delhi"/>
    <x v="3"/>
    <x v="3"/>
    <s v="CUST1555"/>
    <s v="SP_01"/>
    <n v="2"/>
    <n v="23.52"/>
    <n v="47.04"/>
    <n v="20.2"/>
    <n v="26.84"/>
    <s v="Credit Card"/>
  </r>
  <r>
    <s v="ORD102603"/>
    <s v="2025-10-06"/>
    <x v="1"/>
    <s v="West"/>
    <s v="Maharashtra"/>
    <s v="Mumbai"/>
    <x v="2"/>
    <x v="10"/>
    <s v="CUST1391"/>
    <s v="SP_12"/>
    <n v="6"/>
    <n v="17040.16"/>
    <n v="102240.96000000001"/>
    <n v="83930.19"/>
    <n v="18310.77"/>
    <s v="Cash"/>
  </r>
  <r>
    <s v="ORD102604"/>
    <s v="2025-08-16"/>
    <x v="11"/>
    <s v="West"/>
    <s v="Maharashtra"/>
    <s v="Mumbai"/>
    <x v="1"/>
    <x v="6"/>
    <s v="CUST1142"/>
    <s v="SP_10"/>
    <n v="2"/>
    <n v="3026.64"/>
    <n v="6053.28"/>
    <n v="4805.47"/>
    <n v="1247.81"/>
    <s v="Debit Card"/>
  </r>
  <r>
    <s v="ORD102605"/>
    <s v="2025-07-18"/>
    <x v="6"/>
    <s v="West"/>
    <s v="Gujarat"/>
    <s v="Ahmedabad"/>
    <x v="2"/>
    <x v="10"/>
    <s v="CUST1860"/>
    <s v="SP_05"/>
    <n v="3"/>
    <n v="18602.060000000001"/>
    <n v="55806.18"/>
    <n v="43508.46"/>
    <n v="12297.72"/>
    <s v="Net Banking"/>
  </r>
  <r>
    <s v="ORD102606"/>
    <s v="2025-08-08"/>
    <x v="11"/>
    <s v="North"/>
    <s v="Uttar Pradesh"/>
    <s v="Lucknow"/>
    <x v="1"/>
    <x v="6"/>
    <s v="CUST1404"/>
    <s v="SP_08"/>
    <n v="5"/>
    <n v="3183.21"/>
    <n v="15916.05"/>
    <n v="12428.69"/>
    <n v="3487.36"/>
    <s v="Net Banking"/>
  </r>
  <r>
    <s v="ORD102607"/>
    <s v="2025-05-12"/>
    <x v="3"/>
    <s v="North"/>
    <s v="Punjab"/>
    <s v="Chandigarh"/>
    <x v="1"/>
    <x v="6"/>
    <s v="CUST1218"/>
    <s v="SP_05"/>
    <n v="2"/>
    <n v="3100.34"/>
    <n v="6200.68"/>
    <n v="4717.63"/>
    <n v="1483.05"/>
    <s v="UPI"/>
  </r>
  <r>
    <s v="ORD102608"/>
    <s v="2025-06-29"/>
    <x v="2"/>
    <s v="West"/>
    <s v="Maharashtra"/>
    <s v="Mumbai"/>
    <x v="3"/>
    <x v="7"/>
    <s v="CUST1632"/>
    <s v="SP_07"/>
    <n v="5"/>
    <n v="12571.75"/>
    <n v="62858.75"/>
    <n v="45038.61"/>
    <n v="17820.14"/>
    <s v="Net Banking"/>
  </r>
  <r>
    <s v="ORD102609"/>
    <s v="2025-03-26"/>
    <x v="4"/>
    <s v="East"/>
    <s v="Bihar"/>
    <s v="Patna"/>
    <x v="0"/>
    <x v="8"/>
    <s v="CUST1121"/>
    <s v="SP_09"/>
    <n v="7"/>
    <n v="22256.48"/>
    <n v="155795.35999999999"/>
    <n v="113573.55"/>
    <n v="42221.81"/>
    <s v="Cash"/>
  </r>
  <r>
    <s v="ORD102610"/>
    <s v="2025-12-09"/>
    <x v="7"/>
    <s v="North"/>
    <s v="Uttar Pradesh"/>
    <s v="Lucknow"/>
    <x v="3"/>
    <x v="11"/>
    <s v="CUST1788"/>
    <s v="SP_10"/>
    <n v="8"/>
    <n v="121.85"/>
    <n v="974.8"/>
    <n v="500.6"/>
    <n v="474.2"/>
    <s v="Credit Card"/>
  </r>
  <r>
    <s v="ORD102611"/>
    <s v="2025-09-09"/>
    <x v="5"/>
    <s v="South"/>
    <s v="Tamil Nadu"/>
    <s v="Chennai"/>
    <x v="2"/>
    <x v="4"/>
    <s v="CUST1962"/>
    <s v="SP_01"/>
    <n v="2"/>
    <n v="2524.85"/>
    <n v="5049.7"/>
    <n v="3231.53"/>
    <n v="1818.17"/>
    <s v="Credit Card"/>
  </r>
  <r>
    <s v="ORD102612"/>
    <s v="2025-04-11"/>
    <x v="0"/>
    <s v="North"/>
    <s v="Delhi"/>
    <s v="Delhi"/>
    <x v="3"/>
    <x v="7"/>
    <s v="CUST1388"/>
    <s v="SP_05"/>
    <n v="2"/>
    <n v="13071.38"/>
    <n v="26142.76"/>
    <n v="17931.21"/>
    <n v="8211.5499999999993"/>
    <s v="Cash"/>
  </r>
  <r>
    <s v="ORD102613"/>
    <s v="2025-11-03"/>
    <x v="10"/>
    <s v="North"/>
    <s v="Uttar Pradesh"/>
    <s v="Lucknow"/>
    <x v="0"/>
    <x v="0"/>
    <s v="CUST1211"/>
    <s v="SP_01"/>
    <n v="8"/>
    <n v="3169.84"/>
    <n v="25358.720000000001"/>
    <n v="17313.150000000001"/>
    <n v="8045.57"/>
    <s v="Credit Card"/>
  </r>
  <r>
    <s v="ORD102614"/>
    <s v="2025-12-04"/>
    <x v="7"/>
    <s v="North"/>
    <s v="Uttar Pradesh"/>
    <s v="Lucknow"/>
    <x v="2"/>
    <x v="10"/>
    <s v="CUST1480"/>
    <s v="SP_07"/>
    <n v="3"/>
    <n v="16683.63"/>
    <n v="50050.89"/>
    <n v="43834.97"/>
    <n v="6215.92"/>
    <s v="UPI"/>
  </r>
  <r>
    <s v="ORD102615"/>
    <s v="2025-09-05"/>
    <x v="5"/>
    <s v="East"/>
    <s v="Bihar"/>
    <s v="Patna"/>
    <x v="1"/>
    <x v="5"/>
    <s v="CUST1332"/>
    <s v="SP_08"/>
    <n v="1"/>
    <n v="9173.64"/>
    <n v="9173.64"/>
    <n v="7923.64"/>
    <n v="1250"/>
    <s v="Cash"/>
  </r>
  <r>
    <s v="ORD102616"/>
    <s v="2025-10-02"/>
    <x v="1"/>
    <s v="South"/>
    <s v="Tamil Nadu"/>
    <s v="Chennai"/>
    <x v="3"/>
    <x v="7"/>
    <s v="CUST1262"/>
    <s v="SP_14"/>
    <n v="1"/>
    <n v="12916.28"/>
    <n v="12916.28"/>
    <n v="9363.5499999999993"/>
    <n v="3552.73"/>
    <s v="Credit Card"/>
  </r>
  <r>
    <s v="ORD102617"/>
    <s v="2025-09-02"/>
    <x v="5"/>
    <s v="South"/>
    <s v="Karnataka"/>
    <s v="Bengaluru"/>
    <x v="2"/>
    <x v="10"/>
    <s v="CUST1676"/>
    <s v="SP_07"/>
    <n v="4"/>
    <n v="18582.759999999998"/>
    <n v="74331.039999999994"/>
    <n v="56772.72"/>
    <n v="17558.32"/>
    <s v="Credit Card"/>
  </r>
  <r>
    <s v="ORD102618"/>
    <s v="2025-06-19"/>
    <x v="2"/>
    <s v="North"/>
    <s v="Delhi"/>
    <s v="Delhi"/>
    <x v="3"/>
    <x v="7"/>
    <s v="CUST1720"/>
    <s v="SP_03"/>
    <n v="1"/>
    <n v="11811.76"/>
    <n v="11811.76"/>
    <n v="8693.3700000000008"/>
    <n v="3118.39"/>
    <s v="Credit Card"/>
  </r>
  <r>
    <s v="ORD102619"/>
    <s v="2025-01-13"/>
    <x v="9"/>
    <s v="North"/>
    <s v="Uttar Pradesh"/>
    <s v="Lucknow"/>
    <x v="0"/>
    <x v="0"/>
    <s v="CUST1138"/>
    <s v="SP_14"/>
    <n v="4"/>
    <n v="3457.55"/>
    <n v="13830.2"/>
    <n v="9209.08"/>
    <n v="4621.12"/>
    <s v="Debit Card"/>
  </r>
  <r>
    <s v="ORD102620"/>
    <s v="2025-02-24"/>
    <x v="8"/>
    <s v="North"/>
    <s v="Uttar Pradesh"/>
    <s v="Lucknow"/>
    <x v="1"/>
    <x v="1"/>
    <s v="CUST1342"/>
    <s v="SP_15"/>
    <n v="2"/>
    <n v="2710.82"/>
    <n v="5421.64"/>
    <n v="3930.53"/>
    <n v="1491.11"/>
    <s v="Debit Card"/>
  </r>
  <r>
    <s v="ORD102621"/>
    <s v="2025-04-30"/>
    <x v="0"/>
    <s v="South"/>
    <s v="Tamil Nadu"/>
    <s v="Chennai"/>
    <x v="0"/>
    <x v="8"/>
    <s v="CUST1434"/>
    <s v="SP_08"/>
    <n v="7"/>
    <n v="20405.349999999999"/>
    <n v="142837.45000000001"/>
    <n v="114236.71"/>
    <n v="28600.74"/>
    <s v="UPI"/>
  </r>
  <r>
    <s v="ORD102622"/>
    <s v="2025-04-11"/>
    <x v="0"/>
    <s v="South"/>
    <s v="Karnataka"/>
    <s v="Bengaluru"/>
    <x v="0"/>
    <x v="9"/>
    <s v="CUST1585"/>
    <s v="SP_03"/>
    <n v="5"/>
    <n v="6360.2"/>
    <n v="31801"/>
    <n v="24358.15"/>
    <n v="7442.85"/>
    <s v="Credit Card"/>
  </r>
  <r>
    <s v="ORD102623"/>
    <s v="2025-04-22"/>
    <x v="0"/>
    <s v="East"/>
    <s v="Odisha"/>
    <s v="Bhubaneswar"/>
    <x v="2"/>
    <x v="2"/>
    <s v="CUST1299"/>
    <s v="SP_05"/>
    <n v="3"/>
    <n v="42935.41"/>
    <n v="128806.23"/>
    <n v="101462.44"/>
    <n v="27343.79"/>
    <s v="Net Banking"/>
  </r>
  <r>
    <s v="ORD102624"/>
    <s v="2025-04-22"/>
    <x v="0"/>
    <s v="South"/>
    <s v="Tamil Nadu"/>
    <s v="Chennai"/>
    <x v="3"/>
    <x v="7"/>
    <s v="CUST1582"/>
    <s v="SP_02"/>
    <n v="5"/>
    <n v="12332.99"/>
    <n v="61664.95"/>
    <n v="46903.23"/>
    <n v="14761.72"/>
    <s v="Net Banking"/>
  </r>
  <r>
    <s v="ORD102625"/>
    <s v="2025-10-06"/>
    <x v="1"/>
    <s v="South"/>
    <s v="Karnataka"/>
    <s v="Bengaluru"/>
    <x v="2"/>
    <x v="10"/>
    <s v="CUST1946"/>
    <s v="SP_15"/>
    <n v="3"/>
    <n v="16869.27"/>
    <n v="50607.81"/>
    <n v="43308.31"/>
    <n v="7299.5"/>
    <s v="UPI"/>
  </r>
  <r>
    <s v="ORD102626"/>
    <s v="2025-04-02"/>
    <x v="0"/>
    <s v="North"/>
    <s v="Punjab"/>
    <s v="Chandigarh"/>
    <x v="0"/>
    <x v="9"/>
    <s v="CUST1625"/>
    <s v="SP_10"/>
    <n v="4"/>
    <n v="6406.83"/>
    <n v="25627.32"/>
    <n v="20536.939999999999"/>
    <n v="5090.38"/>
    <s v="UPI"/>
  </r>
  <r>
    <s v="ORD102627"/>
    <s v="2025-01-17"/>
    <x v="9"/>
    <s v="South"/>
    <s v="Karnataka"/>
    <s v="Bengaluru"/>
    <x v="3"/>
    <x v="11"/>
    <s v="CUST1598"/>
    <s v="SP_14"/>
    <n v="4"/>
    <n v="112.32"/>
    <n v="449.28"/>
    <n v="237.47"/>
    <n v="211.81"/>
    <s v="Debit Card"/>
  </r>
  <r>
    <s v="ORD102628"/>
    <s v="2025-02-16"/>
    <x v="8"/>
    <s v="North"/>
    <s v="Delhi"/>
    <s v="Delhi"/>
    <x v="1"/>
    <x v="1"/>
    <s v="CUST1348"/>
    <s v="SP_08"/>
    <n v="2"/>
    <n v="2848.81"/>
    <n v="5697.62"/>
    <n v="3699.3"/>
    <n v="1998.32"/>
    <s v="UPI"/>
  </r>
  <r>
    <s v="ORD102629"/>
    <s v="2025-05-08"/>
    <x v="3"/>
    <s v="East"/>
    <s v="Bihar"/>
    <s v="Patna"/>
    <x v="2"/>
    <x v="4"/>
    <s v="CUST1465"/>
    <s v="SP_14"/>
    <n v="2"/>
    <n v="2744.97"/>
    <n v="5489.94"/>
    <n v="3090.55"/>
    <n v="2399.39"/>
    <s v="Net Banking"/>
  </r>
  <r>
    <s v="ORD102630"/>
    <s v="2025-08-04"/>
    <x v="11"/>
    <s v="West"/>
    <s v="Gujarat"/>
    <s v="Ahmedabad"/>
    <x v="0"/>
    <x v="0"/>
    <s v="CUST1015"/>
    <s v="SP_09"/>
    <n v="7"/>
    <n v="3807.81"/>
    <n v="26654.67"/>
    <n v="15360.24"/>
    <n v="11294.43"/>
    <s v="UPI"/>
  </r>
  <r>
    <s v="ORD102631"/>
    <s v="2025-12-21"/>
    <x v="7"/>
    <s v="North"/>
    <s v="Delhi"/>
    <s v="Delhi"/>
    <x v="1"/>
    <x v="5"/>
    <s v="CUST1336"/>
    <s v="SP_07"/>
    <n v="3"/>
    <n v="8550.24"/>
    <n v="25650.720000000001"/>
    <n v="23725.75"/>
    <n v="1924.97"/>
    <s v="Credit Card"/>
  </r>
  <r>
    <s v="ORD102632"/>
    <s v="2025-07-01"/>
    <x v="6"/>
    <s v="South"/>
    <s v="Telangana"/>
    <s v="Hyderabad"/>
    <x v="0"/>
    <x v="9"/>
    <s v="CUST1785"/>
    <s v="SP_15"/>
    <n v="6"/>
    <n v="6942.6"/>
    <n v="41655.599999999999"/>
    <n v="31412.39"/>
    <n v="10243.209999999999"/>
    <s v="Credit Card"/>
  </r>
  <r>
    <s v="ORD102633"/>
    <s v="2025-10-17"/>
    <x v="1"/>
    <s v="East"/>
    <s v="Bihar"/>
    <s v="Patna"/>
    <x v="3"/>
    <x v="11"/>
    <s v="CUST1323"/>
    <s v="SP_08"/>
    <n v="8"/>
    <n v="121.25"/>
    <n v="970"/>
    <n v="459.22"/>
    <n v="510.78"/>
    <s v="Cash"/>
  </r>
  <r>
    <s v="ORD102634"/>
    <s v="2025-06-17"/>
    <x v="2"/>
    <s v="South"/>
    <s v="Karnataka"/>
    <s v="Bengaluru"/>
    <x v="3"/>
    <x v="7"/>
    <s v="CUST1456"/>
    <s v="SP_01"/>
    <n v="5"/>
    <n v="12501.53"/>
    <n v="62507.65"/>
    <n v="44562.53"/>
    <n v="17945.12"/>
    <s v="Net Banking"/>
  </r>
  <r>
    <s v="ORD102635"/>
    <s v="2025-03-30"/>
    <x v="4"/>
    <s v="South"/>
    <s v="Telangana"/>
    <s v="Hyderabad"/>
    <x v="1"/>
    <x v="1"/>
    <s v="CUST1770"/>
    <s v="SP_04"/>
    <n v="7"/>
    <n v="2858.38"/>
    <n v="20008.66"/>
    <n v="13050.17"/>
    <n v="6958.49"/>
    <s v="Debit Card"/>
  </r>
  <r>
    <s v="ORD102636"/>
    <s v="2025-12-14"/>
    <x v="7"/>
    <s v="West"/>
    <s v="Rajasthan"/>
    <s v="Jaipur"/>
    <x v="0"/>
    <x v="0"/>
    <s v="CUST1708"/>
    <s v="SP_03"/>
    <n v="7"/>
    <n v="3575.24"/>
    <n v="25026.68"/>
    <n v="15633.43"/>
    <n v="9393.25"/>
    <s v="UPI"/>
  </r>
  <r>
    <s v="ORD102637"/>
    <s v="2025-04-06"/>
    <x v="0"/>
    <s v="South"/>
    <s v="Telangana"/>
    <s v="Hyderabad"/>
    <x v="2"/>
    <x v="2"/>
    <s v="CUST1312"/>
    <s v="SP_02"/>
    <n v="4"/>
    <n v="42485.96"/>
    <n v="169943.84"/>
    <n v="145559.89000000001"/>
    <n v="24383.95"/>
    <s v="Credit Card"/>
  </r>
  <r>
    <s v="ORD102638"/>
    <s v="2025-08-14"/>
    <x v="11"/>
    <s v="West"/>
    <s v="Gujarat"/>
    <s v="Ahmedabad"/>
    <x v="3"/>
    <x v="3"/>
    <s v="CUST1356"/>
    <s v="SP_14"/>
    <n v="7"/>
    <n v="23.22"/>
    <n v="162.54"/>
    <n v="72.489999999999995"/>
    <n v="90.05"/>
    <s v="UPI"/>
  </r>
  <r>
    <s v="ORD102639"/>
    <s v="2025-06-02"/>
    <x v="2"/>
    <s v="East"/>
    <s v="West Bengal"/>
    <s v="Kolkata"/>
    <x v="2"/>
    <x v="2"/>
    <s v="CUST1075"/>
    <s v="SP_03"/>
    <n v="1"/>
    <n v="42933.54"/>
    <n v="42933.54"/>
    <n v="36367.39"/>
    <n v="6566.15"/>
    <s v="Credit Card"/>
  </r>
  <r>
    <s v="ORD102640"/>
    <s v="2025-12-28"/>
    <x v="7"/>
    <s v="West"/>
    <s v="Maharashtra"/>
    <s v="Mumbai"/>
    <x v="1"/>
    <x v="1"/>
    <s v="CUST1608"/>
    <s v="SP_15"/>
    <n v="5"/>
    <n v="2751.02"/>
    <n v="13755.1"/>
    <n v="9499.51"/>
    <n v="4255.59"/>
    <s v="Debit Card"/>
  </r>
  <r>
    <s v="ORD102641"/>
    <s v="2025-11-24"/>
    <x v="10"/>
    <s v="South"/>
    <s v="Telangana"/>
    <s v="Hyderabad"/>
    <x v="3"/>
    <x v="3"/>
    <s v="CUST1008"/>
    <s v="SP_10"/>
    <n v="5"/>
    <n v="24.76"/>
    <n v="123.8"/>
    <n v="49.56"/>
    <n v="74.239999999999995"/>
    <s v="Cash"/>
  </r>
  <r>
    <s v="ORD102642"/>
    <s v="2025-02-19"/>
    <x v="8"/>
    <s v="South"/>
    <s v="Karnataka"/>
    <s v="Bengaluru"/>
    <x v="3"/>
    <x v="3"/>
    <s v="CUST1000"/>
    <s v="SP_11"/>
    <n v="1"/>
    <n v="26.15"/>
    <n v="26.15"/>
    <n v="9.92"/>
    <n v="16.23"/>
    <s v="Debit Card"/>
  </r>
  <r>
    <s v="ORD102643"/>
    <s v="2025-08-11"/>
    <x v="11"/>
    <s v="North"/>
    <s v="Uttar Pradesh"/>
    <s v="Lucknow"/>
    <x v="0"/>
    <x v="8"/>
    <s v="CUST1491"/>
    <s v="SP_01"/>
    <n v="5"/>
    <n v="21461.68"/>
    <n v="107308.4"/>
    <n v="89192.52"/>
    <n v="18115.88"/>
    <s v="Cash"/>
  </r>
  <r>
    <s v="ORD102644"/>
    <s v="2025-06-21"/>
    <x v="2"/>
    <s v="West"/>
    <s v="Maharashtra"/>
    <s v="Mumbai"/>
    <x v="3"/>
    <x v="11"/>
    <s v="CUST1001"/>
    <s v="SP_06"/>
    <n v="3"/>
    <n v="131.32"/>
    <n v="393.96"/>
    <n v="177.83"/>
    <n v="216.13"/>
    <s v="Debit Card"/>
  </r>
  <r>
    <s v="ORD102645"/>
    <s v="2025-11-22"/>
    <x v="10"/>
    <s v="East"/>
    <s v="Odisha"/>
    <s v="Bhubaneswar"/>
    <x v="0"/>
    <x v="8"/>
    <s v="CUST1444"/>
    <s v="SP_10"/>
    <n v="2"/>
    <n v="22086.09"/>
    <n v="44172.18"/>
    <n v="33709.11"/>
    <n v="10463.07"/>
    <s v="Net Banking"/>
  </r>
  <r>
    <s v="ORD102646"/>
    <s v="2025-10-05"/>
    <x v="1"/>
    <s v="West"/>
    <s v="Gujarat"/>
    <s v="Ahmedabad"/>
    <x v="0"/>
    <x v="9"/>
    <s v="CUST1965"/>
    <s v="SP_09"/>
    <n v="4"/>
    <n v="7075.74"/>
    <n v="28302.959999999999"/>
    <n v="20325.75"/>
    <n v="7977.21"/>
    <s v="UPI"/>
  </r>
  <r>
    <s v="ORD102647"/>
    <s v="2025-02-11"/>
    <x v="8"/>
    <s v="North"/>
    <s v="Punjab"/>
    <s v="Chandigarh"/>
    <x v="0"/>
    <x v="9"/>
    <s v="CUST1661"/>
    <s v="SP_10"/>
    <n v="2"/>
    <n v="7509.2"/>
    <n v="15018.4"/>
    <n v="9779.75"/>
    <n v="5238.6499999999996"/>
    <s v="Net Banking"/>
  </r>
  <r>
    <s v="ORD102648"/>
    <s v="2025-01-31"/>
    <x v="9"/>
    <s v="West"/>
    <s v="Gujarat"/>
    <s v="Ahmedabad"/>
    <x v="1"/>
    <x v="5"/>
    <s v="CUST1070"/>
    <s v="SP_14"/>
    <n v="4"/>
    <n v="9645.9699999999993"/>
    <n v="38583.879999999997"/>
    <n v="30804.18"/>
    <n v="7779.7"/>
    <s v="UPI"/>
  </r>
  <r>
    <s v="ORD102649"/>
    <s v="2025-04-01"/>
    <x v="0"/>
    <s v="East"/>
    <s v="West Bengal"/>
    <s v="Kolkata"/>
    <x v="3"/>
    <x v="11"/>
    <s v="CUST1788"/>
    <s v="SP_04"/>
    <n v="3"/>
    <n v="115.87"/>
    <n v="347.61"/>
    <n v="187.72"/>
    <n v="159.88999999999999"/>
    <s v="Cash"/>
  </r>
  <r>
    <s v="ORD102650"/>
    <s v="2025-02-15"/>
    <x v="8"/>
    <s v="South"/>
    <s v="Karnataka"/>
    <s v="Bengaluru"/>
    <x v="2"/>
    <x v="2"/>
    <s v="CUST1327"/>
    <s v="SP_01"/>
    <n v="6"/>
    <n v="47393.94"/>
    <n v="284363.64"/>
    <n v="217336"/>
    <n v="67027.64"/>
    <s v="UPI"/>
  </r>
  <r>
    <s v="ORD102651"/>
    <s v="2025-01-10"/>
    <x v="9"/>
    <s v="East"/>
    <s v="West Bengal"/>
    <s v="Kolkata"/>
    <x v="1"/>
    <x v="6"/>
    <s v="CUST1154"/>
    <s v="SP_09"/>
    <n v="5"/>
    <n v="3452.25"/>
    <n v="17261.25"/>
    <n v="12475.92"/>
    <n v="4785.33"/>
    <s v="Credit Card"/>
  </r>
  <r>
    <s v="ORD102652"/>
    <s v="2025-02-13"/>
    <x v="8"/>
    <s v="West"/>
    <s v="Rajasthan"/>
    <s v="Jaipur"/>
    <x v="3"/>
    <x v="3"/>
    <s v="CUST1002"/>
    <s v="SP_08"/>
    <n v="8"/>
    <n v="23.77"/>
    <n v="190.16"/>
    <n v="82.24"/>
    <n v="107.92"/>
    <s v="Debit Card"/>
  </r>
  <r>
    <s v="ORD102653"/>
    <s v="2025-02-19"/>
    <x v="8"/>
    <s v="East"/>
    <s v="Bihar"/>
    <s v="Patna"/>
    <x v="2"/>
    <x v="4"/>
    <s v="CUST1196"/>
    <s v="SP_05"/>
    <n v="5"/>
    <n v="2668.4"/>
    <n v="13342"/>
    <n v="7677.18"/>
    <n v="5664.82"/>
    <s v="UPI"/>
  </r>
  <r>
    <s v="ORD102654"/>
    <s v="2025-06-07"/>
    <x v="2"/>
    <s v="East"/>
    <s v="Bihar"/>
    <s v="Patna"/>
    <x v="1"/>
    <x v="5"/>
    <s v="CUST1615"/>
    <s v="SP_09"/>
    <n v="2"/>
    <n v="9524.9500000000007"/>
    <n v="19049.900000000001"/>
    <n v="14833.16"/>
    <n v="4216.74"/>
    <s v="UPI"/>
  </r>
  <r>
    <s v="ORD102655"/>
    <s v="2025-09-27"/>
    <x v="5"/>
    <s v="East"/>
    <s v="West Bengal"/>
    <s v="Kolkata"/>
    <x v="0"/>
    <x v="0"/>
    <s v="CUST1168"/>
    <s v="SP_09"/>
    <n v="8"/>
    <n v="3820.79"/>
    <n v="30566.32"/>
    <n v="18111.53"/>
    <n v="12454.79"/>
    <s v="Net Banking"/>
  </r>
  <r>
    <s v="ORD102656"/>
    <s v="2025-10-31"/>
    <x v="1"/>
    <s v="North"/>
    <s v="Delhi"/>
    <s v="Delhi"/>
    <x v="2"/>
    <x v="10"/>
    <s v="CUST1163"/>
    <s v="SP_02"/>
    <n v="3"/>
    <n v="17411.53"/>
    <n v="52234.59"/>
    <n v="41655.269999999997"/>
    <n v="10579.32"/>
    <s v="Cash"/>
  </r>
  <r>
    <s v="ORD102657"/>
    <s v="2025-10-04"/>
    <x v="1"/>
    <s v="North"/>
    <s v="Punjab"/>
    <s v="Chandigarh"/>
    <x v="3"/>
    <x v="11"/>
    <s v="CUST1079"/>
    <s v="SP_02"/>
    <n v="1"/>
    <n v="108.04"/>
    <n v="108.04"/>
    <n v="57.35"/>
    <n v="50.69"/>
    <s v="Net Banking"/>
  </r>
  <r>
    <s v="ORD102658"/>
    <s v="2025-10-26"/>
    <x v="1"/>
    <s v="East"/>
    <s v="West Bengal"/>
    <s v="Kolkata"/>
    <x v="0"/>
    <x v="9"/>
    <s v="CUST1808"/>
    <s v="SP_03"/>
    <n v="8"/>
    <n v="7467.61"/>
    <n v="59740.88"/>
    <n v="40743.360000000001"/>
    <n v="18997.52"/>
    <s v="Credit Card"/>
  </r>
  <r>
    <s v="ORD102659"/>
    <s v="2025-10-29"/>
    <x v="1"/>
    <s v="North"/>
    <s v="Uttar Pradesh"/>
    <s v="Lucknow"/>
    <x v="3"/>
    <x v="11"/>
    <s v="CUST1507"/>
    <s v="SP_01"/>
    <n v="5"/>
    <n v="117.19"/>
    <n v="585.95000000000005"/>
    <n v="290.89"/>
    <n v="295.06"/>
    <s v="Net Banking"/>
  </r>
  <r>
    <s v="ORD102660"/>
    <s v="2025-03-15"/>
    <x v="4"/>
    <s v="North"/>
    <s v="Delhi"/>
    <s v="Delhi"/>
    <x v="3"/>
    <x v="3"/>
    <s v="CUST1136"/>
    <s v="SP_12"/>
    <n v="3"/>
    <n v="25.02"/>
    <n v="75.06"/>
    <n v="31.47"/>
    <n v="43.59"/>
    <s v="Cash"/>
  </r>
  <r>
    <s v="ORD102661"/>
    <s v="2025-05-16"/>
    <x v="3"/>
    <s v="West"/>
    <s v="Gujarat"/>
    <s v="Ahmedabad"/>
    <x v="1"/>
    <x v="6"/>
    <s v="CUST1742"/>
    <s v="SP_04"/>
    <n v="1"/>
    <n v="2938.68"/>
    <n v="2938.68"/>
    <n v="2420.84"/>
    <n v="517.84"/>
    <s v="Cash"/>
  </r>
  <r>
    <s v="ORD102662"/>
    <s v="2025-05-08"/>
    <x v="3"/>
    <s v="North"/>
    <s v="Delhi"/>
    <s v="Delhi"/>
    <x v="3"/>
    <x v="3"/>
    <s v="CUST1031"/>
    <s v="SP_13"/>
    <n v="2"/>
    <n v="27.19"/>
    <n v="54.38"/>
    <n v="19.399999999999999"/>
    <n v="34.979999999999997"/>
    <s v="Debit Card"/>
  </r>
  <r>
    <s v="ORD102663"/>
    <s v="2025-05-15"/>
    <x v="3"/>
    <s v="West"/>
    <s v="Gujarat"/>
    <s v="Ahmedabad"/>
    <x v="3"/>
    <x v="3"/>
    <s v="CUST1812"/>
    <s v="SP_11"/>
    <n v="7"/>
    <n v="24.36"/>
    <n v="170.52"/>
    <n v="73.17"/>
    <n v="97.35"/>
    <s v="Net Banking"/>
  </r>
  <r>
    <s v="ORD102664"/>
    <s v="2025-04-03"/>
    <x v="0"/>
    <s v="East"/>
    <s v="Bihar"/>
    <s v="Patna"/>
    <x v="0"/>
    <x v="8"/>
    <s v="CUST1341"/>
    <s v="SP_05"/>
    <n v="6"/>
    <n v="23750.23"/>
    <n v="142501.38"/>
    <n v="103689.75"/>
    <n v="38811.629999999997"/>
    <s v="Net Banking"/>
  </r>
  <r>
    <s v="ORD102665"/>
    <s v="2025-10-31"/>
    <x v="1"/>
    <s v="North"/>
    <s v="Punjab"/>
    <s v="Chandigarh"/>
    <x v="2"/>
    <x v="10"/>
    <s v="CUST1305"/>
    <s v="SP_11"/>
    <n v="3"/>
    <n v="17645.05"/>
    <n v="52935.15"/>
    <n v="41125.269999999997"/>
    <n v="11809.88"/>
    <s v="Net Banking"/>
  </r>
  <r>
    <s v="ORD102666"/>
    <s v="2025-10-27"/>
    <x v="1"/>
    <s v="West"/>
    <s v="Rajasthan"/>
    <s v="Jaipur"/>
    <x v="1"/>
    <x v="5"/>
    <s v="CUST1834"/>
    <s v="SP_06"/>
    <n v="8"/>
    <n v="10272.59"/>
    <n v="82180.72"/>
    <n v="62134.73"/>
    <n v="20045.990000000002"/>
    <s v="Debit Card"/>
  </r>
  <r>
    <s v="ORD102667"/>
    <s v="2025-11-03"/>
    <x v="10"/>
    <s v="East"/>
    <s v="Bihar"/>
    <s v="Patna"/>
    <x v="1"/>
    <x v="5"/>
    <s v="CUST1154"/>
    <s v="SP_14"/>
    <n v="3"/>
    <n v="9303.8799999999992"/>
    <n v="27911.64"/>
    <n v="22030.31"/>
    <n v="5881.33"/>
    <s v="Net Banking"/>
  </r>
  <r>
    <s v="ORD102668"/>
    <s v="2025-04-02"/>
    <x v="0"/>
    <s v="West"/>
    <s v="Gujarat"/>
    <s v="Ahmedabad"/>
    <x v="3"/>
    <x v="3"/>
    <s v="CUST1708"/>
    <s v="SP_09"/>
    <n v="7"/>
    <n v="27.33"/>
    <n v="191.31"/>
    <n v="70.180000000000007"/>
    <n v="121.13"/>
    <s v="Cash"/>
  </r>
  <r>
    <s v="ORD102669"/>
    <s v="2025-03-16"/>
    <x v="4"/>
    <s v="North"/>
    <s v="Punjab"/>
    <s v="Chandigarh"/>
    <x v="3"/>
    <x v="11"/>
    <s v="CUST1102"/>
    <s v="SP_05"/>
    <n v="5"/>
    <n v="120.69"/>
    <n v="603.45000000000005"/>
    <n v="291.72000000000003"/>
    <n v="311.73"/>
    <s v="Net Banking"/>
  </r>
  <r>
    <s v="ORD102670"/>
    <s v="2025-04-10"/>
    <x v="0"/>
    <s v="South"/>
    <s v="Tamil Nadu"/>
    <s v="Chennai"/>
    <x v="0"/>
    <x v="9"/>
    <s v="CUST1045"/>
    <s v="SP_08"/>
    <n v="5"/>
    <n v="6972.33"/>
    <n v="34861.65"/>
    <n v="24784.39"/>
    <n v="10077.26"/>
    <s v="Credit Card"/>
  </r>
  <r>
    <s v="ORD102671"/>
    <s v="2025-05-25"/>
    <x v="3"/>
    <s v="South"/>
    <s v="Tamil Nadu"/>
    <s v="Chennai"/>
    <x v="2"/>
    <x v="10"/>
    <s v="CUST1757"/>
    <s v="SP_06"/>
    <n v="5"/>
    <n v="19241.580000000002"/>
    <n v="96207.9"/>
    <n v="71822.44"/>
    <n v="24385.46"/>
    <s v="Debit Card"/>
  </r>
  <r>
    <s v="ORD102672"/>
    <s v="2025-10-07"/>
    <x v="1"/>
    <s v="North"/>
    <s v="Delhi"/>
    <s v="Delhi"/>
    <x v="2"/>
    <x v="2"/>
    <s v="CUST1040"/>
    <s v="SP_04"/>
    <n v="1"/>
    <n v="48212.32"/>
    <n v="48212.32"/>
    <n v="34189.1"/>
    <n v="14023.22"/>
    <s v="Credit Card"/>
  </r>
  <r>
    <s v="ORD102673"/>
    <s v="2025-04-05"/>
    <x v="0"/>
    <s v="East"/>
    <s v="Bihar"/>
    <s v="Patna"/>
    <x v="1"/>
    <x v="6"/>
    <s v="CUST1718"/>
    <s v="SP_04"/>
    <n v="7"/>
    <n v="3475.93"/>
    <n v="24331.51"/>
    <n v="16821.55"/>
    <n v="7509.96"/>
    <s v="Credit Card"/>
  </r>
  <r>
    <s v="ORD102674"/>
    <s v="2025-11-08"/>
    <x v="10"/>
    <s v="South"/>
    <s v="Tamil Nadu"/>
    <s v="Chennai"/>
    <x v="3"/>
    <x v="7"/>
    <s v="CUST1010"/>
    <s v="SP_01"/>
    <n v="2"/>
    <n v="11595.58"/>
    <n v="23191.16"/>
    <n v="17207.89"/>
    <n v="5983.27"/>
    <s v="Debit Card"/>
  </r>
  <r>
    <s v="ORD102675"/>
    <s v="2025-02-22"/>
    <x v="8"/>
    <s v="South"/>
    <s v="Telangana"/>
    <s v="Hyderabad"/>
    <x v="2"/>
    <x v="10"/>
    <s v="CUST1410"/>
    <s v="SP_09"/>
    <n v="8"/>
    <n v="17244.310000000001"/>
    <n v="137954.48000000001"/>
    <n v="108128.23"/>
    <n v="29826.25"/>
    <s v="Net Banking"/>
  </r>
  <r>
    <s v="ORD102676"/>
    <s v="2025-01-07"/>
    <x v="9"/>
    <s v="West"/>
    <s v="Rajasthan"/>
    <s v="Jaipur"/>
    <x v="1"/>
    <x v="1"/>
    <s v="CUST1486"/>
    <s v="SP_07"/>
    <n v="3"/>
    <n v="2890.08"/>
    <n v="8670.24"/>
    <n v="5496.47"/>
    <n v="3173.77"/>
    <s v="Debit Card"/>
  </r>
  <r>
    <s v="ORD102677"/>
    <s v="2025-05-30"/>
    <x v="3"/>
    <s v="North"/>
    <s v="Uttar Pradesh"/>
    <s v="Lucknow"/>
    <x v="2"/>
    <x v="4"/>
    <s v="CUST1040"/>
    <s v="SP_12"/>
    <n v="2"/>
    <n v="2720.9"/>
    <n v="5441.8"/>
    <n v="3251.29"/>
    <n v="2190.5100000000002"/>
    <s v="UPI"/>
  </r>
  <r>
    <s v="ORD102678"/>
    <s v="2025-06-12"/>
    <x v="2"/>
    <s v="West"/>
    <s v="Maharashtra"/>
    <s v="Mumbai"/>
    <x v="2"/>
    <x v="2"/>
    <s v="CUST1020"/>
    <s v="SP_10"/>
    <n v="1"/>
    <n v="43537.7"/>
    <n v="43537.7"/>
    <n v="33968.300000000003"/>
    <n v="9569.4"/>
    <s v="Cash"/>
  </r>
  <r>
    <s v="ORD102679"/>
    <s v="2025-08-22"/>
    <x v="11"/>
    <s v="South"/>
    <s v="Karnataka"/>
    <s v="Bengaluru"/>
    <x v="0"/>
    <x v="9"/>
    <s v="CUST1093"/>
    <s v="SP_09"/>
    <n v="5"/>
    <n v="6679.53"/>
    <n v="33397.65"/>
    <n v="24331.5"/>
    <n v="9066.15"/>
    <s v="Net Banking"/>
  </r>
  <r>
    <s v="ORD102680"/>
    <s v="2025-06-26"/>
    <x v="2"/>
    <s v="West"/>
    <s v="Gujarat"/>
    <s v="Ahmedabad"/>
    <x v="2"/>
    <x v="10"/>
    <s v="CUST1783"/>
    <s v="SP_02"/>
    <n v="1"/>
    <n v="18595.21"/>
    <n v="18595.21"/>
    <n v="14389.08"/>
    <n v="4206.13"/>
    <s v="Credit Card"/>
  </r>
  <r>
    <s v="ORD102681"/>
    <s v="2025-09-19"/>
    <x v="5"/>
    <s v="South"/>
    <s v="Karnataka"/>
    <s v="Bengaluru"/>
    <x v="3"/>
    <x v="11"/>
    <s v="CUST1620"/>
    <s v="SP_04"/>
    <n v="8"/>
    <n v="113.68"/>
    <n v="909.44"/>
    <n v="475.25"/>
    <n v="434.19"/>
    <s v="Cash"/>
  </r>
  <r>
    <s v="ORD102682"/>
    <s v="2025-11-14"/>
    <x v="10"/>
    <s v="South"/>
    <s v="Telangana"/>
    <s v="Hyderabad"/>
    <x v="0"/>
    <x v="0"/>
    <s v="CUST1814"/>
    <s v="SP_08"/>
    <n v="6"/>
    <n v="3778.77"/>
    <n v="22672.62"/>
    <n v="13560.01"/>
    <n v="9112.61"/>
    <s v="Debit Card"/>
  </r>
  <r>
    <s v="ORD102683"/>
    <s v="2025-12-08"/>
    <x v="7"/>
    <s v="East"/>
    <s v="Bihar"/>
    <s v="Patna"/>
    <x v="2"/>
    <x v="10"/>
    <s v="CUST1699"/>
    <s v="SP_08"/>
    <n v="7"/>
    <n v="17375.77"/>
    <n v="121630.39"/>
    <n v="93257.64"/>
    <n v="28372.75"/>
    <s v="Cash"/>
  </r>
  <r>
    <s v="ORD102684"/>
    <s v="2025-12-16"/>
    <x v="7"/>
    <s v="South"/>
    <s v="Tamil Nadu"/>
    <s v="Chennai"/>
    <x v="0"/>
    <x v="9"/>
    <s v="CUST1898"/>
    <s v="SP_08"/>
    <n v="2"/>
    <n v="7419.99"/>
    <n v="14839.98"/>
    <n v="9670.7999999999993"/>
    <n v="5169.18"/>
    <s v="Net Banking"/>
  </r>
  <r>
    <s v="ORD102685"/>
    <s v="2025-12-22"/>
    <x v="7"/>
    <s v="East"/>
    <s v="Bihar"/>
    <s v="Patna"/>
    <x v="0"/>
    <x v="9"/>
    <s v="CUST1113"/>
    <s v="SP_09"/>
    <n v="5"/>
    <n v="7336.59"/>
    <n v="36682.949999999997"/>
    <n v="25842.240000000002"/>
    <n v="10840.71"/>
    <s v="UPI"/>
  </r>
  <r>
    <s v="ORD102686"/>
    <s v="2025-06-24"/>
    <x v="2"/>
    <s v="South"/>
    <s v="Tamil Nadu"/>
    <s v="Chennai"/>
    <x v="0"/>
    <x v="0"/>
    <s v="CUST1068"/>
    <s v="SP_14"/>
    <n v="7"/>
    <n v="3842.23"/>
    <n v="26895.61"/>
    <n v="15455.24"/>
    <n v="11440.37"/>
    <s v="UPI"/>
  </r>
  <r>
    <s v="ORD102687"/>
    <s v="2025-07-06"/>
    <x v="6"/>
    <s v="North"/>
    <s v="Punjab"/>
    <s v="Chandigarh"/>
    <x v="1"/>
    <x v="5"/>
    <s v="CUST1261"/>
    <s v="SP_04"/>
    <n v="6"/>
    <n v="9391.0400000000009"/>
    <n v="56346.239999999998"/>
    <n v="43667.25"/>
    <n v="12678.99"/>
    <s v="Net Banking"/>
  </r>
  <r>
    <s v="ORD102688"/>
    <s v="2025-12-03"/>
    <x v="7"/>
    <s v="West"/>
    <s v="Maharashtra"/>
    <s v="Mumbai"/>
    <x v="0"/>
    <x v="0"/>
    <s v="CUST1151"/>
    <s v="SP_15"/>
    <n v="7"/>
    <n v="3593.64"/>
    <n v="25155.48"/>
    <n v="15333.35"/>
    <n v="9822.1299999999992"/>
    <s v="Debit Card"/>
  </r>
  <r>
    <s v="ORD102689"/>
    <s v="2025-07-04"/>
    <x v="6"/>
    <s v="East"/>
    <s v="West Bengal"/>
    <s v="Kolkata"/>
    <x v="2"/>
    <x v="4"/>
    <s v="CUST1960"/>
    <s v="SP_13"/>
    <n v="6"/>
    <n v="2567.48"/>
    <n v="15404.88"/>
    <n v="9606.3799999999992"/>
    <n v="5798.5"/>
    <s v="UPI"/>
  </r>
  <r>
    <s v="ORD102690"/>
    <s v="2025-07-30"/>
    <x v="6"/>
    <s v="East"/>
    <s v="Odisha"/>
    <s v="Bhubaneswar"/>
    <x v="0"/>
    <x v="9"/>
    <s v="CUST1276"/>
    <s v="SP_10"/>
    <n v="5"/>
    <n v="6691.2"/>
    <n v="33456"/>
    <n v="24779.23"/>
    <n v="8676.77"/>
    <s v="UPI"/>
  </r>
  <r>
    <s v="ORD102691"/>
    <s v="2025-02-09"/>
    <x v="8"/>
    <s v="South"/>
    <s v="Tamil Nadu"/>
    <s v="Chennai"/>
    <x v="0"/>
    <x v="8"/>
    <s v="CUST1279"/>
    <s v="SP_13"/>
    <n v="2"/>
    <n v="21157.71"/>
    <n v="42315.42"/>
    <n v="35408.93"/>
    <n v="6906.49"/>
    <s v="UPI"/>
  </r>
  <r>
    <s v="ORD102692"/>
    <s v="2025-03-15"/>
    <x v="4"/>
    <s v="North"/>
    <s v="Uttar Pradesh"/>
    <s v="Lucknow"/>
    <x v="0"/>
    <x v="8"/>
    <s v="CUST1886"/>
    <s v="SP_14"/>
    <n v="6"/>
    <n v="20910.05"/>
    <n v="125460.3"/>
    <n v="97864.44"/>
    <n v="27595.86"/>
    <s v="Net Banking"/>
  </r>
  <r>
    <s v="ORD102693"/>
    <s v="2025-12-16"/>
    <x v="7"/>
    <s v="North"/>
    <s v="Delhi"/>
    <s v="Delhi"/>
    <x v="3"/>
    <x v="3"/>
    <s v="CUST1998"/>
    <s v="SP_09"/>
    <n v="4"/>
    <n v="22.71"/>
    <n v="90.84"/>
    <n v="40.869999999999997"/>
    <n v="49.97"/>
    <s v="UPI"/>
  </r>
  <r>
    <s v="ORD102694"/>
    <s v="2025-10-07"/>
    <x v="1"/>
    <s v="East"/>
    <s v="Bihar"/>
    <s v="Patna"/>
    <x v="3"/>
    <x v="7"/>
    <s v="CUST1323"/>
    <s v="SP_15"/>
    <n v="6"/>
    <n v="12344.33"/>
    <n v="74065.98"/>
    <n v="55729.599999999999"/>
    <n v="18336.38"/>
    <s v="UPI"/>
  </r>
  <r>
    <s v="ORD102695"/>
    <s v="2025-01-22"/>
    <x v="9"/>
    <s v="West"/>
    <s v="Rajasthan"/>
    <s v="Jaipur"/>
    <x v="3"/>
    <x v="11"/>
    <s v="CUST1690"/>
    <s v="SP_14"/>
    <n v="4"/>
    <n v="110.55"/>
    <n v="442.2"/>
    <n v="240.36"/>
    <n v="201.84"/>
    <s v="Net Banking"/>
  </r>
  <r>
    <s v="ORD102696"/>
    <s v="2025-02-17"/>
    <x v="8"/>
    <s v="East"/>
    <s v="Bihar"/>
    <s v="Patna"/>
    <x v="2"/>
    <x v="10"/>
    <s v="CUST1641"/>
    <s v="SP_08"/>
    <n v="1"/>
    <n v="16681.93"/>
    <n v="16681.93"/>
    <n v="13588.53"/>
    <n v="3093.4"/>
    <s v="Cash"/>
  </r>
  <r>
    <s v="ORD102697"/>
    <s v="2025-12-26"/>
    <x v="7"/>
    <s v="West"/>
    <s v="Gujarat"/>
    <s v="Ahmedabad"/>
    <x v="2"/>
    <x v="4"/>
    <s v="CUST1307"/>
    <s v="SP_05"/>
    <n v="6"/>
    <n v="2526.12"/>
    <n v="15156.72"/>
    <n v="9967.69"/>
    <n v="5189.03"/>
    <s v="Cash"/>
  </r>
  <r>
    <s v="ORD102698"/>
    <s v="2025-12-12"/>
    <x v="7"/>
    <s v="East"/>
    <s v="Bihar"/>
    <s v="Patna"/>
    <x v="2"/>
    <x v="10"/>
    <s v="CUST1898"/>
    <s v="SP_11"/>
    <n v="1"/>
    <n v="16699.29"/>
    <n v="16699.29"/>
    <n v="14185.32"/>
    <n v="2513.9699999999998"/>
    <s v="Debit Card"/>
  </r>
  <r>
    <s v="ORD102699"/>
    <s v="2025-01-24"/>
    <x v="9"/>
    <s v="West"/>
    <s v="Maharashtra"/>
    <s v="Mumbai"/>
    <x v="2"/>
    <x v="10"/>
    <s v="CUST1028"/>
    <s v="SP_13"/>
    <n v="5"/>
    <n v="19313.05"/>
    <n v="96565.25"/>
    <n v="66621.8"/>
    <n v="29943.45"/>
    <s v="UPI"/>
  </r>
  <r>
    <s v="ORD102700"/>
    <s v="2025-11-25"/>
    <x v="10"/>
    <s v="North"/>
    <s v="Punjab"/>
    <s v="Chandigarh"/>
    <x v="3"/>
    <x v="11"/>
    <s v="CUST1958"/>
    <s v="SP_13"/>
    <n v="1"/>
    <n v="117.46"/>
    <n v="117.46"/>
    <n v="62.27"/>
    <n v="55.19"/>
    <s v="Cash"/>
  </r>
  <r>
    <s v="ORD102701"/>
    <s v="2025-08-16"/>
    <x v="11"/>
    <s v="West"/>
    <s v="Maharashtra"/>
    <s v="Mumbai"/>
    <x v="0"/>
    <x v="9"/>
    <s v="CUST1710"/>
    <s v="SP_02"/>
    <n v="2"/>
    <n v="6529.13"/>
    <n v="13058.26"/>
    <n v="9961.24"/>
    <n v="3097.02"/>
    <s v="Net Banking"/>
  </r>
  <r>
    <s v="ORD102702"/>
    <s v="2025-03-27"/>
    <x v="4"/>
    <s v="West"/>
    <s v="Gujarat"/>
    <s v="Ahmedabad"/>
    <x v="3"/>
    <x v="7"/>
    <s v="CUST1244"/>
    <s v="SP_15"/>
    <n v="5"/>
    <n v="12403.83"/>
    <n v="62019.15"/>
    <n v="43705.38"/>
    <n v="18313.77"/>
    <s v="Credit Card"/>
  </r>
  <r>
    <s v="ORD102703"/>
    <s v="2025-05-22"/>
    <x v="3"/>
    <s v="West"/>
    <s v="Maharashtra"/>
    <s v="Mumbai"/>
    <x v="2"/>
    <x v="2"/>
    <s v="CUST1775"/>
    <s v="SP_14"/>
    <n v="8"/>
    <n v="43972.51"/>
    <n v="351780.08"/>
    <n v="285799.19"/>
    <n v="65980.89"/>
    <s v="UPI"/>
  </r>
  <r>
    <s v="ORD102704"/>
    <s v="2025-12-14"/>
    <x v="7"/>
    <s v="East"/>
    <s v="Odisha"/>
    <s v="Bhubaneswar"/>
    <x v="2"/>
    <x v="10"/>
    <s v="CUST1011"/>
    <s v="SP_11"/>
    <n v="1"/>
    <n v="19224.169999999998"/>
    <n v="19224.169999999998"/>
    <n v="13826.14"/>
    <n v="5398.03"/>
    <s v="Credit Card"/>
  </r>
  <r>
    <s v="ORD102705"/>
    <s v="2025-10-22"/>
    <x v="1"/>
    <s v="North"/>
    <s v="Uttar Pradesh"/>
    <s v="Lucknow"/>
    <x v="1"/>
    <x v="5"/>
    <s v="CUST1009"/>
    <s v="SP_08"/>
    <n v="8"/>
    <n v="9299.1"/>
    <n v="74392.800000000003"/>
    <n v="61096.58"/>
    <n v="13296.22"/>
    <s v="Credit Card"/>
  </r>
  <r>
    <s v="ORD102706"/>
    <s v="2025-05-23"/>
    <x v="3"/>
    <s v="South"/>
    <s v="Tamil Nadu"/>
    <s v="Chennai"/>
    <x v="0"/>
    <x v="8"/>
    <s v="CUST1077"/>
    <s v="SP_11"/>
    <n v="8"/>
    <n v="21238.45"/>
    <n v="169907.6"/>
    <n v="135030.20000000001"/>
    <n v="34877.4"/>
    <s v="Net Banking"/>
  </r>
  <r>
    <s v="ORD102707"/>
    <s v="2025-05-04"/>
    <x v="3"/>
    <s v="East"/>
    <s v="West Bengal"/>
    <s v="Kolkata"/>
    <x v="3"/>
    <x v="11"/>
    <s v="CUST1676"/>
    <s v="SP_02"/>
    <n v="5"/>
    <n v="110.82"/>
    <n v="554.1"/>
    <n v="303.18"/>
    <n v="250.92"/>
    <s v="Credit Card"/>
  </r>
  <r>
    <s v="ORD102708"/>
    <s v="2025-12-21"/>
    <x v="7"/>
    <s v="West"/>
    <s v="Rajasthan"/>
    <s v="Jaipur"/>
    <x v="2"/>
    <x v="10"/>
    <s v="CUST1787"/>
    <s v="SP_08"/>
    <n v="1"/>
    <n v="18478.599999999999"/>
    <n v="18478.599999999999"/>
    <n v="14134.17"/>
    <n v="4344.43"/>
    <s v="Credit Card"/>
  </r>
  <r>
    <s v="ORD102709"/>
    <s v="2025-06-19"/>
    <x v="2"/>
    <s v="North"/>
    <s v="Uttar Pradesh"/>
    <s v="Lucknow"/>
    <x v="1"/>
    <x v="1"/>
    <s v="CUST1245"/>
    <s v="SP_15"/>
    <n v="2"/>
    <n v="2805.27"/>
    <n v="5610.54"/>
    <n v="3874.73"/>
    <n v="1735.81"/>
    <s v="Cash"/>
  </r>
  <r>
    <s v="ORD102710"/>
    <s v="2025-07-08"/>
    <x v="6"/>
    <s v="North"/>
    <s v="Punjab"/>
    <s v="Chandigarh"/>
    <x v="3"/>
    <x v="11"/>
    <s v="CUST1427"/>
    <s v="SP_07"/>
    <n v="6"/>
    <n v="109.3"/>
    <n v="655.8"/>
    <n v="352.53"/>
    <n v="303.27"/>
    <s v="UPI"/>
  </r>
  <r>
    <s v="ORD102711"/>
    <s v="2025-02-20"/>
    <x v="8"/>
    <s v="East"/>
    <s v="Bihar"/>
    <s v="Patna"/>
    <x v="0"/>
    <x v="0"/>
    <s v="CUST1221"/>
    <s v="SP_08"/>
    <n v="6"/>
    <n v="3272.95"/>
    <n v="19637.7"/>
    <n v="13529.71"/>
    <n v="6107.99"/>
    <s v="Cash"/>
  </r>
  <r>
    <s v="ORD102712"/>
    <s v="2025-08-23"/>
    <x v="11"/>
    <s v="East"/>
    <s v="Bihar"/>
    <s v="Patna"/>
    <x v="0"/>
    <x v="9"/>
    <s v="CUST1593"/>
    <s v="SP_10"/>
    <n v="3"/>
    <n v="6400.77"/>
    <n v="19202.310000000001"/>
    <n v="14963.23"/>
    <n v="4239.08"/>
    <s v="Credit Card"/>
  </r>
  <r>
    <s v="ORD102713"/>
    <s v="2025-12-18"/>
    <x v="7"/>
    <s v="East"/>
    <s v="Odisha"/>
    <s v="Bhubaneswar"/>
    <x v="3"/>
    <x v="7"/>
    <s v="CUST1313"/>
    <s v="SP_03"/>
    <n v="8"/>
    <n v="11641.04"/>
    <n v="93128.320000000007"/>
    <n v="71669.42"/>
    <n v="21458.9"/>
    <s v="Net Banking"/>
  </r>
  <r>
    <s v="ORD102714"/>
    <s v="2025-10-10"/>
    <x v="1"/>
    <s v="North"/>
    <s v="Delhi"/>
    <s v="Delhi"/>
    <x v="1"/>
    <x v="6"/>
    <s v="CUST1390"/>
    <s v="SP_12"/>
    <n v="3"/>
    <n v="3355.9"/>
    <n v="10067.700000000001"/>
    <n v="7218.7"/>
    <n v="2849"/>
    <s v="Net Banking"/>
  </r>
  <r>
    <s v="ORD102715"/>
    <s v="2025-09-25"/>
    <x v="5"/>
    <s v="West"/>
    <s v="Rajasthan"/>
    <s v="Jaipur"/>
    <x v="2"/>
    <x v="10"/>
    <s v="CUST1706"/>
    <s v="SP_09"/>
    <n v="6"/>
    <n v="18950.330000000002"/>
    <n v="113701.98"/>
    <n v="83674.37"/>
    <n v="30027.61"/>
    <s v="UPI"/>
  </r>
  <r>
    <s v="ORD102716"/>
    <s v="2025-04-08"/>
    <x v="0"/>
    <s v="South"/>
    <s v="Tamil Nadu"/>
    <s v="Chennai"/>
    <x v="2"/>
    <x v="10"/>
    <s v="CUST1640"/>
    <s v="SP_05"/>
    <n v="8"/>
    <n v="19164.169999999998"/>
    <n v="153313.35999999999"/>
    <n v="116983.28"/>
    <n v="36330.080000000002"/>
    <s v="UPI"/>
  </r>
  <r>
    <s v="ORD102717"/>
    <s v="2025-04-18"/>
    <x v="0"/>
    <s v="West"/>
    <s v="Rajasthan"/>
    <s v="Jaipur"/>
    <x v="1"/>
    <x v="5"/>
    <s v="CUST1798"/>
    <s v="SP_02"/>
    <n v="8"/>
    <n v="8885.59"/>
    <n v="71084.72"/>
    <n v="62725.15"/>
    <n v="8359.57"/>
    <s v="Credit Card"/>
  </r>
  <r>
    <s v="ORD102718"/>
    <s v="2025-03-11"/>
    <x v="4"/>
    <s v="North"/>
    <s v="Punjab"/>
    <s v="Chandigarh"/>
    <x v="0"/>
    <x v="9"/>
    <s v="CUST1610"/>
    <s v="SP_01"/>
    <n v="5"/>
    <n v="7324.09"/>
    <n v="36620.449999999997"/>
    <n v="24360.11"/>
    <n v="12260.34"/>
    <s v="Debit Card"/>
  </r>
  <r>
    <s v="ORD102719"/>
    <s v="2025-08-28"/>
    <x v="11"/>
    <s v="South"/>
    <s v="Telangana"/>
    <s v="Hyderabad"/>
    <x v="3"/>
    <x v="7"/>
    <s v="CUST1735"/>
    <s v="SP_09"/>
    <n v="7"/>
    <n v="12570.95"/>
    <n v="87996.65"/>
    <n v="64824.4"/>
    <n v="23172.25"/>
    <s v="Cash"/>
  </r>
  <r>
    <s v="ORD102720"/>
    <s v="2025-02-09"/>
    <x v="8"/>
    <s v="South"/>
    <s v="Telangana"/>
    <s v="Hyderabad"/>
    <x v="0"/>
    <x v="9"/>
    <s v="CUST1278"/>
    <s v="SP_01"/>
    <n v="1"/>
    <n v="6838.34"/>
    <n v="6838.34"/>
    <n v="4963.82"/>
    <n v="1874.52"/>
    <s v="Net Banking"/>
  </r>
  <r>
    <s v="ORD102721"/>
    <s v="2025-02-14"/>
    <x v="8"/>
    <s v="North"/>
    <s v="Uttar Pradesh"/>
    <s v="Lucknow"/>
    <x v="0"/>
    <x v="0"/>
    <s v="CUST1105"/>
    <s v="SP_15"/>
    <n v="8"/>
    <n v="3263.27"/>
    <n v="26106.16"/>
    <n v="18341.47"/>
    <n v="7764.69"/>
    <s v="Net Banking"/>
  </r>
  <r>
    <s v="ORD102722"/>
    <s v="2025-04-10"/>
    <x v="0"/>
    <s v="East"/>
    <s v="Odisha"/>
    <s v="Bhubaneswar"/>
    <x v="0"/>
    <x v="9"/>
    <s v="CUST1330"/>
    <s v="SP_08"/>
    <n v="1"/>
    <n v="6715.31"/>
    <n v="6715.31"/>
    <n v="4997.6099999999997"/>
    <n v="1717.7"/>
    <s v="Credit Card"/>
  </r>
  <r>
    <s v="ORD102723"/>
    <s v="2025-09-14"/>
    <x v="5"/>
    <s v="East"/>
    <s v="Odisha"/>
    <s v="Bhubaneswar"/>
    <x v="2"/>
    <x v="4"/>
    <s v="CUST1886"/>
    <s v="SP_03"/>
    <n v="2"/>
    <n v="2695.8"/>
    <n v="5391.6"/>
    <n v="3100.9"/>
    <n v="2290.6999999999998"/>
    <s v="UPI"/>
  </r>
  <r>
    <s v="ORD102724"/>
    <s v="2025-03-14"/>
    <x v="4"/>
    <s v="North"/>
    <s v="Delhi"/>
    <s v="Delhi"/>
    <x v="1"/>
    <x v="6"/>
    <s v="CUST1086"/>
    <s v="SP_01"/>
    <n v="6"/>
    <n v="2976.68"/>
    <n v="17860.080000000002"/>
    <n v="13783.82"/>
    <n v="4076.26"/>
    <s v="Debit Card"/>
  </r>
  <r>
    <s v="ORD102725"/>
    <s v="2025-09-26"/>
    <x v="5"/>
    <s v="North"/>
    <s v="Punjab"/>
    <s v="Chandigarh"/>
    <x v="3"/>
    <x v="11"/>
    <s v="CUST1559"/>
    <s v="SP_04"/>
    <n v="2"/>
    <n v="126.58"/>
    <n v="253.16"/>
    <n v="116.16"/>
    <n v="137"/>
    <s v="Credit Card"/>
  </r>
  <r>
    <s v="ORD102726"/>
    <s v="2025-04-20"/>
    <x v="0"/>
    <s v="South"/>
    <s v="Karnataka"/>
    <s v="Bengaluru"/>
    <x v="3"/>
    <x v="7"/>
    <s v="CUST1879"/>
    <s v="SP_10"/>
    <n v="4"/>
    <n v="13100.36"/>
    <n v="52401.440000000002"/>
    <n v="36932.589999999997"/>
    <n v="15468.85"/>
    <s v="Cash"/>
  </r>
  <r>
    <s v="ORD102727"/>
    <s v="2025-04-11"/>
    <x v="0"/>
    <s v="West"/>
    <s v="Maharashtra"/>
    <s v="Mumbai"/>
    <x v="3"/>
    <x v="11"/>
    <s v="CUST1528"/>
    <s v="SP_12"/>
    <n v="5"/>
    <n v="124.06"/>
    <n v="620.29999999999995"/>
    <n v="287.41000000000003"/>
    <n v="332.89"/>
    <s v="Credit Card"/>
  </r>
  <r>
    <s v="ORD102728"/>
    <s v="2025-08-09"/>
    <x v="11"/>
    <s v="South"/>
    <s v="Tamil Nadu"/>
    <s v="Chennai"/>
    <x v="2"/>
    <x v="4"/>
    <s v="CUST1172"/>
    <s v="SP_10"/>
    <n v="5"/>
    <n v="2719.75"/>
    <n v="13598.75"/>
    <n v="8035.81"/>
    <n v="5562.94"/>
    <s v="UPI"/>
  </r>
  <r>
    <s v="ORD102729"/>
    <s v="2025-12-23"/>
    <x v="7"/>
    <s v="North"/>
    <s v="Delhi"/>
    <s v="Delhi"/>
    <x v="1"/>
    <x v="5"/>
    <s v="CUST1186"/>
    <s v="SP_07"/>
    <n v="2"/>
    <n v="9842.24"/>
    <n v="19684.48"/>
    <n v="15833.88"/>
    <n v="3850.6"/>
    <s v="Net Banking"/>
  </r>
  <r>
    <s v="ORD102730"/>
    <s v="2025-12-23"/>
    <x v="7"/>
    <s v="North"/>
    <s v="Delhi"/>
    <s v="Delhi"/>
    <x v="1"/>
    <x v="6"/>
    <s v="CUST1412"/>
    <s v="SP_06"/>
    <n v="6"/>
    <n v="3219.76"/>
    <n v="19318.560000000001"/>
    <n v="14914.21"/>
    <n v="4404.3500000000004"/>
    <s v="Credit Card"/>
  </r>
  <r>
    <s v="ORD102731"/>
    <s v="2025-11-16"/>
    <x v="10"/>
    <s v="West"/>
    <s v="Gujarat"/>
    <s v="Ahmedabad"/>
    <x v="3"/>
    <x v="11"/>
    <s v="CUST1832"/>
    <s v="SP_04"/>
    <n v="1"/>
    <n v="126.44"/>
    <n v="126.44"/>
    <n v="61.51"/>
    <n v="64.930000000000007"/>
    <s v="UPI"/>
  </r>
  <r>
    <s v="ORD102732"/>
    <s v="2025-07-29"/>
    <x v="6"/>
    <s v="East"/>
    <s v="Bihar"/>
    <s v="Patna"/>
    <x v="2"/>
    <x v="4"/>
    <s v="CUST1275"/>
    <s v="SP_10"/>
    <n v="5"/>
    <n v="2310.0500000000002"/>
    <n v="11550.25"/>
    <n v="7866.26"/>
    <n v="3683.99"/>
    <s v="Debit Card"/>
  </r>
  <r>
    <s v="ORD102733"/>
    <s v="2025-06-10"/>
    <x v="2"/>
    <s v="North"/>
    <s v="Punjab"/>
    <s v="Chandigarh"/>
    <x v="3"/>
    <x v="11"/>
    <s v="CUST1159"/>
    <s v="SP_01"/>
    <n v="1"/>
    <n v="117.21"/>
    <n v="117.21"/>
    <n v="58.65"/>
    <n v="58.56"/>
    <s v="Debit Card"/>
  </r>
  <r>
    <s v="ORD102734"/>
    <s v="2025-03-15"/>
    <x v="4"/>
    <s v="North"/>
    <s v="Uttar Pradesh"/>
    <s v="Lucknow"/>
    <x v="3"/>
    <x v="7"/>
    <s v="CUST1071"/>
    <s v="SP_11"/>
    <n v="4"/>
    <n v="11122.1"/>
    <n v="44488.4"/>
    <n v="34618.82"/>
    <n v="9869.58"/>
    <s v="Net Banking"/>
  </r>
  <r>
    <s v="ORD102735"/>
    <s v="2025-06-24"/>
    <x v="2"/>
    <s v="South"/>
    <s v="Telangana"/>
    <s v="Hyderabad"/>
    <x v="3"/>
    <x v="7"/>
    <s v="CUST1798"/>
    <s v="SP_05"/>
    <n v="6"/>
    <n v="11650.17"/>
    <n v="69901.02"/>
    <n v="55838.87"/>
    <n v="14062.15"/>
    <s v="Credit Card"/>
  </r>
  <r>
    <s v="ORD102736"/>
    <s v="2025-09-25"/>
    <x v="5"/>
    <s v="South"/>
    <s v="Tamil Nadu"/>
    <s v="Chennai"/>
    <x v="2"/>
    <x v="10"/>
    <s v="CUST1467"/>
    <s v="SP_03"/>
    <n v="7"/>
    <n v="16266.6"/>
    <n v="113866.2"/>
    <n v="101183.35"/>
    <n v="12682.85"/>
    <s v="Net Banking"/>
  </r>
  <r>
    <s v="ORD102737"/>
    <s v="2025-01-22"/>
    <x v="9"/>
    <s v="North"/>
    <s v="Punjab"/>
    <s v="Chandigarh"/>
    <x v="3"/>
    <x v="7"/>
    <s v="CUST1560"/>
    <s v="SP_01"/>
    <n v="2"/>
    <n v="12089.18"/>
    <n v="24178.36"/>
    <n v="18840.73"/>
    <n v="5337.63"/>
    <s v="Credit Card"/>
  </r>
  <r>
    <s v="ORD102738"/>
    <s v="2025-11-18"/>
    <x v="10"/>
    <s v="North"/>
    <s v="Uttar Pradesh"/>
    <s v="Lucknow"/>
    <x v="2"/>
    <x v="10"/>
    <s v="CUST1150"/>
    <s v="SP_05"/>
    <n v="3"/>
    <n v="19467.77"/>
    <n v="58403.31"/>
    <n v="43217.96"/>
    <n v="15185.35"/>
    <s v="Debit Card"/>
  </r>
  <r>
    <s v="ORD102739"/>
    <s v="2025-01-15"/>
    <x v="9"/>
    <s v="North"/>
    <s v="Delhi"/>
    <s v="Delhi"/>
    <x v="1"/>
    <x v="1"/>
    <s v="CUST1046"/>
    <s v="SP_08"/>
    <n v="8"/>
    <n v="2646.83"/>
    <n v="21174.639999999999"/>
    <n v="15930.52"/>
    <n v="5244.12"/>
    <s v="Net Banking"/>
  </r>
  <r>
    <s v="ORD102740"/>
    <s v="2025-12-31"/>
    <x v="7"/>
    <s v="West"/>
    <s v="Maharashtra"/>
    <s v="Mumbai"/>
    <x v="0"/>
    <x v="0"/>
    <s v="CUST1671"/>
    <s v="SP_12"/>
    <n v="7"/>
    <n v="3552.71"/>
    <n v="24868.97"/>
    <n v="15857.19"/>
    <n v="9011.7800000000007"/>
    <s v="Debit Card"/>
  </r>
  <r>
    <s v="ORD102741"/>
    <s v="2025-10-07"/>
    <x v="1"/>
    <s v="East"/>
    <s v="Bihar"/>
    <s v="Patna"/>
    <x v="3"/>
    <x v="11"/>
    <s v="CUST1808"/>
    <s v="SP_06"/>
    <n v="7"/>
    <n v="120.9"/>
    <n v="846.3"/>
    <n v="424.82"/>
    <n v="421.48"/>
    <s v="Credit Card"/>
  </r>
  <r>
    <s v="ORD102742"/>
    <s v="2025-08-14"/>
    <x v="11"/>
    <s v="East"/>
    <s v="Odisha"/>
    <s v="Bhubaneswar"/>
    <x v="2"/>
    <x v="4"/>
    <s v="CUST1537"/>
    <s v="SP_01"/>
    <n v="3"/>
    <n v="2727.24"/>
    <n v="8181.72"/>
    <n v="4867.0600000000004"/>
    <n v="3314.66"/>
    <s v="Credit Card"/>
  </r>
  <r>
    <s v="ORD102743"/>
    <s v="2025-12-04"/>
    <x v="7"/>
    <s v="South"/>
    <s v="Telangana"/>
    <s v="Hyderabad"/>
    <x v="0"/>
    <x v="9"/>
    <s v="CUST1138"/>
    <s v="SP_05"/>
    <n v="8"/>
    <n v="7467.95"/>
    <n v="59743.6"/>
    <n v="41731.03"/>
    <n v="18012.57"/>
    <s v="UPI"/>
  </r>
  <r>
    <s v="ORD102744"/>
    <s v="2025-11-07"/>
    <x v="10"/>
    <s v="East"/>
    <s v="Odisha"/>
    <s v="Bhubaneswar"/>
    <x v="0"/>
    <x v="0"/>
    <s v="CUST1086"/>
    <s v="SP_04"/>
    <n v="1"/>
    <n v="3435.28"/>
    <n v="3435.28"/>
    <n v="2252.63"/>
    <n v="1182.6500000000001"/>
    <s v="Cash"/>
  </r>
  <r>
    <s v="ORD102745"/>
    <s v="2025-07-28"/>
    <x v="6"/>
    <s v="West"/>
    <s v="Gujarat"/>
    <s v="Ahmedabad"/>
    <x v="3"/>
    <x v="3"/>
    <s v="CUST1369"/>
    <s v="SP_08"/>
    <n v="1"/>
    <n v="25.29"/>
    <n v="25.29"/>
    <n v="9.82"/>
    <n v="15.47"/>
    <s v="Cash"/>
  </r>
  <r>
    <s v="ORD102746"/>
    <s v="2025-05-22"/>
    <x v="3"/>
    <s v="North"/>
    <s v="Delhi"/>
    <s v="Delhi"/>
    <x v="3"/>
    <x v="11"/>
    <s v="CUST1494"/>
    <s v="SP_11"/>
    <n v="4"/>
    <n v="122.82"/>
    <n v="491.28"/>
    <n v="248.02"/>
    <n v="243.26"/>
    <s v="Cash"/>
  </r>
  <r>
    <s v="ORD102747"/>
    <s v="2025-01-01"/>
    <x v="9"/>
    <s v="West"/>
    <s v="Maharashtra"/>
    <s v="Mumbai"/>
    <x v="0"/>
    <x v="8"/>
    <s v="CUST1064"/>
    <s v="SP_03"/>
    <n v="5"/>
    <n v="20317.71"/>
    <n v="101588.55"/>
    <n v="82475.7"/>
    <n v="19112.849999999999"/>
    <s v="Credit Card"/>
  </r>
  <r>
    <s v="ORD102748"/>
    <s v="2025-01-04"/>
    <x v="9"/>
    <s v="East"/>
    <s v="West Bengal"/>
    <s v="Kolkata"/>
    <x v="3"/>
    <x v="7"/>
    <s v="CUST1567"/>
    <s v="SP_14"/>
    <n v="3"/>
    <n v="11150.02"/>
    <n v="33450.06"/>
    <n v="28052.89"/>
    <n v="5397.17"/>
    <s v="Net Banking"/>
  </r>
  <r>
    <s v="ORD102749"/>
    <s v="2025-07-27"/>
    <x v="6"/>
    <s v="West"/>
    <s v="Gujarat"/>
    <s v="Ahmedabad"/>
    <x v="3"/>
    <x v="11"/>
    <s v="CUST1212"/>
    <s v="SP_02"/>
    <n v="7"/>
    <n v="121.9"/>
    <n v="853.3"/>
    <n v="416.23"/>
    <n v="437.07"/>
    <s v="Debit Card"/>
  </r>
  <r>
    <s v="ORD102750"/>
    <s v="2025-01-17"/>
    <x v="9"/>
    <s v="East"/>
    <s v="Bihar"/>
    <s v="Patna"/>
    <x v="2"/>
    <x v="10"/>
    <s v="CUST1087"/>
    <s v="SP_01"/>
    <n v="6"/>
    <n v="17298.11"/>
    <n v="103788.66"/>
    <n v="83936.75"/>
    <n v="19851.91"/>
    <s v="Net Banking"/>
  </r>
  <r>
    <s v="ORD102751"/>
    <s v="2025-10-27"/>
    <x v="1"/>
    <s v="South"/>
    <s v="Telangana"/>
    <s v="Hyderabad"/>
    <x v="1"/>
    <x v="5"/>
    <s v="CUST1876"/>
    <s v="SP_14"/>
    <n v="3"/>
    <n v="9424.83"/>
    <n v="28274.49"/>
    <n v="23635.72"/>
    <n v="4638.7700000000004"/>
    <s v="UPI"/>
  </r>
  <r>
    <s v="ORD102752"/>
    <s v="2025-11-18"/>
    <x v="10"/>
    <s v="North"/>
    <s v="Punjab"/>
    <s v="Chandigarh"/>
    <x v="0"/>
    <x v="8"/>
    <s v="CUST1720"/>
    <s v="SP_09"/>
    <n v="6"/>
    <n v="23418.99"/>
    <n v="140513.94"/>
    <n v="98513.37"/>
    <n v="42000.57"/>
    <s v="UPI"/>
  </r>
  <r>
    <s v="ORD102753"/>
    <s v="2025-04-25"/>
    <x v="0"/>
    <s v="North"/>
    <s v="Delhi"/>
    <s v="Delhi"/>
    <x v="1"/>
    <x v="1"/>
    <s v="CUST1546"/>
    <s v="SP_13"/>
    <n v="6"/>
    <n v="2724.69"/>
    <n v="16348.14"/>
    <n v="10879.14"/>
    <n v="5469"/>
    <s v="Credit Card"/>
  </r>
  <r>
    <s v="ORD102754"/>
    <s v="2025-01-16"/>
    <x v="9"/>
    <s v="East"/>
    <s v="West Bengal"/>
    <s v="Kolkata"/>
    <x v="1"/>
    <x v="1"/>
    <s v="CUST1373"/>
    <s v="SP_12"/>
    <n v="7"/>
    <n v="2643.38"/>
    <n v="18503.66"/>
    <n v="13787.52"/>
    <n v="4716.1400000000003"/>
    <s v="Net Banking"/>
  </r>
  <r>
    <s v="ORD102755"/>
    <s v="2025-03-09"/>
    <x v="4"/>
    <s v="South"/>
    <s v="Karnataka"/>
    <s v="Bengaluru"/>
    <x v="1"/>
    <x v="5"/>
    <s v="CUST1948"/>
    <s v="SP_06"/>
    <n v="7"/>
    <n v="9825.2800000000007"/>
    <n v="68776.960000000006"/>
    <n v="55435.9"/>
    <n v="13341.06"/>
    <s v="UPI"/>
  </r>
  <r>
    <s v="ORD102756"/>
    <s v="2025-10-23"/>
    <x v="1"/>
    <s v="West"/>
    <s v="Maharashtra"/>
    <s v="Mumbai"/>
    <x v="2"/>
    <x v="4"/>
    <s v="CUST1462"/>
    <s v="SP_01"/>
    <n v="1"/>
    <n v="2281.2800000000002"/>
    <n v="2281.2800000000002"/>
    <n v="1642.21"/>
    <n v="639.07000000000005"/>
    <s v="Cash"/>
  </r>
  <r>
    <s v="ORD102757"/>
    <s v="2025-05-04"/>
    <x v="3"/>
    <s v="North"/>
    <s v="Delhi"/>
    <s v="Delhi"/>
    <x v="1"/>
    <x v="1"/>
    <s v="CUST1154"/>
    <s v="SP_03"/>
    <n v="4"/>
    <n v="2786.11"/>
    <n v="11144.44"/>
    <n v="7770.55"/>
    <n v="3373.89"/>
    <s v="Net Banking"/>
  </r>
  <r>
    <s v="ORD102758"/>
    <s v="2025-08-26"/>
    <x v="11"/>
    <s v="South"/>
    <s v="Tamil Nadu"/>
    <s v="Chennai"/>
    <x v="1"/>
    <x v="5"/>
    <s v="CUST1626"/>
    <s v="SP_15"/>
    <n v="4"/>
    <n v="8717.3799999999992"/>
    <n v="34869.519999999997"/>
    <n v="29028.03"/>
    <n v="5841.49"/>
    <s v="Cash"/>
  </r>
  <r>
    <s v="ORD102759"/>
    <s v="2025-01-31"/>
    <x v="9"/>
    <s v="East"/>
    <s v="Bihar"/>
    <s v="Patna"/>
    <x v="1"/>
    <x v="6"/>
    <s v="CUST1402"/>
    <s v="SP_13"/>
    <n v="4"/>
    <n v="3099.7"/>
    <n v="12398.8"/>
    <n v="9226.2800000000007"/>
    <n v="3172.52"/>
    <s v="Net Banking"/>
  </r>
  <r>
    <s v="ORD102760"/>
    <s v="2025-11-15"/>
    <x v="10"/>
    <s v="East"/>
    <s v="Odisha"/>
    <s v="Bhubaneswar"/>
    <x v="2"/>
    <x v="2"/>
    <s v="CUST1031"/>
    <s v="SP_09"/>
    <n v="6"/>
    <n v="44362.19"/>
    <n v="266173.14"/>
    <n v="200075.43"/>
    <n v="66097.710000000006"/>
    <s v="UPI"/>
  </r>
  <r>
    <s v="ORD102761"/>
    <s v="2025-11-17"/>
    <x v="10"/>
    <s v="North"/>
    <s v="Punjab"/>
    <s v="Chandigarh"/>
    <x v="2"/>
    <x v="10"/>
    <s v="CUST1020"/>
    <s v="SP_09"/>
    <n v="2"/>
    <n v="19727.77"/>
    <n v="39455.54"/>
    <n v="27489.56"/>
    <n v="11965.98"/>
    <s v="Debit Card"/>
  </r>
  <r>
    <s v="ORD102762"/>
    <s v="2025-01-29"/>
    <x v="9"/>
    <s v="South"/>
    <s v="Tamil Nadu"/>
    <s v="Chennai"/>
    <x v="1"/>
    <x v="6"/>
    <s v="CUST1625"/>
    <s v="SP_02"/>
    <n v="7"/>
    <n v="2955.06"/>
    <n v="20685.419999999998"/>
    <n v="16136.64"/>
    <n v="4548.78"/>
    <s v="UPI"/>
  </r>
  <r>
    <s v="ORD102763"/>
    <s v="2025-02-10"/>
    <x v="8"/>
    <s v="South"/>
    <s v="Telangana"/>
    <s v="Hyderabad"/>
    <x v="2"/>
    <x v="10"/>
    <s v="CUST1271"/>
    <s v="SP_02"/>
    <n v="4"/>
    <n v="18604.39"/>
    <n v="74417.56"/>
    <n v="57231.73"/>
    <n v="17185.830000000002"/>
    <s v="Debit Card"/>
  </r>
  <r>
    <s v="ORD102764"/>
    <s v="2025-10-16"/>
    <x v="1"/>
    <s v="East"/>
    <s v="West Bengal"/>
    <s v="Kolkata"/>
    <x v="0"/>
    <x v="9"/>
    <s v="CUST1586"/>
    <s v="SP_03"/>
    <n v="6"/>
    <n v="7229.82"/>
    <n v="43378.92"/>
    <n v="31210.71"/>
    <n v="12168.21"/>
    <s v="Credit Card"/>
  </r>
  <r>
    <s v="ORD102765"/>
    <s v="2025-11-14"/>
    <x v="10"/>
    <s v="West"/>
    <s v="Rajasthan"/>
    <s v="Jaipur"/>
    <x v="0"/>
    <x v="8"/>
    <s v="CUST1396"/>
    <s v="SP_12"/>
    <n v="1"/>
    <n v="20575.509999999998"/>
    <n v="20575.509999999998"/>
    <n v="17439.419999999998"/>
    <n v="3136.09"/>
    <s v="Net Banking"/>
  </r>
  <r>
    <s v="ORD102766"/>
    <s v="2025-03-12"/>
    <x v="4"/>
    <s v="South"/>
    <s v="Tamil Nadu"/>
    <s v="Chennai"/>
    <x v="1"/>
    <x v="5"/>
    <s v="CUST1475"/>
    <s v="SP_08"/>
    <n v="2"/>
    <n v="10070.18"/>
    <n v="20140.36"/>
    <n v="14575.16"/>
    <n v="5565.2"/>
    <s v="Net Banking"/>
  </r>
  <r>
    <s v="ORD102767"/>
    <s v="2025-07-23"/>
    <x v="6"/>
    <s v="North"/>
    <s v="Delhi"/>
    <s v="Delhi"/>
    <x v="1"/>
    <x v="1"/>
    <s v="CUST1610"/>
    <s v="SP_09"/>
    <n v="8"/>
    <n v="2684.56"/>
    <n v="21476.48"/>
    <n v="14922.82"/>
    <n v="6553.66"/>
    <s v="Debit Card"/>
  </r>
  <r>
    <s v="ORD102768"/>
    <s v="2025-09-02"/>
    <x v="5"/>
    <s v="West"/>
    <s v="Gujarat"/>
    <s v="Ahmedabad"/>
    <x v="1"/>
    <x v="6"/>
    <s v="CUST1709"/>
    <s v="SP_03"/>
    <n v="3"/>
    <n v="3353.92"/>
    <n v="10061.76"/>
    <n v="7527.13"/>
    <n v="2534.63"/>
    <s v="Net Banking"/>
  </r>
  <r>
    <s v="ORD102769"/>
    <s v="2025-04-29"/>
    <x v="0"/>
    <s v="South"/>
    <s v="Tamil Nadu"/>
    <s v="Chennai"/>
    <x v="0"/>
    <x v="9"/>
    <s v="CUST1312"/>
    <s v="SP_08"/>
    <n v="1"/>
    <n v="7638"/>
    <n v="7638"/>
    <n v="5137.7700000000004"/>
    <n v="2500.23"/>
    <s v="UPI"/>
  </r>
  <r>
    <s v="ORD102770"/>
    <s v="2025-09-10"/>
    <x v="5"/>
    <s v="North"/>
    <s v="Delhi"/>
    <s v="Delhi"/>
    <x v="1"/>
    <x v="6"/>
    <s v="CUST1822"/>
    <s v="SP_10"/>
    <n v="5"/>
    <n v="3223.95"/>
    <n v="16119.75"/>
    <n v="12379.45"/>
    <n v="3740.3"/>
    <s v="Credit Card"/>
  </r>
  <r>
    <s v="ORD102771"/>
    <s v="2025-01-10"/>
    <x v="9"/>
    <s v="South"/>
    <s v="Tamil Nadu"/>
    <s v="Chennai"/>
    <x v="0"/>
    <x v="0"/>
    <s v="CUST1191"/>
    <s v="SP_01"/>
    <n v="7"/>
    <n v="3680.83"/>
    <n v="25765.81"/>
    <n v="15819.92"/>
    <n v="9945.89"/>
    <s v="Cash"/>
  </r>
  <r>
    <s v="ORD102772"/>
    <s v="2025-07-25"/>
    <x v="6"/>
    <s v="West"/>
    <s v="Maharashtra"/>
    <s v="Mumbai"/>
    <x v="2"/>
    <x v="10"/>
    <s v="CUST1185"/>
    <s v="SP_04"/>
    <n v="1"/>
    <n v="18903.16"/>
    <n v="18903.16"/>
    <n v="14451.65"/>
    <n v="4451.51"/>
    <s v="Cash"/>
  </r>
  <r>
    <s v="ORD102773"/>
    <s v="2025-02-26"/>
    <x v="8"/>
    <s v="West"/>
    <s v="Gujarat"/>
    <s v="Ahmedabad"/>
    <x v="2"/>
    <x v="10"/>
    <s v="CUST1230"/>
    <s v="SP_13"/>
    <n v="3"/>
    <n v="18819.400000000001"/>
    <n v="56458.2"/>
    <n v="42923.44"/>
    <n v="13534.76"/>
    <s v="Debit Card"/>
  </r>
  <r>
    <s v="ORD102774"/>
    <s v="2025-06-10"/>
    <x v="2"/>
    <s v="West"/>
    <s v="Maharashtra"/>
    <s v="Mumbai"/>
    <x v="3"/>
    <x v="7"/>
    <s v="CUST1610"/>
    <s v="SP_07"/>
    <n v="2"/>
    <n v="12561.4"/>
    <n v="25122.799999999999"/>
    <n v="17449.900000000001"/>
    <n v="7672.9"/>
    <s v="Debit Card"/>
  </r>
  <r>
    <s v="ORD102775"/>
    <s v="2025-04-06"/>
    <x v="0"/>
    <s v="East"/>
    <s v="West Bengal"/>
    <s v="Kolkata"/>
    <x v="1"/>
    <x v="5"/>
    <s v="CUST1939"/>
    <s v="SP_10"/>
    <n v="3"/>
    <n v="9613.82"/>
    <n v="28841.46"/>
    <n v="23308.2"/>
    <n v="5533.26"/>
    <s v="Credit Card"/>
  </r>
  <r>
    <s v="ORD102776"/>
    <s v="2025-04-03"/>
    <x v="0"/>
    <s v="South"/>
    <s v="Karnataka"/>
    <s v="Bengaluru"/>
    <x v="0"/>
    <x v="9"/>
    <s v="CUST1710"/>
    <s v="SP_03"/>
    <n v="8"/>
    <n v="7574.51"/>
    <n v="60596.08"/>
    <n v="38384.31"/>
    <n v="22211.77"/>
    <s v="Credit Card"/>
  </r>
  <r>
    <s v="ORD102777"/>
    <s v="2025-11-10"/>
    <x v="10"/>
    <s v="North"/>
    <s v="Punjab"/>
    <s v="Chandigarh"/>
    <x v="0"/>
    <x v="0"/>
    <s v="CUST1853"/>
    <s v="SP_07"/>
    <n v="8"/>
    <n v="3418.09"/>
    <n v="27344.720000000001"/>
    <n v="17096.759999999998"/>
    <n v="10247.959999999999"/>
    <s v="Cash"/>
  </r>
  <r>
    <s v="ORD102778"/>
    <s v="2025-05-21"/>
    <x v="3"/>
    <s v="South"/>
    <s v="Karnataka"/>
    <s v="Bengaluru"/>
    <x v="0"/>
    <x v="9"/>
    <s v="CUST1236"/>
    <s v="SP_02"/>
    <n v="3"/>
    <n v="7255.65"/>
    <n v="21766.95"/>
    <n v="14658.21"/>
    <n v="7108.74"/>
    <s v="UPI"/>
  </r>
  <r>
    <s v="ORD102779"/>
    <s v="2025-05-19"/>
    <x v="3"/>
    <s v="West"/>
    <s v="Gujarat"/>
    <s v="Ahmedabad"/>
    <x v="2"/>
    <x v="10"/>
    <s v="CUST1846"/>
    <s v="SP_03"/>
    <n v="3"/>
    <n v="18161.18"/>
    <n v="54483.54"/>
    <n v="42516.65"/>
    <n v="11966.89"/>
    <s v="Debit Card"/>
  </r>
  <r>
    <s v="ORD102780"/>
    <s v="2025-04-16"/>
    <x v="0"/>
    <s v="East"/>
    <s v="Odisha"/>
    <s v="Bhubaneswar"/>
    <x v="3"/>
    <x v="3"/>
    <s v="CUST1463"/>
    <s v="SP_11"/>
    <n v="4"/>
    <n v="23.16"/>
    <n v="92.64"/>
    <n v="38.1"/>
    <n v="54.54"/>
    <s v="Cash"/>
  </r>
  <r>
    <s v="ORD102781"/>
    <s v="2025-06-21"/>
    <x v="2"/>
    <s v="South"/>
    <s v="Telangana"/>
    <s v="Hyderabad"/>
    <x v="3"/>
    <x v="11"/>
    <s v="CUST1409"/>
    <s v="SP_02"/>
    <n v="3"/>
    <n v="119.33"/>
    <n v="357.99"/>
    <n v="187.42"/>
    <n v="170.57"/>
    <s v="Debit Card"/>
  </r>
  <r>
    <s v="ORD102782"/>
    <s v="2025-09-12"/>
    <x v="5"/>
    <s v="South"/>
    <s v="Tamil Nadu"/>
    <s v="Chennai"/>
    <x v="2"/>
    <x v="2"/>
    <s v="CUST1675"/>
    <s v="SP_12"/>
    <n v="4"/>
    <n v="47663.01"/>
    <n v="190652.04"/>
    <n v="139089.29"/>
    <n v="51562.75"/>
    <s v="Net Banking"/>
  </r>
  <r>
    <s v="ORD102783"/>
    <s v="2025-09-26"/>
    <x v="5"/>
    <s v="West"/>
    <s v="Maharashtra"/>
    <s v="Mumbai"/>
    <x v="2"/>
    <x v="2"/>
    <s v="CUST1901"/>
    <s v="SP_05"/>
    <n v="5"/>
    <n v="44147.66"/>
    <n v="220738.3"/>
    <n v="170929.54"/>
    <n v="49808.76"/>
    <s v="UPI"/>
  </r>
  <r>
    <s v="ORD102784"/>
    <s v="2025-12-13"/>
    <x v="7"/>
    <s v="East"/>
    <s v="Odisha"/>
    <s v="Bhubaneswar"/>
    <x v="0"/>
    <x v="9"/>
    <s v="CUST1371"/>
    <s v="SP_06"/>
    <n v="6"/>
    <n v="7038.81"/>
    <n v="42232.86"/>
    <n v="29637.58"/>
    <n v="12595.28"/>
    <s v="Cash"/>
  </r>
  <r>
    <s v="ORD102785"/>
    <s v="2025-09-08"/>
    <x v="5"/>
    <s v="East"/>
    <s v="Odisha"/>
    <s v="Bhubaneswar"/>
    <x v="1"/>
    <x v="6"/>
    <s v="CUST1911"/>
    <s v="SP_13"/>
    <n v="7"/>
    <n v="3456.53"/>
    <n v="24195.71"/>
    <n v="16772.57"/>
    <n v="7423.14"/>
    <s v="Debit Card"/>
  </r>
  <r>
    <s v="ORD102786"/>
    <s v="2025-05-28"/>
    <x v="3"/>
    <s v="East"/>
    <s v="Bihar"/>
    <s v="Patna"/>
    <x v="2"/>
    <x v="4"/>
    <s v="CUST1187"/>
    <s v="SP_03"/>
    <n v="5"/>
    <n v="2499.86"/>
    <n v="12499.3"/>
    <n v="8309.6200000000008"/>
    <n v="4189.68"/>
    <s v="Net Banking"/>
  </r>
  <r>
    <s v="ORD102787"/>
    <s v="2025-02-24"/>
    <x v="8"/>
    <s v="South"/>
    <s v="Telangana"/>
    <s v="Hyderabad"/>
    <x v="3"/>
    <x v="11"/>
    <s v="CUST1715"/>
    <s v="SP_03"/>
    <n v="5"/>
    <n v="109.96"/>
    <n v="549.79999999999995"/>
    <n v="292.89999999999998"/>
    <n v="256.89999999999998"/>
    <s v="Credit Card"/>
  </r>
  <r>
    <s v="ORD102788"/>
    <s v="2025-12-21"/>
    <x v="7"/>
    <s v="East"/>
    <s v="Odisha"/>
    <s v="Bhubaneswar"/>
    <x v="2"/>
    <x v="4"/>
    <s v="CUST1569"/>
    <s v="SP_15"/>
    <n v="4"/>
    <n v="2376.25"/>
    <n v="9505"/>
    <n v="6411.48"/>
    <n v="3093.52"/>
    <s v="Debit Card"/>
  </r>
  <r>
    <s v="ORD102789"/>
    <s v="2025-12-18"/>
    <x v="7"/>
    <s v="East"/>
    <s v="Bihar"/>
    <s v="Patna"/>
    <x v="0"/>
    <x v="9"/>
    <s v="CUST1653"/>
    <s v="SP_08"/>
    <n v="5"/>
    <n v="6647.42"/>
    <n v="33237.1"/>
    <n v="24211.82"/>
    <n v="9025.2800000000007"/>
    <s v="Cash"/>
  </r>
  <r>
    <s v="ORD102790"/>
    <s v="2025-11-27"/>
    <x v="10"/>
    <s v="East"/>
    <s v="West Bengal"/>
    <s v="Kolkata"/>
    <x v="2"/>
    <x v="2"/>
    <s v="CUST1210"/>
    <s v="SP_11"/>
    <n v="1"/>
    <n v="42011.45"/>
    <n v="42011.45"/>
    <n v="36473.15"/>
    <n v="5538.3"/>
    <s v="UPI"/>
  </r>
  <r>
    <s v="ORD102791"/>
    <s v="2025-04-05"/>
    <x v="0"/>
    <s v="West"/>
    <s v="Rajasthan"/>
    <s v="Jaipur"/>
    <x v="2"/>
    <x v="2"/>
    <s v="CUST1686"/>
    <s v="SP_15"/>
    <n v="7"/>
    <n v="41228.1"/>
    <n v="288596.7"/>
    <n v="241070.23"/>
    <n v="47526.47"/>
    <s v="Credit Card"/>
  </r>
  <r>
    <s v="ORD102792"/>
    <s v="2025-09-21"/>
    <x v="5"/>
    <s v="South"/>
    <s v="Tamil Nadu"/>
    <s v="Chennai"/>
    <x v="0"/>
    <x v="0"/>
    <s v="CUST1580"/>
    <s v="SP_05"/>
    <n v="2"/>
    <n v="3270.81"/>
    <n v="6541.62"/>
    <n v="4560.57"/>
    <n v="1981.05"/>
    <s v="Debit Card"/>
  </r>
  <r>
    <s v="ORD102793"/>
    <s v="2025-02-27"/>
    <x v="8"/>
    <s v="West"/>
    <s v="Rajasthan"/>
    <s v="Jaipur"/>
    <x v="1"/>
    <x v="6"/>
    <s v="CUST1584"/>
    <s v="SP_08"/>
    <n v="2"/>
    <n v="3415.71"/>
    <n v="6831.42"/>
    <n v="4856.38"/>
    <n v="1975.04"/>
    <s v="Credit Card"/>
  </r>
  <r>
    <s v="ORD102794"/>
    <s v="2025-11-17"/>
    <x v="10"/>
    <s v="West"/>
    <s v="Rajasthan"/>
    <s v="Jaipur"/>
    <x v="1"/>
    <x v="6"/>
    <s v="CUST1713"/>
    <s v="SP_12"/>
    <n v="6"/>
    <n v="3476.53"/>
    <n v="20859.18"/>
    <n v="14301.37"/>
    <n v="6557.81"/>
    <s v="Net Banking"/>
  </r>
  <r>
    <s v="ORD102795"/>
    <s v="2025-12-14"/>
    <x v="7"/>
    <s v="North"/>
    <s v="Delhi"/>
    <s v="Delhi"/>
    <x v="3"/>
    <x v="11"/>
    <s v="CUST1634"/>
    <s v="SP_11"/>
    <n v="4"/>
    <n v="115.37"/>
    <n v="461.48"/>
    <n v="242.91"/>
    <n v="218.57"/>
    <s v="UPI"/>
  </r>
  <r>
    <s v="ORD102796"/>
    <s v="2025-12-05"/>
    <x v="7"/>
    <s v="East"/>
    <s v="Bihar"/>
    <s v="Patna"/>
    <x v="3"/>
    <x v="7"/>
    <s v="CUST1524"/>
    <s v="SP_13"/>
    <n v="2"/>
    <n v="11858.03"/>
    <n v="23716.06"/>
    <n v="18537.32"/>
    <n v="5178.74"/>
    <s v="Net Banking"/>
  </r>
  <r>
    <s v="ORD102797"/>
    <s v="2025-12-19"/>
    <x v="7"/>
    <s v="West"/>
    <s v="Gujarat"/>
    <s v="Ahmedabad"/>
    <x v="2"/>
    <x v="4"/>
    <s v="CUST1426"/>
    <s v="SP_04"/>
    <n v="8"/>
    <n v="2336.64"/>
    <n v="18693.12"/>
    <n v="12583.58"/>
    <n v="6109.54"/>
    <s v="Cash"/>
  </r>
  <r>
    <s v="ORD102798"/>
    <s v="2025-08-03"/>
    <x v="11"/>
    <s v="South"/>
    <s v="Tamil Nadu"/>
    <s v="Chennai"/>
    <x v="0"/>
    <x v="0"/>
    <s v="CUST1806"/>
    <s v="SP_12"/>
    <n v="1"/>
    <n v="3247.67"/>
    <n v="3247.67"/>
    <n v="2135.2399999999998"/>
    <n v="1112.43"/>
    <s v="UPI"/>
  </r>
  <r>
    <s v="ORD102799"/>
    <s v="2025-09-23"/>
    <x v="5"/>
    <s v="North"/>
    <s v="Uttar Pradesh"/>
    <s v="Lucknow"/>
    <x v="1"/>
    <x v="6"/>
    <s v="CUST1731"/>
    <s v="SP_02"/>
    <n v="8"/>
    <n v="3510.81"/>
    <n v="28086.48"/>
    <n v="18270.599999999999"/>
    <n v="9815.8799999999992"/>
    <s v="Net Banking"/>
  </r>
  <r>
    <s v="ORD102800"/>
    <s v="2025-05-11"/>
    <x v="3"/>
    <s v="North"/>
    <s v="Uttar Pradesh"/>
    <s v="Lucknow"/>
    <x v="1"/>
    <x v="1"/>
    <s v="CUST1801"/>
    <s v="SP_15"/>
    <n v="2"/>
    <n v="2534.88"/>
    <n v="5069.76"/>
    <n v="3689.3"/>
    <n v="1380.46"/>
    <s v="Cash"/>
  </r>
  <r>
    <s v="ORD102801"/>
    <s v="2025-01-24"/>
    <x v="9"/>
    <s v="East"/>
    <s v="Odisha"/>
    <s v="Bhubaneswar"/>
    <x v="1"/>
    <x v="5"/>
    <s v="CUST1181"/>
    <s v="SP_03"/>
    <n v="1"/>
    <n v="10195.780000000001"/>
    <n v="10195.780000000001"/>
    <n v="7516.07"/>
    <n v="2679.71"/>
    <s v="UPI"/>
  </r>
  <r>
    <s v="ORD102802"/>
    <s v="2025-05-22"/>
    <x v="3"/>
    <s v="South"/>
    <s v="Tamil Nadu"/>
    <s v="Chennai"/>
    <x v="2"/>
    <x v="10"/>
    <s v="CUST1997"/>
    <s v="SP_09"/>
    <n v="5"/>
    <n v="17957.18"/>
    <n v="89785.9"/>
    <n v="72672.539999999994"/>
    <n v="17113.36"/>
    <s v="Credit Card"/>
  </r>
  <r>
    <s v="ORD102803"/>
    <s v="2025-03-25"/>
    <x v="4"/>
    <s v="South"/>
    <s v="Tamil Nadu"/>
    <s v="Chennai"/>
    <x v="0"/>
    <x v="0"/>
    <s v="CUST1994"/>
    <s v="SP_10"/>
    <n v="5"/>
    <n v="3234.91"/>
    <n v="16174.55"/>
    <n v="11218.38"/>
    <n v="4956.17"/>
    <s v="Debit Card"/>
  </r>
  <r>
    <s v="ORD102804"/>
    <s v="2025-01-01"/>
    <x v="9"/>
    <s v="West"/>
    <s v="Gujarat"/>
    <s v="Ahmedabad"/>
    <x v="3"/>
    <x v="3"/>
    <s v="CUST1527"/>
    <s v="SP_09"/>
    <n v="5"/>
    <n v="24.96"/>
    <n v="124.8"/>
    <n v="47.85"/>
    <n v="76.95"/>
    <s v="Net Banking"/>
  </r>
  <r>
    <s v="ORD102805"/>
    <s v="2025-08-25"/>
    <x v="11"/>
    <s v="West"/>
    <s v="Maharashtra"/>
    <s v="Mumbai"/>
    <x v="0"/>
    <x v="9"/>
    <s v="CUST1826"/>
    <s v="SP_06"/>
    <n v="4"/>
    <n v="7028.19"/>
    <n v="28112.76"/>
    <n v="19640.2"/>
    <n v="8472.56"/>
    <s v="Credit Card"/>
  </r>
  <r>
    <s v="ORD102806"/>
    <s v="2025-08-06"/>
    <x v="11"/>
    <s v="East"/>
    <s v="West Bengal"/>
    <s v="Kolkata"/>
    <x v="3"/>
    <x v="3"/>
    <s v="CUST1700"/>
    <s v="SP_15"/>
    <n v="5"/>
    <n v="23.44"/>
    <n v="117.2"/>
    <n v="49.66"/>
    <n v="67.540000000000006"/>
    <s v="Credit Card"/>
  </r>
  <r>
    <s v="ORD102807"/>
    <s v="2025-12-21"/>
    <x v="7"/>
    <s v="North"/>
    <s v="Delhi"/>
    <s v="Delhi"/>
    <x v="2"/>
    <x v="10"/>
    <s v="CUST1645"/>
    <s v="SP_14"/>
    <n v="3"/>
    <n v="17091.810000000001"/>
    <n v="51275.43"/>
    <n v="43380.31"/>
    <n v="7895.12"/>
    <s v="Debit Card"/>
  </r>
  <r>
    <s v="ORD102808"/>
    <s v="2025-04-11"/>
    <x v="0"/>
    <s v="South"/>
    <s v="Telangana"/>
    <s v="Hyderabad"/>
    <x v="1"/>
    <x v="5"/>
    <s v="CUST1706"/>
    <s v="SP_12"/>
    <n v="6"/>
    <n v="9823.74"/>
    <n v="58942.44"/>
    <n v="45408.74"/>
    <n v="13533.7"/>
    <s v="UPI"/>
  </r>
  <r>
    <s v="ORD102809"/>
    <s v="2025-11-01"/>
    <x v="10"/>
    <s v="West"/>
    <s v="Maharashtra"/>
    <s v="Mumbai"/>
    <x v="1"/>
    <x v="6"/>
    <s v="CUST1322"/>
    <s v="SP_05"/>
    <n v="7"/>
    <n v="3013.24"/>
    <n v="21092.68"/>
    <n v="17298.810000000001"/>
    <n v="3793.87"/>
    <s v="Credit Card"/>
  </r>
  <r>
    <s v="ORD102810"/>
    <s v="2025-08-04"/>
    <x v="11"/>
    <s v="East"/>
    <s v="Odisha"/>
    <s v="Bhubaneswar"/>
    <x v="0"/>
    <x v="8"/>
    <s v="CUST1378"/>
    <s v="SP_01"/>
    <n v="2"/>
    <n v="21728.400000000001"/>
    <n v="43456.800000000003"/>
    <n v="32779.06"/>
    <n v="10677.74"/>
    <s v="Debit Card"/>
  </r>
  <r>
    <s v="ORD102811"/>
    <s v="2025-02-25"/>
    <x v="8"/>
    <s v="West"/>
    <s v="Rajasthan"/>
    <s v="Jaipur"/>
    <x v="1"/>
    <x v="5"/>
    <s v="CUST1152"/>
    <s v="SP_15"/>
    <n v="4"/>
    <n v="9922.48"/>
    <n v="39689.919999999998"/>
    <n v="29498.400000000001"/>
    <n v="10191.52"/>
    <s v="UPI"/>
  </r>
  <r>
    <s v="ORD102812"/>
    <s v="2025-02-15"/>
    <x v="8"/>
    <s v="East"/>
    <s v="West Bengal"/>
    <s v="Kolkata"/>
    <x v="3"/>
    <x v="7"/>
    <s v="CUST1705"/>
    <s v="SP_03"/>
    <n v="5"/>
    <n v="12129.46"/>
    <n v="60647.3"/>
    <n v="44626.14"/>
    <n v="16021.16"/>
    <s v="UPI"/>
  </r>
  <r>
    <s v="ORD102813"/>
    <s v="2025-11-18"/>
    <x v="10"/>
    <s v="East"/>
    <s v="Odisha"/>
    <s v="Bhubaneswar"/>
    <x v="3"/>
    <x v="7"/>
    <s v="CUST1570"/>
    <s v="SP_14"/>
    <n v="5"/>
    <n v="12594.73"/>
    <n v="62973.65"/>
    <n v="43803.88"/>
    <n v="19169.77"/>
    <s v="Net Banking"/>
  </r>
  <r>
    <s v="ORD102814"/>
    <s v="2025-07-21"/>
    <x v="6"/>
    <s v="North"/>
    <s v="Delhi"/>
    <s v="Delhi"/>
    <x v="1"/>
    <x v="1"/>
    <s v="CUST1532"/>
    <s v="SP_06"/>
    <n v="7"/>
    <n v="2522.8000000000002"/>
    <n v="17659.599999999999"/>
    <n v="13262.45"/>
    <n v="4397.1499999999996"/>
    <s v="Net Banking"/>
  </r>
  <r>
    <s v="ORD102815"/>
    <s v="2025-03-26"/>
    <x v="4"/>
    <s v="East"/>
    <s v="West Bengal"/>
    <s v="Kolkata"/>
    <x v="0"/>
    <x v="8"/>
    <s v="CUST1557"/>
    <s v="SP_02"/>
    <n v="6"/>
    <n v="23116.34"/>
    <n v="138698.04"/>
    <n v="98218.89"/>
    <n v="40479.15"/>
    <s v="Net Banking"/>
  </r>
  <r>
    <s v="ORD102816"/>
    <s v="2025-05-18"/>
    <x v="3"/>
    <s v="North"/>
    <s v="Punjab"/>
    <s v="Chandigarh"/>
    <x v="1"/>
    <x v="1"/>
    <s v="CUST1845"/>
    <s v="SP_06"/>
    <n v="4"/>
    <n v="2877.04"/>
    <n v="11508.16"/>
    <n v="7864.19"/>
    <n v="3643.97"/>
    <s v="UPI"/>
  </r>
  <r>
    <s v="ORD102817"/>
    <s v="2025-07-20"/>
    <x v="6"/>
    <s v="East"/>
    <s v="Bihar"/>
    <s v="Patna"/>
    <x v="3"/>
    <x v="11"/>
    <s v="CUST1432"/>
    <s v="SP_12"/>
    <n v="3"/>
    <n v="112.23"/>
    <n v="336.69"/>
    <n v="173.78"/>
    <n v="162.91"/>
    <s v="Credit Card"/>
  </r>
  <r>
    <s v="ORD102818"/>
    <s v="2025-12-28"/>
    <x v="7"/>
    <s v="West"/>
    <s v="Gujarat"/>
    <s v="Ahmedabad"/>
    <x v="0"/>
    <x v="8"/>
    <s v="CUST1681"/>
    <s v="SP_14"/>
    <n v="7"/>
    <n v="22117.59"/>
    <n v="154823.13"/>
    <n v="114692.83"/>
    <n v="40130.300000000003"/>
    <s v="Cash"/>
  </r>
  <r>
    <s v="ORD102819"/>
    <s v="2025-02-03"/>
    <x v="8"/>
    <s v="East"/>
    <s v="Bihar"/>
    <s v="Patna"/>
    <x v="1"/>
    <x v="6"/>
    <s v="CUST1610"/>
    <s v="SP_14"/>
    <n v="6"/>
    <n v="2964.32"/>
    <n v="17785.919999999998"/>
    <n v="14963.05"/>
    <n v="2822.87"/>
    <s v="UPI"/>
  </r>
  <r>
    <s v="ORD102820"/>
    <s v="2025-06-25"/>
    <x v="2"/>
    <s v="North"/>
    <s v="Uttar Pradesh"/>
    <s v="Lucknow"/>
    <x v="0"/>
    <x v="9"/>
    <s v="CUST1348"/>
    <s v="SP_11"/>
    <n v="6"/>
    <n v="6445.99"/>
    <n v="38675.94"/>
    <n v="28796.45"/>
    <n v="9879.49"/>
    <s v="Net Banking"/>
  </r>
  <r>
    <s v="ORD102821"/>
    <s v="2025-04-28"/>
    <x v="0"/>
    <s v="West"/>
    <s v="Rajasthan"/>
    <s v="Jaipur"/>
    <x v="3"/>
    <x v="11"/>
    <s v="CUST1072"/>
    <s v="SP_02"/>
    <n v="2"/>
    <n v="115.16"/>
    <n v="230.32"/>
    <n v="121.49"/>
    <n v="108.83"/>
    <s v="Net Banking"/>
  </r>
  <r>
    <s v="ORD102822"/>
    <s v="2025-05-29"/>
    <x v="3"/>
    <s v="West"/>
    <s v="Maharashtra"/>
    <s v="Mumbai"/>
    <x v="3"/>
    <x v="3"/>
    <s v="CUST1982"/>
    <s v="SP_08"/>
    <n v="5"/>
    <n v="26.92"/>
    <n v="134.6"/>
    <n v="51.07"/>
    <n v="83.53"/>
    <s v="Net Banking"/>
  </r>
  <r>
    <s v="ORD102823"/>
    <s v="2025-05-22"/>
    <x v="3"/>
    <s v="North"/>
    <s v="Uttar Pradesh"/>
    <s v="Lucknow"/>
    <x v="2"/>
    <x v="10"/>
    <s v="CUST1849"/>
    <s v="SP_01"/>
    <n v="8"/>
    <n v="18618.060000000001"/>
    <n v="148944.48000000001"/>
    <n v="111381.48"/>
    <n v="37563"/>
    <s v="Net Banking"/>
  </r>
  <r>
    <s v="ORD102824"/>
    <s v="2025-09-12"/>
    <x v="5"/>
    <s v="South"/>
    <s v="Karnataka"/>
    <s v="Bengaluru"/>
    <x v="0"/>
    <x v="9"/>
    <s v="CUST1522"/>
    <s v="SP_09"/>
    <n v="2"/>
    <n v="7424.71"/>
    <n v="14849.42"/>
    <n v="9532"/>
    <n v="5317.42"/>
    <s v="Net Banking"/>
  </r>
  <r>
    <s v="ORD102825"/>
    <s v="2025-04-09"/>
    <x v="0"/>
    <s v="South"/>
    <s v="Karnataka"/>
    <s v="Bengaluru"/>
    <x v="2"/>
    <x v="2"/>
    <s v="CUST1852"/>
    <s v="SP_09"/>
    <n v="1"/>
    <n v="46656.36"/>
    <n v="46656.36"/>
    <n v="34369.01"/>
    <n v="12287.35"/>
    <s v="UPI"/>
  </r>
  <r>
    <s v="ORD102826"/>
    <s v="2025-03-20"/>
    <x v="4"/>
    <s v="East"/>
    <s v="Odisha"/>
    <s v="Bhubaneswar"/>
    <x v="3"/>
    <x v="3"/>
    <s v="CUST1663"/>
    <s v="SP_10"/>
    <n v="2"/>
    <n v="23.46"/>
    <n v="46.92"/>
    <n v="19.579999999999998"/>
    <n v="27.34"/>
    <s v="Net Banking"/>
  </r>
  <r>
    <s v="ORD102827"/>
    <s v="2025-12-27"/>
    <x v="7"/>
    <s v="South"/>
    <s v="Tamil Nadu"/>
    <s v="Chennai"/>
    <x v="0"/>
    <x v="0"/>
    <s v="CUST1375"/>
    <s v="SP_03"/>
    <n v="2"/>
    <n v="3166.11"/>
    <n v="6332.22"/>
    <n v="4201.82"/>
    <n v="2130.4"/>
    <s v="Net Banking"/>
  </r>
  <r>
    <s v="ORD102828"/>
    <s v="2025-02-10"/>
    <x v="8"/>
    <s v="West"/>
    <s v="Gujarat"/>
    <s v="Ahmedabad"/>
    <x v="2"/>
    <x v="2"/>
    <s v="CUST1391"/>
    <s v="SP_11"/>
    <n v="3"/>
    <n v="49109.8"/>
    <n v="147329.4"/>
    <n v="109809.27"/>
    <n v="37520.129999999997"/>
    <s v="Credit Card"/>
  </r>
  <r>
    <s v="ORD102829"/>
    <s v="2025-10-03"/>
    <x v="1"/>
    <s v="North"/>
    <s v="Uttar Pradesh"/>
    <s v="Lucknow"/>
    <x v="2"/>
    <x v="10"/>
    <s v="CUST1330"/>
    <s v="SP_11"/>
    <n v="2"/>
    <n v="16595.13"/>
    <n v="33190.26"/>
    <n v="27575.13"/>
    <n v="5615.13"/>
    <s v="UPI"/>
  </r>
  <r>
    <s v="ORD102830"/>
    <s v="2025-12-23"/>
    <x v="7"/>
    <s v="East"/>
    <s v="Odisha"/>
    <s v="Bhubaneswar"/>
    <x v="0"/>
    <x v="8"/>
    <s v="CUST1557"/>
    <s v="SP_03"/>
    <n v="4"/>
    <n v="20761.740000000002"/>
    <n v="83046.960000000006"/>
    <n v="69199.55"/>
    <n v="13847.41"/>
    <s v="Cash"/>
  </r>
  <r>
    <s v="ORD102831"/>
    <s v="2025-01-19"/>
    <x v="9"/>
    <s v="West"/>
    <s v="Rajasthan"/>
    <s v="Jaipur"/>
    <x v="0"/>
    <x v="0"/>
    <s v="CUST1857"/>
    <s v="SP_12"/>
    <n v="6"/>
    <n v="3345.77"/>
    <n v="20074.62"/>
    <n v="12992.31"/>
    <n v="7082.31"/>
    <s v="Credit Card"/>
  </r>
  <r>
    <s v="ORD102832"/>
    <s v="2025-01-23"/>
    <x v="9"/>
    <s v="South"/>
    <s v="Karnataka"/>
    <s v="Bengaluru"/>
    <x v="0"/>
    <x v="8"/>
    <s v="CUST1306"/>
    <s v="SP_02"/>
    <n v="3"/>
    <n v="20125.97"/>
    <n v="60377.91"/>
    <n v="49400.04"/>
    <n v="10977.87"/>
    <s v="Cash"/>
  </r>
  <r>
    <s v="ORD102833"/>
    <s v="2025-01-27"/>
    <x v="9"/>
    <s v="East"/>
    <s v="Odisha"/>
    <s v="Bhubaneswar"/>
    <x v="3"/>
    <x v="3"/>
    <s v="CUST1675"/>
    <s v="SP_03"/>
    <n v="3"/>
    <n v="23.28"/>
    <n v="69.84"/>
    <n v="28.84"/>
    <n v="41"/>
    <s v="Debit Card"/>
  </r>
  <r>
    <s v="ORD102834"/>
    <s v="2025-10-18"/>
    <x v="1"/>
    <s v="South"/>
    <s v="Telangana"/>
    <s v="Hyderabad"/>
    <x v="0"/>
    <x v="0"/>
    <s v="CUST1324"/>
    <s v="SP_05"/>
    <n v="5"/>
    <n v="3700.32"/>
    <n v="18501.599999999999"/>
    <n v="10654.98"/>
    <n v="7846.62"/>
    <s v="Credit Card"/>
  </r>
  <r>
    <s v="ORD102835"/>
    <s v="2025-07-25"/>
    <x v="6"/>
    <s v="North"/>
    <s v="Punjab"/>
    <s v="Chandigarh"/>
    <x v="1"/>
    <x v="6"/>
    <s v="CUST1254"/>
    <s v="SP_08"/>
    <n v="3"/>
    <n v="3461.15"/>
    <n v="10383.450000000001"/>
    <n v="7436.03"/>
    <n v="2947.42"/>
    <s v="UPI"/>
  </r>
  <r>
    <s v="ORD102836"/>
    <s v="2025-06-08"/>
    <x v="2"/>
    <s v="West"/>
    <s v="Maharashtra"/>
    <s v="Mumbai"/>
    <x v="3"/>
    <x v="11"/>
    <s v="CUST1085"/>
    <s v="SP_07"/>
    <n v="8"/>
    <n v="121.84"/>
    <n v="974.72"/>
    <n v="493.96"/>
    <n v="480.76"/>
    <s v="UPI"/>
  </r>
  <r>
    <s v="ORD102837"/>
    <s v="2025-08-11"/>
    <x v="11"/>
    <s v="West"/>
    <s v="Gujarat"/>
    <s v="Ahmedabad"/>
    <x v="0"/>
    <x v="8"/>
    <s v="CUST1045"/>
    <s v="SP_08"/>
    <n v="3"/>
    <n v="20580.669999999998"/>
    <n v="61742.01"/>
    <n v="50580.01"/>
    <n v="11162"/>
    <s v="Net Banking"/>
  </r>
  <r>
    <s v="ORD102838"/>
    <s v="2025-11-20"/>
    <x v="10"/>
    <s v="West"/>
    <s v="Gujarat"/>
    <s v="Ahmedabad"/>
    <x v="1"/>
    <x v="1"/>
    <s v="CUST1574"/>
    <s v="SP_10"/>
    <n v="7"/>
    <n v="2903.57"/>
    <n v="20324.990000000002"/>
    <n v="13086.39"/>
    <n v="7238.6"/>
    <s v="Net Banking"/>
  </r>
  <r>
    <s v="ORD102839"/>
    <s v="2025-08-17"/>
    <x v="11"/>
    <s v="South"/>
    <s v="Tamil Nadu"/>
    <s v="Chennai"/>
    <x v="1"/>
    <x v="5"/>
    <s v="CUST1871"/>
    <s v="SP_15"/>
    <n v="6"/>
    <n v="10302.530000000001"/>
    <n v="61815.18"/>
    <n v="46738.37"/>
    <n v="15076.81"/>
    <s v="Cash"/>
  </r>
  <r>
    <s v="ORD102840"/>
    <s v="2025-02-10"/>
    <x v="8"/>
    <s v="North"/>
    <s v="Punjab"/>
    <s v="Chandigarh"/>
    <x v="1"/>
    <x v="6"/>
    <s v="CUST1262"/>
    <s v="SP_07"/>
    <n v="2"/>
    <n v="3324.6"/>
    <n v="6649.2"/>
    <n v="4953.5600000000004"/>
    <n v="1695.64"/>
    <s v="Debit Card"/>
  </r>
  <r>
    <s v="ORD102841"/>
    <s v="2025-05-17"/>
    <x v="3"/>
    <s v="East"/>
    <s v="Odisha"/>
    <s v="Bhubaneswar"/>
    <x v="0"/>
    <x v="8"/>
    <s v="CUST1128"/>
    <s v="SP_07"/>
    <n v="4"/>
    <n v="22121.11"/>
    <n v="88484.44"/>
    <n v="69475.199999999997"/>
    <n v="19009.240000000002"/>
    <s v="UPI"/>
  </r>
  <r>
    <s v="ORD102842"/>
    <s v="2025-07-31"/>
    <x v="6"/>
    <s v="West"/>
    <s v="Gujarat"/>
    <s v="Ahmedabad"/>
    <x v="0"/>
    <x v="9"/>
    <s v="CUST1952"/>
    <s v="SP_14"/>
    <n v="4"/>
    <n v="7672.38"/>
    <n v="30689.52"/>
    <n v="19800.18"/>
    <n v="10889.34"/>
    <s v="Debit Card"/>
  </r>
  <r>
    <s v="ORD102843"/>
    <s v="2025-03-30"/>
    <x v="4"/>
    <s v="South"/>
    <s v="Tamil Nadu"/>
    <s v="Chennai"/>
    <x v="3"/>
    <x v="7"/>
    <s v="CUST1428"/>
    <s v="SP_05"/>
    <n v="8"/>
    <n v="11102.27"/>
    <n v="88818.16"/>
    <n v="75012.399999999994"/>
    <n v="13805.76"/>
    <s v="Net Banking"/>
  </r>
  <r>
    <s v="ORD102844"/>
    <s v="2025-10-24"/>
    <x v="1"/>
    <s v="South"/>
    <s v="Tamil Nadu"/>
    <s v="Chennai"/>
    <x v="0"/>
    <x v="0"/>
    <s v="CUST1308"/>
    <s v="SP_08"/>
    <n v="7"/>
    <n v="3233.71"/>
    <n v="22635.97"/>
    <n v="15259.15"/>
    <n v="7376.82"/>
    <s v="Net Banking"/>
  </r>
  <r>
    <s v="ORD102845"/>
    <s v="2025-04-30"/>
    <x v="0"/>
    <s v="South"/>
    <s v="Karnataka"/>
    <s v="Bengaluru"/>
    <x v="2"/>
    <x v="2"/>
    <s v="CUST1779"/>
    <s v="SP_10"/>
    <n v="6"/>
    <n v="42165.63"/>
    <n v="252993.78"/>
    <n v="208024.99"/>
    <n v="44968.79"/>
    <s v="Net Banking"/>
  </r>
  <r>
    <s v="ORD102846"/>
    <s v="2025-10-06"/>
    <x v="1"/>
    <s v="West"/>
    <s v="Maharashtra"/>
    <s v="Mumbai"/>
    <x v="0"/>
    <x v="8"/>
    <s v="CUST1942"/>
    <s v="SP_15"/>
    <n v="1"/>
    <n v="21447.07"/>
    <n v="21447.07"/>
    <n v="16910.02"/>
    <n v="4537.05"/>
    <s v="Cash"/>
  </r>
  <r>
    <s v="ORD102847"/>
    <s v="2025-06-11"/>
    <x v="2"/>
    <s v="East"/>
    <s v="Odisha"/>
    <s v="Bhubaneswar"/>
    <x v="0"/>
    <x v="9"/>
    <s v="CUST1988"/>
    <s v="SP_10"/>
    <n v="6"/>
    <n v="6993.93"/>
    <n v="41963.58"/>
    <n v="29080.880000000001"/>
    <n v="12882.7"/>
    <s v="Credit Card"/>
  </r>
  <r>
    <s v="ORD102848"/>
    <s v="2025-03-06"/>
    <x v="4"/>
    <s v="East"/>
    <s v="Odisha"/>
    <s v="Bhubaneswar"/>
    <x v="1"/>
    <x v="5"/>
    <s v="CUST1304"/>
    <s v="SP_13"/>
    <n v="6"/>
    <n v="9920.6200000000008"/>
    <n v="59523.72"/>
    <n v="44170.879999999997"/>
    <n v="15352.84"/>
    <s v="Cash"/>
  </r>
  <r>
    <s v="ORD102849"/>
    <s v="2025-01-27"/>
    <x v="9"/>
    <s v="East"/>
    <s v="Bihar"/>
    <s v="Patna"/>
    <x v="3"/>
    <x v="11"/>
    <s v="CUST1016"/>
    <s v="SP_03"/>
    <n v="7"/>
    <n v="129.38"/>
    <n v="905.66"/>
    <n v="405.59"/>
    <n v="500.07"/>
    <s v="UPI"/>
  </r>
  <r>
    <s v="ORD102850"/>
    <s v="2025-12-01"/>
    <x v="7"/>
    <s v="North"/>
    <s v="Uttar Pradesh"/>
    <s v="Lucknow"/>
    <x v="0"/>
    <x v="0"/>
    <s v="CUST1624"/>
    <s v="SP_01"/>
    <n v="4"/>
    <n v="3432.27"/>
    <n v="13729.08"/>
    <n v="8545.32"/>
    <n v="5183.76"/>
    <s v="Cash"/>
  </r>
  <r>
    <s v="ORD102851"/>
    <s v="2025-06-16"/>
    <x v="2"/>
    <s v="West"/>
    <s v="Gujarat"/>
    <s v="Ahmedabad"/>
    <x v="0"/>
    <x v="8"/>
    <s v="CUST1766"/>
    <s v="SP_07"/>
    <n v="1"/>
    <n v="21926.42"/>
    <n v="21926.42"/>
    <n v="17161.64"/>
    <n v="4764.78"/>
    <s v="Debit Card"/>
  </r>
  <r>
    <s v="ORD102852"/>
    <s v="2025-06-14"/>
    <x v="2"/>
    <s v="East"/>
    <s v="West Bengal"/>
    <s v="Kolkata"/>
    <x v="0"/>
    <x v="8"/>
    <s v="CUST1639"/>
    <s v="SP_02"/>
    <n v="4"/>
    <n v="21584.02"/>
    <n v="86336.08"/>
    <n v="70243.25"/>
    <n v="16092.83"/>
    <s v="Debit Card"/>
  </r>
  <r>
    <s v="ORD102853"/>
    <s v="2025-10-02"/>
    <x v="1"/>
    <s v="West"/>
    <s v="Gujarat"/>
    <s v="Ahmedabad"/>
    <x v="2"/>
    <x v="10"/>
    <s v="CUST1788"/>
    <s v="SP_11"/>
    <n v="8"/>
    <n v="18152.68"/>
    <n v="145221.44"/>
    <n v="107495.33"/>
    <n v="37726.11"/>
    <s v="Net Banking"/>
  </r>
  <r>
    <s v="ORD102854"/>
    <s v="2025-11-23"/>
    <x v="10"/>
    <s v="South"/>
    <s v="Telangana"/>
    <s v="Hyderabad"/>
    <x v="1"/>
    <x v="1"/>
    <s v="CUST1541"/>
    <s v="SP_03"/>
    <n v="2"/>
    <n v="2965.85"/>
    <n v="5931.7"/>
    <n v="3827.35"/>
    <n v="2104.35"/>
    <s v="UPI"/>
  </r>
  <r>
    <s v="ORD102855"/>
    <s v="2025-02-01"/>
    <x v="8"/>
    <s v="North"/>
    <s v="Punjab"/>
    <s v="Chandigarh"/>
    <x v="2"/>
    <x v="10"/>
    <s v="CUST1226"/>
    <s v="SP_06"/>
    <n v="2"/>
    <n v="18091.62"/>
    <n v="36183.24"/>
    <n v="27930.06"/>
    <n v="8253.18"/>
    <s v="Cash"/>
  </r>
  <r>
    <s v="ORD102856"/>
    <s v="2025-11-21"/>
    <x v="10"/>
    <s v="South"/>
    <s v="Telangana"/>
    <s v="Hyderabad"/>
    <x v="1"/>
    <x v="5"/>
    <s v="CUST1308"/>
    <s v="SP_06"/>
    <n v="2"/>
    <n v="9157.81"/>
    <n v="18315.62"/>
    <n v="15205.95"/>
    <n v="3109.67"/>
    <s v="Cash"/>
  </r>
  <r>
    <s v="ORD102857"/>
    <s v="2025-10-15"/>
    <x v="1"/>
    <s v="North"/>
    <s v="Delhi"/>
    <s v="Delhi"/>
    <x v="0"/>
    <x v="0"/>
    <s v="CUST1834"/>
    <s v="SP_04"/>
    <n v="5"/>
    <n v="3619.92"/>
    <n v="18099.599999999999"/>
    <n v="11128.39"/>
    <n v="6971.21"/>
    <s v="Net Banking"/>
  </r>
  <r>
    <s v="ORD102858"/>
    <s v="2025-07-19"/>
    <x v="6"/>
    <s v="South"/>
    <s v="Tamil Nadu"/>
    <s v="Chennai"/>
    <x v="3"/>
    <x v="7"/>
    <s v="CUST1417"/>
    <s v="SP_11"/>
    <n v="2"/>
    <n v="12366.39"/>
    <n v="24732.78"/>
    <n v="17103.45"/>
    <n v="7629.33"/>
    <s v="Net Banking"/>
  </r>
  <r>
    <s v="ORD102859"/>
    <s v="2025-10-30"/>
    <x v="1"/>
    <s v="South"/>
    <s v="Tamil Nadu"/>
    <s v="Chennai"/>
    <x v="0"/>
    <x v="0"/>
    <s v="CUST1431"/>
    <s v="SP_05"/>
    <n v="8"/>
    <n v="3491.45"/>
    <n v="27931.599999999999"/>
    <n v="16792"/>
    <n v="11139.6"/>
    <s v="UPI"/>
  </r>
  <r>
    <s v="ORD102860"/>
    <s v="2025-12-07"/>
    <x v="7"/>
    <s v="West"/>
    <s v="Rajasthan"/>
    <s v="Jaipur"/>
    <x v="1"/>
    <x v="6"/>
    <s v="CUST1285"/>
    <s v="SP_11"/>
    <n v="6"/>
    <n v="3104.84"/>
    <n v="18629.04"/>
    <n v="14722.81"/>
    <n v="3906.23"/>
    <s v="Debit Card"/>
  </r>
  <r>
    <s v="ORD102861"/>
    <s v="2025-10-23"/>
    <x v="1"/>
    <s v="East"/>
    <s v="West Bengal"/>
    <s v="Kolkata"/>
    <x v="2"/>
    <x v="2"/>
    <s v="CUST1572"/>
    <s v="SP_11"/>
    <n v="6"/>
    <n v="47662.080000000002"/>
    <n v="285972.47999999998"/>
    <n v="207246.41"/>
    <n v="78726.070000000007"/>
    <s v="UPI"/>
  </r>
  <r>
    <s v="ORD102862"/>
    <s v="2025-04-27"/>
    <x v="0"/>
    <s v="North"/>
    <s v="Uttar Pradesh"/>
    <s v="Lucknow"/>
    <x v="3"/>
    <x v="3"/>
    <s v="CUST1788"/>
    <s v="SP_15"/>
    <n v="8"/>
    <n v="27.4"/>
    <n v="219.2"/>
    <n v="76.72"/>
    <n v="142.47999999999999"/>
    <s v="Credit Card"/>
  </r>
  <r>
    <s v="ORD102863"/>
    <s v="2025-12-09"/>
    <x v="7"/>
    <s v="South"/>
    <s v="Karnataka"/>
    <s v="Bengaluru"/>
    <x v="2"/>
    <x v="2"/>
    <s v="CUST1150"/>
    <s v="SP_07"/>
    <n v="2"/>
    <n v="43948.41"/>
    <n v="87896.82"/>
    <n v="69458.59"/>
    <n v="18438.23"/>
    <s v="Debit Card"/>
  </r>
  <r>
    <s v="ORD102864"/>
    <s v="2025-10-13"/>
    <x v="1"/>
    <s v="South"/>
    <s v="Telangana"/>
    <s v="Hyderabad"/>
    <x v="0"/>
    <x v="0"/>
    <s v="CUST1024"/>
    <s v="SP_07"/>
    <n v="7"/>
    <n v="3644.21"/>
    <n v="25509.47"/>
    <n v="15192.46"/>
    <n v="10317.01"/>
    <s v="UPI"/>
  </r>
  <r>
    <s v="ORD102865"/>
    <s v="2025-11-16"/>
    <x v="10"/>
    <s v="North"/>
    <s v="Delhi"/>
    <s v="Delhi"/>
    <x v="1"/>
    <x v="6"/>
    <s v="CUST1525"/>
    <s v="SP_15"/>
    <n v="8"/>
    <n v="3121.05"/>
    <n v="24968.400000000001"/>
    <n v="19507.38"/>
    <n v="5461.02"/>
    <s v="UPI"/>
  </r>
  <r>
    <s v="ORD102866"/>
    <s v="2025-08-16"/>
    <x v="11"/>
    <s v="North"/>
    <s v="Uttar Pradesh"/>
    <s v="Lucknow"/>
    <x v="3"/>
    <x v="3"/>
    <s v="CUST1827"/>
    <s v="SP_11"/>
    <n v="1"/>
    <n v="25.88"/>
    <n v="25.88"/>
    <n v="9.77"/>
    <n v="16.11"/>
    <s v="Cash"/>
  </r>
  <r>
    <s v="ORD102867"/>
    <s v="2025-05-05"/>
    <x v="3"/>
    <s v="East"/>
    <s v="West Bengal"/>
    <s v="Kolkata"/>
    <x v="2"/>
    <x v="10"/>
    <s v="CUST1024"/>
    <s v="SP_03"/>
    <n v="1"/>
    <n v="17505.91"/>
    <n v="17505.91"/>
    <n v="14295"/>
    <n v="3210.91"/>
    <s v="Credit Card"/>
  </r>
  <r>
    <s v="ORD102868"/>
    <s v="2025-04-16"/>
    <x v="0"/>
    <s v="West"/>
    <s v="Rajasthan"/>
    <s v="Jaipur"/>
    <x v="3"/>
    <x v="7"/>
    <s v="CUST1259"/>
    <s v="SP_06"/>
    <n v="4"/>
    <n v="13057.71"/>
    <n v="52230.84"/>
    <n v="36684.550000000003"/>
    <n v="15546.29"/>
    <s v="Net Banking"/>
  </r>
  <r>
    <s v="ORD102869"/>
    <s v="2025-03-22"/>
    <x v="4"/>
    <s v="East"/>
    <s v="West Bengal"/>
    <s v="Kolkata"/>
    <x v="2"/>
    <x v="4"/>
    <s v="CUST1725"/>
    <s v="SP_09"/>
    <n v="3"/>
    <n v="2262.87"/>
    <n v="6788.61"/>
    <n v="4854.93"/>
    <n v="1933.68"/>
    <s v="Debit Card"/>
  </r>
  <r>
    <s v="ORD102870"/>
    <s v="2025-06-30"/>
    <x v="2"/>
    <s v="North"/>
    <s v="Uttar Pradesh"/>
    <s v="Lucknow"/>
    <x v="0"/>
    <x v="9"/>
    <s v="CUST1754"/>
    <s v="SP_08"/>
    <n v="5"/>
    <n v="7661"/>
    <n v="38305"/>
    <n v="23882.9"/>
    <n v="14422.1"/>
    <s v="Debit Card"/>
  </r>
  <r>
    <s v="ORD102871"/>
    <s v="2025-05-12"/>
    <x v="3"/>
    <s v="West"/>
    <s v="Maharashtra"/>
    <s v="Mumbai"/>
    <x v="3"/>
    <x v="7"/>
    <s v="CUST1602"/>
    <s v="SP_11"/>
    <n v="4"/>
    <n v="12502.33"/>
    <n v="50009.32"/>
    <n v="35931.49"/>
    <n v="14077.83"/>
    <s v="Credit Card"/>
  </r>
  <r>
    <s v="ORD102872"/>
    <s v="2025-02-17"/>
    <x v="8"/>
    <s v="West"/>
    <s v="Rajasthan"/>
    <s v="Jaipur"/>
    <x v="0"/>
    <x v="8"/>
    <s v="CUST1700"/>
    <s v="SP_03"/>
    <n v="4"/>
    <n v="23158.58"/>
    <n v="92634.32"/>
    <n v="66492.73"/>
    <n v="26141.59"/>
    <s v="UPI"/>
  </r>
  <r>
    <s v="ORD102873"/>
    <s v="2025-01-01"/>
    <x v="9"/>
    <s v="West"/>
    <s v="Maharashtra"/>
    <s v="Mumbai"/>
    <x v="1"/>
    <x v="6"/>
    <s v="CUST1495"/>
    <s v="SP_14"/>
    <n v="6"/>
    <n v="3168.2"/>
    <n v="19009.2"/>
    <n v="13863"/>
    <n v="5146.2"/>
    <s v="Debit Card"/>
  </r>
  <r>
    <s v="ORD102874"/>
    <s v="2025-10-21"/>
    <x v="1"/>
    <s v="North"/>
    <s v="Punjab"/>
    <s v="Chandigarh"/>
    <x v="3"/>
    <x v="7"/>
    <s v="CUST1585"/>
    <s v="SP_03"/>
    <n v="4"/>
    <n v="13013.67"/>
    <n v="52054.68"/>
    <n v="35539.269999999997"/>
    <n v="16515.41"/>
    <s v="UPI"/>
  </r>
  <r>
    <s v="ORD102875"/>
    <s v="2025-11-01"/>
    <x v="10"/>
    <s v="North"/>
    <s v="Uttar Pradesh"/>
    <s v="Lucknow"/>
    <x v="0"/>
    <x v="0"/>
    <s v="CUST1343"/>
    <s v="SP_08"/>
    <n v="6"/>
    <n v="3689.77"/>
    <n v="22138.62"/>
    <n v="13042.11"/>
    <n v="9096.51"/>
    <s v="Cash"/>
  </r>
  <r>
    <s v="ORD102876"/>
    <s v="2025-12-22"/>
    <x v="7"/>
    <s v="South"/>
    <s v="Karnataka"/>
    <s v="Bengaluru"/>
    <x v="2"/>
    <x v="4"/>
    <s v="CUST1653"/>
    <s v="SP_14"/>
    <n v="5"/>
    <n v="2387.27"/>
    <n v="11936.35"/>
    <n v="8037.72"/>
    <n v="3898.63"/>
    <s v="Credit Card"/>
  </r>
  <r>
    <s v="ORD102877"/>
    <s v="2025-12-20"/>
    <x v="7"/>
    <s v="West"/>
    <s v="Maharashtra"/>
    <s v="Mumbai"/>
    <x v="2"/>
    <x v="10"/>
    <s v="CUST1030"/>
    <s v="SP_11"/>
    <n v="7"/>
    <n v="18590.41"/>
    <n v="130132.87"/>
    <n v="101583.69"/>
    <n v="28549.18"/>
    <s v="Credit Card"/>
  </r>
  <r>
    <s v="ORD102878"/>
    <s v="2025-04-27"/>
    <x v="0"/>
    <s v="West"/>
    <s v="Rajasthan"/>
    <s v="Jaipur"/>
    <x v="2"/>
    <x v="4"/>
    <s v="CUST1668"/>
    <s v="SP_09"/>
    <n v="7"/>
    <n v="2480.46"/>
    <n v="17363.22"/>
    <n v="10659.06"/>
    <n v="6704.16"/>
    <s v="Credit Card"/>
  </r>
  <r>
    <s v="ORD102879"/>
    <s v="2025-03-03"/>
    <x v="4"/>
    <s v="West"/>
    <s v="Gujarat"/>
    <s v="Ahmedabad"/>
    <x v="1"/>
    <x v="5"/>
    <s v="CUST1644"/>
    <s v="SP_02"/>
    <n v="1"/>
    <n v="9960.0400000000009"/>
    <n v="9960.0400000000009"/>
    <n v="7344.05"/>
    <n v="2615.9899999999998"/>
    <s v="Debit Card"/>
  </r>
  <r>
    <s v="ORD102880"/>
    <s v="2025-06-04"/>
    <x v="2"/>
    <s v="South"/>
    <s v="Tamil Nadu"/>
    <s v="Chennai"/>
    <x v="2"/>
    <x v="2"/>
    <s v="CUST1055"/>
    <s v="SP_05"/>
    <n v="7"/>
    <n v="48521.49"/>
    <n v="339650.43"/>
    <n v="233993.33"/>
    <n v="105657.1"/>
    <s v="Net Banking"/>
  </r>
  <r>
    <s v="ORD102881"/>
    <s v="2025-09-05"/>
    <x v="5"/>
    <s v="South"/>
    <s v="Karnataka"/>
    <s v="Bengaluru"/>
    <x v="1"/>
    <x v="1"/>
    <s v="CUST1738"/>
    <s v="SP_03"/>
    <n v="2"/>
    <n v="2852.04"/>
    <n v="5704.08"/>
    <n v="3856.65"/>
    <n v="1847.43"/>
    <s v="Credit Card"/>
  </r>
  <r>
    <s v="ORD102882"/>
    <s v="2025-04-24"/>
    <x v="0"/>
    <s v="South"/>
    <s v="Tamil Nadu"/>
    <s v="Chennai"/>
    <x v="0"/>
    <x v="9"/>
    <s v="CUST1969"/>
    <s v="SP_15"/>
    <n v="8"/>
    <n v="6753.06"/>
    <n v="54024.480000000003"/>
    <n v="41657.129999999997"/>
    <n v="12367.35"/>
    <s v="Cash"/>
  </r>
  <r>
    <s v="ORD102883"/>
    <s v="2025-02-04"/>
    <x v="8"/>
    <s v="South"/>
    <s v="Telangana"/>
    <s v="Hyderabad"/>
    <x v="0"/>
    <x v="8"/>
    <s v="CUST1372"/>
    <s v="SP_09"/>
    <n v="8"/>
    <n v="22258.89"/>
    <n v="178071.12"/>
    <n v="138827.46"/>
    <n v="39243.660000000003"/>
    <s v="UPI"/>
  </r>
  <r>
    <s v="ORD102884"/>
    <s v="2025-09-13"/>
    <x v="5"/>
    <s v="East"/>
    <s v="West Bengal"/>
    <s v="Kolkata"/>
    <x v="1"/>
    <x v="1"/>
    <s v="CUST1532"/>
    <s v="SP_09"/>
    <n v="2"/>
    <n v="2954.05"/>
    <n v="5908.1"/>
    <n v="3804.66"/>
    <n v="2103.44"/>
    <s v="Net Banking"/>
  </r>
  <r>
    <s v="ORD102885"/>
    <s v="2025-10-18"/>
    <x v="1"/>
    <s v="East"/>
    <s v="Odisha"/>
    <s v="Bhubaneswar"/>
    <x v="3"/>
    <x v="11"/>
    <s v="CUST1366"/>
    <s v="SP_04"/>
    <n v="5"/>
    <n v="117.88"/>
    <n v="589.4"/>
    <n v="289.36"/>
    <n v="300.04000000000002"/>
    <s v="Cash"/>
  </r>
  <r>
    <s v="ORD102886"/>
    <s v="2025-02-24"/>
    <x v="8"/>
    <s v="South"/>
    <s v="Karnataka"/>
    <s v="Bengaluru"/>
    <x v="2"/>
    <x v="10"/>
    <s v="CUST1345"/>
    <s v="SP_03"/>
    <n v="2"/>
    <n v="18865.25"/>
    <n v="37730.5"/>
    <n v="26811.72"/>
    <n v="10918.78"/>
    <s v="Cash"/>
  </r>
  <r>
    <s v="ORD102887"/>
    <s v="2025-02-10"/>
    <x v="8"/>
    <s v="East"/>
    <s v="West Bengal"/>
    <s v="Kolkata"/>
    <x v="3"/>
    <x v="7"/>
    <s v="CUST1192"/>
    <s v="SP_07"/>
    <n v="2"/>
    <n v="12565.17"/>
    <n v="25130.34"/>
    <n v="17278.75"/>
    <n v="7851.59"/>
    <s v="UPI"/>
  </r>
  <r>
    <s v="ORD102888"/>
    <s v="2025-03-04"/>
    <x v="4"/>
    <s v="South"/>
    <s v="Karnataka"/>
    <s v="Bengaluru"/>
    <x v="3"/>
    <x v="7"/>
    <s v="CUST1173"/>
    <s v="SP_13"/>
    <n v="5"/>
    <n v="11446.99"/>
    <n v="57234.95"/>
    <n v="45942.43"/>
    <n v="11292.52"/>
    <s v="Net Banking"/>
  </r>
  <r>
    <s v="ORD102889"/>
    <s v="2025-03-08"/>
    <x v="4"/>
    <s v="West"/>
    <s v="Rajasthan"/>
    <s v="Jaipur"/>
    <x v="3"/>
    <x v="11"/>
    <s v="CUST1733"/>
    <s v="SP_10"/>
    <n v="7"/>
    <n v="119.66"/>
    <n v="837.62"/>
    <n v="401.66"/>
    <n v="435.96"/>
    <s v="Cash"/>
  </r>
  <r>
    <s v="ORD102890"/>
    <s v="2025-08-28"/>
    <x v="11"/>
    <s v="South"/>
    <s v="Telangana"/>
    <s v="Hyderabad"/>
    <x v="1"/>
    <x v="5"/>
    <s v="CUST1848"/>
    <s v="SP_05"/>
    <n v="1"/>
    <n v="9288.2000000000007"/>
    <n v="9288.2000000000007"/>
    <n v="7339.33"/>
    <n v="1948.87"/>
    <s v="Cash"/>
  </r>
  <r>
    <s v="ORD102891"/>
    <s v="2025-03-30"/>
    <x v="4"/>
    <s v="East"/>
    <s v="West Bengal"/>
    <s v="Kolkata"/>
    <x v="0"/>
    <x v="0"/>
    <s v="CUST1980"/>
    <s v="SP_06"/>
    <n v="3"/>
    <n v="3322.6"/>
    <n v="9967.7999999999993"/>
    <n v="6556.33"/>
    <n v="3411.47"/>
    <s v="Credit Card"/>
  </r>
  <r>
    <s v="ORD102892"/>
    <s v="2025-04-30"/>
    <x v="0"/>
    <s v="South"/>
    <s v="Karnataka"/>
    <s v="Bengaluru"/>
    <x v="3"/>
    <x v="11"/>
    <s v="CUST1270"/>
    <s v="SP_11"/>
    <n v="7"/>
    <n v="117.69"/>
    <n v="823.83"/>
    <n v="411.15"/>
    <n v="412.68"/>
    <s v="Cash"/>
  </r>
  <r>
    <s v="ORD102893"/>
    <s v="2025-09-17"/>
    <x v="5"/>
    <s v="North"/>
    <s v="Delhi"/>
    <s v="Delhi"/>
    <x v="1"/>
    <x v="1"/>
    <s v="CUST1758"/>
    <s v="SP_11"/>
    <n v="7"/>
    <n v="2828.48"/>
    <n v="19799.36"/>
    <n v="13102.04"/>
    <n v="6697.32"/>
    <s v="Net Banking"/>
  </r>
  <r>
    <s v="ORD102894"/>
    <s v="2025-01-02"/>
    <x v="9"/>
    <s v="West"/>
    <s v="Maharashtra"/>
    <s v="Mumbai"/>
    <x v="2"/>
    <x v="2"/>
    <s v="CUST1077"/>
    <s v="SP_12"/>
    <n v="2"/>
    <n v="49188.99"/>
    <n v="98377.98"/>
    <n v="68660.160000000003"/>
    <n v="29717.82"/>
    <s v="UPI"/>
  </r>
  <r>
    <s v="ORD102895"/>
    <s v="2025-06-10"/>
    <x v="2"/>
    <s v="South"/>
    <s v="Karnataka"/>
    <s v="Bengaluru"/>
    <x v="3"/>
    <x v="3"/>
    <s v="CUST1213"/>
    <s v="SP_14"/>
    <n v="6"/>
    <n v="23.32"/>
    <n v="139.91999999999999"/>
    <n v="60.93"/>
    <n v="78.989999999999995"/>
    <s v="Cash"/>
  </r>
  <r>
    <s v="ORD102896"/>
    <s v="2025-04-04"/>
    <x v="0"/>
    <s v="West"/>
    <s v="Rajasthan"/>
    <s v="Jaipur"/>
    <x v="2"/>
    <x v="4"/>
    <s v="CUST1430"/>
    <s v="SP_08"/>
    <n v="5"/>
    <n v="2674.1"/>
    <n v="13370.5"/>
    <n v="7663.16"/>
    <n v="5707.34"/>
    <s v="Debit Card"/>
  </r>
  <r>
    <s v="ORD102897"/>
    <s v="2025-09-24"/>
    <x v="5"/>
    <s v="West"/>
    <s v="Maharashtra"/>
    <s v="Mumbai"/>
    <x v="1"/>
    <x v="6"/>
    <s v="CUST1218"/>
    <s v="SP_14"/>
    <n v="4"/>
    <n v="3121.38"/>
    <n v="12485.52"/>
    <n v="9892.9500000000007"/>
    <n v="2592.5700000000002"/>
    <s v="Cash"/>
  </r>
  <r>
    <s v="ORD102898"/>
    <s v="2025-09-23"/>
    <x v="5"/>
    <s v="East"/>
    <s v="Odisha"/>
    <s v="Bhubaneswar"/>
    <x v="2"/>
    <x v="10"/>
    <s v="CUST1606"/>
    <s v="SP_10"/>
    <n v="6"/>
    <n v="19459.009999999998"/>
    <n v="116754.06"/>
    <n v="85302.88"/>
    <n v="31451.18"/>
    <s v="Debit Card"/>
  </r>
  <r>
    <s v="ORD102899"/>
    <s v="2025-07-16"/>
    <x v="6"/>
    <s v="South"/>
    <s v="Karnataka"/>
    <s v="Bengaluru"/>
    <x v="2"/>
    <x v="2"/>
    <s v="CUST1436"/>
    <s v="SP_10"/>
    <n v="8"/>
    <n v="44553.9"/>
    <n v="356431.2"/>
    <n v="280205.13"/>
    <n v="76226.070000000007"/>
    <s v="UPI"/>
  </r>
  <r>
    <s v="ORD102900"/>
    <s v="2025-02-10"/>
    <x v="8"/>
    <s v="East"/>
    <s v="Bihar"/>
    <s v="Patna"/>
    <x v="2"/>
    <x v="4"/>
    <s v="CUST1122"/>
    <s v="SP_09"/>
    <n v="8"/>
    <n v="2260.85"/>
    <n v="18086.8"/>
    <n v="12289.82"/>
    <n v="5796.98"/>
    <s v="UPI"/>
  </r>
  <r>
    <s v="ORD102901"/>
    <s v="2025-02-24"/>
    <x v="8"/>
    <s v="West"/>
    <s v="Gujarat"/>
    <s v="Ahmedabad"/>
    <x v="1"/>
    <x v="5"/>
    <s v="CUST1696"/>
    <s v="SP_03"/>
    <n v="3"/>
    <n v="8825.06"/>
    <n v="26475.18"/>
    <n v="23829.07"/>
    <n v="2646.11"/>
    <s v="Cash"/>
  </r>
  <r>
    <s v="ORD102902"/>
    <s v="2025-05-06"/>
    <x v="3"/>
    <s v="North"/>
    <s v="Delhi"/>
    <s v="Delhi"/>
    <x v="2"/>
    <x v="4"/>
    <s v="CUST1237"/>
    <s v="SP_06"/>
    <n v="4"/>
    <n v="2368.89"/>
    <n v="9475.56"/>
    <n v="6564.38"/>
    <n v="2911.18"/>
    <s v="Net Banking"/>
  </r>
  <r>
    <s v="ORD102903"/>
    <s v="2025-01-31"/>
    <x v="9"/>
    <s v="South"/>
    <s v="Karnataka"/>
    <s v="Bengaluru"/>
    <x v="1"/>
    <x v="1"/>
    <s v="CUST1455"/>
    <s v="SP_11"/>
    <n v="1"/>
    <n v="2789.56"/>
    <n v="2789.56"/>
    <n v="1985.92"/>
    <n v="803.64"/>
    <s v="UPI"/>
  </r>
  <r>
    <s v="ORD102904"/>
    <s v="2025-11-24"/>
    <x v="10"/>
    <s v="North"/>
    <s v="Punjab"/>
    <s v="Chandigarh"/>
    <x v="3"/>
    <x v="11"/>
    <s v="CUST1665"/>
    <s v="SP_14"/>
    <n v="1"/>
    <n v="122.47"/>
    <n v="122.47"/>
    <n v="60.98"/>
    <n v="61.49"/>
    <s v="Cash"/>
  </r>
  <r>
    <s v="ORD102905"/>
    <s v="2025-06-13"/>
    <x v="2"/>
    <s v="South"/>
    <s v="Karnataka"/>
    <s v="Bengaluru"/>
    <x v="0"/>
    <x v="0"/>
    <s v="CUST1415"/>
    <s v="SP_15"/>
    <n v="5"/>
    <n v="3778.96"/>
    <n v="18894.8"/>
    <n v="11184.29"/>
    <n v="7710.51"/>
    <s v="Cash"/>
  </r>
  <r>
    <s v="ORD102906"/>
    <s v="2025-05-11"/>
    <x v="3"/>
    <s v="West"/>
    <s v="Gujarat"/>
    <s v="Ahmedabad"/>
    <x v="3"/>
    <x v="11"/>
    <s v="CUST1344"/>
    <s v="SP_13"/>
    <n v="1"/>
    <n v="121.89"/>
    <n v="121.89"/>
    <n v="61.82"/>
    <n v="60.07"/>
    <s v="Cash"/>
  </r>
  <r>
    <s v="ORD102907"/>
    <s v="2025-12-21"/>
    <x v="7"/>
    <s v="South"/>
    <s v="Tamil Nadu"/>
    <s v="Chennai"/>
    <x v="2"/>
    <x v="2"/>
    <s v="CUST1021"/>
    <s v="SP_07"/>
    <n v="5"/>
    <n v="46906.57"/>
    <n v="234532.85"/>
    <n v="175966.8"/>
    <n v="58566.05"/>
    <s v="UPI"/>
  </r>
  <r>
    <s v="ORD102908"/>
    <s v="2025-06-15"/>
    <x v="2"/>
    <s v="East"/>
    <s v="West Bengal"/>
    <s v="Kolkata"/>
    <x v="1"/>
    <x v="1"/>
    <s v="CUST1558"/>
    <s v="SP_04"/>
    <n v="5"/>
    <n v="2919.78"/>
    <n v="14598.9"/>
    <n v="9215.1299999999992"/>
    <n v="5383.77"/>
    <s v="UPI"/>
  </r>
  <r>
    <s v="ORD102909"/>
    <s v="2025-06-27"/>
    <x v="2"/>
    <s v="North"/>
    <s v="Punjab"/>
    <s v="Chandigarh"/>
    <x v="0"/>
    <x v="9"/>
    <s v="CUST1919"/>
    <s v="SP_07"/>
    <n v="8"/>
    <n v="6740.57"/>
    <n v="53924.56"/>
    <n v="39724.6"/>
    <n v="14199.96"/>
    <s v="UPI"/>
  </r>
  <r>
    <s v="ORD102910"/>
    <s v="2025-11-12"/>
    <x v="10"/>
    <s v="South"/>
    <s v="Karnataka"/>
    <s v="Bengaluru"/>
    <x v="3"/>
    <x v="3"/>
    <s v="CUST1331"/>
    <s v="SP_05"/>
    <n v="6"/>
    <n v="23.62"/>
    <n v="141.72"/>
    <n v="57.81"/>
    <n v="83.91"/>
    <s v="Credit Card"/>
  </r>
  <r>
    <s v="ORD102911"/>
    <s v="2025-03-03"/>
    <x v="4"/>
    <s v="North"/>
    <s v="Punjab"/>
    <s v="Chandigarh"/>
    <x v="1"/>
    <x v="1"/>
    <s v="CUST1234"/>
    <s v="SP_06"/>
    <n v="7"/>
    <n v="2772.93"/>
    <n v="19410.509999999998"/>
    <n v="13782.95"/>
    <n v="5627.56"/>
    <s v="Debit Card"/>
  </r>
  <r>
    <s v="ORD102912"/>
    <s v="2025-07-26"/>
    <x v="6"/>
    <s v="West"/>
    <s v="Gujarat"/>
    <s v="Ahmedabad"/>
    <x v="3"/>
    <x v="3"/>
    <s v="CUST1158"/>
    <s v="SP_10"/>
    <n v="2"/>
    <n v="24"/>
    <n v="48"/>
    <n v="19.77"/>
    <n v="28.23"/>
    <s v="UPI"/>
  </r>
  <r>
    <s v="ORD102913"/>
    <s v="2025-04-08"/>
    <x v="0"/>
    <s v="South"/>
    <s v="Tamil Nadu"/>
    <s v="Chennai"/>
    <x v="1"/>
    <x v="5"/>
    <s v="CUST1617"/>
    <s v="SP_15"/>
    <n v="1"/>
    <n v="8702.9699999999993"/>
    <n v="8702.9699999999993"/>
    <n v="7368.56"/>
    <n v="1334.41"/>
    <s v="Credit Card"/>
  </r>
  <r>
    <s v="ORD102914"/>
    <s v="2025-08-02"/>
    <x v="11"/>
    <s v="South"/>
    <s v="Karnataka"/>
    <s v="Bengaluru"/>
    <x v="1"/>
    <x v="5"/>
    <s v="CUST1773"/>
    <s v="SP_13"/>
    <n v="2"/>
    <n v="9729.58"/>
    <n v="19459.16"/>
    <n v="15657.64"/>
    <n v="3801.52"/>
    <s v="Cash"/>
  </r>
  <r>
    <s v="ORD102915"/>
    <s v="2025-11-28"/>
    <x v="10"/>
    <s v="North"/>
    <s v="Punjab"/>
    <s v="Chandigarh"/>
    <x v="2"/>
    <x v="4"/>
    <s v="CUST1930"/>
    <s v="SP_02"/>
    <n v="4"/>
    <n v="2499.41"/>
    <n v="9997.64"/>
    <n v="6082.34"/>
    <n v="3915.3"/>
    <s v="Credit Card"/>
  </r>
  <r>
    <s v="ORD102916"/>
    <s v="2025-04-06"/>
    <x v="0"/>
    <s v="North"/>
    <s v="Uttar Pradesh"/>
    <s v="Lucknow"/>
    <x v="0"/>
    <x v="8"/>
    <s v="CUST1991"/>
    <s v="SP_04"/>
    <n v="6"/>
    <n v="21386.63"/>
    <n v="128319.78"/>
    <n v="99242.07"/>
    <n v="29077.71"/>
    <s v="Cash"/>
  </r>
  <r>
    <s v="ORD102917"/>
    <s v="2025-08-20"/>
    <x v="11"/>
    <s v="North"/>
    <s v="Punjab"/>
    <s v="Chandigarh"/>
    <x v="0"/>
    <x v="9"/>
    <s v="CUST1568"/>
    <s v="SP_02"/>
    <n v="5"/>
    <n v="7106.44"/>
    <n v="35532.199999999997"/>
    <n v="24009.27"/>
    <n v="11522.93"/>
    <s v="Debit Card"/>
  </r>
  <r>
    <s v="ORD102918"/>
    <s v="2025-11-26"/>
    <x v="10"/>
    <s v="West"/>
    <s v="Gujarat"/>
    <s v="Ahmedabad"/>
    <x v="3"/>
    <x v="7"/>
    <s v="CUST1046"/>
    <s v="SP_03"/>
    <n v="8"/>
    <n v="12975.98"/>
    <n v="103807.84"/>
    <n v="69613.5"/>
    <n v="34194.339999999997"/>
    <s v="Cash"/>
  </r>
  <r>
    <s v="ORD102919"/>
    <s v="2025-08-30"/>
    <x v="11"/>
    <s v="East"/>
    <s v="Bihar"/>
    <s v="Patna"/>
    <x v="3"/>
    <x v="3"/>
    <s v="CUST1459"/>
    <s v="SP_03"/>
    <n v="7"/>
    <n v="25.44"/>
    <n v="178.08"/>
    <n v="72.010000000000005"/>
    <n v="106.07"/>
    <s v="Credit Card"/>
  </r>
  <r>
    <s v="ORD102920"/>
    <s v="2025-02-16"/>
    <x v="8"/>
    <s v="East"/>
    <s v="West Bengal"/>
    <s v="Kolkata"/>
    <x v="3"/>
    <x v="11"/>
    <s v="CUST1809"/>
    <s v="SP_14"/>
    <n v="1"/>
    <n v="131.41"/>
    <n v="131.41"/>
    <n v="57.39"/>
    <n v="74.02"/>
    <s v="Credit Card"/>
  </r>
  <r>
    <s v="ORD102921"/>
    <s v="2025-07-10"/>
    <x v="6"/>
    <s v="South"/>
    <s v="Karnataka"/>
    <s v="Bengaluru"/>
    <x v="0"/>
    <x v="9"/>
    <s v="CUST1601"/>
    <s v="SP_06"/>
    <n v="3"/>
    <n v="7262.66"/>
    <n v="21787.98"/>
    <n v="14923.96"/>
    <n v="6864.02"/>
    <s v="Cash"/>
  </r>
  <r>
    <s v="ORD102922"/>
    <s v="2025-02-21"/>
    <x v="8"/>
    <s v="East"/>
    <s v="Bihar"/>
    <s v="Patna"/>
    <x v="2"/>
    <x v="10"/>
    <s v="CUST1085"/>
    <s v="SP_06"/>
    <n v="5"/>
    <n v="16866.32"/>
    <n v="84331.6"/>
    <n v="70562.19"/>
    <n v="13769.41"/>
    <s v="UPI"/>
  </r>
  <r>
    <s v="ORD102923"/>
    <s v="2025-09-28"/>
    <x v="5"/>
    <s v="East"/>
    <s v="West Bengal"/>
    <s v="Kolkata"/>
    <x v="1"/>
    <x v="1"/>
    <s v="CUST1150"/>
    <s v="SP_10"/>
    <n v="2"/>
    <n v="2978.67"/>
    <n v="5957.34"/>
    <n v="3818.94"/>
    <n v="2138.4"/>
    <s v="Cash"/>
  </r>
  <r>
    <s v="ORD102924"/>
    <s v="2025-02-09"/>
    <x v="8"/>
    <s v="North"/>
    <s v="Punjab"/>
    <s v="Chandigarh"/>
    <x v="0"/>
    <x v="9"/>
    <s v="CUST1454"/>
    <s v="SP_02"/>
    <n v="1"/>
    <n v="7251.24"/>
    <n v="7251.24"/>
    <n v="4903.8999999999996"/>
    <n v="2347.34"/>
    <s v="Debit Card"/>
  </r>
  <r>
    <s v="ORD102925"/>
    <s v="2025-07-18"/>
    <x v="6"/>
    <s v="South"/>
    <s v="Tamil Nadu"/>
    <s v="Chennai"/>
    <x v="1"/>
    <x v="5"/>
    <s v="CUST1507"/>
    <s v="SP_11"/>
    <n v="1"/>
    <n v="9265.86"/>
    <n v="9265.86"/>
    <n v="7492.11"/>
    <n v="1773.75"/>
    <s v="UPI"/>
  </r>
  <r>
    <s v="ORD102926"/>
    <s v="2025-12-18"/>
    <x v="7"/>
    <s v="East"/>
    <s v="Odisha"/>
    <s v="Bhubaneswar"/>
    <x v="0"/>
    <x v="0"/>
    <s v="CUST1425"/>
    <s v="SP_08"/>
    <n v="6"/>
    <n v="3642.04"/>
    <n v="21852.240000000002"/>
    <n v="12638.59"/>
    <n v="9213.65"/>
    <s v="Credit Card"/>
  </r>
  <r>
    <s v="ORD102927"/>
    <s v="2025-03-18"/>
    <x v="4"/>
    <s v="North"/>
    <s v="Punjab"/>
    <s v="Chandigarh"/>
    <x v="1"/>
    <x v="1"/>
    <s v="CUST1344"/>
    <s v="SP_03"/>
    <n v="5"/>
    <n v="2822.99"/>
    <n v="14114.95"/>
    <n v="9480.89"/>
    <n v="4634.0600000000004"/>
    <s v="Credit Card"/>
  </r>
  <r>
    <s v="ORD102928"/>
    <s v="2025-11-12"/>
    <x v="10"/>
    <s v="West"/>
    <s v="Gujarat"/>
    <s v="Ahmedabad"/>
    <x v="3"/>
    <x v="3"/>
    <s v="CUST1115"/>
    <s v="SP_10"/>
    <n v="5"/>
    <n v="27.18"/>
    <n v="135.9"/>
    <n v="49.84"/>
    <n v="86.06"/>
    <s v="Credit Card"/>
  </r>
  <r>
    <s v="ORD102929"/>
    <s v="2025-07-07"/>
    <x v="6"/>
    <s v="East"/>
    <s v="Odisha"/>
    <s v="Bhubaneswar"/>
    <x v="2"/>
    <x v="10"/>
    <s v="CUST1775"/>
    <s v="SP_03"/>
    <n v="8"/>
    <n v="17688.060000000001"/>
    <n v="141504.48000000001"/>
    <n v="115257.28"/>
    <n v="26247.200000000001"/>
    <s v="Cash"/>
  </r>
  <r>
    <s v="ORD102930"/>
    <s v="2025-02-25"/>
    <x v="8"/>
    <s v="East"/>
    <s v="Bihar"/>
    <s v="Patna"/>
    <x v="0"/>
    <x v="0"/>
    <s v="CUST1239"/>
    <s v="SP_14"/>
    <n v="4"/>
    <n v="3635.8"/>
    <n v="14543.2"/>
    <n v="8888.7999999999993"/>
    <n v="5654.4"/>
    <s v="Cash"/>
  </r>
  <r>
    <s v="ORD102931"/>
    <s v="2025-05-20"/>
    <x v="3"/>
    <s v="East"/>
    <s v="Bihar"/>
    <s v="Patna"/>
    <x v="2"/>
    <x v="2"/>
    <s v="CUST1386"/>
    <s v="SP_08"/>
    <n v="1"/>
    <n v="40915.839999999997"/>
    <n v="40915.839999999997"/>
    <n v="34948.519999999997"/>
    <n v="5967.32"/>
    <s v="Net Banking"/>
  </r>
  <r>
    <s v="ORD102932"/>
    <s v="2025-10-10"/>
    <x v="1"/>
    <s v="West"/>
    <s v="Gujarat"/>
    <s v="Ahmedabad"/>
    <x v="2"/>
    <x v="2"/>
    <s v="CUST1091"/>
    <s v="SP_10"/>
    <n v="1"/>
    <n v="44299.02"/>
    <n v="44299.02"/>
    <n v="36550.39"/>
    <n v="7748.63"/>
    <s v="Debit Card"/>
  </r>
  <r>
    <s v="ORD102933"/>
    <s v="2025-01-26"/>
    <x v="9"/>
    <s v="West"/>
    <s v="Maharashtra"/>
    <s v="Mumbai"/>
    <x v="2"/>
    <x v="2"/>
    <s v="CUST1973"/>
    <s v="SP_14"/>
    <n v="7"/>
    <n v="43716.54"/>
    <n v="306015.78000000003"/>
    <n v="247478.73"/>
    <n v="58537.05"/>
    <s v="UPI"/>
  </r>
  <r>
    <s v="ORD102934"/>
    <s v="2025-06-17"/>
    <x v="2"/>
    <s v="North"/>
    <s v="Delhi"/>
    <s v="Delhi"/>
    <x v="0"/>
    <x v="9"/>
    <s v="CUST1095"/>
    <s v="SP_01"/>
    <n v="8"/>
    <n v="7175.44"/>
    <n v="57403.519999999997"/>
    <n v="38616.94"/>
    <n v="18786.580000000002"/>
    <s v="UPI"/>
  </r>
  <r>
    <s v="ORD102935"/>
    <s v="2025-03-01"/>
    <x v="4"/>
    <s v="East"/>
    <s v="West Bengal"/>
    <s v="Kolkata"/>
    <x v="2"/>
    <x v="4"/>
    <s v="CUST1106"/>
    <s v="SP_04"/>
    <n v="1"/>
    <n v="2432.25"/>
    <n v="2432.25"/>
    <n v="1528.71"/>
    <n v="903.54"/>
    <s v="Net Banking"/>
  </r>
  <r>
    <s v="ORD102936"/>
    <s v="2025-04-11"/>
    <x v="0"/>
    <s v="South"/>
    <s v="Tamil Nadu"/>
    <s v="Chennai"/>
    <x v="0"/>
    <x v="8"/>
    <s v="CUST1758"/>
    <s v="SP_10"/>
    <n v="3"/>
    <n v="22535.75"/>
    <n v="67607.25"/>
    <n v="49425.05"/>
    <n v="18182.2"/>
    <s v="Credit Card"/>
  </r>
  <r>
    <s v="ORD102937"/>
    <s v="2025-03-09"/>
    <x v="4"/>
    <s v="North"/>
    <s v="Delhi"/>
    <s v="Delhi"/>
    <x v="3"/>
    <x v="7"/>
    <s v="CUST1033"/>
    <s v="SP_11"/>
    <n v="6"/>
    <n v="12448.9"/>
    <n v="74693.399999999994"/>
    <n v="56365.8"/>
    <n v="18327.599999999999"/>
    <s v="Net Banking"/>
  </r>
  <r>
    <s v="ORD102938"/>
    <s v="2025-12-14"/>
    <x v="7"/>
    <s v="West"/>
    <s v="Rajasthan"/>
    <s v="Jaipur"/>
    <x v="1"/>
    <x v="6"/>
    <s v="CUST1365"/>
    <s v="SP_13"/>
    <n v="8"/>
    <n v="3336.26"/>
    <n v="26690.080000000002"/>
    <n v="18301.93"/>
    <n v="8388.15"/>
    <s v="Debit Card"/>
  </r>
  <r>
    <s v="ORD102939"/>
    <s v="2025-12-29"/>
    <x v="7"/>
    <s v="East"/>
    <s v="Odisha"/>
    <s v="Bhubaneswar"/>
    <x v="1"/>
    <x v="5"/>
    <s v="CUST1835"/>
    <s v="SP_12"/>
    <n v="7"/>
    <n v="9300.83"/>
    <n v="65105.81"/>
    <n v="55049.93"/>
    <n v="10055.879999999999"/>
    <s v="Cash"/>
  </r>
  <r>
    <s v="ORD102940"/>
    <s v="2025-03-17"/>
    <x v="4"/>
    <s v="North"/>
    <s v="Punjab"/>
    <s v="Chandigarh"/>
    <x v="3"/>
    <x v="7"/>
    <s v="CUST1396"/>
    <s v="SP_06"/>
    <n v="8"/>
    <n v="11176.12"/>
    <n v="89408.960000000006"/>
    <n v="72516.45"/>
    <n v="16892.509999999998"/>
    <s v="Credit Card"/>
  </r>
  <r>
    <s v="ORD102941"/>
    <s v="2025-05-31"/>
    <x v="3"/>
    <s v="West"/>
    <s v="Gujarat"/>
    <s v="Ahmedabad"/>
    <x v="0"/>
    <x v="8"/>
    <s v="CUST1512"/>
    <s v="SP_09"/>
    <n v="1"/>
    <n v="21632.959999999999"/>
    <n v="21632.959999999999"/>
    <n v="17252.71"/>
    <n v="4380.25"/>
    <s v="UPI"/>
  </r>
  <r>
    <s v="ORD102942"/>
    <s v="2025-04-17"/>
    <x v="0"/>
    <s v="South"/>
    <s v="Telangana"/>
    <s v="Hyderabad"/>
    <x v="2"/>
    <x v="10"/>
    <s v="CUST1619"/>
    <s v="SP_12"/>
    <n v="6"/>
    <n v="16841.47"/>
    <n v="101048.82"/>
    <n v="80556.73"/>
    <n v="20492.09"/>
    <s v="Cash"/>
  </r>
  <r>
    <s v="ORD102943"/>
    <s v="2025-10-22"/>
    <x v="1"/>
    <s v="North"/>
    <s v="Uttar Pradesh"/>
    <s v="Lucknow"/>
    <x v="0"/>
    <x v="9"/>
    <s v="CUST1243"/>
    <s v="SP_15"/>
    <n v="4"/>
    <n v="6302.79"/>
    <n v="25211.16"/>
    <n v="20986.9"/>
    <n v="4224.26"/>
    <s v="Cash"/>
  </r>
  <r>
    <s v="ORD102944"/>
    <s v="2025-05-02"/>
    <x v="3"/>
    <s v="South"/>
    <s v="Karnataka"/>
    <s v="Bengaluru"/>
    <x v="1"/>
    <x v="1"/>
    <s v="CUST1384"/>
    <s v="SP_05"/>
    <n v="3"/>
    <n v="2681.38"/>
    <n v="8044.14"/>
    <n v="5790.09"/>
    <n v="2254.0500000000002"/>
    <s v="UPI"/>
  </r>
  <r>
    <s v="ORD102945"/>
    <s v="2025-03-10"/>
    <x v="4"/>
    <s v="West"/>
    <s v="Gujarat"/>
    <s v="Ahmedabad"/>
    <x v="0"/>
    <x v="0"/>
    <s v="CUST1267"/>
    <s v="SP_05"/>
    <n v="2"/>
    <n v="3569.18"/>
    <n v="7138.36"/>
    <n v="4321.13"/>
    <n v="2817.23"/>
    <s v="Credit Card"/>
  </r>
  <r>
    <s v="ORD102946"/>
    <s v="2025-10-29"/>
    <x v="1"/>
    <s v="South"/>
    <s v="Tamil Nadu"/>
    <s v="Chennai"/>
    <x v="2"/>
    <x v="4"/>
    <s v="CUST1534"/>
    <s v="SP_15"/>
    <n v="2"/>
    <n v="2506.2800000000002"/>
    <n v="5012.5600000000004"/>
    <n v="3202.06"/>
    <n v="1810.5"/>
    <s v="Cash"/>
  </r>
  <r>
    <s v="ORD102947"/>
    <s v="2025-10-16"/>
    <x v="1"/>
    <s v="North"/>
    <s v="Uttar Pradesh"/>
    <s v="Lucknow"/>
    <x v="3"/>
    <x v="11"/>
    <s v="CUST1932"/>
    <s v="SP_09"/>
    <n v="3"/>
    <n v="128.37"/>
    <n v="385.11"/>
    <n v="176.23"/>
    <n v="208.88"/>
    <s v="Net Banking"/>
  </r>
  <r>
    <s v="ORD102948"/>
    <s v="2025-10-20"/>
    <x v="1"/>
    <s v="West"/>
    <s v="Maharashtra"/>
    <s v="Mumbai"/>
    <x v="2"/>
    <x v="10"/>
    <s v="CUST1207"/>
    <s v="SP_07"/>
    <n v="3"/>
    <n v="17590.55"/>
    <n v="52771.65"/>
    <n v="42381.74"/>
    <n v="10389.91"/>
    <s v="UPI"/>
  </r>
  <r>
    <s v="ORD102949"/>
    <s v="2025-09-28"/>
    <x v="5"/>
    <s v="South"/>
    <s v="Telangana"/>
    <s v="Hyderabad"/>
    <x v="1"/>
    <x v="6"/>
    <s v="CUST1405"/>
    <s v="SP_13"/>
    <n v="5"/>
    <n v="3295.4"/>
    <n v="16477"/>
    <n v="11868.26"/>
    <n v="4608.74"/>
    <s v="Credit Card"/>
  </r>
  <r>
    <s v="ORD102950"/>
    <s v="2025-08-25"/>
    <x v="11"/>
    <s v="North"/>
    <s v="Delhi"/>
    <s v="Delhi"/>
    <x v="0"/>
    <x v="0"/>
    <s v="CUST1438"/>
    <s v="SP_10"/>
    <n v="6"/>
    <n v="3812.17"/>
    <n v="22873.02"/>
    <n v="13118.35"/>
    <n v="9754.67"/>
    <s v="Credit Card"/>
  </r>
  <r>
    <s v="ORD102951"/>
    <s v="2025-03-06"/>
    <x v="4"/>
    <s v="West"/>
    <s v="Rajasthan"/>
    <s v="Jaipur"/>
    <x v="0"/>
    <x v="0"/>
    <s v="CUST1925"/>
    <s v="SP_14"/>
    <n v="8"/>
    <n v="3461.33"/>
    <n v="27690.639999999999"/>
    <n v="16798.61"/>
    <n v="10892.03"/>
    <s v="Debit Card"/>
  </r>
  <r>
    <s v="ORD102952"/>
    <s v="2025-11-06"/>
    <x v="10"/>
    <s v="East"/>
    <s v="West Bengal"/>
    <s v="Kolkata"/>
    <x v="1"/>
    <x v="6"/>
    <s v="CUST1248"/>
    <s v="SP_07"/>
    <n v="7"/>
    <n v="3122.14"/>
    <n v="21854.98"/>
    <n v="17078.509999999998"/>
    <n v="4776.47"/>
    <s v="Cash"/>
  </r>
  <r>
    <s v="ORD102953"/>
    <s v="2025-10-31"/>
    <x v="1"/>
    <s v="South"/>
    <s v="Karnataka"/>
    <s v="Bengaluru"/>
    <x v="3"/>
    <x v="7"/>
    <s v="CUST1618"/>
    <s v="SP_09"/>
    <n v="6"/>
    <n v="10977.61"/>
    <n v="65865.66"/>
    <n v="51856.22"/>
    <n v="14009.44"/>
    <s v="Debit Card"/>
  </r>
  <r>
    <s v="ORD102954"/>
    <s v="2025-01-20"/>
    <x v="9"/>
    <s v="East"/>
    <s v="West Bengal"/>
    <s v="Kolkata"/>
    <x v="1"/>
    <x v="6"/>
    <s v="CUST1005"/>
    <s v="SP_05"/>
    <n v="5"/>
    <n v="3419.29"/>
    <n v="17096.45"/>
    <n v="12029.23"/>
    <n v="5067.22"/>
    <s v="Credit Card"/>
  </r>
  <r>
    <s v="ORD102955"/>
    <s v="2025-10-02"/>
    <x v="1"/>
    <s v="East"/>
    <s v="Odisha"/>
    <s v="Bhubaneswar"/>
    <x v="3"/>
    <x v="11"/>
    <s v="CUST1744"/>
    <s v="SP_03"/>
    <n v="2"/>
    <n v="117.02"/>
    <n v="234.04"/>
    <n v="117.35"/>
    <n v="116.69"/>
    <s v="Credit Card"/>
  </r>
  <r>
    <s v="ORD102956"/>
    <s v="2025-09-27"/>
    <x v="5"/>
    <s v="South"/>
    <s v="Telangana"/>
    <s v="Hyderabad"/>
    <x v="0"/>
    <x v="9"/>
    <s v="CUST1209"/>
    <s v="SP_08"/>
    <n v="2"/>
    <n v="6873.32"/>
    <n v="13746.64"/>
    <n v="10089.06"/>
    <n v="3657.58"/>
    <s v="Debit Card"/>
  </r>
  <r>
    <s v="ORD102957"/>
    <s v="2025-03-28"/>
    <x v="4"/>
    <s v="South"/>
    <s v="Karnataka"/>
    <s v="Bengaluru"/>
    <x v="0"/>
    <x v="8"/>
    <s v="CUST1475"/>
    <s v="SP_15"/>
    <n v="8"/>
    <n v="22302.78"/>
    <n v="178422.24"/>
    <n v="137415.69"/>
    <n v="41006.550000000003"/>
    <s v="Cash"/>
  </r>
  <r>
    <s v="ORD102958"/>
    <s v="2025-04-12"/>
    <x v="0"/>
    <s v="North"/>
    <s v="Punjab"/>
    <s v="Chandigarh"/>
    <x v="2"/>
    <x v="4"/>
    <s v="CUST1166"/>
    <s v="SP_10"/>
    <n v="3"/>
    <n v="2496.09"/>
    <n v="7488.27"/>
    <n v="5019.8"/>
    <n v="2468.4699999999998"/>
    <s v="Net Banking"/>
  </r>
  <r>
    <s v="ORD102959"/>
    <s v="2025-03-30"/>
    <x v="4"/>
    <s v="South"/>
    <s v="Tamil Nadu"/>
    <s v="Chennai"/>
    <x v="1"/>
    <x v="1"/>
    <s v="CUST1092"/>
    <s v="SP_14"/>
    <n v="2"/>
    <n v="2912.51"/>
    <n v="5825.02"/>
    <n v="3683"/>
    <n v="2142.02"/>
    <s v="Debit Card"/>
  </r>
  <r>
    <s v="ORD102960"/>
    <s v="2025-11-11"/>
    <x v="10"/>
    <s v="East"/>
    <s v="Bihar"/>
    <s v="Patna"/>
    <x v="3"/>
    <x v="7"/>
    <s v="CUST1209"/>
    <s v="SP_12"/>
    <n v="6"/>
    <n v="11666.31"/>
    <n v="69997.86"/>
    <n v="56046.48"/>
    <n v="13951.38"/>
    <s v="Debit Card"/>
  </r>
  <r>
    <s v="ORD102961"/>
    <s v="2025-08-10"/>
    <x v="11"/>
    <s v="South"/>
    <s v="Karnataka"/>
    <s v="Bengaluru"/>
    <x v="2"/>
    <x v="10"/>
    <s v="CUST1344"/>
    <s v="SP_09"/>
    <n v="1"/>
    <n v="17043.14"/>
    <n v="17043.14"/>
    <n v="14231"/>
    <n v="2812.14"/>
    <s v="Net Banking"/>
  </r>
  <r>
    <s v="ORD102962"/>
    <s v="2025-05-22"/>
    <x v="3"/>
    <s v="West"/>
    <s v="Rajasthan"/>
    <s v="Jaipur"/>
    <x v="1"/>
    <x v="5"/>
    <s v="CUST1185"/>
    <s v="SP_09"/>
    <n v="1"/>
    <n v="9631.15"/>
    <n v="9631.15"/>
    <n v="7403.22"/>
    <n v="2227.9299999999998"/>
    <s v="UPI"/>
  </r>
  <r>
    <s v="ORD102963"/>
    <s v="2025-11-28"/>
    <x v="10"/>
    <s v="North"/>
    <s v="Uttar Pradesh"/>
    <s v="Lucknow"/>
    <x v="2"/>
    <x v="2"/>
    <s v="CUST1175"/>
    <s v="SP_08"/>
    <n v="1"/>
    <n v="49253.07"/>
    <n v="49253.07"/>
    <n v="34382.35"/>
    <n v="14870.72"/>
    <s v="Debit Card"/>
  </r>
  <r>
    <s v="ORD102964"/>
    <s v="2025-04-07"/>
    <x v="0"/>
    <s v="North"/>
    <s v="Punjab"/>
    <s v="Chandigarh"/>
    <x v="2"/>
    <x v="2"/>
    <s v="CUST1905"/>
    <s v="SP_10"/>
    <n v="1"/>
    <n v="42404.46"/>
    <n v="42404.46"/>
    <n v="33684.21"/>
    <n v="8720.25"/>
    <s v="UPI"/>
  </r>
  <r>
    <s v="ORD102965"/>
    <s v="2025-12-14"/>
    <x v="7"/>
    <s v="South"/>
    <s v="Telangana"/>
    <s v="Hyderabad"/>
    <x v="3"/>
    <x v="7"/>
    <s v="CUST1204"/>
    <s v="SP_04"/>
    <n v="8"/>
    <n v="10833.04"/>
    <n v="86664.320000000007"/>
    <n v="71619.360000000001"/>
    <n v="15044.96"/>
    <s v="Credit Card"/>
  </r>
  <r>
    <s v="ORD102966"/>
    <s v="2025-12-06"/>
    <x v="7"/>
    <s v="West"/>
    <s v="Gujarat"/>
    <s v="Ahmedabad"/>
    <x v="1"/>
    <x v="6"/>
    <s v="CUST1468"/>
    <s v="SP_04"/>
    <n v="6"/>
    <n v="2945.14"/>
    <n v="17670.84"/>
    <n v="14234.5"/>
    <n v="3436.34"/>
    <s v="Credit Card"/>
  </r>
  <r>
    <s v="ORD102967"/>
    <s v="2025-01-08"/>
    <x v="9"/>
    <s v="West"/>
    <s v="Gujarat"/>
    <s v="Ahmedabad"/>
    <x v="1"/>
    <x v="1"/>
    <s v="CUST1150"/>
    <s v="SP_01"/>
    <n v="3"/>
    <n v="2565.02"/>
    <n v="7695.06"/>
    <n v="5620.3"/>
    <n v="2074.7600000000002"/>
    <s v="Net Banking"/>
  </r>
  <r>
    <s v="ORD102968"/>
    <s v="2025-09-28"/>
    <x v="5"/>
    <s v="West"/>
    <s v="Rajasthan"/>
    <s v="Jaipur"/>
    <x v="0"/>
    <x v="9"/>
    <s v="CUST1696"/>
    <s v="SP_15"/>
    <n v="8"/>
    <n v="6619.48"/>
    <n v="52955.839999999997"/>
    <n v="39251.11"/>
    <n v="13704.73"/>
    <s v="Cash"/>
  </r>
  <r>
    <s v="ORD102969"/>
    <s v="2025-09-28"/>
    <x v="5"/>
    <s v="West"/>
    <s v="Maharashtra"/>
    <s v="Mumbai"/>
    <x v="3"/>
    <x v="11"/>
    <s v="CUST1529"/>
    <s v="SP_07"/>
    <n v="8"/>
    <n v="131.01"/>
    <n v="1048.08"/>
    <n v="474.56"/>
    <n v="573.52"/>
    <s v="UPI"/>
  </r>
  <r>
    <s v="ORD102970"/>
    <s v="2025-12-13"/>
    <x v="7"/>
    <s v="South"/>
    <s v="Telangana"/>
    <s v="Hyderabad"/>
    <x v="0"/>
    <x v="9"/>
    <s v="CUST1605"/>
    <s v="SP_10"/>
    <n v="6"/>
    <n v="6369.98"/>
    <n v="38219.879999999997"/>
    <n v="30410.5"/>
    <n v="7809.38"/>
    <s v="Cash"/>
  </r>
  <r>
    <s v="ORD102971"/>
    <s v="2025-01-30"/>
    <x v="9"/>
    <s v="South"/>
    <s v="Tamil Nadu"/>
    <s v="Chennai"/>
    <x v="2"/>
    <x v="2"/>
    <s v="CUST1375"/>
    <s v="SP_04"/>
    <n v="8"/>
    <n v="49403.49"/>
    <n v="395227.92"/>
    <n v="290859.42"/>
    <n v="104368.5"/>
    <s v="Debit Card"/>
  </r>
  <r>
    <s v="ORD102972"/>
    <s v="2025-10-08"/>
    <x v="1"/>
    <s v="East"/>
    <s v="Odisha"/>
    <s v="Bhubaneswar"/>
    <x v="0"/>
    <x v="0"/>
    <s v="CUST1700"/>
    <s v="SP_05"/>
    <n v="4"/>
    <n v="3379.32"/>
    <n v="13517.28"/>
    <n v="8693.92"/>
    <n v="4823.3599999999997"/>
    <s v="UPI"/>
  </r>
  <r>
    <s v="ORD102973"/>
    <s v="2025-09-08"/>
    <x v="5"/>
    <s v="North"/>
    <s v="Delhi"/>
    <s v="Delhi"/>
    <x v="3"/>
    <x v="3"/>
    <s v="CUST1868"/>
    <s v="SP_06"/>
    <n v="8"/>
    <n v="25.82"/>
    <n v="206.56"/>
    <n v="76.41"/>
    <n v="130.15"/>
    <s v="Debit Card"/>
  </r>
  <r>
    <s v="ORD102974"/>
    <s v="2025-02-14"/>
    <x v="8"/>
    <s v="East"/>
    <s v="West Bengal"/>
    <s v="Kolkata"/>
    <x v="0"/>
    <x v="8"/>
    <s v="CUST1106"/>
    <s v="SP_02"/>
    <n v="3"/>
    <n v="21381.759999999998"/>
    <n v="64145.279999999999"/>
    <n v="49470.7"/>
    <n v="14674.58"/>
    <s v="Credit Card"/>
  </r>
  <r>
    <s v="ORD102975"/>
    <s v="2025-07-07"/>
    <x v="6"/>
    <s v="East"/>
    <s v="West Bengal"/>
    <s v="Kolkata"/>
    <x v="3"/>
    <x v="7"/>
    <s v="CUST1612"/>
    <s v="SP_05"/>
    <n v="8"/>
    <n v="12989.14"/>
    <n v="103913.12"/>
    <n v="72958.09"/>
    <n v="30955.03"/>
    <s v="Cash"/>
  </r>
  <r>
    <s v="ORD102976"/>
    <s v="2025-05-27"/>
    <x v="3"/>
    <s v="East"/>
    <s v="Bihar"/>
    <s v="Patna"/>
    <x v="3"/>
    <x v="3"/>
    <s v="CUST1917"/>
    <s v="SP_05"/>
    <n v="1"/>
    <n v="26.47"/>
    <n v="26.47"/>
    <n v="9.77"/>
    <n v="16.7"/>
    <s v="UPI"/>
  </r>
  <r>
    <s v="ORD102977"/>
    <s v="2025-05-24"/>
    <x v="3"/>
    <s v="West"/>
    <s v="Maharashtra"/>
    <s v="Mumbai"/>
    <x v="2"/>
    <x v="4"/>
    <s v="CUST1865"/>
    <s v="SP_02"/>
    <n v="8"/>
    <n v="2669.08"/>
    <n v="21352.639999999999"/>
    <n v="12591.17"/>
    <n v="8761.4699999999993"/>
    <s v="UPI"/>
  </r>
  <r>
    <s v="ORD102978"/>
    <s v="2025-01-19"/>
    <x v="9"/>
    <s v="North"/>
    <s v="Punjab"/>
    <s v="Chandigarh"/>
    <x v="1"/>
    <x v="6"/>
    <s v="CUST1575"/>
    <s v="SP_15"/>
    <n v="8"/>
    <n v="3073.83"/>
    <n v="24590.639999999999"/>
    <n v="18464.95"/>
    <n v="6125.69"/>
    <s v="Cash"/>
  </r>
  <r>
    <s v="ORD102979"/>
    <s v="2025-03-30"/>
    <x v="4"/>
    <s v="East"/>
    <s v="Bihar"/>
    <s v="Patna"/>
    <x v="3"/>
    <x v="7"/>
    <s v="CUST1429"/>
    <s v="SP_07"/>
    <n v="5"/>
    <n v="11894.08"/>
    <n v="59470.400000000001"/>
    <n v="45872.2"/>
    <n v="13598.2"/>
    <s v="Cash"/>
  </r>
  <r>
    <s v="ORD102980"/>
    <s v="2025-04-18"/>
    <x v="0"/>
    <s v="North"/>
    <s v="Uttar Pradesh"/>
    <s v="Lucknow"/>
    <x v="0"/>
    <x v="9"/>
    <s v="CUST1073"/>
    <s v="SP_13"/>
    <n v="7"/>
    <n v="7203.15"/>
    <n v="50422.05"/>
    <n v="36449.83"/>
    <n v="13972.22"/>
    <s v="Credit Card"/>
  </r>
  <r>
    <s v="ORD102981"/>
    <s v="2025-06-11"/>
    <x v="2"/>
    <s v="West"/>
    <s v="Rajasthan"/>
    <s v="Jaipur"/>
    <x v="1"/>
    <x v="6"/>
    <s v="CUST1995"/>
    <s v="SP_10"/>
    <n v="3"/>
    <n v="2923.78"/>
    <n v="8771.34"/>
    <n v="7206.01"/>
    <n v="1565.33"/>
    <s v="Debit Card"/>
  </r>
  <r>
    <s v="ORD102982"/>
    <s v="2025-02-07"/>
    <x v="8"/>
    <s v="South"/>
    <s v="Telangana"/>
    <s v="Hyderabad"/>
    <x v="0"/>
    <x v="0"/>
    <s v="CUST1427"/>
    <s v="SP_01"/>
    <n v="5"/>
    <n v="3404.97"/>
    <n v="17024.849999999999"/>
    <n v="10944.94"/>
    <n v="6079.91"/>
    <s v="Debit Card"/>
  </r>
  <r>
    <s v="ORD102983"/>
    <s v="2025-05-04"/>
    <x v="3"/>
    <s v="West"/>
    <s v="Gujarat"/>
    <s v="Ahmedabad"/>
    <x v="0"/>
    <x v="8"/>
    <s v="CUST1207"/>
    <s v="SP_05"/>
    <n v="1"/>
    <n v="20030.57"/>
    <n v="20030.57"/>
    <n v="17434.740000000002"/>
    <n v="2595.83"/>
    <s v="UPI"/>
  </r>
  <r>
    <s v="ORD102984"/>
    <s v="2025-06-04"/>
    <x v="2"/>
    <s v="West"/>
    <s v="Rajasthan"/>
    <s v="Jaipur"/>
    <x v="1"/>
    <x v="6"/>
    <s v="CUST1366"/>
    <s v="SP_03"/>
    <n v="5"/>
    <n v="3050.93"/>
    <n v="15254.65"/>
    <n v="11540.19"/>
    <n v="3714.46"/>
    <s v="Credit Card"/>
  </r>
  <r>
    <s v="ORD102985"/>
    <s v="2025-07-26"/>
    <x v="6"/>
    <s v="West"/>
    <s v="Rajasthan"/>
    <s v="Jaipur"/>
    <x v="1"/>
    <x v="5"/>
    <s v="CUST1799"/>
    <s v="SP_12"/>
    <n v="8"/>
    <n v="10207.42"/>
    <n v="81659.360000000001"/>
    <n v="62163.94"/>
    <n v="19495.419999999998"/>
    <s v="Cash"/>
  </r>
  <r>
    <s v="ORD102986"/>
    <s v="2025-07-15"/>
    <x v="6"/>
    <s v="South"/>
    <s v="Tamil Nadu"/>
    <s v="Chennai"/>
    <x v="0"/>
    <x v="9"/>
    <s v="CUST1992"/>
    <s v="SP_12"/>
    <n v="5"/>
    <n v="7252.37"/>
    <n v="36261.85"/>
    <n v="25600.15"/>
    <n v="10661.7"/>
    <s v="Debit Card"/>
  </r>
  <r>
    <s v="ORD102987"/>
    <s v="2025-03-23"/>
    <x v="4"/>
    <s v="East"/>
    <s v="Bihar"/>
    <s v="Patna"/>
    <x v="1"/>
    <x v="5"/>
    <s v="CUST1503"/>
    <s v="SP_05"/>
    <n v="7"/>
    <n v="8891.7999999999993"/>
    <n v="62242.6"/>
    <n v="55820.4"/>
    <n v="6422.2"/>
    <s v="Credit Card"/>
  </r>
  <r>
    <s v="ORD102988"/>
    <s v="2025-09-01"/>
    <x v="5"/>
    <s v="East"/>
    <s v="Bihar"/>
    <s v="Patna"/>
    <x v="0"/>
    <x v="0"/>
    <s v="CUST1623"/>
    <s v="SP_07"/>
    <n v="5"/>
    <n v="3434.66"/>
    <n v="17173.3"/>
    <n v="11526.72"/>
    <n v="5646.58"/>
    <s v="Cash"/>
  </r>
  <r>
    <s v="ORD102989"/>
    <s v="2025-06-02"/>
    <x v="2"/>
    <s v="North"/>
    <s v="Delhi"/>
    <s v="Delhi"/>
    <x v="1"/>
    <x v="1"/>
    <s v="CUST1786"/>
    <s v="SP_12"/>
    <n v="3"/>
    <n v="2860.06"/>
    <n v="8580.18"/>
    <n v="5452.11"/>
    <n v="3128.07"/>
    <s v="Net Banking"/>
  </r>
  <r>
    <s v="ORD102990"/>
    <s v="2025-08-23"/>
    <x v="11"/>
    <s v="North"/>
    <s v="Uttar Pradesh"/>
    <s v="Lucknow"/>
    <x v="2"/>
    <x v="4"/>
    <s v="CUST1914"/>
    <s v="SP_08"/>
    <n v="6"/>
    <n v="2658.21"/>
    <n v="15949.26"/>
    <n v="9428.16"/>
    <n v="6521.1"/>
    <s v="Cash"/>
  </r>
  <r>
    <s v="ORD102991"/>
    <s v="2025-09-27"/>
    <x v="5"/>
    <s v="North"/>
    <s v="Punjab"/>
    <s v="Chandigarh"/>
    <x v="2"/>
    <x v="10"/>
    <s v="CUST1113"/>
    <s v="SP_05"/>
    <n v="4"/>
    <n v="16921.25"/>
    <n v="67685"/>
    <n v="55633.48"/>
    <n v="12051.52"/>
    <s v="UPI"/>
  </r>
  <r>
    <s v="ORD102992"/>
    <s v="2025-06-13"/>
    <x v="2"/>
    <s v="South"/>
    <s v="Tamil Nadu"/>
    <s v="Chennai"/>
    <x v="2"/>
    <x v="2"/>
    <s v="CUST1761"/>
    <s v="SP_12"/>
    <n v="3"/>
    <n v="42269.38"/>
    <n v="126808.14"/>
    <n v="105352.2"/>
    <n v="21455.94"/>
    <s v="UPI"/>
  </r>
  <r>
    <s v="ORD102993"/>
    <s v="2025-01-01"/>
    <x v="9"/>
    <s v="West"/>
    <s v="Maharashtra"/>
    <s v="Mumbai"/>
    <x v="3"/>
    <x v="3"/>
    <s v="CUST1750"/>
    <s v="SP_10"/>
    <n v="3"/>
    <n v="25.69"/>
    <n v="77.069999999999993"/>
    <n v="30.97"/>
    <n v="46.1"/>
    <s v="Debit Card"/>
  </r>
  <r>
    <s v="ORD102994"/>
    <s v="2025-04-16"/>
    <x v="0"/>
    <s v="North"/>
    <s v="Uttar Pradesh"/>
    <s v="Lucknow"/>
    <x v="3"/>
    <x v="7"/>
    <s v="CUST1054"/>
    <s v="SP_12"/>
    <n v="2"/>
    <n v="11917.24"/>
    <n v="23834.48"/>
    <n v="18891.900000000001"/>
    <n v="4942.58"/>
    <s v="UPI"/>
  </r>
  <r>
    <s v="ORD102995"/>
    <s v="2025-02-27"/>
    <x v="8"/>
    <s v="West"/>
    <s v="Rajasthan"/>
    <s v="Jaipur"/>
    <x v="3"/>
    <x v="11"/>
    <s v="CUST1030"/>
    <s v="SP_01"/>
    <n v="6"/>
    <n v="126.56"/>
    <n v="759.36"/>
    <n v="353.03"/>
    <n v="406.33"/>
    <s v="Cash"/>
  </r>
  <r>
    <s v="ORD102996"/>
    <s v="2025-06-22"/>
    <x v="2"/>
    <s v="East"/>
    <s v="West Bengal"/>
    <s v="Kolkata"/>
    <x v="2"/>
    <x v="10"/>
    <s v="CUST1572"/>
    <s v="SP_09"/>
    <n v="1"/>
    <n v="19561.5"/>
    <n v="19561.5"/>
    <n v="13487.7"/>
    <n v="6073.8"/>
    <s v="Cash"/>
  </r>
  <r>
    <s v="ORD102997"/>
    <s v="2025-02-12"/>
    <x v="8"/>
    <s v="North"/>
    <s v="Delhi"/>
    <s v="Delhi"/>
    <x v="3"/>
    <x v="3"/>
    <s v="CUST1618"/>
    <s v="SP_08"/>
    <n v="2"/>
    <n v="25.87"/>
    <n v="51.74"/>
    <n v="20.83"/>
    <n v="30.91"/>
    <s v="Net Banking"/>
  </r>
  <r>
    <s v="ORD102998"/>
    <s v="2025-05-05"/>
    <x v="3"/>
    <s v="South"/>
    <s v="Tamil Nadu"/>
    <s v="Chennai"/>
    <x v="2"/>
    <x v="10"/>
    <s v="CUST1331"/>
    <s v="SP_09"/>
    <n v="1"/>
    <n v="17606.63"/>
    <n v="17606.63"/>
    <n v="14447.96"/>
    <n v="3158.67"/>
    <s v="Debit Card"/>
  </r>
  <r>
    <s v="ORD102999"/>
    <s v="2025-01-08"/>
    <x v="9"/>
    <s v="East"/>
    <s v="West Bengal"/>
    <s v="Kolkata"/>
    <x v="1"/>
    <x v="1"/>
    <s v="CUST1330"/>
    <s v="SP_08"/>
    <n v="1"/>
    <n v="2647.06"/>
    <n v="2647.06"/>
    <n v="1904.86"/>
    <n v="742.2"/>
    <s v="UPI"/>
  </r>
  <r>
    <s v="ORD103000"/>
    <s v="2025-04-30"/>
    <x v="0"/>
    <s v="West"/>
    <s v="Gujarat"/>
    <s v="Ahmedabad"/>
    <x v="0"/>
    <x v="8"/>
    <s v="CUST1652"/>
    <s v="SP_13"/>
    <n v="6"/>
    <n v="21286.639999999999"/>
    <n v="127719.84"/>
    <n v="106465.91"/>
    <n v="21253.93"/>
    <s v="Credit Card"/>
  </r>
  <r>
    <s v="ORD103001"/>
    <s v="2025-10-09"/>
    <x v="1"/>
    <s v="West"/>
    <s v="Gujarat"/>
    <s v="Ahmedabad"/>
    <x v="2"/>
    <x v="4"/>
    <s v="CUST1727"/>
    <s v="SP_06"/>
    <n v="3"/>
    <n v="2620.29"/>
    <n v="7860.87"/>
    <n v="4811.88"/>
    <n v="3048.99"/>
    <s v="Cash"/>
  </r>
  <r>
    <s v="ORD103002"/>
    <s v="2025-09-27"/>
    <x v="5"/>
    <s v="North"/>
    <s v="Uttar Pradesh"/>
    <s v="Lucknow"/>
    <x v="0"/>
    <x v="9"/>
    <s v="CUST1358"/>
    <s v="SP_10"/>
    <n v="4"/>
    <n v="6958.86"/>
    <n v="27835.439999999999"/>
    <n v="19993.18"/>
    <n v="7842.26"/>
    <s v="Debit Card"/>
  </r>
  <r>
    <s v="ORD103003"/>
    <s v="2025-02-08"/>
    <x v="8"/>
    <s v="West"/>
    <s v="Rajasthan"/>
    <s v="Jaipur"/>
    <x v="2"/>
    <x v="4"/>
    <s v="CUST1962"/>
    <s v="SP_07"/>
    <n v="2"/>
    <n v="2364.2600000000002"/>
    <n v="4728.5200000000004"/>
    <n v="3221.32"/>
    <n v="1507.2"/>
    <s v="Credit Card"/>
  </r>
  <r>
    <s v="ORD103004"/>
    <s v="2025-08-21"/>
    <x v="11"/>
    <s v="West"/>
    <s v="Gujarat"/>
    <s v="Ahmedabad"/>
    <x v="2"/>
    <x v="10"/>
    <s v="CUST1229"/>
    <s v="SP_13"/>
    <n v="4"/>
    <n v="17873.82"/>
    <n v="71495.28"/>
    <n v="54110.71"/>
    <n v="17384.57"/>
    <s v="UPI"/>
  </r>
  <r>
    <s v="ORD103005"/>
    <s v="2025-05-15"/>
    <x v="3"/>
    <s v="West"/>
    <s v="Gujarat"/>
    <s v="Ahmedabad"/>
    <x v="3"/>
    <x v="3"/>
    <s v="CUST1022"/>
    <s v="SP_01"/>
    <n v="4"/>
    <n v="25.84"/>
    <n v="103.36"/>
    <n v="40.270000000000003"/>
    <n v="63.09"/>
    <s v="Credit Card"/>
  </r>
  <r>
    <s v="ORD103006"/>
    <s v="2025-06-12"/>
    <x v="2"/>
    <s v="East"/>
    <s v="West Bengal"/>
    <s v="Kolkata"/>
    <x v="3"/>
    <x v="7"/>
    <s v="CUST1699"/>
    <s v="SP_01"/>
    <n v="5"/>
    <n v="12024.59"/>
    <n v="60122.95"/>
    <n v="44395.77"/>
    <n v="15727.18"/>
    <s v="UPI"/>
  </r>
  <r>
    <s v="ORD103007"/>
    <s v="2025-05-05"/>
    <x v="3"/>
    <s v="East"/>
    <s v="Bihar"/>
    <s v="Patna"/>
    <x v="3"/>
    <x v="3"/>
    <s v="CUST1977"/>
    <s v="SP_08"/>
    <n v="1"/>
    <n v="25.06"/>
    <n v="25.06"/>
    <n v="10.39"/>
    <n v="14.67"/>
    <s v="Credit Card"/>
  </r>
  <r>
    <s v="ORD103008"/>
    <s v="2025-07-27"/>
    <x v="6"/>
    <s v="North"/>
    <s v="Uttar Pradesh"/>
    <s v="Lucknow"/>
    <x v="0"/>
    <x v="8"/>
    <s v="CUST1830"/>
    <s v="SP_12"/>
    <n v="4"/>
    <n v="21319.9"/>
    <n v="85279.6"/>
    <n v="64704.85"/>
    <n v="20574.75"/>
    <s v="Net Banking"/>
  </r>
  <r>
    <s v="ORD103009"/>
    <s v="2025-07-21"/>
    <x v="6"/>
    <s v="North"/>
    <s v="Delhi"/>
    <s v="Delhi"/>
    <x v="1"/>
    <x v="1"/>
    <s v="CUST1942"/>
    <s v="SP_11"/>
    <n v="1"/>
    <n v="2982.01"/>
    <n v="2982.01"/>
    <n v="1818.44"/>
    <n v="1163.57"/>
    <s v="UPI"/>
  </r>
  <r>
    <s v="ORD103010"/>
    <s v="2025-05-17"/>
    <x v="3"/>
    <s v="West"/>
    <s v="Rajasthan"/>
    <s v="Jaipur"/>
    <x v="0"/>
    <x v="9"/>
    <s v="CUST1151"/>
    <s v="SP_06"/>
    <n v="3"/>
    <n v="7455.58"/>
    <n v="22366.74"/>
    <n v="15411.6"/>
    <n v="6955.14"/>
    <s v="UPI"/>
  </r>
  <r>
    <s v="ORD103011"/>
    <s v="2025-03-12"/>
    <x v="4"/>
    <s v="South"/>
    <s v="Telangana"/>
    <s v="Hyderabad"/>
    <x v="3"/>
    <x v="11"/>
    <s v="CUST1896"/>
    <s v="SP_15"/>
    <n v="2"/>
    <n v="119.26"/>
    <n v="238.52"/>
    <n v="117.21"/>
    <n v="121.31"/>
    <s v="Cash"/>
  </r>
  <r>
    <s v="ORD103012"/>
    <s v="2025-03-11"/>
    <x v="4"/>
    <s v="North"/>
    <s v="Delhi"/>
    <s v="Delhi"/>
    <x v="3"/>
    <x v="3"/>
    <s v="CUST1401"/>
    <s v="SP_03"/>
    <n v="6"/>
    <n v="24.27"/>
    <n v="145.62"/>
    <n v="62.88"/>
    <n v="82.74"/>
    <s v="Credit Card"/>
  </r>
  <r>
    <s v="ORD103013"/>
    <s v="2025-03-25"/>
    <x v="4"/>
    <s v="North"/>
    <s v="Uttar Pradesh"/>
    <s v="Lucknow"/>
    <x v="0"/>
    <x v="0"/>
    <s v="CUST1485"/>
    <s v="SP_01"/>
    <n v="1"/>
    <n v="3795.72"/>
    <n v="3795.72"/>
    <n v="2239.84"/>
    <n v="1555.88"/>
    <s v="Net Banking"/>
  </r>
  <r>
    <s v="ORD103014"/>
    <s v="2025-07-30"/>
    <x v="6"/>
    <s v="South"/>
    <s v="Karnataka"/>
    <s v="Bengaluru"/>
    <x v="3"/>
    <x v="11"/>
    <s v="CUST1981"/>
    <s v="SP_07"/>
    <n v="8"/>
    <n v="117.05"/>
    <n v="936.4"/>
    <n v="473.09"/>
    <n v="463.31"/>
    <s v="Cash"/>
  </r>
  <r>
    <s v="ORD103015"/>
    <s v="2025-04-19"/>
    <x v="0"/>
    <s v="North"/>
    <s v="Delhi"/>
    <s v="Delhi"/>
    <x v="2"/>
    <x v="4"/>
    <s v="CUST1498"/>
    <s v="SP_15"/>
    <n v="5"/>
    <n v="2325.27"/>
    <n v="11626.35"/>
    <n v="7981.71"/>
    <n v="3644.64"/>
    <s v="Cash"/>
  </r>
  <r>
    <s v="ORD103016"/>
    <s v="2025-01-17"/>
    <x v="9"/>
    <s v="North"/>
    <s v="Punjab"/>
    <s v="Chandigarh"/>
    <x v="2"/>
    <x v="4"/>
    <s v="CUST1172"/>
    <s v="SP_07"/>
    <n v="3"/>
    <n v="2261.7600000000002"/>
    <n v="6785.28"/>
    <n v="4963.99"/>
    <n v="1821.29"/>
    <s v="UPI"/>
  </r>
  <r>
    <s v="ORD103017"/>
    <s v="2025-01-19"/>
    <x v="9"/>
    <s v="South"/>
    <s v="Tamil Nadu"/>
    <s v="Chennai"/>
    <x v="0"/>
    <x v="0"/>
    <s v="CUST1018"/>
    <s v="SP_05"/>
    <n v="4"/>
    <n v="3725.27"/>
    <n v="14901.08"/>
    <n v="8639.31"/>
    <n v="6261.77"/>
    <s v="Credit Card"/>
  </r>
  <r>
    <s v="ORD103018"/>
    <s v="2025-02-24"/>
    <x v="8"/>
    <s v="East"/>
    <s v="West Bengal"/>
    <s v="Kolkata"/>
    <x v="1"/>
    <x v="5"/>
    <s v="CUST1207"/>
    <s v="SP_09"/>
    <n v="7"/>
    <n v="9387.76"/>
    <n v="65714.320000000007"/>
    <n v="51098.99"/>
    <n v="14615.33"/>
    <s v="Net Banking"/>
  </r>
  <r>
    <s v="ORD103019"/>
    <s v="2025-03-24"/>
    <x v="4"/>
    <s v="South"/>
    <s v="Tamil Nadu"/>
    <s v="Chennai"/>
    <x v="3"/>
    <x v="3"/>
    <s v="CUST1193"/>
    <s v="SP_05"/>
    <n v="6"/>
    <n v="26.23"/>
    <n v="157.38"/>
    <n v="59.07"/>
    <n v="98.31"/>
    <s v="Debit Card"/>
  </r>
  <r>
    <s v="ORD103020"/>
    <s v="2025-07-17"/>
    <x v="6"/>
    <s v="South"/>
    <s v="Karnataka"/>
    <s v="Bengaluru"/>
    <x v="0"/>
    <x v="0"/>
    <s v="CUST1622"/>
    <s v="SP_07"/>
    <n v="4"/>
    <n v="3355.7"/>
    <n v="13422.8"/>
    <n v="8712.69"/>
    <n v="4710.1099999999997"/>
    <s v="Net Banking"/>
  </r>
  <r>
    <s v="ORD103021"/>
    <s v="2025-10-17"/>
    <x v="1"/>
    <s v="West"/>
    <s v="Rajasthan"/>
    <s v="Jaipur"/>
    <x v="2"/>
    <x v="4"/>
    <s v="CUST1307"/>
    <s v="SP_02"/>
    <n v="6"/>
    <n v="2480.8200000000002"/>
    <n v="14884.92"/>
    <n v="9641.82"/>
    <n v="5243.1"/>
    <s v="Net Banking"/>
  </r>
  <r>
    <s v="ORD103022"/>
    <s v="2025-04-21"/>
    <x v="0"/>
    <s v="South"/>
    <s v="Karnataka"/>
    <s v="Bengaluru"/>
    <x v="3"/>
    <x v="11"/>
    <s v="CUST1397"/>
    <s v="SP_15"/>
    <n v="8"/>
    <n v="122.22"/>
    <n v="977.76"/>
    <n v="500.1"/>
    <n v="477.66"/>
    <s v="Debit Card"/>
  </r>
  <r>
    <s v="ORD103023"/>
    <s v="2025-09-04"/>
    <x v="5"/>
    <s v="West"/>
    <s v="Gujarat"/>
    <s v="Ahmedabad"/>
    <x v="2"/>
    <x v="4"/>
    <s v="CUST1703"/>
    <s v="SP_04"/>
    <n v="2"/>
    <n v="2696.7"/>
    <n v="5393.4"/>
    <n v="3188.76"/>
    <n v="2204.64"/>
    <s v="Cash"/>
  </r>
  <r>
    <s v="ORD103024"/>
    <s v="2025-09-30"/>
    <x v="5"/>
    <s v="North"/>
    <s v="Uttar Pradesh"/>
    <s v="Lucknow"/>
    <x v="3"/>
    <x v="7"/>
    <s v="CUST1851"/>
    <s v="SP_14"/>
    <n v="7"/>
    <n v="12364.83"/>
    <n v="86553.81"/>
    <n v="61811.45"/>
    <n v="24742.36"/>
    <s v="Credit Card"/>
  </r>
  <r>
    <s v="ORD103025"/>
    <s v="2025-01-29"/>
    <x v="9"/>
    <s v="North"/>
    <s v="Uttar Pradesh"/>
    <s v="Lucknow"/>
    <x v="3"/>
    <x v="7"/>
    <s v="CUST1295"/>
    <s v="SP_07"/>
    <n v="4"/>
    <n v="11235.95"/>
    <n v="44943.8"/>
    <n v="35491.18"/>
    <n v="9452.6200000000008"/>
    <s v="Credit Card"/>
  </r>
  <r>
    <s v="ORD103026"/>
    <s v="2025-10-02"/>
    <x v="1"/>
    <s v="West"/>
    <s v="Rajasthan"/>
    <s v="Jaipur"/>
    <x v="3"/>
    <x v="3"/>
    <s v="CUST1911"/>
    <s v="SP_02"/>
    <n v="1"/>
    <n v="23"/>
    <n v="23"/>
    <n v="9.7799999999999994"/>
    <n v="13.22"/>
    <s v="Credit Card"/>
  </r>
  <r>
    <s v="ORD103027"/>
    <s v="2025-09-14"/>
    <x v="5"/>
    <s v="South"/>
    <s v="Karnataka"/>
    <s v="Bengaluru"/>
    <x v="1"/>
    <x v="1"/>
    <s v="CUST1659"/>
    <s v="SP_15"/>
    <n v="4"/>
    <n v="2885.35"/>
    <n v="11541.4"/>
    <n v="7720.93"/>
    <n v="3820.47"/>
    <s v="Net Banking"/>
  </r>
  <r>
    <s v="ORD103028"/>
    <s v="2025-12-16"/>
    <x v="7"/>
    <s v="West"/>
    <s v="Rajasthan"/>
    <s v="Jaipur"/>
    <x v="3"/>
    <x v="11"/>
    <s v="CUST1839"/>
    <s v="SP_13"/>
    <n v="3"/>
    <n v="124.62"/>
    <n v="373.86"/>
    <n v="177.97"/>
    <n v="195.89"/>
    <s v="Cash"/>
  </r>
  <r>
    <s v="ORD103029"/>
    <s v="2025-07-15"/>
    <x v="6"/>
    <s v="South"/>
    <s v="Telangana"/>
    <s v="Hyderabad"/>
    <x v="2"/>
    <x v="4"/>
    <s v="CUST1713"/>
    <s v="SP_15"/>
    <n v="6"/>
    <n v="2293.29"/>
    <n v="13759.74"/>
    <n v="9611.76"/>
    <n v="4147.9799999999996"/>
    <s v="Credit Card"/>
  </r>
  <r>
    <s v="ORD103030"/>
    <s v="2025-09-08"/>
    <x v="5"/>
    <s v="North"/>
    <s v="Delhi"/>
    <s v="Delhi"/>
    <x v="0"/>
    <x v="8"/>
    <s v="CUST1569"/>
    <s v="SP_15"/>
    <n v="5"/>
    <n v="19951.330000000002"/>
    <n v="99756.65"/>
    <n v="81107.59"/>
    <n v="18649.060000000001"/>
    <s v="Debit Card"/>
  </r>
  <r>
    <s v="ORD103031"/>
    <s v="2025-03-24"/>
    <x v="4"/>
    <s v="South"/>
    <s v="Tamil Nadu"/>
    <s v="Chennai"/>
    <x v="0"/>
    <x v="0"/>
    <s v="CUST1590"/>
    <s v="SP_13"/>
    <n v="6"/>
    <n v="3575.53"/>
    <n v="21453.18"/>
    <n v="13638.25"/>
    <n v="7814.93"/>
    <s v="Credit Card"/>
  </r>
  <r>
    <s v="ORD103032"/>
    <s v="2025-12-27"/>
    <x v="7"/>
    <s v="West"/>
    <s v="Rajasthan"/>
    <s v="Jaipur"/>
    <x v="0"/>
    <x v="9"/>
    <s v="CUST1785"/>
    <s v="SP_05"/>
    <n v="6"/>
    <n v="7285.48"/>
    <n v="43712.88"/>
    <n v="31155.65"/>
    <n v="12557.23"/>
    <s v="Debit Card"/>
  </r>
  <r>
    <s v="ORD103033"/>
    <s v="2025-08-23"/>
    <x v="11"/>
    <s v="North"/>
    <s v="Delhi"/>
    <s v="Delhi"/>
    <x v="0"/>
    <x v="0"/>
    <s v="CUST1045"/>
    <s v="SP_03"/>
    <n v="3"/>
    <n v="3266.16"/>
    <n v="9798.48"/>
    <n v="6917.59"/>
    <n v="2880.89"/>
    <s v="UPI"/>
  </r>
  <r>
    <s v="ORD103034"/>
    <s v="2025-05-19"/>
    <x v="3"/>
    <s v="South"/>
    <s v="Tamil Nadu"/>
    <s v="Chennai"/>
    <x v="3"/>
    <x v="3"/>
    <s v="CUST1771"/>
    <s v="SP_13"/>
    <n v="3"/>
    <n v="23"/>
    <n v="69"/>
    <n v="30.1"/>
    <n v="38.9"/>
    <s v="Net Banking"/>
  </r>
  <r>
    <s v="ORD103035"/>
    <s v="2025-04-14"/>
    <x v="0"/>
    <s v="West"/>
    <s v="Gujarat"/>
    <s v="Ahmedabad"/>
    <x v="3"/>
    <x v="7"/>
    <s v="CUST1445"/>
    <s v="SP_13"/>
    <n v="6"/>
    <n v="13016.5"/>
    <n v="78099"/>
    <n v="55428.6"/>
    <n v="22670.400000000001"/>
    <s v="Debit Card"/>
  </r>
  <r>
    <s v="ORD103036"/>
    <s v="2025-03-24"/>
    <x v="4"/>
    <s v="West"/>
    <s v="Gujarat"/>
    <s v="Ahmedabad"/>
    <x v="0"/>
    <x v="8"/>
    <s v="CUST1346"/>
    <s v="SP_03"/>
    <n v="2"/>
    <n v="22144.959999999999"/>
    <n v="44289.919999999998"/>
    <n v="32740.36"/>
    <n v="11549.56"/>
    <s v="UPI"/>
  </r>
  <r>
    <s v="ORD103037"/>
    <s v="2025-04-07"/>
    <x v="0"/>
    <s v="West"/>
    <s v="Gujarat"/>
    <s v="Ahmedabad"/>
    <x v="1"/>
    <x v="1"/>
    <s v="CUST1444"/>
    <s v="SP_05"/>
    <n v="4"/>
    <n v="2826.68"/>
    <n v="11306.72"/>
    <n v="7969.6"/>
    <n v="3337.12"/>
    <s v="Credit Card"/>
  </r>
  <r>
    <s v="ORD103038"/>
    <s v="2025-10-08"/>
    <x v="1"/>
    <s v="West"/>
    <s v="Maharashtra"/>
    <s v="Mumbai"/>
    <x v="1"/>
    <x v="5"/>
    <s v="CUST1109"/>
    <s v="SP_14"/>
    <n v="7"/>
    <n v="9838.84"/>
    <n v="68871.88"/>
    <n v="51764.08"/>
    <n v="17107.8"/>
    <s v="UPI"/>
  </r>
  <r>
    <s v="ORD103039"/>
    <s v="2025-05-28"/>
    <x v="3"/>
    <s v="North"/>
    <s v="Delhi"/>
    <s v="Delhi"/>
    <x v="3"/>
    <x v="3"/>
    <s v="CUST1924"/>
    <s v="SP_14"/>
    <n v="4"/>
    <n v="22.56"/>
    <n v="90.24"/>
    <n v="41.23"/>
    <n v="49.01"/>
    <s v="Cash"/>
  </r>
  <r>
    <s v="ORD103040"/>
    <s v="2025-11-04"/>
    <x v="10"/>
    <s v="West"/>
    <s v="Gujarat"/>
    <s v="Ahmedabad"/>
    <x v="1"/>
    <x v="6"/>
    <s v="CUST1646"/>
    <s v="SP_03"/>
    <n v="6"/>
    <n v="3284.63"/>
    <n v="19707.78"/>
    <n v="14969.71"/>
    <n v="4738.07"/>
    <s v="Net Banking"/>
  </r>
  <r>
    <s v="ORD103041"/>
    <s v="2025-10-11"/>
    <x v="1"/>
    <s v="South"/>
    <s v="Karnataka"/>
    <s v="Bengaluru"/>
    <x v="2"/>
    <x v="4"/>
    <s v="CUST1560"/>
    <s v="SP_03"/>
    <n v="3"/>
    <n v="2608.9899999999998"/>
    <n v="7826.97"/>
    <n v="4944.29"/>
    <n v="2882.68"/>
    <s v="Debit Card"/>
  </r>
  <r>
    <s v="ORD103042"/>
    <s v="2025-03-22"/>
    <x v="4"/>
    <s v="East"/>
    <s v="Odisha"/>
    <s v="Bhubaneswar"/>
    <x v="3"/>
    <x v="3"/>
    <s v="CUST1218"/>
    <s v="SP_13"/>
    <n v="1"/>
    <n v="25.37"/>
    <n v="25.37"/>
    <n v="10"/>
    <n v="15.37"/>
    <s v="Cash"/>
  </r>
  <r>
    <s v="ORD103043"/>
    <s v="2025-08-03"/>
    <x v="11"/>
    <s v="North"/>
    <s v="Delhi"/>
    <s v="Delhi"/>
    <x v="2"/>
    <x v="10"/>
    <s v="CUST1980"/>
    <s v="SP_08"/>
    <n v="8"/>
    <n v="17551.490000000002"/>
    <n v="140411.92000000001"/>
    <n v="116522.78"/>
    <n v="23889.14"/>
    <s v="Credit Card"/>
  </r>
  <r>
    <s v="ORD103044"/>
    <s v="2025-10-13"/>
    <x v="1"/>
    <s v="West"/>
    <s v="Rajasthan"/>
    <s v="Jaipur"/>
    <x v="3"/>
    <x v="11"/>
    <s v="CUST1060"/>
    <s v="SP_11"/>
    <n v="1"/>
    <n v="126.26"/>
    <n v="126.26"/>
    <n v="57.71"/>
    <n v="68.55"/>
    <s v="UPI"/>
  </r>
  <r>
    <s v="ORD103045"/>
    <s v="2025-10-28"/>
    <x v="1"/>
    <s v="South"/>
    <s v="Tamil Nadu"/>
    <s v="Chennai"/>
    <x v="0"/>
    <x v="8"/>
    <s v="CUST1927"/>
    <s v="SP_08"/>
    <n v="3"/>
    <n v="22318.62"/>
    <n v="66955.86"/>
    <n v="53453.86"/>
    <n v="13502"/>
    <s v="Cash"/>
  </r>
  <r>
    <s v="ORD103046"/>
    <s v="2025-03-24"/>
    <x v="4"/>
    <s v="South"/>
    <s v="Karnataka"/>
    <s v="Bengaluru"/>
    <x v="1"/>
    <x v="1"/>
    <s v="CUST1828"/>
    <s v="SP_11"/>
    <n v="5"/>
    <n v="2999.3"/>
    <n v="14996.5"/>
    <n v="9551.3799999999992"/>
    <n v="5445.12"/>
    <s v="UPI"/>
  </r>
  <r>
    <s v="ORD103047"/>
    <s v="2025-11-24"/>
    <x v="10"/>
    <s v="South"/>
    <s v="Telangana"/>
    <s v="Hyderabad"/>
    <x v="2"/>
    <x v="10"/>
    <s v="CUST1647"/>
    <s v="SP_07"/>
    <n v="5"/>
    <n v="16231.21"/>
    <n v="81156.05"/>
    <n v="69675.34"/>
    <n v="11480.71"/>
    <s v="UPI"/>
  </r>
  <r>
    <s v="ORD103048"/>
    <s v="2025-09-04"/>
    <x v="5"/>
    <s v="East"/>
    <s v="West Bengal"/>
    <s v="Kolkata"/>
    <x v="0"/>
    <x v="0"/>
    <s v="CUST1618"/>
    <s v="SP_05"/>
    <n v="3"/>
    <n v="3310.57"/>
    <n v="9931.7099999999991"/>
    <n v="6734.33"/>
    <n v="3197.38"/>
    <s v="Net Banking"/>
  </r>
  <r>
    <s v="ORD103049"/>
    <s v="2025-03-29"/>
    <x v="4"/>
    <s v="East"/>
    <s v="West Bengal"/>
    <s v="Kolkata"/>
    <x v="3"/>
    <x v="7"/>
    <s v="CUST1280"/>
    <s v="SP_03"/>
    <n v="2"/>
    <n v="10909.97"/>
    <n v="21819.94"/>
    <n v="17633.25"/>
    <n v="4186.6899999999996"/>
    <s v="Credit Card"/>
  </r>
  <r>
    <s v="ORD103050"/>
    <s v="2025-08-24"/>
    <x v="11"/>
    <s v="East"/>
    <s v="Odisha"/>
    <s v="Bhubaneswar"/>
    <x v="2"/>
    <x v="4"/>
    <s v="CUST1347"/>
    <s v="SP_10"/>
    <n v="1"/>
    <n v="2407.5100000000002"/>
    <n v="2407.5100000000002"/>
    <n v="1636.55"/>
    <n v="770.96"/>
    <s v="Net Banking"/>
  </r>
  <r>
    <s v="ORD103051"/>
    <s v="2025-09-17"/>
    <x v="5"/>
    <s v="East"/>
    <s v="West Bengal"/>
    <s v="Kolkata"/>
    <x v="2"/>
    <x v="2"/>
    <s v="CUST1968"/>
    <s v="SP_13"/>
    <n v="1"/>
    <n v="46687"/>
    <n v="46687"/>
    <n v="35046.53"/>
    <n v="11640.47"/>
    <s v="UPI"/>
  </r>
  <r>
    <s v="ORD103052"/>
    <s v="2025-09-25"/>
    <x v="5"/>
    <s v="South"/>
    <s v="Tamil Nadu"/>
    <s v="Chennai"/>
    <x v="2"/>
    <x v="2"/>
    <s v="CUST1066"/>
    <s v="SP_05"/>
    <n v="5"/>
    <n v="46970.21"/>
    <n v="234851.05"/>
    <n v="172589.11"/>
    <n v="62261.94"/>
    <s v="Debit Card"/>
  </r>
  <r>
    <s v="ORD103053"/>
    <s v="2025-12-23"/>
    <x v="7"/>
    <s v="West"/>
    <s v="Gujarat"/>
    <s v="Ahmedabad"/>
    <x v="2"/>
    <x v="2"/>
    <s v="CUST1372"/>
    <s v="SP_14"/>
    <n v="1"/>
    <n v="47312.21"/>
    <n v="47312.21"/>
    <n v="33941.9"/>
    <n v="13370.31"/>
    <s v="Credit Card"/>
  </r>
  <r>
    <s v="ORD103054"/>
    <s v="2025-12-13"/>
    <x v="7"/>
    <s v="East"/>
    <s v="West Bengal"/>
    <s v="Kolkata"/>
    <x v="0"/>
    <x v="9"/>
    <s v="CUST1597"/>
    <s v="SP_04"/>
    <n v="5"/>
    <n v="6638.46"/>
    <n v="33192.300000000003"/>
    <n v="25908.74"/>
    <n v="7283.56"/>
    <s v="Credit Card"/>
  </r>
  <r>
    <s v="ORD103055"/>
    <s v="2025-07-17"/>
    <x v="6"/>
    <s v="South"/>
    <s v="Tamil Nadu"/>
    <s v="Chennai"/>
    <x v="1"/>
    <x v="5"/>
    <s v="CUST1466"/>
    <s v="SP_07"/>
    <n v="7"/>
    <n v="9492.52"/>
    <n v="66447.64"/>
    <n v="55372.800000000003"/>
    <n v="11074.84"/>
    <s v="Net Banking"/>
  </r>
  <r>
    <s v="ORD103056"/>
    <s v="2025-02-12"/>
    <x v="8"/>
    <s v="South"/>
    <s v="Karnataka"/>
    <s v="Bengaluru"/>
    <x v="2"/>
    <x v="4"/>
    <s v="CUST1290"/>
    <s v="SP_08"/>
    <n v="1"/>
    <n v="2445.4899999999998"/>
    <n v="2445.4899999999998"/>
    <n v="1596.03"/>
    <n v="849.46"/>
    <s v="Credit Card"/>
  </r>
  <r>
    <s v="ORD103057"/>
    <s v="2025-01-20"/>
    <x v="9"/>
    <s v="West"/>
    <s v="Gujarat"/>
    <s v="Ahmedabad"/>
    <x v="2"/>
    <x v="10"/>
    <s v="CUST1468"/>
    <s v="SP_13"/>
    <n v="4"/>
    <n v="17745.009999999998"/>
    <n v="70980.039999999994"/>
    <n v="53705.47"/>
    <n v="17274.57"/>
    <s v="UPI"/>
  </r>
  <r>
    <s v="ORD103058"/>
    <s v="2025-07-25"/>
    <x v="6"/>
    <s v="South"/>
    <s v="Karnataka"/>
    <s v="Bengaluru"/>
    <x v="0"/>
    <x v="8"/>
    <s v="CUST1653"/>
    <s v="SP_12"/>
    <n v="4"/>
    <n v="19905.490000000002"/>
    <n v="79621.960000000006"/>
    <n v="68380"/>
    <n v="11241.96"/>
    <s v="Credit Card"/>
  </r>
  <r>
    <s v="ORD103059"/>
    <s v="2025-11-25"/>
    <x v="10"/>
    <s v="North"/>
    <s v="Delhi"/>
    <s v="Delhi"/>
    <x v="0"/>
    <x v="0"/>
    <s v="CUST1734"/>
    <s v="SP_12"/>
    <n v="4"/>
    <n v="3532.09"/>
    <n v="14128.36"/>
    <n v="8939.32"/>
    <n v="5189.04"/>
    <s v="Debit Card"/>
  </r>
  <r>
    <s v="ORD103060"/>
    <s v="2025-09-01"/>
    <x v="5"/>
    <s v="North"/>
    <s v="Punjab"/>
    <s v="Chandigarh"/>
    <x v="3"/>
    <x v="11"/>
    <s v="CUST1505"/>
    <s v="SP_13"/>
    <n v="8"/>
    <n v="118.6"/>
    <n v="948.8"/>
    <n v="497.4"/>
    <n v="451.4"/>
    <s v="Net Banking"/>
  </r>
  <r>
    <s v="ORD103061"/>
    <s v="2025-12-05"/>
    <x v="7"/>
    <s v="East"/>
    <s v="Bihar"/>
    <s v="Patna"/>
    <x v="3"/>
    <x v="7"/>
    <s v="CUST1056"/>
    <s v="SP_13"/>
    <n v="6"/>
    <n v="11788.94"/>
    <n v="70733.64"/>
    <n v="51331.32"/>
    <n v="19402.32"/>
    <s v="Net Banking"/>
  </r>
  <r>
    <s v="ORD103062"/>
    <s v="2025-11-03"/>
    <x v="10"/>
    <s v="North"/>
    <s v="Punjab"/>
    <s v="Chandigarh"/>
    <x v="2"/>
    <x v="4"/>
    <s v="CUST1947"/>
    <s v="SP_04"/>
    <n v="5"/>
    <n v="2620.08"/>
    <n v="13100.4"/>
    <n v="8079.17"/>
    <n v="5021.2299999999996"/>
    <s v="Cash"/>
  </r>
  <r>
    <s v="ORD103063"/>
    <s v="2025-06-23"/>
    <x v="2"/>
    <s v="West"/>
    <s v="Rajasthan"/>
    <s v="Jaipur"/>
    <x v="0"/>
    <x v="9"/>
    <s v="CUST1538"/>
    <s v="SP_07"/>
    <n v="7"/>
    <n v="6960.25"/>
    <n v="48721.75"/>
    <n v="33885.879999999997"/>
    <n v="14835.87"/>
    <s v="Credit Card"/>
  </r>
  <r>
    <s v="ORD103064"/>
    <s v="2025-04-25"/>
    <x v="0"/>
    <s v="South"/>
    <s v="Karnataka"/>
    <s v="Bengaluru"/>
    <x v="1"/>
    <x v="6"/>
    <s v="CUST1321"/>
    <s v="SP_14"/>
    <n v="4"/>
    <n v="2920.86"/>
    <n v="11683.44"/>
    <n v="9132.86"/>
    <n v="2550.58"/>
    <s v="UPI"/>
  </r>
  <r>
    <s v="ORD103065"/>
    <s v="2025-09-15"/>
    <x v="5"/>
    <s v="West"/>
    <s v="Rajasthan"/>
    <s v="Jaipur"/>
    <x v="1"/>
    <x v="6"/>
    <s v="CUST1354"/>
    <s v="SP_11"/>
    <n v="5"/>
    <n v="3467.13"/>
    <n v="17335.650000000001"/>
    <n v="11770.96"/>
    <n v="5564.69"/>
    <s v="Debit Card"/>
  </r>
  <r>
    <s v="ORD103066"/>
    <s v="2025-04-20"/>
    <x v="0"/>
    <s v="South"/>
    <s v="Telangana"/>
    <s v="Hyderabad"/>
    <x v="3"/>
    <x v="11"/>
    <s v="CUST1863"/>
    <s v="SP_05"/>
    <n v="5"/>
    <n v="116.75"/>
    <n v="583.75"/>
    <n v="290.94"/>
    <n v="292.81"/>
    <s v="Net Banking"/>
  </r>
  <r>
    <s v="ORD103067"/>
    <s v="2025-09-18"/>
    <x v="5"/>
    <s v="North"/>
    <s v="Uttar Pradesh"/>
    <s v="Lucknow"/>
    <x v="3"/>
    <x v="11"/>
    <s v="CUST1122"/>
    <s v="SP_05"/>
    <n v="7"/>
    <n v="127.36"/>
    <n v="891.52"/>
    <n v="407.72"/>
    <n v="483.8"/>
    <s v="UPI"/>
  </r>
  <r>
    <s v="ORD103068"/>
    <s v="2025-10-18"/>
    <x v="1"/>
    <s v="East"/>
    <s v="West Bengal"/>
    <s v="Kolkata"/>
    <x v="3"/>
    <x v="3"/>
    <s v="CUST1971"/>
    <s v="SP_09"/>
    <n v="1"/>
    <n v="26.53"/>
    <n v="26.53"/>
    <n v="10.45"/>
    <n v="16.079999999999998"/>
    <s v="Credit Card"/>
  </r>
  <r>
    <s v="ORD103069"/>
    <s v="2025-08-04"/>
    <x v="11"/>
    <s v="North"/>
    <s v="Delhi"/>
    <s v="Delhi"/>
    <x v="0"/>
    <x v="0"/>
    <s v="CUST1293"/>
    <s v="SP_11"/>
    <n v="8"/>
    <n v="3374.22"/>
    <n v="26993.759999999998"/>
    <n v="16733.669999999998"/>
    <n v="10260.09"/>
    <s v="Net Banking"/>
  </r>
  <r>
    <s v="ORD103070"/>
    <s v="2025-07-20"/>
    <x v="6"/>
    <s v="West"/>
    <s v="Gujarat"/>
    <s v="Ahmedabad"/>
    <x v="3"/>
    <x v="3"/>
    <s v="CUST1914"/>
    <s v="SP_09"/>
    <n v="6"/>
    <n v="26.31"/>
    <n v="157.86000000000001"/>
    <n v="57.54"/>
    <n v="100.32"/>
    <s v="UPI"/>
  </r>
  <r>
    <s v="ORD103071"/>
    <s v="2025-12-29"/>
    <x v="7"/>
    <s v="West"/>
    <s v="Gujarat"/>
    <s v="Ahmedabad"/>
    <x v="0"/>
    <x v="8"/>
    <s v="CUST1904"/>
    <s v="SP_09"/>
    <n v="1"/>
    <n v="22001.38"/>
    <n v="22001.38"/>
    <n v="17620.16"/>
    <n v="4381.22"/>
    <s v="Credit Card"/>
  </r>
  <r>
    <s v="ORD103072"/>
    <s v="2025-08-11"/>
    <x v="11"/>
    <s v="West"/>
    <s v="Maharashtra"/>
    <s v="Mumbai"/>
    <x v="2"/>
    <x v="2"/>
    <s v="CUST1315"/>
    <s v="SP_15"/>
    <n v="5"/>
    <n v="48999.19"/>
    <n v="244995.95"/>
    <n v="177653.24"/>
    <n v="67342.710000000006"/>
    <s v="Net Banking"/>
  </r>
  <r>
    <s v="ORD103073"/>
    <s v="2025-09-08"/>
    <x v="5"/>
    <s v="North"/>
    <s v="Delhi"/>
    <s v="Delhi"/>
    <x v="3"/>
    <x v="3"/>
    <s v="CUST1443"/>
    <s v="SP_04"/>
    <n v="8"/>
    <n v="26.41"/>
    <n v="211.28"/>
    <n v="82.1"/>
    <n v="129.18"/>
    <s v="Debit Card"/>
  </r>
  <r>
    <s v="ORD103074"/>
    <s v="2025-08-02"/>
    <x v="11"/>
    <s v="South"/>
    <s v="Karnataka"/>
    <s v="Bengaluru"/>
    <x v="3"/>
    <x v="3"/>
    <s v="CUST1496"/>
    <s v="SP_07"/>
    <n v="3"/>
    <n v="27.12"/>
    <n v="81.36"/>
    <n v="29.38"/>
    <n v="51.98"/>
    <s v="Net Banking"/>
  </r>
  <r>
    <s v="ORD103075"/>
    <s v="2025-12-11"/>
    <x v="7"/>
    <s v="South"/>
    <s v="Karnataka"/>
    <s v="Bengaluru"/>
    <x v="2"/>
    <x v="4"/>
    <s v="CUST1857"/>
    <s v="SP_10"/>
    <n v="3"/>
    <n v="2441.88"/>
    <n v="7325.64"/>
    <n v="5035.6000000000004"/>
    <n v="2290.04"/>
    <s v="Net Banking"/>
  </r>
  <r>
    <s v="ORD103076"/>
    <s v="2025-08-26"/>
    <x v="11"/>
    <s v="East"/>
    <s v="Bihar"/>
    <s v="Patna"/>
    <x v="1"/>
    <x v="1"/>
    <s v="CUST1791"/>
    <s v="SP_07"/>
    <n v="8"/>
    <n v="2601.29"/>
    <n v="20810.32"/>
    <n v="15765.97"/>
    <n v="5044.3500000000004"/>
    <s v="Debit Card"/>
  </r>
  <r>
    <s v="ORD103077"/>
    <s v="2025-01-19"/>
    <x v="9"/>
    <s v="North"/>
    <s v="Punjab"/>
    <s v="Chandigarh"/>
    <x v="1"/>
    <x v="5"/>
    <s v="CUST1973"/>
    <s v="SP_14"/>
    <n v="5"/>
    <n v="10202.19"/>
    <n v="51010.95"/>
    <n v="38118.61"/>
    <n v="12892.34"/>
    <s v="UPI"/>
  </r>
  <r>
    <s v="ORD103078"/>
    <s v="2025-09-05"/>
    <x v="5"/>
    <s v="West"/>
    <s v="Rajasthan"/>
    <s v="Jaipur"/>
    <x v="3"/>
    <x v="7"/>
    <s v="CUST1603"/>
    <s v="SP_14"/>
    <n v="1"/>
    <n v="12750.02"/>
    <n v="12750.02"/>
    <n v="9294.44"/>
    <n v="3455.58"/>
    <s v="UPI"/>
  </r>
  <r>
    <s v="ORD103079"/>
    <s v="2025-12-22"/>
    <x v="7"/>
    <s v="South"/>
    <s v="Tamil Nadu"/>
    <s v="Chennai"/>
    <x v="0"/>
    <x v="0"/>
    <s v="CUST1880"/>
    <s v="SP_03"/>
    <n v="2"/>
    <n v="3695.69"/>
    <n v="7391.38"/>
    <n v="4458.29"/>
    <n v="2933.09"/>
    <s v="Debit Card"/>
  </r>
  <r>
    <s v="ORD103080"/>
    <s v="2025-02-13"/>
    <x v="8"/>
    <s v="North"/>
    <s v="Delhi"/>
    <s v="Delhi"/>
    <x v="2"/>
    <x v="2"/>
    <s v="CUST1304"/>
    <s v="SP_02"/>
    <n v="6"/>
    <n v="42709.32"/>
    <n v="256255.92"/>
    <n v="201049.01"/>
    <n v="55206.91"/>
    <s v="Debit Card"/>
  </r>
  <r>
    <s v="ORD103081"/>
    <s v="2025-08-27"/>
    <x v="11"/>
    <s v="North"/>
    <s v="Uttar Pradesh"/>
    <s v="Lucknow"/>
    <x v="3"/>
    <x v="7"/>
    <s v="CUST1644"/>
    <s v="SP_09"/>
    <n v="1"/>
    <n v="11029.16"/>
    <n v="11029.16"/>
    <n v="8853.34"/>
    <n v="2175.8200000000002"/>
    <s v="Credit Card"/>
  </r>
  <r>
    <s v="ORD103082"/>
    <s v="2025-01-25"/>
    <x v="9"/>
    <s v="North"/>
    <s v="Delhi"/>
    <s v="Delhi"/>
    <x v="2"/>
    <x v="10"/>
    <s v="CUST1822"/>
    <s v="SP_01"/>
    <n v="1"/>
    <n v="19332.2"/>
    <n v="19332.2"/>
    <n v="13697.03"/>
    <n v="5635.17"/>
    <s v="UPI"/>
  </r>
  <r>
    <s v="ORD103083"/>
    <s v="2025-11-12"/>
    <x v="10"/>
    <s v="West"/>
    <s v="Maharashtra"/>
    <s v="Mumbai"/>
    <x v="3"/>
    <x v="11"/>
    <s v="CUST1865"/>
    <s v="SP_14"/>
    <n v="5"/>
    <n v="128.62"/>
    <n v="643.1"/>
    <n v="299.61"/>
    <n v="343.49"/>
    <s v="Cash"/>
  </r>
  <r>
    <s v="ORD103084"/>
    <s v="2025-08-14"/>
    <x v="11"/>
    <s v="South"/>
    <s v="Telangana"/>
    <s v="Hyderabad"/>
    <x v="2"/>
    <x v="10"/>
    <s v="CUST1848"/>
    <s v="SP_13"/>
    <n v="6"/>
    <n v="16693.060000000001"/>
    <n v="100158.36"/>
    <n v="83449.55"/>
    <n v="16708.810000000001"/>
    <s v="Credit Card"/>
  </r>
  <r>
    <s v="ORD103085"/>
    <s v="2025-03-01"/>
    <x v="4"/>
    <s v="North"/>
    <s v="Punjab"/>
    <s v="Chandigarh"/>
    <x v="3"/>
    <x v="11"/>
    <s v="CUST1660"/>
    <s v="SP_03"/>
    <n v="2"/>
    <n v="118.62"/>
    <n v="237.24"/>
    <n v="115.73"/>
    <n v="121.51"/>
    <s v="Net Banking"/>
  </r>
  <r>
    <s v="ORD103086"/>
    <s v="2025-02-07"/>
    <x v="8"/>
    <s v="South"/>
    <s v="Tamil Nadu"/>
    <s v="Chennai"/>
    <x v="2"/>
    <x v="4"/>
    <s v="CUST1695"/>
    <s v="SP_02"/>
    <n v="1"/>
    <n v="2451.5"/>
    <n v="2451.5"/>
    <n v="1673.14"/>
    <n v="778.36"/>
    <s v="Credit Card"/>
  </r>
  <r>
    <s v="ORD103087"/>
    <s v="2025-03-30"/>
    <x v="4"/>
    <s v="East"/>
    <s v="West Bengal"/>
    <s v="Kolkata"/>
    <x v="2"/>
    <x v="10"/>
    <s v="CUST1117"/>
    <s v="SP_06"/>
    <n v="1"/>
    <n v="18530.34"/>
    <n v="18530.34"/>
    <n v="13512.38"/>
    <n v="5017.96"/>
    <s v="Cash"/>
  </r>
  <r>
    <s v="ORD103088"/>
    <s v="2025-10-07"/>
    <x v="1"/>
    <s v="South"/>
    <s v="Telangana"/>
    <s v="Hyderabad"/>
    <x v="3"/>
    <x v="3"/>
    <s v="CUST1222"/>
    <s v="SP_07"/>
    <n v="3"/>
    <n v="25.43"/>
    <n v="76.290000000000006"/>
    <n v="29.93"/>
    <n v="46.36"/>
    <s v="Debit Card"/>
  </r>
  <r>
    <s v="ORD103089"/>
    <s v="2025-04-19"/>
    <x v="0"/>
    <s v="East"/>
    <s v="Bihar"/>
    <s v="Patna"/>
    <x v="3"/>
    <x v="3"/>
    <s v="CUST1424"/>
    <s v="SP_07"/>
    <n v="7"/>
    <n v="26.77"/>
    <n v="187.39"/>
    <n v="72.7"/>
    <n v="114.69"/>
    <s v="Credit Card"/>
  </r>
  <r>
    <s v="ORD103090"/>
    <s v="2025-07-11"/>
    <x v="6"/>
    <s v="West"/>
    <s v="Maharashtra"/>
    <s v="Mumbai"/>
    <x v="2"/>
    <x v="2"/>
    <s v="CUST1485"/>
    <s v="SP_06"/>
    <n v="7"/>
    <n v="47482.87"/>
    <n v="332380.09000000003"/>
    <n v="253021.47"/>
    <n v="79358.62"/>
    <s v="Net Banking"/>
  </r>
  <r>
    <s v="ORD103091"/>
    <s v="2025-12-17"/>
    <x v="7"/>
    <s v="East"/>
    <s v="West Bengal"/>
    <s v="Kolkata"/>
    <x v="3"/>
    <x v="11"/>
    <s v="CUST1988"/>
    <s v="SP_08"/>
    <n v="1"/>
    <n v="130.54"/>
    <n v="130.54"/>
    <n v="57.87"/>
    <n v="72.67"/>
    <s v="Credit Card"/>
  </r>
  <r>
    <s v="ORD103092"/>
    <s v="2025-03-16"/>
    <x v="4"/>
    <s v="North"/>
    <s v="Uttar Pradesh"/>
    <s v="Lucknow"/>
    <x v="2"/>
    <x v="4"/>
    <s v="CUST1505"/>
    <s v="SP_03"/>
    <n v="3"/>
    <n v="2447.83"/>
    <n v="7343.49"/>
    <n v="4688.17"/>
    <n v="2655.32"/>
    <s v="UPI"/>
  </r>
  <r>
    <s v="ORD103093"/>
    <s v="2025-12-09"/>
    <x v="7"/>
    <s v="North"/>
    <s v="Punjab"/>
    <s v="Chandigarh"/>
    <x v="2"/>
    <x v="10"/>
    <s v="CUST1979"/>
    <s v="SP_07"/>
    <n v="5"/>
    <n v="17863.38"/>
    <n v="89316.9"/>
    <n v="72821.62"/>
    <n v="16495.28"/>
    <s v="Credit Card"/>
  </r>
  <r>
    <s v="ORD103094"/>
    <s v="2025-05-28"/>
    <x v="3"/>
    <s v="South"/>
    <s v="Karnataka"/>
    <s v="Bengaluru"/>
    <x v="0"/>
    <x v="0"/>
    <s v="CUST1522"/>
    <s v="SP_13"/>
    <n v="3"/>
    <n v="3600.51"/>
    <n v="10801.53"/>
    <n v="6752.21"/>
    <n v="4049.32"/>
    <s v="UPI"/>
  </r>
  <r>
    <s v="ORD103095"/>
    <s v="2025-09-22"/>
    <x v="5"/>
    <s v="North"/>
    <s v="Delhi"/>
    <s v="Delhi"/>
    <x v="0"/>
    <x v="8"/>
    <s v="CUST1741"/>
    <s v="SP_10"/>
    <n v="5"/>
    <n v="21287.88"/>
    <n v="106439.4"/>
    <n v="84588.97"/>
    <n v="21850.43"/>
    <s v="Debit Card"/>
  </r>
  <r>
    <s v="ORD103096"/>
    <s v="2025-04-14"/>
    <x v="0"/>
    <s v="North"/>
    <s v="Punjab"/>
    <s v="Chandigarh"/>
    <x v="3"/>
    <x v="3"/>
    <s v="CUST1112"/>
    <s v="SP_14"/>
    <n v="6"/>
    <n v="22.88"/>
    <n v="137.28"/>
    <n v="61.59"/>
    <n v="75.69"/>
    <s v="Net Banking"/>
  </r>
  <r>
    <s v="ORD103097"/>
    <s v="2025-02-06"/>
    <x v="8"/>
    <s v="South"/>
    <s v="Karnataka"/>
    <s v="Bengaluru"/>
    <x v="1"/>
    <x v="6"/>
    <s v="CUST1932"/>
    <s v="SP_02"/>
    <n v="7"/>
    <n v="2885.33"/>
    <n v="20197.310000000001"/>
    <n v="16427.3"/>
    <n v="3770.01"/>
    <s v="Credit Card"/>
  </r>
  <r>
    <s v="ORD103098"/>
    <s v="2025-10-06"/>
    <x v="1"/>
    <s v="West"/>
    <s v="Rajasthan"/>
    <s v="Jaipur"/>
    <x v="0"/>
    <x v="8"/>
    <s v="CUST1557"/>
    <s v="SP_10"/>
    <n v="3"/>
    <n v="23250.38"/>
    <n v="69751.14"/>
    <n v="48617.54"/>
    <n v="21133.599999999999"/>
    <s v="Net Banking"/>
  </r>
  <r>
    <s v="ORD103099"/>
    <s v="2025-07-31"/>
    <x v="6"/>
    <s v="North"/>
    <s v="Punjab"/>
    <s v="Chandigarh"/>
    <x v="3"/>
    <x v="7"/>
    <s v="CUST1021"/>
    <s v="SP_15"/>
    <n v="7"/>
    <n v="11414.98"/>
    <n v="79904.86"/>
    <n v="63636.56"/>
    <n v="16268.3"/>
    <s v="Net Banking"/>
  </r>
  <r>
    <s v="ORD103100"/>
    <s v="2025-10-31"/>
    <x v="1"/>
    <s v="West"/>
    <s v="Gujarat"/>
    <s v="Ahmedabad"/>
    <x v="0"/>
    <x v="9"/>
    <s v="CUST1706"/>
    <s v="SP_03"/>
    <n v="5"/>
    <n v="6960.9"/>
    <n v="34804.5"/>
    <n v="25810.21"/>
    <n v="8994.2900000000009"/>
    <s v="Cash"/>
  </r>
  <r>
    <s v="ORD103101"/>
    <s v="2025-10-18"/>
    <x v="1"/>
    <s v="North"/>
    <s v="Delhi"/>
    <s v="Delhi"/>
    <x v="1"/>
    <x v="6"/>
    <s v="CUST1637"/>
    <s v="SP_15"/>
    <n v="7"/>
    <n v="3326"/>
    <n v="23282"/>
    <n v="17393.349999999999"/>
    <n v="5888.65"/>
    <s v="UPI"/>
  </r>
  <r>
    <s v="ORD103102"/>
    <s v="2025-11-12"/>
    <x v="10"/>
    <s v="West"/>
    <s v="Rajasthan"/>
    <s v="Jaipur"/>
    <x v="1"/>
    <x v="1"/>
    <s v="CUST1942"/>
    <s v="SP_05"/>
    <n v="7"/>
    <n v="2874.34"/>
    <n v="20120.38"/>
    <n v="13241.76"/>
    <n v="6878.62"/>
    <s v="Net Banking"/>
  </r>
  <r>
    <s v="ORD103103"/>
    <s v="2025-06-16"/>
    <x v="2"/>
    <s v="East"/>
    <s v="Bihar"/>
    <s v="Patna"/>
    <x v="2"/>
    <x v="10"/>
    <s v="CUST1019"/>
    <s v="SP_07"/>
    <n v="3"/>
    <n v="17128.07"/>
    <n v="51384.21"/>
    <n v="41595.440000000002"/>
    <n v="9788.77"/>
    <s v="Credit Card"/>
  </r>
  <r>
    <s v="ORD103104"/>
    <s v="2025-06-30"/>
    <x v="2"/>
    <s v="West"/>
    <s v="Rajasthan"/>
    <s v="Jaipur"/>
    <x v="3"/>
    <x v="3"/>
    <s v="CUST1700"/>
    <s v="SP_10"/>
    <n v="5"/>
    <n v="26.39"/>
    <n v="131.94999999999999"/>
    <n v="51.44"/>
    <n v="80.510000000000005"/>
    <s v="Debit Card"/>
  </r>
  <r>
    <s v="ORD103105"/>
    <s v="2025-07-04"/>
    <x v="6"/>
    <s v="North"/>
    <s v="Uttar Pradesh"/>
    <s v="Lucknow"/>
    <x v="0"/>
    <x v="0"/>
    <s v="CUST1463"/>
    <s v="SP_12"/>
    <n v="1"/>
    <n v="3414.43"/>
    <n v="3414.43"/>
    <n v="2245.11"/>
    <n v="1169.32"/>
    <s v="Debit Card"/>
  </r>
  <r>
    <s v="ORD103106"/>
    <s v="2025-10-07"/>
    <x v="1"/>
    <s v="East"/>
    <s v="Odisha"/>
    <s v="Bhubaneswar"/>
    <x v="1"/>
    <x v="6"/>
    <s v="CUST1048"/>
    <s v="SP_08"/>
    <n v="5"/>
    <n v="3452.29"/>
    <n v="17261.45"/>
    <n v="12219.96"/>
    <n v="5041.49"/>
    <s v="UPI"/>
  </r>
  <r>
    <s v="ORD103107"/>
    <s v="2025-05-05"/>
    <x v="3"/>
    <s v="North"/>
    <s v="Delhi"/>
    <s v="Delhi"/>
    <x v="2"/>
    <x v="2"/>
    <s v="CUST1917"/>
    <s v="SP_02"/>
    <n v="3"/>
    <n v="44139.46"/>
    <n v="132418.38"/>
    <n v="103909.84"/>
    <n v="28508.54"/>
    <s v="UPI"/>
  </r>
  <r>
    <s v="ORD103108"/>
    <s v="2025-03-31"/>
    <x v="4"/>
    <s v="South"/>
    <s v="Karnataka"/>
    <s v="Bengaluru"/>
    <x v="2"/>
    <x v="2"/>
    <s v="CUST1908"/>
    <s v="SP_01"/>
    <n v="4"/>
    <n v="42562.85"/>
    <n v="170251.4"/>
    <n v="144982.79"/>
    <n v="25268.61"/>
    <s v="Credit Card"/>
  </r>
  <r>
    <s v="ORD103109"/>
    <s v="2025-04-13"/>
    <x v="0"/>
    <s v="West"/>
    <s v="Gujarat"/>
    <s v="Ahmedabad"/>
    <x v="0"/>
    <x v="9"/>
    <s v="CUST1480"/>
    <s v="SP_02"/>
    <n v="3"/>
    <n v="6587.52"/>
    <n v="19762.560000000001"/>
    <n v="15678.1"/>
    <n v="4084.46"/>
    <s v="Debit Card"/>
  </r>
  <r>
    <s v="ORD103110"/>
    <s v="2025-05-15"/>
    <x v="3"/>
    <s v="East"/>
    <s v="Odisha"/>
    <s v="Bhubaneswar"/>
    <x v="2"/>
    <x v="2"/>
    <s v="CUST1667"/>
    <s v="SP_01"/>
    <n v="6"/>
    <n v="40577.410000000003"/>
    <n v="243464.46"/>
    <n v="208794.03"/>
    <n v="34670.43"/>
    <s v="Cash"/>
  </r>
  <r>
    <s v="ORD103111"/>
    <s v="2025-12-28"/>
    <x v="7"/>
    <s v="West"/>
    <s v="Maharashtra"/>
    <s v="Mumbai"/>
    <x v="0"/>
    <x v="9"/>
    <s v="CUST1582"/>
    <s v="SP_14"/>
    <n v="1"/>
    <n v="7003.01"/>
    <n v="7003.01"/>
    <n v="5244.35"/>
    <n v="1758.66"/>
    <s v="UPI"/>
  </r>
  <r>
    <s v="ORD103112"/>
    <s v="2025-06-01"/>
    <x v="2"/>
    <s v="South"/>
    <s v="Tamil Nadu"/>
    <s v="Chennai"/>
    <x v="0"/>
    <x v="8"/>
    <s v="CUST1951"/>
    <s v="SP_15"/>
    <n v="4"/>
    <n v="21970.44"/>
    <n v="87881.76"/>
    <n v="68092.62"/>
    <n v="19789.14"/>
    <s v="Debit Card"/>
  </r>
  <r>
    <s v="ORD103113"/>
    <s v="2025-12-18"/>
    <x v="7"/>
    <s v="North"/>
    <s v="Delhi"/>
    <s v="Delhi"/>
    <x v="3"/>
    <x v="11"/>
    <s v="CUST1748"/>
    <s v="SP_06"/>
    <n v="6"/>
    <n v="127.14"/>
    <n v="762.84"/>
    <n v="353.8"/>
    <n v="409.04"/>
    <s v="Credit Card"/>
  </r>
  <r>
    <s v="ORD103114"/>
    <s v="2025-09-01"/>
    <x v="5"/>
    <s v="North"/>
    <s v="Punjab"/>
    <s v="Chandigarh"/>
    <x v="3"/>
    <x v="3"/>
    <s v="CUST1479"/>
    <s v="SP_10"/>
    <n v="1"/>
    <n v="24.4"/>
    <n v="24.4"/>
    <n v="9.83"/>
    <n v="14.57"/>
    <s v="UPI"/>
  </r>
  <r>
    <s v="ORD103115"/>
    <s v="2025-02-04"/>
    <x v="8"/>
    <s v="East"/>
    <s v="Bihar"/>
    <s v="Patna"/>
    <x v="1"/>
    <x v="6"/>
    <s v="CUST1951"/>
    <s v="SP_13"/>
    <n v="2"/>
    <n v="3005.16"/>
    <n v="6010.32"/>
    <n v="4918.3"/>
    <n v="1092.02"/>
    <s v="UPI"/>
  </r>
  <r>
    <s v="ORD103116"/>
    <s v="2025-11-05"/>
    <x v="10"/>
    <s v="West"/>
    <s v="Maharashtra"/>
    <s v="Mumbai"/>
    <x v="2"/>
    <x v="2"/>
    <s v="CUST1019"/>
    <s v="SP_10"/>
    <n v="4"/>
    <n v="47123.02"/>
    <n v="188492.08"/>
    <n v="134812.82"/>
    <n v="53679.26"/>
    <s v="Credit Card"/>
  </r>
  <r>
    <s v="ORD103117"/>
    <s v="2025-11-10"/>
    <x v="10"/>
    <s v="South"/>
    <s v="Tamil Nadu"/>
    <s v="Chennai"/>
    <x v="0"/>
    <x v="8"/>
    <s v="CUST1012"/>
    <s v="SP_04"/>
    <n v="6"/>
    <n v="19903.48"/>
    <n v="119420.88"/>
    <n v="105083.9"/>
    <n v="14336.98"/>
    <s v="Net Banking"/>
  </r>
  <r>
    <s v="ORD103118"/>
    <s v="2025-04-12"/>
    <x v="0"/>
    <s v="South"/>
    <s v="Karnataka"/>
    <s v="Bengaluru"/>
    <x v="1"/>
    <x v="5"/>
    <s v="CUST1457"/>
    <s v="SP_07"/>
    <n v="5"/>
    <n v="8608.07"/>
    <n v="43040.35"/>
    <n v="36590.32"/>
    <n v="6450.03"/>
    <s v="Debit Card"/>
  </r>
  <r>
    <s v="ORD103119"/>
    <s v="2025-08-15"/>
    <x v="11"/>
    <s v="North"/>
    <s v="Punjab"/>
    <s v="Chandigarh"/>
    <x v="1"/>
    <x v="5"/>
    <s v="CUST1748"/>
    <s v="SP_07"/>
    <n v="3"/>
    <n v="9143.17"/>
    <n v="27429.51"/>
    <n v="22458.52"/>
    <n v="4970.99"/>
    <s v="Cash"/>
  </r>
  <r>
    <s v="ORD103120"/>
    <s v="2025-11-01"/>
    <x v="10"/>
    <s v="East"/>
    <s v="West Bengal"/>
    <s v="Kolkata"/>
    <x v="3"/>
    <x v="7"/>
    <s v="CUST1237"/>
    <s v="SP_08"/>
    <n v="5"/>
    <n v="11311.16"/>
    <n v="56555.8"/>
    <n v="46266.54"/>
    <n v="10289.26"/>
    <s v="Net Banking"/>
  </r>
  <r>
    <s v="ORD103121"/>
    <s v="2025-04-22"/>
    <x v="0"/>
    <s v="East"/>
    <s v="West Bengal"/>
    <s v="Kolkata"/>
    <x v="0"/>
    <x v="9"/>
    <s v="CUST1673"/>
    <s v="SP_06"/>
    <n v="5"/>
    <n v="6503.08"/>
    <n v="32515.4"/>
    <n v="24746.17"/>
    <n v="7769.23"/>
    <s v="UPI"/>
  </r>
  <r>
    <s v="ORD103122"/>
    <s v="2025-10-06"/>
    <x v="1"/>
    <s v="South"/>
    <s v="Tamil Nadu"/>
    <s v="Chennai"/>
    <x v="0"/>
    <x v="0"/>
    <s v="CUST1221"/>
    <s v="SP_07"/>
    <n v="1"/>
    <n v="3338.84"/>
    <n v="3338.84"/>
    <n v="2229.9299999999998"/>
    <n v="1108.9100000000001"/>
    <s v="Credit Card"/>
  </r>
  <r>
    <s v="ORD103123"/>
    <s v="2025-09-24"/>
    <x v="5"/>
    <s v="South"/>
    <s v="Karnataka"/>
    <s v="Bengaluru"/>
    <x v="1"/>
    <x v="6"/>
    <s v="CUST1435"/>
    <s v="SP_13"/>
    <n v="4"/>
    <n v="3156.92"/>
    <n v="12627.68"/>
    <n v="9648.75"/>
    <n v="2978.93"/>
    <s v="Credit Card"/>
  </r>
  <r>
    <s v="ORD103124"/>
    <s v="2025-01-16"/>
    <x v="9"/>
    <s v="South"/>
    <s v="Telangana"/>
    <s v="Hyderabad"/>
    <x v="1"/>
    <x v="1"/>
    <s v="CUST1762"/>
    <s v="SP_14"/>
    <n v="5"/>
    <n v="2930.78"/>
    <n v="14653.9"/>
    <n v="9057.14"/>
    <n v="5596.76"/>
    <s v="UPI"/>
  </r>
  <r>
    <s v="ORD103125"/>
    <s v="2025-12-09"/>
    <x v="7"/>
    <s v="South"/>
    <s v="Telangana"/>
    <s v="Hyderabad"/>
    <x v="3"/>
    <x v="3"/>
    <s v="CUST1513"/>
    <s v="SP_15"/>
    <n v="4"/>
    <n v="24.45"/>
    <n v="97.8"/>
    <n v="39.94"/>
    <n v="57.86"/>
    <s v="UPI"/>
  </r>
  <r>
    <s v="ORD103126"/>
    <s v="2025-05-28"/>
    <x v="3"/>
    <s v="North"/>
    <s v="Punjab"/>
    <s v="Chandigarh"/>
    <x v="3"/>
    <x v="3"/>
    <s v="CUST1564"/>
    <s v="SP_03"/>
    <n v="6"/>
    <n v="22.82"/>
    <n v="136.91999999999999"/>
    <n v="61.65"/>
    <n v="75.27"/>
    <s v="Credit Card"/>
  </r>
  <r>
    <s v="ORD103127"/>
    <s v="2025-01-30"/>
    <x v="9"/>
    <s v="East"/>
    <s v="Odisha"/>
    <s v="Bhubaneswar"/>
    <x v="3"/>
    <x v="11"/>
    <s v="CUST1848"/>
    <s v="SP_09"/>
    <n v="7"/>
    <n v="114.77"/>
    <n v="803.39"/>
    <n v="414.48"/>
    <n v="388.91"/>
    <s v="UPI"/>
  </r>
  <r>
    <s v="ORD103128"/>
    <s v="2025-12-19"/>
    <x v="7"/>
    <s v="East"/>
    <s v="West Bengal"/>
    <s v="Kolkata"/>
    <x v="1"/>
    <x v="1"/>
    <s v="CUST1912"/>
    <s v="SP_12"/>
    <n v="7"/>
    <n v="2945.12"/>
    <n v="20615.84"/>
    <n v="13843.32"/>
    <n v="6772.52"/>
    <s v="UPI"/>
  </r>
  <r>
    <s v="ORD103129"/>
    <s v="2025-05-25"/>
    <x v="3"/>
    <s v="South"/>
    <s v="Tamil Nadu"/>
    <s v="Chennai"/>
    <x v="3"/>
    <x v="11"/>
    <s v="CUST1328"/>
    <s v="SP_01"/>
    <n v="8"/>
    <n v="114.85"/>
    <n v="918.8"/>
    <n v="502.56"/>
    <n v="416.24"/>
    <s v="UPI"/>
  </r>
  <r>
    <s v="ORD103130"/>
    <s v="2025-01-26"/>
    <x v="9"/>
    <s v="North"/>
    <s v="Punjab"/>
    <s v="Chandigarh"/>
    <x v="2"/>
    <x v="2"/>
    <s v="CUST1679"/>
    <s v="SP_09"/>
    <n v="7"/>
    <n v="44912.95"/>
    <n v="314390.65000000002"/>
    <n v="233513.96"/>
    <n v="80876.69"/>
    <s v="UPI"/>
  </r>
  <r>
    <s v="ORD103131"/>
    <s v="2025-05-01"/>
    <x v="3"/>
    <s v="West"/>
    <s v="Rajasthan"/>
    <s v="Jaipur"/>
    <x v="1"/>
    <x v="1"/>
    <s v="CUST1284"/>
    <s v="SP_08"/>
    <n v="4"/>
    <n v="2520.23"/>
    <n v="10080.92"/>
    <n v="7836.42"/>
    <n v="2244.5"/>
    <s v="Cash"/>
  </r>
  <r>
    <s v="ORD103132"/>
    <s v="2025-08-02"/>
    <x v="11"/>
    <s v="East"/>
    <s v="Bihar"/>
    <s v="Patna"/>
    <x v="2"/>
    <x v="2"/>
    <s v="CUST1825"/>
    <s v="SP_06"/>
    <n v="4"/>
    <n v="44341.57"/>
    <n v="177366.28"/>
    <n v="135413.67000000001"/>
    <n v="41952.61"/>
    <s v="Credit Card"/>
  </r>
  <r>
    <s v="ORD103133"/>
    <s v="2025-06-24"/>
    <x v="2"/>
    <s v="East"/>
    <s v="Bihar"/>
    <s v="Patna"/>
    <x v="1"/>
    <x v="6"/>
    <s v="CUST1451"/>
    <s v="SP_13"/>
    <n v="6"/>
    <n v="3161.5"/>
    <n v="18969"/>
    <n v="13909.78"/>
    <n v="5059.22"/>
    <s v="Net Banking"/>
  </r>
  <r>
    <s v="ORD103134"/>
    <s v="2025-05-16"/>
    <x v="3"/>
    <s v="South"/>
    <s v="Telangana"/>
    <s v="Hyderabad"/>
    <x v="1"/>
    <x v="6"/>
    <s v="CUST1517"/>
    <s v="SP_10"/>
    <n v="5"/>
    <n v="3294.89"/>
    <n v="16474.45"/>
    <n v="12150.09"/>
    <n v="4324.3599999999997"/>
    <s v="UPI"/>
  </r>
  <r>
    <s v="ORD103135"/>
    <s v="2025-11-23"/>
    <x v="10"/>
    <s v="North"/>
    <s v="Delhi"/>
    <s v="Delhi"/>
    <x v="3"/>
    <x v="7"/>
    <s v="CUST1778"/>
    <s v="SP_10"/>
    <n v="2"/>
    <n v="12065.81"/>
    <n v="24131.62"/>
    <n v="18261.990000000002"/>
    <n v="5869.63"/>
    <s v="Credit Card"/>
  </r>
  <r>
    <s v="ORD103136"/>
    <s v="2025-07-19"/>
    <x v="6"/>
    <s v="West"/>
    <s v="Maharashtra"/>
    <s v="Mumbai"/>
    <x v="3"/>
    <x v="11"/>
    <s v="CUST1756"/>
    <s v="SP_10"/>
    <n v="2"/>
    <n v="128.97999999999999"/>
    <n v="257.95999999999998"/>
    <n v="118.99"/>
    <n v="138.97"/>
    <s v="Credit Card"/>
  </r>
  <r>
    <s v="ORD103137"/>
    <s v="2025-04-23"/>
    <x v="0"/>
    <s v="North"/>
    <s v="Punjab"/>
    <s v="Chandigarh"/>
    <x v="0"/>
    <x v="9"/>
    <s v="CUST1667"/>
    <s v="SP_01"/>
    <n v="4"/>
    <n v="7664.68"/>
    <n v="30658.720000000001"/>
    <n v="19973.79"/>
    <n v="10684.93"/>
    <s v="UPI"/>
  </r>
  <r>
    <s v="ORD103138"/>
    <s v="2025-08-12"/>
    <x v="11"/>
    <s v="North"/>
    <s v="Uttar Pradesh"/>
    <s v="Lucknow"/>
    <x v="0"/>
    <x v="9"/>
    <s v="CUST1590"/>
    <s v="SP_10"/>
    <n v="7"/>
    <n v="7126.59"/>
    <n v="49886.13"/>
    <n v="34385.86"/>
    <n v="15500.27"/>
    <s v="Credit Card"/>
  </r>
  <r>
    <s v="ORD103139"/>
    <s v="2025-05-09"/>
    <x v="3"/>
    <s v="West"/>
    <s v="Maharashtra"/>
    <s v="Mumbai"/>
    <x v="3"/>
    <x v="11"/>
    <s v="CUST1253"/>
    <s v="SP_01"/>
    <n v="1"/>
    <n v="116.08"/>
    <n v="116.08"/>
    <n v="60.37"/>
    <n v="55.71"/>
    <s v="Net Banking"/>
  </r>
  <r>
    <s v="ORD103140"/>
    <s v="2025-04-28"/>
    <x v="0"/>
    <s v="West"/>
    <s v="Rajasthan"/>
    <s v="Jaipur"/>
    <x v="2"/>
    <x v="10"/>
    <s v="CUST1349"/>
    <s v="SP_07"/>
    <n v="5"/>
    <n v="18858.150000000001"/>
    <n v="94290.75"/>
    <n v="70474.080000000002"/>
    <n v="23816.67"/>
    <s v="Credit Card"/>
  </r>
  <r>
    <s v="ORD103141"/>
    <s v="2025-04-14"/>
    <x v="0"/>
    <s v="West"/>
    <s v="Maharashtra"/>
    <s v="Mumbai"/>
    <x v="2"/>
    <x v="4"/>
    <s v="CUST1006"/>
    <s v="SP_11"/>
    <n v="2"/>
    <n v="2400.96"/>
    <n v="4801.92"/>
    <n v="3291.22"/>
    <n v="1510.7"/>
    <s v="UPI"/>
  </r>
  <r>
    <s v="ORD103142"/>
    <s v="2025-02-08"/>
    <x v="8"/>
    <s v="East"/>
    <s v="Bihar"/>
    <s v="Patna"/>
    <x v="2"/>
    <x v="2"/>
    <s v="CUST1449"/>
    <s v="SP_15"/>
    <n v="2"/>
    <n v="49118.23"/>
    <n v="98236.46"/>
    <n v="67318.14"/>
    <n v="30918.32"/>
    <s v="Credit Card"/>
  </r>
  <r>
    <s v="ORD103143"/>
    <s v="2025-07-29"/>
    <x v="6"/>
    <s v="East"/>
    <s v="West Bengal"/>
    <s v="Kolkata"/>
    <x v="0"/>
    <x v="9"/>
    <s v="CUST1344"/>
    <s v="SP_09"/>
    <n v="6"/>
    <n v="7066"/>
    <n v="42396"/>
    <n v="30327.31"/>
    <n v="12068.69"/>
    <s v="Credit Card"/>
  </r>
  <r>
    <s v="ORD103144"/>
    <s v="2025-10-26"/>
    <x v="1"/>
    <s v="South"/>
    <s v="Tamil Nadu"/>
    <s v="Chennai"/>
    <x v="2"/>
    <x v="10"/>
    <s v="CUST1440"/>
    <s v="SP_05"/>
    <n v="7"/>
    <n v="17393.310000000001"/>
    <n v="121753.17"/>
    <n v="96503.02"/>
    <n v="25250.15"/>
    <s v="Net Banking"/>
  </r>
  <r>
    <s v="ORD103145"/>
    <s v="2025-02-24"/>
    <x v="8"/>
    <s v="West"/>
    <s v="Rajasthan"/>
    <s v="Jaipur"/>
    <x v="1"/>
    <x v="5"/>
    <s v="CUST1507"/>
    <s v="SP_13"/>
    <n v="5"/>
    <n v="9682.85"/>
    <n v="48414.25"/>
    <n v="39797.4"/>
    <n v="8616.85"/>
    <s v="Debit Card"/>
  </r>
  <r>
    <s v="ORD103146"/>
    <s v="2025-05-29"/>
    <x v="3"/>
    <s v="West"/>
    <s v="Maharashtra"/>
    <s v="Mumbai"/>
    <x v="3"/>
    <x v="7"/>
    <s v="CUST1453"/>
    <s v="SP_07"/>
    <n v="5"/>
    <n v="11202.81"/>
    <n v="56014.05"/>
    <n v="45387.54"/>
    <n v="10626.51"/>
    <s v="Net Banking"/>
  </r>
  <r>
    <s v="ORD103147"/>
    <s v="2025-03-17"/>
    <x v="4"/>
    <s v="South"/>
    <s v="Telangana"/>
    <s v="Hyderabad"/>
    <x v="2"/>
    <x v="10"/>
    <s v="CUST1271"/>
    <s v="SP_07"/>
    <n v="1"/>
    <n v="18545.97"/>
    <n v="18545.97"/>
    <n v="13385.23"/>
    <n v="5160.74"/>
    <s v="Net Banking"/>
  </r>
  <r>
    <s v="ORD103148"/>
    <s v="2025-04-29"/>
    <x v="0"/>
    <s v="North"/>
    <s v="Delhi"/>
    <s v="Delhi"/>
    <x v="3"/>
    <x v="7"/>
    <s v="CUST1283"/>
    <s v="SP_01"/>
    <n v="4"/>
    <n v="12490.36"/>
    <n v="49961.440000000002"/>
    <n v="37708.559999999998"/>
    <n v="12252.88"/>
    <s v="Credit Card"/>
  </r>
  <r>
    <s v="ORD103149"/>
    <s v="2025-02-26"/>
    <x v="8"/>
    <s v="West"/>
    <s v="Gujarat"/>
    <s v="Ahmedabad"/>
    <x v="3"/>
    <x v="7"/>
    <s v="CUST1426"/>
    <s v="SP_07"/>
    <n v="5"/>
    <n v="12517.31"/>
    <n v="62586.55"/>
    <n v="45275.06"/>
    <n v="17311.490000000002"/>
    <s v="Credit Card"/>
  </r>
  <r>
    <s v="ORD103150"/>
    <s v="2025-10-16"/>
    <x v="1"/>
    <s v="West"/>
    <s v="Rajasthan"/>
    <s v="Jaipur"/>
    <x v="2"/>
    <x v="2"/>
    <s v="CUST1405"/>
    <s v="SP_04"/>
    <n v="8"/>
    <n v="42603.98"/>
    <n v="340831.84"/>
    <n v="266008.84999999998"/>
    <n v="74822.990000000005"/>
    <s v="UPI"/>
  </r>
  <r>
    <s v="ORD103151"/>
    <s v="2025-08-09"/>
    <x v="11"/>
    <s v="West"/>
    <s v="Gujarat"/>
    <s v="Ahmedabad"/>
    <x v="0"/>
    <x v="8"/>
    <s v="CUST1697"/>
    <s v="SP_09"/>
    <n v="3"/>
    <n v="23247.33"/>
    <n v="69741.990000000005"/>
    <n v="48750.7"/>
    <n v="20991.29"/>
    <s v="Net Banking"/>
  </r>
  <r>
    <s v="ORD103152"/>
    <s v="2025-06-30"/>
    <x v="2"/>
    <s v="North"/>
    <s v="Punjab"/>
    <s v="Chandigarh"/>
    <x v="3"/>
    <x v="11"/>
    <s v="CUST1070"/>
    <s v="SP_15"/>
    <n v="4"/>
    <n v="126.57"/>
    <n v="506.28"/>
    <n v="234.76"/>
    <n v="271.52"/>
    <s v="UPI"/>
  </r>
  <r>
    <s v="ORD103153"/>
    <s v="2025-07-24"/>
    <x v="6"/>
    <s v="East"/>
    <s v="Bihar"/>
    <s v="Patna"/>
    <x v="1"/>
    <x v="1"/>
    <s v="CUST1507"/>
    <s v="SP_14"/>
    <n v="7"/>
    <n v="3012.32"/>
    <n v="21086.240000000002"/>
    <n v="13754.92"/>
    <n v="7331.32"/>
    <s v="Cash"/>
  </r>
  <r>
    <s v="ORD103154"/>
    <s v="2025-09-22"/>
    <x v="5"/>
    <s v="North"/>
    <s v="Punjab"/>
    <s v="Chandigarh"/>
    <x v="1"/>
    <x v="6"/>
    <s v="CUST1528"/>
    <s v="SP_06"/>
    <n v="8"/>
    <n v="3020.89"/>
    <n v="24167.119999999999"/>
    <n v="19981.48"/>
    <n v="4185.6400000000003"/>
    <s v="UPI"/>
  </r>
  <r>
    <s v="ORD103155"/>
    <s v="2025-11-06"/>
    <x v="10"/>
    <s v="South"/>
    <s v="Karnataka"/>
    <s v="Bengaluru"/>
    <x v="3"/>
    <x v="7"/>
    <s v="CUST1719"/>
    <s v="SP_01"/>
    <n v="1"/>
    <n v="12717.13"/>
    <n v="12717.13"/>
    <n v="8936.32"/>
    <n v="3780.81"/>
    <s v="Credit Card"/>
  </r>
  <r>
    <s v="ORD103156"/>
    <s v="2025-05-22"/>
    <x v="3"/>
    <s v="East"/>
    <s v="Odisha"/>
    <s v="Bhubaneswar"/>
    <x v="2"/>
    <x v="2"/>
    <s v="CUST1969"/>
    <s v="SP_01"/>
    <n v="8"/>
    <n v="42780.22"/>
    <n v="342241.76"/>
    <n v="274743.58"/>
    <n v="67498.179999999993"/>
    <s v="Credit Card"/>
  </r>
  <r>
    <s v="ORD103157"/>
    <s v="2025-02-04"/>
    <x v="8"/>
    <s v="East"/>
    <s v="Odisha"/>
    <s v="Bhubaneswar"/>
    <x v="0"/>
    <x v="8"/>
    <s v="CUST1821"/>
    <s v="SP_03"/>
    <n v="6"/>
    <n v="21545.55"/>
    <n v="129273.3"/>
    <n v="104872"/>
    <n v="24401.3"/>
    <s v="Net Banking"/>
  </r>
  <r>
    <s v="ORD103158"/>
    <s v="2025-09-01"/>
    <x v="5"/>
    <s v="West"/>
    <s v="Gujarat"/>
    <s v="Ahmedabad"/>
    <x v="0"/>
    <x v="8"/>
    <s v="CUST1198"/>
    <s v="SP_12"/>
    <n v="7"/>
    <n v="20538.32"/>
    <n v="143768.24"/>
    <n v="113240.34"/>
    <n v="30527.9"/>
    <s v="UPI"/>
  </r>
  <r>
    <s v="ORD103159"/>
    <s v="2025-04-29"/>
    <x v="0"/>
    <s v="North"/>
    <s v="Delhi"/>
    <s v="Delhi"/>
    <x v="1"/>
    <x v="6"/>
    <s v="CUST1570"/>
    <s v="SP_12"/>
    <n v="4"/>
    <n v="3436.62"/>
    <n v="13746.48"/>
    <n v="9606.57"/>
    <n v="4139.91"/>
    <s v="Debit Card"/>
  </r>
  <r>
    <s v="ORD103160"/>
    <s v="2025-01-28"/>
    <x v="9"/>
    <s v="South"/>
    <s v="Telangana"/>
    <s v="Hyderabad"/>
    <x v="0"/>
    <x v="8"/>
    <s v="CUST1785"/>
    <s v="SP_12"/>
    <n v="7"/>
    <n v="20597.2"/>
    <n v="144180.4"/>
    <n v="119246.47"/>
    <n v="24933.93"/>
    <s v="Cash"/>
  </r>
  <r>
    <s v="ORD103161"/>
    <s v="2025-08-28"/>
    <x v="11"/>
    <s v="East"/>
    <s v="Odisha"/>
    <s v="Bhubaneswar"/>
    <x v="3"/>
    <x v="7"/>
    <s v="CUST1289"/>
    <s v="SP_14"/>
    <n v="8"/>
    <n v="11302.14"/>
    <n v="90417.12"/>
    <n v="73551.009999999995"/>
    <n v="16866.11"/>
    <s v="Cash"/>
  </r>
  <r>
    <s v="ORD103162"/>
    <s v="2025-06-28"/>
    <x v="2"/>
    <s v="West"/>
    <s v="Gujarat"/>
    <s v="Ahmedabad"/>
    <x v="0"/>
    <x v="9"/>
    <s v="CUST1398"/>
    <s v="SP_09"/>
    <n v="3"/>
    <n v="6745.43"/>
    <n v="20236.29"/>
    <n v="14382.17"/>
    <n v="5854.12"/>
    <s v="Cash"/>
  </r>
  <r>
    <s v="ORD103163"/>
    <s v="2025-06-08"/>
    <x v="2"/>
    <s v="East"/>
    <s v="Odisha"/>
    <s v="Bhubaneswar"/>
    <x v="3"/>
    <x v="11"/>
    <s v="CUST1372"/>
    <s v="SP_13"/>
    <n v="6"/>
    <n v="114.66"/>
    <n v="687.96"/>
    <n v="357.19"/>
    <n v="330.77"/>
    <s v="UPI"/>
  </r>
  <r>
    <s v="ORD103164"/>
    <s v="2025-08-27"/>
    <x v="11"/>
    <s v="North"/>
    <s v="Punjab"/>
    <s v="Chandigarh"/>
    <x v="0"/>
    <x v="9"/>
    <s v="CUST1983"/>
    <s v="SP_07"/>
    <n v="8"/>
    <n v="6500.67"/>
    <n v="52005.36"/>
    <n v="40044.61"/>
    <n v="11960.75"/>
    <s v="UPI"/>
  </r>
  <r>
    <s v="ORD103165"/>
    <s v="2025-05-19"/>
    <x v="3"/>
    <s v="West"/>
    <s v="Maharashtra"/>
    <s v="Mumbai"/>
    <x v="3"/>
    <x v="11"/>
    <s v="CUST1217"/>
    <s v="SP_11"/>
    <n v="5"/>
    <n v="123.55"/>
    <n v="617.75"/>
    <n v="288.41000000000003"/>
    <n v="329.34"/>
    <s v="Net Banking"/>
  </r>
  <r>
    <s v="ORD103166"/>
    <s v="2025-05-08"/>
    <x v="3"/>
    <s v="East"/>
    <s v="Bihar"/>
    <s v="Patna"/>
    <x v="3"/>
    <x v="7"/>
    <s v="CUST1918"/>
    <s v="SP_02"/>
    <n v="2"/>
    <n v="10942.27"/>
    <n v="21884.54"/>
    <n v="17794.400000000001"/>
    <n v="4090.14"/>
    <s v="Cash"/>
  </r>
  <r>
    <s v="ORD103167"/>
    <s v="2025-11-04"/>
    <x v="10"/>
    <s v="South"/>
    <s v="Karnataka"/>
    <s v="Bengaluru"/>
    <x v="1"/>
    <x v="1"/>
    <s v="CUST1803"/>
    <s v="SP_02"/>
    <n v="5"/>
    <n v="2710.81"/>
    <n v="13554.05"/>
    <n v="9031.5300000000007"/>
    <n v="4522.5200000000004"/>
    <s v="Net Banking"/>
  </r>
  <r>
    <s v="ORD103168"/>
    <s v="2025-06-15"/>
    <x v="2"/>
    <s v="South"/>
    <s v="Telangana"/>
    <s v="Hyderabad"/>
    <x v="0"/>
    <x v="9"/>
    <s v="CUST1470"/>
    <s v="SP_06"/>
    <n v="7"/>
    <n v="7355.48"/>
    <n v="51488.36"/>
    <n v="35429.800000000003"/>
    <n v="16058.56"/>
    <s v="UPI"/>
  </r>
  <r>
    <s v="ORD103169"/>
    <s v="2025-03-12"/>
    <x v="4"/>
    <s v="South"/>
    <s v="Tamil Nadu"/>
    <s v="Chennai"/>
    <x v="0"/>
    <x v="9"/>
    <s v="CUST1147"/>
    <s v="SP_07"/>
    <n v="4"/>
    <n v="6551.92"/>
    <n v="26207.68"/>
    <n v="20758.57"/>
    <n v="5449.11"/>
    <s v="UPI"/>
  </r>
  <r>
    <s v="ORD103170"/>
    <s v="2025-04-14"/>
    <x v="0"/>
    <s v="West"/>
    <s v="Gujarat"/>
    <s v="Ahmedabad"/>
    <x v="3"/>
    <x v="7"/>
    <s v="CUST1018"/>
    <s v="SP_09"/>
    <n v="1"/>
    <n v="12333.88"/>
    <n v="12333.88"/>
    <n v="9200.98"/>
    <n v="3132.9"/>
    <s v="UPI"/>
  </r>
  <r>
    <s v="ORD103171"/>
    <s v="2025-05-24"/>
    <x v="3"/>
    <s v="North"/>
    <s v="Punjab"/>
    <s v="Chandigarh"/>
    <x v="1"/>
    <x v="6"/>
    <s v="CUST1291"/>
    <s v="SP_07"/>
    <n v="7"/>
    <n v="3171.59"/>
    <n v="22201.13"/>
    <n v="17461.810000000001"/>
    <n v="4739.32"/>
    <s v="Net Banking"/>
  </r>
  <r>
    <s v="ORD103172"/>
    <s v="2025-01-17"/>
    <x v="9"/>
    <s v="North"/>
    <s v="Punjab"/>
    <s v="Chandigarh"/>
    <x v="1"/>
    <x v="1"/>
    <s v="CUST1025"/>
    <s v="SP_05"/>
    <n v="8"/>
    <n v="2725.85"/>
    <n v="21806.799999999999"/>
    <n v="14602.67"/>
    <n v="7204.13"/>
    <s v="Debit Card"/>
  </r>
  <r>
    <s v="ORD103173"/>
    <s v="2025-02-14"/>
    <x v="8"/>
    <s v="South"/>
    <s v="Tamil Nadu"/>
    <s v="Chennai"/>
    <x v="1"/>
    <x v="1"/>
    <s v="CUST1290"/>
    <s v="SP_06"/>
    <n v="2"/>
    <n v="3024.24"/>
    <n v="6048.48"/>
    <n v="3912.23"/>
    <n v="2136.25"/>
    <s v="Net Banking"/>
  </r>
  <r>
    <s v="ORD103174"/>
    <s v="2025-02-06"/>
    <x v="8"/>
    <s v="South"/>
    <s v="Karnataka"/>
    <s v="Bengaluru"/>
    <x v="0"/>
    <x v="0"/>
    <s v="CUST1979"/>
    <s v="SP_12"/>
    <n v="3"/>
    <n v="3220.14"/>
    <n v="9660.42"/>
    <n v="6417.61"/>
    <n v="3242.81"/>
    <s v="Cash"/>
  </r>
  <r>
    <s v="ORD103175"/>
    <s v="2025-01-03"/>
    <x v="9"/>
    <s v="North"/>
    <s v="Uttar Pradesh"/>
    <s v="Lucknow"/>
    <x v="2"/>
    <x v="2"/>
    <s v="CUST1956"/>
    <s v="SP_09"/>
    <n v="4"/>
    <n v="48217.98"/>
    <n v="192871.92"/>
    <n v="137419.92000000001"/>
    <n v="55452"/>
    <s v="Credit Card"/>
  </r>
  <r>
    <s v="ORD103176"/>
    <s v="2025-10-30"/>
    <x v="1"/>
    <s v="East"/>
    <s v="Bihar"/>
    <s v="Patna"/>
    <x v="0"/>
    <x v="8"/>
    <s v="CUST1958"/>
    <s v="SP_14"/>
    <n v="2"/>
    <n v="22105.25"/>
    <n v="44210.5"/>
    <n v="33817.86"/>
    <n v="10392.64"/>
    <s v="Credit Card"/>
  </r>
  <r>
    <s v="ORD103177"/>
    <s v="2025-10-17"/>
    <x v="1"/>
    <s v="South"/>
    <s v="Tamil Nadu"/>
    <s v="Chennai"/>
    <x v="3"/>
    <x v="3"/>
    <s v="CUST1086"/>
    <s v="SP_05"/>
    <n v="2"/>
    <n v="25.55"/>
    <n v="51.1"/>
    <n v="19.62"/>
    <n v="31.48"/>
    <s v="Debit Card"/>
  </r>
  <r>
    <s v="ORD103178"/>
    <s v="2025-08-10"/>
    <x v="11"/>
    <s v="West"/>
    <s v="Maharashtra"/>
    <s v="Mumbai"/>
    <x v="2"/>
    <x v="2"/>
    <s v="CUST1383"/>
    <s v="SP_15"/>
    <n v="5"/>
    <n v="44007.32"/>
    <n v="220036.6"/>
    <n v="169376.41"/>
    <n v="50660.19"/>
    <s v="Net Banking"/>
  </r>
  <r>
    <s v="ORD103179"/>
    <s v="2025-03-29"/>
    <x v="4"/>
    <s v="North"/>
    <s v="Punjab"/>
    <s v="Chandigarh"/>
    <x v="3"/>
    <x v="7"/>
    <s v="CUST1591"/>
    <s v="SP_14"/>
    <n v="1"/>
    <n v="11751.84"/>
    <n v="11751.84"/>
    <n v="8686.7199999999993"/>
    <n v="3065.12"/>
    <s v="UPI"/>
  </r>
  <r>
    <s v="ORD103180"/>
    <s v="2025-09-11"/>
    <x v="5"/>
    <s v="West"/>
    <s v="Gujarat"/>
    <s v="Ahmedabad"/>
    <x v="2"/>
    <x v="10"/>
    <s v="CUST1634"/>
    <s v="SP_05"/>
    <n v="4"/>
    <n v="19289.11"/>
    <n v="77156.44"/>
    <n v="56603.86"/>
    <n v="20552.580000000002"/>
    <s v="Net Banking"/>
  </r>
  <r>
    <s v="ORD103181"/>
    <s v="2025-04-01"/>
    <x v="0"/>
    <s v="West"/>
    <s v="Maharashtra"/>
    <s v="Mumbai"/>
    <x v="3"/>
    <x v="7"/>
    <s v="CUST1786"/>
    <s v="SP_05"/>
    <n v="1"/>
    <n v="11746.6"/>
    <n v="11746.6"/>
    <n v="8960.65"/>
    <n v="2785.95"/>
    <s v="Debit Card"/>
  </r>
  <r>
    <s v="ORD103182"/>
    <s v="2025-08-03"/>
    <x v="11"/>
    <s v="West"/>
    <s v="Maharashtra"/>
    <s v="Mumbai"/>
    <x v="0"/>
    <x v="9"/>
    <s v="CUST1393"/>
    <s v="SP_14"/>
    <n v="7"/>
    <n v="6636.58"/>
    <n v="46456.06"/>
    <n v="34588.870000000003"/>
    <n v="11867.19"/>
    <s v="Cash"/>
  </r>
  <r>
    <s v="ORD103183"/>
    <s v="2025-10-08"/>
    <x v="1"/>
    <s v="West"/>
    <s v="Gujarat"/>
    <s v="Ahmedabad"/>
    <x v="2"/>
    <x v="10"/>
    <s v="CUST1921"/>
    <s v="SP_10"/>
    <n v="8"/>
    <n v="16966"/>
    <n v="135728"/>
    <n v="109098.93"/>
    <n v="26629.07"/>
    <s v="Debit Card"/>
  </r>
  <r>
    <s v="ORD103184"/>
    <s v="2025-07-08"/>
    <x v="6"/>
    <s v="North"/>
    <s v="Punjab"/>
    <s v="Chandigarh"/>
    <x v="0"/>
    <x v="0"/>
    <s v="CUST1199"/>
    <s v="SP_04"/>
    <n v="3"/>
    <n v="3430.38"/>
    <n v="10291.14"/>
    <n v="6334.55"/>
    <n v="3956.59"/>
    <s v="Debit Card"/>
  </r>
  <r>
    <s v="ORD103185"/>
    <s v="2025-09-15"/>
    <x v="5"/>
    <s v="West"/>
    <s v="Rajasthan"/>
    <s v="Jaipur"/>
    <x v="1"/>
    <x v="6"/>
    <s v="CUST1029"/>
    <s v="SP_03"/>
    <n v="3"/>
    <n v="3444.75"/>
    <n v="10334.25"/>
    <n v="7401.95"/>
    <n v="2932.3"/>
    <s v="Net Banking"/>
  </r>
  <r>
    <s v="ORD103186"/>
    <s v="2025-03-06"/>
    <x v="4"/>
    <s v="North"/>
    <s v="Uttar Pradesh"/>
    <s v="Lucknow"/>
    <x v="1"/>
    <x v="6"/>
    <s v="CUST1342"/>
    <s v="SP_08"/>
    <n v="5"/>
    <n v="3402.23"/>
    <n v="17011.150000000001"/>
    <n v="11630.65"/>
    <n v="5380.5"/>
    <s v="UPI"/>
  </r>
  <r>
    <s v="ORD103187"/>
    <s v="2025-10-08"/>
    <x v="1"/>
    <s v="East"/>
    <s v="Bihar"/>
    <s v="Patna"/>
    <x v="1"/>
    <x v="6"/>
    <s v="CUST1423"/>
    <s v="SP_04"/>
    <n v="3"/>
    <n v="3252.95"/>
    <n v="9758.85"/>
    <n v="7400.39"/>
    <n v="2358.46"/>
    <s v="UPI"/>
  </r>
  <r>
    <s v="ORD103188"/>
    <s v="2025-05-28"/>
    <x v="3"/>
    <s v="North"/>
    <s v="Uttar Pradesh"/>
    <s v="Lucknow"/>
    <x v="3"/>
    <x v="11"/>
    <s v="CUST1397"/>
    <s v="SP_05"/>
    <n v="4"/>
    <n v="109.47"/>
    <n v="437.88"/>
    <n v="234.19"/>
    <n v="203.69"/>
    <s v="Net Banking"/>
  </r>
  <r>
    <s v="ORD103189"/>
    <s v="2025-12-26"/>
    <x v="7"/>
    <s v="North"/>
    <s v="Uttar Pradesh"/>
    <s v="Lucknow"/>
    <x v="0"/>
    <x v="8"/>
    <s v="CUST1767"/>
    <s v="SP_04"/>
    <n v="7"/>
    <n v="21553.96"/>
    <n v="150877.72"/>
    <n v="117226.92"/>
    <n v="33650.800000000003"/>
    <s v="Net Banking"/>
  </r>
  <r>
    <s v="ORD103190"/>
    <s v="2025-06-20"/>
    <x v="2"/>
    <s v="North"/>
    <s v="Punjab"/>
    <s v="Chandigarh"/>
    <x v="1"/>
    <x v="6"/>
    <s v="CUST1235"/>
    <s v="SP_11"/>
    <n v="8"/>
    <n v="2959.11"/>
    <n v="23672.880000000001"/>
    <n v="20003.54"/>
    <n v="3669.34"/>
    <s v="Net Banking"/>
  </r>
  <r>
    <s v="ORD103191"/>
    <s v="2025-10-13"/>
    <x v="1"/>
    <s v="South"/>
    <s v="Karnataka"/>
    <s v="Bengaluru"/>
    <x v="0"/>
    <x v="9"/>
    <s v="CUST1931"/>
    <s v="SP_14"/>
    <n v="3"/>
    <n v="6886.7"/>
    <n v="20660.099999999999"/>
    <n v="14777.56"/>
    <n v="5882.54"/>
    <s v="Credit Card"/>
  </r>
  <r>
    <s v="ORD103192"/>
    <s v="2025-08-04"/>
    <x v="11"/>
    <s v="East"/>
    <s v="Bihar"/>
    <s v="Patna"/>
    <x v="3"/>
    <x v="3"/>
    <s v="CUST1498"/>
    <s v="SP_10"/>
    <n v="2"/>
    <n v="23.68"/>
    <n v="47.36"/>
    <n v="20.74"/>
    <n v="26.62"/>
    <s v="Net Banking"/>
  </r>
  <r>
    <s v="ORD103193"/>
    <s v="2025-06-24"/>
    <x v="2"/>
    <s v="East"/>
    <s v="West Bengal"/>
    <s v="Kolkata"/>
    <x v="2"/>
    <x v="10"/>
    <s v="CUST1666"/>
    <s v="SP_05"/>
    <n v="4"/>
    <n v="17908.330000000002"/>
    <n v="71633.320000000007"/>
    <n v="53922.64"/>
    <n v="17710.68"/>
    <s v="Net Banking"/>
  </r>
  <r>
    <s v="ORD103194"/>
    <s v="2025-06-24"/>
    <x v="2"/>
    <s v="East"/>
    <s v="Bihar"/>
    <s v="Patna"/>
    <x v="2"/>
    <x v="4"/>
    <s v="CUST1958"/>
    <s v="SP_05"/>
    <n v="3"/>
    <n v="2380.0100000000002"/>
    <n v="7140.03"/>
    <n v="4635.8100000000004"/>
    <n v="2504.2199999999998"/>
    <s v="Net Banking"/>
  </r>
  <r>
    <s v="ORD103195"/>
    <s v="2025-01-03"/>
    <x v="9"/>
    <s v="South"/>
    <s v="Karnataka"/>
    <s v="Bengaluru"/>
    <x v="1"/>
    <x v="6"/>
    <s v="CUST1065"/>
    <s v="SP_15"/>
    <n v="2"/>
    <n v="3221.81"/>
    <n v="6443.62"/>
    <n v="4633.1499999999996"/>
    <n v="1810.47"/>
    <s v="Net Banking"/>
  </r>
  <r>
    <s v="ORD103196"/>
    <s v="2025-08-28"/>
    <x v="11"/>
    <s v="West"/>
    <s v="Rajasthan"/>
    <s v="Jaipur"/>
    <x v="2"/>
    <x v="4"/>
    <s v="CUST1044"/>
    <s v="SP_08"/>
    <n v="4"/>
    <n v="2362.61"/>
    <n v="9450.44"/>
    <n v="6685.46"/>
    <n v="2764.98"/>
    <s v="Credit Card"/>
  </r>
  <r>
    <s v="ORD103197"/>
    <s v="2025-12-29"/>
    <x v="7"/>
    <s v="South"/>
    <s v="Karnataka"/>
    <s v="Bengaluru"/>
    <x v="2"/>
    <x v="2"/>
    <s v="CUST1794"/>
    <s v="SP_07"/>
    <n v="2"/>
    <n v="47090.74"/>
    <n v="94181.48"/>
    <n v="67399.66"/>
    <n v="26781.82"/>
    <s v="Net Banking"/>
  </r>
  <r>
    <s v="ORD103198"/>
    <s v="2025-11-21"/>
    <x v="10"/>
    <s v="East"/>
    <s v="West Bengal"/>
    <s v="Kolkata"/>
    <x v="3"/>
    <x v="11"/>
    <s v="CUST1104"/>
    <s v="SP_12"/>
    <n v="4"/>
    <n v="130.53"/>
    <n v="522.12"/>
    <n v="251.98"/>
    <n v="270.14"/>
    <s v="Debit Card"/>
  </r>
  <r>
    <s v="ORD103199"/>
    <s v="2025-08-09"/>
    <x v="11"/>
    <s v="North"/>
    <s v="Uttar Pradesh"/>
    <s v="Lucknow"/>
    <x v="1"/>
    <x v="6"/>
    <s v="CUST1061"/>
    <s v="SP_15"/>
    <n v="7"/>
    <n v="3315.35"/>
    <n v="23207.45"/>
    <n v="16408.939999999999"/>
    <n v="6798.51"/>
    <s v="Net Banking"/>
  </r>
  <r>
    <s v="ORD103200"/>
    <s v="2025-11-21"/>
    <x v="10"/>
    <s v="South"/>
    <s v="Karnataka"/>
    <s v="Bengaluru"/>
    <x v="2"/>
    <x v="4"/>
    <s v="CUST1971"/>
    <s v="SP_13"/>
    <n v="6"/>
    <n v="2337.19"/>
    <n v="14023.14"/>
    <n v="9574.36"/>
    <n v="4448.78"/>
    <s v="Credit Card"/>
  </r>
  <r>
    <s v="ORD103201"/>
    <s v="2025-01-19"/>
    <x v="9"/>
    <s v="West"/>
    <s v="Gujarat"/>
    <s v="Ahmedabad"/>
    <x v="3"/>
    <x v="11"/>
    <s v="CUST1090"/>
    <s v="SP_08"/>
    <n v="1"/>
    <n v="121.41"/>
    <n v="121.41"/>
    <n v="59.4"/>
    <n v="62.01"/>
    <s v="UPI"/>
  </r>
  <r>
    <s v="ORD103202"/>
    <s v="2025-07-27"/>
    <x v="6"/>
    <s v="East"/>
    <s v="Bihar"/>
    <s v="Patna"/>
    <x v="1"/>
    <x v="5"/>
    <s v="CUST1881"/>
    <s v="SP_09"/>
    <n v="8"/>
    <n v="9172.52"/>
    <n v="73380.160000000003"/>
    <n v="62759.27"/>
    <n v="10620.89"/>
    <s v="Debit Card"/>
  </r>
  <r>
    <s v="ORD103203"/>
    <s v="2025-06-19"/>
    <x v="2"/>
    <s v="South"/>
    <s v="Telangana"/>
    <s v="Hyderabad"/>
    <x v="1"/>
    <x v="1"/>
    <s v="CUST1531"/>
    <s v="SP_09"/>
    <n v="1"/>
    <n v="3061.85"/>
    <n v="3061.85"/>
    <n v="1926.57"/>
    <n v="1135.28"/>
    <s v="Debit Card"/>
  </r>
  <r>
    <s v="ORD103204"/>
    <s v="2025-12-11"/>
    <x v="7"/>
    <s v="North"/>
    <s v="Delhi"/>
    <s v="Delhi"/>
    <x v="2"/>
    <x v="10"/>
    <s v="CUST1054"/>
    <s v="SP_14"/>
    <n v="6"/>
    <n v="18930.509999999998"/>
    <n v="113583.06"/>
    <n v="81454.759999999995"/>
    <n v="32128.3"/>
    <s v="Cash"/>
  </r>
  <r>
    <s v="ORD103205"/>
    <s v="2025-10-18"/>
    <x v="1"/>
    <s v="South"/>
    <s v="Tamil Nadu"/>
    <s v="Chennai"/>
    <x v="0"/>
    <x v="9"/>
    <s v="CUST1517"/>
    <s v="SP_14"/>
    <n v="6"/>
    <n v="7121.76"/>
    <n v="42730.559999999998"/>
    <n v="31044.080000000002"/>
    <n v="11686.48"/>
    <s v="Net Banking"/>
  </r>
  <r>
    <s v="ORD103206"/>
    <s v="2025-09-21"/>
    <x v="5"/>
    <s v="West"/>
    <s v="Maharashtra"/>
    <s v="Mumbai"/>
    <x v="3"/>
    <x v="11"/>
    <s v="CUST1416"/>
    <s v="SP_15"/>
    <n v="4"/>
    <n v="115.65"/>
    <n v="462.6"/>
    <n v="250.19"/>
    <n v="212.41"/>
    <s v="Credit Card"/>
  </r>
  <r>
    <s v="ORD103207"/>
    <s v="2025-08-29"/>
    <x v="11"/>
    <s v="West"/>
    <s v="Gujarat"/>
    <s v="Ahmedabad"/>
    <x v="1"/>
    <x v="5"/>
    <s v="CUST1706"/>
    <s v="SP_10"/>
    <n v="5"/>
    <n v="9441.24"/>
    <n v="47206.2"/>
    <n v="36779.760000000002"/>
    <n v="10426.44"/>
    <s v="Net Banking"/>
  </r>
  <r>
    <s v="ORD103208"/>
    <s v="2025-01-05"/>
    <x v="9"/>
    <s v="North"/>
    <s v="Uttar Pradesh"/>
    <s v="Lucknow"/>
    <x v="2"/>
    <x v="10"/>
    <s v="CUST1212"/>
    <s v="SP_03"/>
    <n v="2"/>
    <n v="17942.77"/>
    <n v="35885.54"/>
    <n v="26634.31"/>
    <n v="9251.23"/>
    <s v="UPI"/>
  </r>
  <r>
    <s v="ORD103209"/>
    <s v="2025-04-13"/>
    <x v="0"/>
    <s v="South"/>
    <s v="Tamil Nadu"/>
    <s v="Chennai"/>
    <x v="3"/>
    <x v="7"/>
    <s v="CUST1204"/>
    <s v="SP_05"/>
    <n v="7"/>
    <n v="12288"/>
    <n v="86016"/>
    <n v="60749.5"/>
    <n v="25266.5"/>
    <s v="Cash"/>
  </r>
  <r>
    <s v="ORD103210"/>
    <s v="2025-05-08"/>
    <x v="3"/>
    <s v="East"/>
    <s v="Bihar"/>
    <s v="Patna"/>
    <x v="3"/>
    <x v="11"/>
    <s v="CUST1572"/>
    <s v="SP_08"/>
    <n v="4"/>
    <n v="110.31"/>
    <n v="441.24"/>
    <n v="233"/>
    <n v="208.24"/>
    <s v="Credit Card"/>
  </r>
  <r>
    <s v="ORD103211"/>
    <s v="2025-06-10"/>
    <x v="2"/>
    <s v="West"/>
    <s v="Maharashtra"/>
    <s v="Mumbai"/>
    <x v="1"/>
    <x v="1"/>
    <s v="CUST1988"/>
    <s v="SP_05"/>
    <n v="1"/>
    <n v="2686.67"/>
    <n v="2686.67"/>
    <n v="1828.53"/>
    <n v="858.14"/>
    <s v="Debit Card"/>
  </r>
  <r>
    <s v="ORD103212"/>
    <s v="2025-10-29"/>
    <x v="1"/>
    <s v="South"/>
    <s v="Telangana"/>
    <s v="Hyderabad"/>
    <x v="2"/>
    <x v="4"/>
    <s v="CUST1474"/>
    <s v="SP_09"/>
    <n v="7"/>
    <n v="2379"/>
    <n v="16653"/>
    <n v="11682.03"/>
    <n v="4970.97"/>
    <s v="Debit Card"/>
  </r>
  <r>
    <s v="ORD103213"/>
    <s v="2025-10-05"/>
    <x v="1"/>
    <s v="South"/>
    <s v="Karnataka"/>
    <s v="Bengaluru"/>
    <x v="1"/>
    <x v="6"/>
    <s v="CUST1040"/>
    <s v="SP_08"/>
    <n v="7"/>
    <n v="3151.25"/>
    <n v="22058.75"/>
    <n v="16448.060000000001"/>
    <n v="5610.69"/>
    <s v="Net Banking"/>
  </r>
  <r>
    <s v="ORD103214"/>
    <s v="2025-01-17"/>
    <x v="9"/>
    <s v="South"/>
    <s v="Tamil Nadu"/>
    <s v="Chennai"/>
    <x v="3"/>
    <x v="11"/>
    <s v="CUST1901"/>
    <s v="SP_07"/>
    <n v="7"/>
    <n v="123.1"/>
    <n v="861.7"/>
    <n v="400.14"/>
    <n v="461.56"/>
    <s v="Credit Card"/>
  </r>
  <r>
    <s v="ORD103215"/>
    <s v="2025-02-22"/>
    <x v="8"/>
    <s v="East"/>
    <s v="Bihar"/>
    <s v="Patna"/>
    <x v="2"/>
    <x v="4"/>
    <s v="CUST1083"/>
    <s v="SP_13"/>
    <n v="1"/>
    <n v="2289.79"/>
    <n v="2289.79"/>
    <n v="1578.86"/>
    <n v="710.93"/>
    <s v="UPI"/>
  </r>
  <r>
    <s v="ORD103216"/>
    <s v="2025-08-25"/>
    <x v="11"/>
    <s v="East"/>
    <s v="Odisha"/>
    <s v="Bhubaneswar"/>
    <x v="3"/>
    <x v="3"/>
    <s v="CUST1031"/>
    <s v="SP_02"/>
    <n v="7"/>
    <n v="26.1"/>
    <n v="182.7"/>
    <n v="68.87"/>
    <n v="113.83"/>
    <s v="Cash"/>
  </r>
  <r>
    <s v="ORD103217"/>
    <s v="2025-07-31"/>
    <x v="6"/>
    <s v="East"/>
    <s v="West Bengal"/>
    <s v="Kolkata"/>
    <x v="0"/>
    <x v="9"/>
    <s v="CUST1711"/>
    <s v="SP_12"/>
    <n v="4"/>
    <n v="7122.99"/>
    <n v="28491.96"/>
    <n v="19301.5"/>
    <n v="9190.4599999999991"/>
    <s v="UPI"/>
  </r>
  <r>
    <s v="ORD103218"/>
    <s v="2025-12-29"/>
    <x v="7"/>
    <s v="East"/>
    <s v="Odisha"/>
    <s v="Bhubaneswar"/>
    <x v="1"/>
    <x v="5"/>
    <s v="CUST1990"/>
    <s v="SP_10"/>
    <n v="5"/>
    <n v="10421.049999999999"/>
    <n v="52105.25"/>
    <n v="38224.589999999997"/>
    <n v="13880.66"/>
    <s v="Net Banking"/>
  </r>
  <r>
    <s v="ORD103219"/>
    <s v="2025-02-10"/>
    <x v="8"/>
    <s v="East"/>
    <s v="Bihar"/>
    <s v="Patna"/>
    <x v="3"/>
    <x v="11"/>
    <s v="CUST1832"/>
    <s v="SP_09"/>
    <n v="1"/>
    <n v="108.99"/>
    <n v="108.99"/>
    <n v="59.59"/>
    <n v="49.4"/>
    <s v="Cash"/>
  </r>
  <r>
    <s v="ORD103220"/>
    <s v="2025-02-23"/>
    <x v="8"/>
    <s v="East"/>
    <s v="Odisha"/>
    <s v="Bhubaneswar"/>
    <x v="3"/>
    <x v="11"/>
    <s v="CUST1089"/>
    <s v="SP_04"/>
    <n v="5"/>
    <n v="123.63"/>
    <n v="618.15"/>
    <n v="292.11"/>
    <n v="326.04000000000002"/>
    <s v="Net Banking"/>
  </r>
  <r>
    <s v="ORD103221"/>
    <s v="2025-02-14"/>
    <x v="8"/>
    <s v="South"/>
    <s v="Telangana"/>
    <s v="Hyderabad"/>
    <x v="1"/>
    <x v="5"/>
    <s v="CUST1798"/>
    <s v="SP_11"/>
    <n v="1"/>
    <n v="9842.4699999999993"/>
    <n v="9842.4699999999993"/>
    <n v="7359.63"/>
    <n v="2482.84"/>
    <s v="Net Banking"/>
  </r>
  <r>
    <s v="ORD103222"/>
    <s v="2025-12-14"/>
    <x v="7"/>
    <s v="South"/>
    <s v="Tamil Nadu"/>
    <s v="Chennai"/>
    <x v="3"/>
    <x v="11"/>
    <s v="CUST1103"/>
    <s v="SP_08"/>
    <n v="1"/>
    <n v="121.83"/>
    <n v="121.83"/>
    <n v="62.39"/>
    <n v="59.44"/>
    <s v="Debit Card"/>
  </r>
  <r>
    <s v="ORD103223"/>
    <s v="2025-08-21"/>
    <x v="11"/>
    <s v="South"/>
    <s v="Telangana"/>
    <s v="Hyderabad"/>
    <x v="2"/>
    <x v="2"/>
    <s v="CUST1263"/>
    <s v="SP_06"/>
    <n v="7"/>
    <n v="46875.41"/>
    <n v="328127.87"/>
    <n v="246395.45"/>
    <n v="81732.42"/>
    <s v="UPI"/>
  </r>
  <r>
    <s v="ORD103224"/>
    <s v="2025-11-19"/>
    <x v="10"/>
    <s v="West"/>
    <s v="Maharashtra"/>
    <s v="Mumbai"/>
    <x v="0"/>
    <x v="9"/>
    <s v="CUST1263"/>
    <s v="SP_02"/>
    <n v="4"/>
    <n v="7205.84"/>
    <n v="28823.360000000001"/>
    <n v="19348.349999999999"/>
    <n v="9475.01"/>
    <s v="UPI"/>
  </r>
  <r>
    <s v="ORD103225"/>
    <s v="2025-05-14"/>
    <x v="3"/>
    <s v="West"/>
    <s v="Maharashtra"/>
    <s v="Mumbai"/>
    <x v="3"/>
    <x v="7"/>
    <s v="CUST1741"/>
    <s v="SP_03"/>
    <n v="1"/>
    <n v="11390.32"/>
    <n v="11390.32"/>
    <n v="9124.9"/>
    <n v="2265.42"/>
    <s v="Net Banking"/>
  </r>
  <r>
    <s v="ORD103226"/>
    <s v="2025-12-16"/>
    <x v="7"/>
    <s v="East"/>
    <s v="West Bengal"/>
    <s v="Kolkata"/>
    <x v="1"/>
    <x v="5"/>
    <s v="CUST1907"/>
    <s v="SP_07"/>
    <n v="7"/>
    <n v="8669.76"/>
    <n v="60688.32"/>
    <n v="51641.21"/>
    <n v="9047.11"/>
    <s v="Debit Card"/>
  </r>
  <r>
    <s v="ORD103227"/>
    <s v="2025-10-26"/>
    <x v="1"/>
    <s v="South"/>
    <s v="Karnataka"/>
    <s v="Bengaluru"/>
    <x v="3"/>
    <x v="11"/>
    <s v="CUST1242"/>
    <s v="SP_15"/>
    <n v="1"/>
    <n v="129.16999999999999"/>
    <n v="129.16999999999999"/>
    <n v="59.9"/>
    <n v="69.27"/>
    <s v="Net Banking"/>
  </r>
  <r>
    <s v="ORD103228"/>
    <s v="2025-03-29"/>
    <x v="4"/>
    <s v="North"/>
    <s v="Punjab"/>
    <s v="Chandigarh"/>
    <x v="0"/>
    <x v="8"/>
    <s v="CUST1953"/>
    <s v="SP_01"/>
    <n v="4"/>
    <n v="22499.4"/>
    <n v="89997.6"/>
    <n v="67466.41"/>
    <n v="22531.19"/>
    <s v="UPI"/>
  </r>
  <r>
    <s v="ORD103229"/>
    <s v="2025-07-06"/>
    <x v="6"/>
    <s v="South"/>
    <s v="Tamil Nadu"/>
    <s v="Chennai"/>
    <x v="2"/>
    <x v="10"/>
    <s v="CUST1290"/>
    <s v="SP_13"/>
    <n v="3"/>
    <n v="18003.259999999998"/>
    <n v="54009.78"/>
    <n v="40392.160000000003"/>
    <n v="13617.62"/>
    <s v="Credit Card"/>
  </r>
  <r>
    <s v="ORD103230"/>
    <s v="2025-07-30"/>
    <x v="6"/>
    <s v="North"/>
    <s v="Punjab"/>
    <s v="Chandigarh"/>
    <x v="3"/>
    <x v="3"/>
    <s v="CUST1480"/>
    <s v="SP_03"/>
    <n v="8"/>
    <n v="25.84"/>
    <n v="206.72"/>
    <n v="83.05"/>
    <n v="123.67"/>
    <s v="Debit Card"/>
  </r>
  <r>
    <s v="ORD103231"/>
    <s v="2025-11-19"/>
    <x v="10"/>
    <s v="South"/>
    <s v="Telangana"/>
    <s v="Hyderabad"/>
    <x v="1"/>
    <x v="5"/>
    <s v="CUST1653"/>
    <s v="SP_01"/>
    <n v="7"/>
    <n v="10071.530000000001"/>
    <n v="70500.710000000006"/>
    <n v="51666.48"/>
    <n v="18834.23"/>
    <s v="Debit Card"/>
  </r>
  <r>
    <s v="ORD103232"/>
    <s v="2025-12-09"/>
    <x v="7"/>
    <s v="South"/>
    <s v="Karnataka"/>
    <s v="Bengaluru"/>
    <x v="2"/>
    <x v="2"/>
    <s v="CUST1683"/>
    <s v="SP_09"/>
    <n v="1"/>
    <n v="45300.75"/>
    <n v="45300.75"/>
    <n v="35319.06"/>
    <n v="9981.69"/>
    <s v="Credit Card"/>
  </r>
  <r>
    <s v="ORD103233"/>
    <s v="2025-02-15"/>
    <x v="8"/>
    <s v="West"/>
    <s v="Rajasthan"/>
    <s v="Jaipur"/>
    <x v="3"/>
    <x v="3"/>
    <s v="CUST1340"/>
    <s v="SP_09"/>
    <n v="8"/>
    <n v="22.56"/>
    <n v="180.48"/>
    <n v="81.069999999999993"/>
    <n v="99.41"/>
    <s v="Credit Card"/>
  </r>
  <r>
    <s v="ORD103234"/>
    <s v="2025-12-03"/>
    <x v="7"/>
    <s v="East"/>
    <s v="Odisha"/>
    <s v="Bhubaneswar"/>
    <x v="2"/>
    <x v="10"/>
    <s v="CUST1914"/>
    <s v="SP_04"/>
    <n v="6"/>
    <n v="19000.23"/>
    <n v="114001.38"/>
    <n v="83105.67"/>
    <n v="30895.71"/>
    <s v="UPI"/>
  </r>
  <r>
    <s v="ORD103235"/>
    <s v="2025-11-26"/>
    <x v="10"/>
    <s v="West"/>
    <s v="Gujarat"/>
    <s v="Ahmedabad"/>
    <x v="3"/>
    <x v="7"/>
    <s v="CUST1151"/>
    <s v="SP_02"/>
    <n v="2"/>
    <n v="12959.48"/>
    <n v="25918.959999999999"/>
    <n v="18121.18"/>
    <n v="7797.78"/>
    <s v="Cash"/>
  </r>
  <r>
    <s v="ORD103236"/>
    <s v="2025-09-05"/>
    <x v="5"/>
    <s v="East"/>
    <s v="Odisha"/>
    <s v="Bhubaneswar"/>
    <x v="0"/>
    <x v="0"/>
    <s v="CUST1346"/>
    <s v="SP_15"/>
    <n v="4"/>
    <n v="3597.86"/>
    <n v="14391.44"/>
    <n v="8801.75"/>
    <n v="5589.69"/>
    <s v="Cash"/>
  </r>
  <r>
    <s v="ORD103237"/>
    <s v="2025-10-07"/>
    <x v="1"/>
    <s v="South"/>
    <s v="Karnataka"/>
    <s v="Bengaluru"/>
    <x v="1"/>
    <x v="5"/>
    <s v="CUST1202"/>
    <s v="SP_08"/>
    <n v="2"/>
    <n v="8930.73"/>
    <n v="17861.46"/>
    <n v="14762.95"/>
    <n v="3098.51"/>
    <s v="Debit Card"/>
  </r>
  <r>
    <s v="ORD103238"/>
    <s v="2025-12-07"/>
    <x v="7"/>
    <s v="West"/>
    <s v="Maharashtra"/>
    <s v="Mumbai"/>
    <x v="0"/>
    <x v="0"/>
    <s v="CUST1277"/>
    <s v="SP_11"/>
    <n v="8"/>
    <n v="3249.03"/>
    <n v="25992.240000000002"/>
    <n v="17633.02"/>
    <n v="8359.2199999999993"/>
    <s v="Net Banking"/>
  </r>
  <r>
    <s v="ORD103239"/>
    <s v="2025-02-03"/>
    <x v="8"/>
    <s v="East"/>
    <s v="West Bengal"/>
    <s v="Kolkata"/>
    <x v="3"/>
    <x v="7"/>
    <s v="CUST1732"/>
    <s v="SP_05"/>
    <n v="1"/>
    <n v="11300.92"/>
    <n v="11300.92"/>
    <n v="8829.84"/>
    <n v="2471.08"/>
    <s v="Debit Card"/>
  </r>
  <r>
    <s v="ORD103240"/>
    <s v="2025-11-10"/>
    <x v="10"/>
    <s v="North"/>
    <s v="Punjab"/>
    <s v="Chandigarh"/>
    <x v="2"/>
    <x v="4"/>
    <s v="CUST1413"/>
    <s v="SP_14"/>
    <n v="3"/>
    <n v="2497.3200000000002"/>
    <n v="7491.96"/>
    <n v="5038.37"/>
    <n v="2453.59"/>
    <s v="UPI"/>
  </r>
  <r>
    <s v="ORD103241"/>
    <s v="2025-05-16"/>
    <x v="3"/>
    <s v="North"/>
    <s v="Delhi"/>
    <s v="Delhi"/>
    <x v="1"/>
    <x v="1"/>
    <s v="CUST1528"/>
    <s v="SP_13"/>
    <n v="1"/>
    <n v="2817.96"/>
    <n v="2817.96"/>
    <n v="1901.77"/>
    <n v="916.19"/>
    <s v="Net Banking"/>
  </r>
  <r>
    <s v="ORD103242"/>
    <s v="2025-05-09"/>
    <x v="3"/>
    <s v="North"/>
    <s v="Uttar Pradesh"/>
    <s v="Lucknow"/>
    <x v="2"/>
    <x v="4"/>
    <s v="CUST1886"/>
    <s v="SP_08"/>
    <n v="6"/>
    <n v="2743.08"/>
    <n v="16458.48"/>
    <n v="9121.93"/>
    <n v="7336.55"/>
    <s v="UPI"/>
  </r>
  <r>
    <s v="ORD103243"/>
    <s v="2025-09-08"/>
    <x v="5"/>
    <s v="East"/>
    <s v="Odisha"/>
    <s v="Bhubaneswar"/>
    <x v="1"/>
    <x v="1"/>
    <s v="CUST1679"/>
    <s v="SP_07"/>
    <n v="1"/>
    <n v="3075.84"/>
    <n v="3075.84"/>
    <n v="1863.79"/>
    <n v="1212.05"/>
    <s v="Credit Card"/>
  </r>
  <r>
    <s v="ORD103244"/>
    <s v="2025-07-24"/>
    <x v="6"/>
    <s v="West"/>
    <s v="Maharashtra"/>
    <s v="Mumbai"/>
    <x v="2"/>
    <x v="2"/>
    <s v="CUST1735"/>
    <s v="SP_14"/>
    <n v="3"/>
    <n v="42308.14"/>
    <n v="126924.42"/>
    <n v="105672.62"/>
    <n v="21251.8"/>
    <s v="Credit Card"/>
  </r>
  <r>
    <s v="ORD103245"/>
    <s v="2025-11-16"/>
    <x v="10"/>
    <s v="South"/>
    <s v="Tamil Nadu"/>
    <s v="Chennai"/>
    <x v="3"/>
    <x v="7"/>
    <s v="CUST1223"/>
    <s v="SP_04"/>
    <n v="5"/>
    <n v="11493.79"/>
    <n v="57468.95"/>
    <n v="44459.519999999997"/>
    <n v="13009.43"/>
    <s v="Credit Card"/>
  </r>
  <r>
    <s v="ORD103246"/>
    <s v="2025-05-08"/>
    <x v="3"/>
    <s v="West"/>
    <s v="Rajasthan"/>
    <s v="Jaipur"/>
    <x v="0"/>
    <x v="8"/>
    <s v="CUST1687"/>
    <s v="SP_10"/>
    <n v="7"/>
    <n v="22107.72"/>
    <n v="154754.04"/>
    <n v="119203.37"/>
    <n v="35550.67"/>
    <s v="UPI"/>
  </r>
  <r>
    <s v="ORD103247"/>
    <s v="2025-07-18"/>
    <x v="6"/>
    <s v="South"/>
    <s v="Telangana"/>
    <s v="Hyderabad"/>
    <x v="2"/>
    <x v="10"/>
    <s v="CUST1997"/>
    <s v="SP_12"/>
    <n v="1"/>
    <n v="16382.47"/>
    <n v="16382.47"/>
    <n v="13699.1"/>
    <n v="2683.37"/>
    <s v="Credit Card"/>
  </r>
  <r>
    <s v="ORD103248"/>
    <s v="2025-10-13"/>
    <x v="1"/>
    <s v="East"/>
    <s v="Bihar"/>
    <s v="Patna"/>
    <x v="1"/>
    <x v="5"/>
    <s v="CUST1730"/>
    <s v="SP_07"/>
    <n v="4"/>
    <n v="10124.57"/>
    <n v="40498.28"/>
    <n v="30479.69"/>
    <n v="10018.59"/>
    <s v="Cash"/>
  </r>
  <r>
    <s v="ORD103249"/>
    <s v="2025-02-13"/>
    <x v="8"/>
    <s v="East"/>
    <s v="Bihar"/>
    <s v="Patna"/>
    <x v="2"/>
    <x v="2"/>
    <s v="CUST1429"/>
    <s v="SP_10"/>
    <n v="3"/>
    <n v="42514.57"/>
    <n v="127543.71"/>
    <n v="107650.65"/>
    <n v="19893.060000000001"/>
    <s v="Debit Card"/>
  </r>
  <r>
    <s v="ORD103250"/>
    <s v="2025-05-12"/>
    <x v="3"/>
    <s v="South"/>
    <s v="Tamil Nadu"/>
    <s v="Chennai"/>
    <x v="2"/>
    <x v="10"/>
    <s v="CUST1385"/>
    <s v="SP_03"/>
    <n v="2"/>
    <n v="18550.669999999998"/>
    <n v="37101.339999999997"/>
    <n v="28417.51"/>
    <n v="8683.83"/>
    <s v="Credit Card"/>
  </r>
  <r>
    <s v="ORD103251"/>
    <s v="2025-09-07"/>
    <x v="5"/>
    <s v="South"/>
    <s v="Karnataka"/>
    <s v="Bengaluru"/>
    <x v="0"/>
    <x v="0"/>
    <s v="CUST1811"/>
    <s v="SP_04"/>
    <n v="6"/>
    <n v="3768.94"/>
    <n v="22613.64"/>
    <n v="13789.94"/>
    <n v="8823.7000000000007"/>
    <s v="Debit Card"/>
  </r>
  <r>
    <s v="ORD103252"/>
    <s v="2025-12-11"/>
    <x v="7"/>
    <s v="West"/>
    <s v="Maharashtra"/>
    <s v="Mumbai"/>
    <x v="1"/>
    <x v="5"/>
    <s v="CUST1007"/>
    <s v="SP_06"/>
    <n v="1"/>
    <n v="8753.98"/>
    <n v="8753.98"/>
    <n v="7849.34"/>
    <n v="904.64"/>
    <s v="UPI"/>
  </r>
  <r>
    <s v="ORD103253"/>
    <s v="2025-04-23"/>
    <x v="0"/>
    <s v="East"/>
    <s v="Odisha"/>
    <s v="Bhubaneswar"/>
    <x v="0"/>
    <x v="9"/>
    <s v="CUST1753"/>
    <s v="SP_15"/>
    <n v="6"/>
    <n v="7527.4"/>
    <n v="45164.4"/>
    <n v="29495.25"/>
    <n v="15669.15"/>
    <s v="Net Banking"/>
  </r>
  <r>
    <s v="ORD103254"/>
    <s v="2025-12-06"/>
    <x v="7"/>
    <s v="West"/>
    <s v="Maharashtra"/>
    <s v="Mumbai"/>
    <x v="3"/>
    <x v="3"/>
    <s v="CUST1472"/>
    <s v="SP_06"/>
    <n v="4"/>
    <n v="23.32"/>
    <n v="93.28"/>
    <n v="41.92"/>
    <n v="51.36"/>
    <s v="Debit Card"/>
  </r>
  <r>
    <s v="ORD103255"/>
    <s v="2025-06-13"/>
    <x v="2"/>
    <s v="West"/>
    <s v="Gujarat"/>
    <s v="Ahmedabad"/>
    <x v="2"/>
    <x v="4"/>
    <s v="CUST1182"/>
    <s v="SP_10"/>
    <n v="7"/>
    <n v="2386.9"/>
    <n v="16708.3"/>
    <n v="11643.83"/>
    <n v="5064.47"/>
    <s v="Debit Card"/>
  </r>
  <r>
    <s v="ORD103256"/>
    <s v="2025-05-27"/>
    <x v="3"/>
    <s v="West"/>
    <s v="Gujarat"/>
    <s v="Ahmedabad"/>
    <x v="3"/>
    <x v="7"/>
    <s v="CUST1512"/>
    <s v="SP_07"/>
    <n v="6"/>
    <n v="13054.37"/>
    <n v="78326.22"/>
    <n v="54697.73"/>
    <n v="23628.49"/>
    <s v="Debit Card"/>
  </r>
  <r>
    <s v="ORD103257"/>
    <s v="2025-12-22"/>
    <x v="7"/>
    <s v="South"/>
    <s v="Karnataka"/>
    <s v="Bengaluru"/>
    <x v="2"/>
    <x v="10"/>
    <s v="CUST1388"/>
    <s v="SP_02"/>
    <n v="2"/>
    <n v="18591.23"/>
    <n v="37182.46"/>
    <n v="29220.959999999999"/>
    <n v="7961.5"/>
    <s v="Credit Card"/>
  </r>
  <r>
    <s v="ORD103258"/>
    <s v="2025-05-31"/>
    <x v="3"/>
    <s v="West"/>
    <s v="Gujarat"/>
    <s v="Ahmedabad"/>
    <x v="2"/>
    <x v="10"/>
    <s v="CUST1305"/>
    <s v="SP_11"/>
    <n v="2"/>
    <n v="18274.34"/>
    <n v="36548.68"/>
    <n v="28808.98"/>
    <n v="7739.7"/>
    <s v="Credit Card"/>
  </r>
  <r>
    <s v="ORD103259"/>
    <s v="2025-07-13"/>
    <x v="6"/>
    <s v="East"/>
    <s v="Odisha"/>
    <s v="Bhubaneswar"/>
    <x v="3"/>
    <x v="11"/>
    <s v="CUST1322"/>
    <s v="SP_04"/>
    <n v="2"/>
    <n v="129.37"/>
    <n v="258.74"/>
    <n v="116.34"/>
    <n v="142.4"/>
    <s v="Debit Card"/>
  </r>
  <r>
    <s v="ORD103260"/>
    <s v="2025-03-09"/>
    <x v="4"/>
    <s v="South"/>
    <s v="Telangana"/>
    <s v="Hyderabad"/>
    <x v="1"/>
    <x v="1"/>
    <s v="CUST1518"/>
    <s v="SP_01"/>
    <n v="7"/>
    <n v="3000.35"/>
    <n v="21002.45"/>
    <n v="13641.66"/>
    <n v="7360.79"/>
    <s v="Cash"/>
  </r>
  <r>
    <s v="ORD103261"/>
    <s v="2025-01-27"/>
    <x v="9"/>
    <s v="West"/>
    <s v="Maharashtra"/>
    <s v="Mumbai"/>
    <x v="2"/>
    <x v="4"/>
    <s v="CUST1108"/>
    <s v="SP_08"/>
    <n v="5"/>
    <n v="2335.2800000000002"/>
    <n v="11676.4"/>
    <n v="7640.33"/>
    <n v="4036.07"/>
    <s v="Credit Card"/>
  </r>
  <r>
    <s v="ORD103262"/>
    <s v="2025-02-24"/>
    <x v="8"/>
    <s v="North"/>
    <s v="Punjab"/>
    <s v="Chandigarh"/>
    <x v="0"/>
    <x v="9"/>
    <s v="CUST1813"/>
    <s v="SP_12"/>
    <n v="1"/>
    <n v="6519.12"/>
    <n v="6519.12"/>
    <n v="5107.3900000000003"/>
    <n v="1411.73"/>
    <s v="Credit Card"/>
  </r>
  <r>
    <s v="ORD103263"/>
    <s v="2025-06-07"/>
    <x v="2"/>
    <s v="East"/>
    <s v="West Bengal"/>
    <s v="Kolkata"/>
    <x v="0"/>
    <x v="9"/>
    <s v="CUST1762"/>
    <s v="SP_13"/>
    <n v="6"/>
    <n v="7148.16"/>
    <n v="42888.959999999999"/>
    <n v="29334.1"/>
    <n v="13554.86"/>
    <s v="Net Banking"/>
  </r>
  <r>
    <s v="ORD103264"/>
    <s v="2025-09-05"/>
    <x v="5"/>
    <s v="West"/>
    <s v="Gujarat"/>
    <s v="Ahmedabad"/>
    <x v="0"/>
    <x v="8"/>
    <s v="CUST1439"/>
    <s v="SP_02"/>
    <n v="2"/>
    <n v="21381.75"/>
    <n v="42763.5"/>
    <n v="33188.92"/>
    <n v="9574.58"/>
    <s v="Net Banking"/>
  </r>
  <r>
    <s v="ORD103265"/>
    <s v="2025-10-06"/>
    <x v="1"/>
    <s v="South"/>
    <s v="Tamil Nadu"/>
    <s v="Chennai"/>
    <x v="2"/>
    <x v="4"/>
    <s v="CUST1701"/>
    <s v="SP_08"/>
    <n v="1"/>
    <n v="2597.92"/>
    <n v="2597.92"/>
    <n v="1634.82"/>
    <n v="963.1"/>
    <s v="Net Banking"/>
  </r>
  <r>
    <s v="ORD103266"/>
    <s v="2025-03-22"/>
    <x v="4"/>
    <s v="East"/>
    <s v="Odisha"/>
    <s v="Bhubaneswar"/>
    <x v="2"/>
    <x v="2"/>
    <s v="CUST1005"/>
    <s v="SP_11"/>
    <n v="5"/>
    <n v="46263"/>
    <n v="231315"/>
    <n v="170128.19"/>
    <n v="61186.81"/>
    <s v="Credit Card"/>
  </r>
  <r>
    <s v="ORD103267"/>
    <s v="2025-12-16"/>
    <x v="7"/>
    <s v="South"/>
    <s v="Tamil Nadu"/>
    <s v="Chennai"/>
    <x v="0"/>
    <x v="8"/>
    <s v="CUST1602"/>
    <s v="SP_15"/>
    <n v="1"/>
    <n v="21461.01"/>
    <n v="21461.01"/>
    <n v="17287.98"/>
    <n v="4173.03"/>
    <s v="Debit Card"/>
  </r>
  <r>
    <s v="ORD103268"/>
    <s v="2025-01-18"/>
    <x v="9"/>
    <s v="South"/>
    <s v="Karnataka"/>
    <s v="Bengaluru"/>
    <x v="3"/>
    <x v="11"/>
    <s v="CUST1186"/>
    <s v="SP_06"/>
    <n v="6"/>
    <n v="114.31"/>
    <n v="685.86"/>
    <n v="343.35"/>
    <n v="342.51"/>
    <s v="Cash"/>
  </r>
  <r>
    <s v="ORD103269"/>
    <s v="2025-08-01"/>
    <x v="11"/>
    <s v="South"/>
    <s v="Telangana"/>
    <s v="Hyderabad"/>
    <x v="1"/>
    <x v="1"/>
    <s v="CUST1497"/>
    <s v="SP_13"/>
    <n v="3"/>
    <n v="2690.14"/>
    <n v="8070.42"/>
    <n v="5604.15"/>
    <n v="2466.27"/>
    <s v="Credit Card"/>
  </r>
  <r>
    <s v="ORD103270"/>
    <s v="2025-07-19"/>
    <x v="6"/>
    <s v="South"/>
    <s v="Tamil Nadu"/>
    <s v="Chennai"/>
    <x v="0"/>
    <x v="9"/>
    <s v="CUST1606"/>
    <s v="SP_03"/>
    <n v="4"/>
    <n v="7638.35"/>
    <n v="30553.4"/>
    <n v="20685.93"/>
    <n v="9867.4699999999993"/>
    <s v="Debit Card"/>
  </r>
  <r>
    <s v="ORD103271"/>
    <s v="2025-11-24"/>
    <x v="10"/>
    <s v="South"/>
    <s v="Karnataka"/>
    <s v="Bengaluru"/>
    <x v="2"/>
    <x v="2"/>
    <s v="CUST1221"/>
    <s v="SP_05"/>
    <n v="3"/>
    <n v="45519.67"/>
    <n v="136559.01"/>
    <n v="108143.14"/>
    <n v="28415.87"/>
    <s v="Net Banking"/>
  </r>
  <r>
    <s v="ORD103272"/>
    <s v="2025-04-18"/>
    <x v="0"/>
    <s v="East"/>
    <s v="Odisha"/>
    <s v="Bhubaneswar"/>
    <x v="3"/>
    <x v="7"/>
    <s v="CUST1981"/>
    <s v="SP_05"/>
    <n v="2"/>
    <n v="11720.31"/>
    <n v="23440.62"/>
    <n v="18503.93"/>
    <n v="4936.6899999999996"/>
    <s v="Net Banking"/>
  </r>
  <r>
    <s v="ORD103273"/>
    <s v="2025-05-29"/>
    <x v="3"/>
    <s v="South"/>
    <s v="Telangana"/>
    <s v="Hyderabad"/>
    <x v="0"/>
    <x v="8"/>
    <s v="CUST1013"/>
    <s v="SP_15"/>
    <n v="5"/>
    <n v="23756.06"/>
    <n v="118780.3"/>
    <n v="84966.93"/>
    <n v="33813.370000000003"/>
    <s v="Debit Card"/>
  </r>
  <r>
    <s v="ORD103274"/>
    <s v="2025-11-07"/>
    <x v="10"/>
    <s v="South"/>
    <s v="Tamil Nadu"/>
    <s v="Chennai"/>
    <x v="1"/>
    <x v="6"/>
    <s v="CUST1530"/>
    <s v="SP_04"/>
    <n v="5"/>
    <n v="3299.2"/>
    <n v="16496"/>
    <n v="12333.69"/>
    <n v="4162.3100000000004"/>
    <s v="UPI"/>
  </r>
  <r>
    <s v="ORD103275"/>
    <s v="2025-01-16"/>
    <x v="9"/>
    <s v="East"/>
    <s v="West Bengal"/>
    <s v="Kolkata"/>
    <x v="0"/>
    <x v="8"/>
    <s v="CUST1641"/>
    <s v="SP_11"/>
    <n v="5"/>
    <n v="22959.53"/>
    <n v="114797.65"/>
    <n v="86800.62"/>
    <n v="27997.03"/>
    <s v="UPI"/>
  </r>
  <r>
    <s v="ORD103276"/>
    <s v="2025-02-13"/>
    <x v="8"/>
    <s v="East"/>
    <s v="Bihar"/>
    <s v="Patna"/>
    <x v="2"/>
    <x v="10"/>
    <s v="CUST1314"/>
    <s v="SP_08"/>
    <n v="5"/>
    <n v="17524.03"/>
    <n v="87620.15"/>
    <n v="72287.75"/>
    <n v="15332.4"/>
    <s v="Credit Card"/>
  </r>
  <r>
    <s v="ORD103277"/>
    <s v="2025-09-01"/>
    <x v="5"/>
    <s v="West"/>
    <s v="Rajasthan"/>
    <s v="Jaipur"/>
    <x v="2"/>
    <x v="2"/>
    <s v="CUST1414"/>
    <s v="SP_09"/>
    <n v="4"/>
    <n v="46519.6"/>
    <n v="186078.4"/>
    <n v="137415.42000000001"/>
    <n v="48662.98"/>
    <s v="Cash"/>
  </r>
  <r>
    <s v="ORD103278"/>
    <s v="2025-01-07"/>
    <x v="9"/>
    <s v="West"/>
    <s v="Maharashtra"/>
    <s v="Mumbai"/>
    <x v="2"/>
    <x v="10"/>
    <s v="CUST1970"/>
    <s v="SP_10"/>
    <n v="6"/>
    <n v="17475.64"/>
    <n v="104853.84"/>
    <n v="86845.22"/>
    <n v="18008.62"/>
    <s v="Cash"/>
  </r>
  <r>
    <s v="ORD103279"/>
    <s v="2025-02-04"/>
    <x v="8"/>
    <s v="East"/>
    <s v="West Bengal"/>
    <s v="Kolkata"/>
    <x v="3"/>
    <x v="11"/>
    <s v="CUST1092"/>
    <s v="SP_01"/>
    <n v="1"/>
    <n v="116.78"/>
    <n v="116.78"/>
    <n v="60.4"/>
    <n v="56.38"/>
    <s v="Cash"/>
  </r>
  <r>
    <s v="ORD103280"/>
    <s v="2025-12-12"/>
    <x v="7"/>
    <s v="West"/>
    <s v="Rajasthan"/>
    <s v="Jaipur"/>
    <x v="3"/>
    <x v="3"/>
    <s v="CUST1403"/>
    <s v="SP_10"/>
    <n v="5"/>
    <n v="27.46"/>
    <n v="137.30000000000001"/>
    <n v="49.07"/>
    <n v="88.23"/>
    <s v="Cash"/>
  </r>
  <r>
    <s v="ORD103281"/>
    <s v="2025-12-26"/>
    <x v="7"/>
    <s v="South"/>
    <s v="Telangana"/>
    <s v="Hyderabad"/>
    <x v="2"/>
    <x v="10"/>
    <s v="CUST1479"/>
    <s v="SP_10"/>
    <n v="5"/>
    <n v="16736.71"/>
    <n v="83683.55"/>
    <n v="69462.47"/>
    <n v="14221.08"/>
    <s v="Cash"/>
  </r>
  <r>
    <s v="ORD103282"/>
    <s v="2025-04-26"/>
    <x v="0"/>
    <s v="West"/>
    <s v="Gujarat"/>
    <s v="Ahmedabad"/>
    <x v="2"/>
    <x v="2"/>
    <s v="CUST1061"/>
    <s v="SP_02"/>
    <n v="6"/>
    <n v="41693.879999999997"/>
    <n v="250163.28"/>
    <n v="206341.73"/>
    <n v="43821.55"/>
    <s v="Net Banking"/>
  </r>
  <r>
    <s v="ORD103283"/>
    <s v="2025-05-09"/>
    <x v="3"/>
    <s v="East"/>
    <s v="Odisha"/>
    <s v="Bhubaneswar"/>
    <x v="3"/>
    <x v="3"/>
    <s v="CUST1376"/>
    <s v="SP_06"/>
    <n v="3"/>
    <n v="27.47"/>
    <n v="82.41"/>
    <n v="30.12"/>
    <n v="52.29"/>
    <s v="Net Banking"/>
  </r>
  <r>
    <s v="ORD103284"/>
    <s v="2025-03-05"/>
    <x v="4"/>
    <s v="East"/>
    <s v="Bihar"/>
    <s v="Patna"/>
    <x v="3"/>
    <x v="11"/>
    <s v="CUST1842"/>
    <s v="SP_13"/>
    <n v="7"/>
    <n v="110.29"/>
    <n v="772.03"/>
    <n v="415.36"/>
    <n v="356.67"/>
    <s v="Net Banking"/>
  </r>
  <r>
    <s v="ORD103285"/>
    <s v="2025-01-28"/>
    <x v="9"/>
    <s v="North"/>
    <s v="Punjab"/>
    <s v="Chandigarh"/>
    <x v="3"/>
    <x v="11"/>
    <s v="CUST1219"/>
    <s v="SP_11"/>
    <n v="3"/>
    <n v="109.16"/>
    <n v="327.48"/>
    <n v="186"/>
    <n v="141.47999999999999"/>
    <s v="UPI"/>
  </r>
  <r>
    <s v="ORD103286"/>
    <s v="2025-05-27"/>
    <x v="3"/>
    <s v="South"/>
    <s v="Karnataka"/>
    <s v="Bengaluru"/>
    <x v="0"/>
    <x v="0"/>
    <s v="CUST1677"/>
    <s v="SP_14"/>
    <n v="1"/>
    <n v="3394.89"/>
    <n v="3394.89"/>
    <n v="2112.61"/>
    <n v="1282.28"/>
    <s v="Net Banking"/>
  </r>
  <r>
    <s v="ORD103287"/>
    <s v="2025-05-20"/>
    <x v="3"/>
    <s v="North"/>
    <s v="Delhi"/>
    <s v="Delhi"/>
    <x v="1"/>
    <x v="5"/>
    <s v="CUST1134"/>
    <s v="SP_09"/>
    <n v="2"/>
    <n v="9977.77"/>
    <n v="19955.54"/>
    <n v="14533.55"/>
    <n v="5421.99"/>
    <s v="UPI"/>
  </r>
  <r>
    <s v="ORD103288"/>
    <s v="2025-11-23"/>
    <x v="10"/>
    <s v="West"/>
    <s v="Gujarat"/>
    <s v="Ahmedabad"/>
    <x v="2"/>
    <x v="4"/>
    <s v="CUST1770"/>
    <s v="SP_10"/>
    <n v="5"/>
    <n v="2537.64"/>
    <n v="12688.2"/>
    <n v="8369.07"/>
    <n v="4319.13"/>
    <s v="Credit Card"/>
  </r>
  <r>
    <s v="ORD103289"/>
    <s v="2025-08-08"/>
    <x v="11"/>
    <s v="West"/>
    <s v="Rajasthan"/>
    <s v="Jaipur"/>
    <x v="0"/>
    <x v="0"/>
    <s v="CUST1967"/>
    <s v="SP_05"/>
    <n v="4"/>
    <n v="3797.87"/>
    <n v="15191.48"/>
    <n v="8633.0400000000009"/>
    <n v="6558.44"/>
    <s v="Debit Card"/>
  </r>
  <r>
    <s v="ORD103290"/>
    <s v="2025-05-06"/>
    <x v="3"/>
    <s v="West"/>
    <s v="Rajasthan"/>
    <s v="Jaipur"/>
    <x v="1"/>
    <x v="1"/>
    <s v="CUST1887"/>
    <s v="SP_15"/>
    <n v="8"/>
    <n v="2815.23"/>
    <n v="22521.84"/>
    <n v="14612.04"/>
    <n v="7909.8"/>
    <s v="Net Banking"/>
  </r>
  <r>
    <s v="ORD103291"/>
    <s v="2025-11-27"/>
    <x v="10"/>
    <s v="South"/>
    <s v="Telangana"/>
    <s v="Hyderabad"/>
    <x v="1"/>
    <x v="6"/>
    <s v="CUST1918"/>
    <s v="SP_01"/>
    <n v="8"/>
    <n v="3084.93"/>
    <n v="24679.439999999999"/>
    <n v="19547.009999999998"/>
    <n v="5132.43"/>
    <s v="Cash"/>
  </r>
  <r>
    <s v="ORD103292"/>
    <s v="2025-05-14"/>
    <x v="3"/>
    <s v="East"/>
    <s v="West Bengal"/>
    <s v="Kolkata"/>
    <x v="0"/>
    <x v="0"/>
    <s v="CUST1038"/>
    <s v="SP_10"/>
    <n v="7"/>
    <n v="3542.61"/>
    <n v="24798.27"/>
    <n v="14840.27"/>
    <n v="9958"/>
    <s v="Net Banking"/>
  </r>
  <r>
    <s v="ORD103293"/>
    <s v="2025-12-02"/>
    <x v="7"/>
    <s v="East"/>
    <s v="Odisha"/>
    <s v="Bhubaneswar"/>
    <x v="0"/>
    <x v="8"/>
    <s v="CUST1476"/>
    <s v="SP_02"/>
    <n v="5"/>
    <n v="20744.759999999998"/>
    <n v="103723.8"/>
    <n v="89085.73"/>
    <n v="14638.07"/>
    <s v="Debit Card"/>
  </r>
  <r>
    <s v="ORD103294"/>
    <s v="2025-09-21"/>
    <x v="5"/>
    <s v="North"/>
    <s v="Punjab"/>
    <s v="Chandigarh"/>
    <x v="2"/>
    <x v="10"/>
    <s v="CUST1534"/>
    <s v="SP_09"/>
    <n v="1"/>
    <n v="16995"/>
    <n v="16995"/>
    <n v="13499.41"/>
    <n v="3495.59"/>
    <s v="Cash"/>
  </r>
  <r>
    <s v="ORD103295"/>
    <s v="2025-05-23"/>
    <x v="3"/>
    <s v="South"/>
    <s v="Karnataka"/>
    <s v="Bengaluru"/>
    <x v="3"/>
    <x v="7"/>
    <s v="CUST1908"/>
    <s v="SP_09"/>
    <n v="8"/>
    <n v="11824.94"/>
    <n v="94599.52"/>
    <n v="73584.66"/>
    <n v="21014.86"/>
    <s v="Credit Card"/>
  </r>
  <r>
    <s v="ORD103296"/>
    <s v="2025-12-11"/>
    <x v="7"/>
    <s v="West"/>
    <s v="Gujarat"/>
    <s v="Ahmedabad"/>
    <x v="1"/>
    <x v="1"/>
    <s v="CUST1963"/>
    <s v="SP_07"/>
    <n v="2"/>
    <n v="2536.2800000000002"/>
    <n v="5072.5600000000004"/>
    <n v="3778.54"/>
    <n v="1294.02"/>
    <s v="Credit Card"/>
  </r>
  <r>
    <s v="ORD103297"/>
    <s v="2025-07-10"/>
    <x v="6"/>
    <s v="South"/>
    <s v="Tamil Nadu"/>
    <s v="Chennai"/>
    <x v="2"/>
    <x v="4"/>
    <s v="CUST1677"/>
    <s v="SP_15"/>
    <n v="5"/>
    <n v="2523.4899999999998"/>
    <n v="12617.45"/>
    <n v="8255.68"/>
    <n v="4361.7700000000004"/>
    <s v="UPI"/>
  </r>
  <r>
    <s v="ORD103298"/>
    <s v="2025-06-25"/>
    <x v="2"/>
    <s v="West"/>
    <s v="Maharashtra"/>
    <s v="Mumbai"/>
    <x v="0"/>
    <x v="0"/>
    <s v="CUST1848"/>
    <s v="SP_08"/>
    <n v="6"/>
    <n v="3580.28"/>
    <n v="21481.68"/>
    <n v="13226.79"/>
    <n v="8254.89"/>
    <s v="Credit Card"/>
  </r>
  <r>
    <s v="ORD103299"/>
    <s v="2025-11-11"/>
    <x v="10"/>
    <s v="South"/>
    <s v="Telangana"/>
    <s v="Hyderabad"/>
    <x v="3"/>
    <x v="11"/>
    <s v="CUST1251"/>
    <s v="SP_04"/>
    <n v="7"/>
    <n v="122.89"/>
    <n v="860.23"/>
    <n v="406.18"/>
    <n v="454.05"/>
    <s v="Net Banking"/>
  </r>
  <r>
    <s v="ORD103300"/>
    <s v="2025-01-26"/>
    <x v="9"/>
    <s v="West"/>
    <s v="Maharashtra"/>
    <s v="Mumbai"/>
    <x v="0"/>
    <x v="8"/>
    <s v="CUST1184"/>
    <s v="SP_10"/>
    <n v="1"/>
    <n v="21931.17"/>
    <n v="21931.17"/>
    <n v="17497.41"/>
    <n v="4433.76"/>
    <s v="Net Banking"/>
  </r>
  <r>
    <s v="ORD103301"/>
    <s v="2025-04-04"/>
    <x v="0"/>
    <s v="North"/>
    <s v="Uttar Pradesh"/>
    <s v="Lucknow"/>
    <x v="2"/>
    <x v="2"/>
    <s v="CUST1158"/>
    <s v="SP_07"/>
    <n v="2"/>
    <n v="45684.72"/>
    <n v="91369.44"/>
    <n v="71582.59"/>
    <n v="19786.849999999999"/>
    <s v="Credit Card"/>
  </r>
  <r>
    <s v="ORD103302"/>
    <s v="2025-07-04"/>
    <x v="6"/>
    <s v="South"/>
    <s v="Karnataka"/>
    <s v="Bengaluru"/>
    <x v="0"/>
    <x v="0"/>
    <s v="CUST1531"/>
    <s v="SP_14"/>
    <n v="4"/>
    <n v="3198.05"/>
    <n v="12792.2"/>
    <n v="8363.56"/>
    <n v="4428.6400000000003"/>
    <s v="Cash"/>
  </r>
  <r>
    <s v="ORD103303"/>
    <s v="2025-03-28"/>
    <x v="4"/>
    <s v="South"/>
    <s v="Tamil Nadu"/>
    <s v="Chennai"/>
    <x v="2"/>
    <x v="4"/>
    <s v="CUST1803"/>
    <s v="SP_05"/>
    <n v="6"/>
    <n v="2576.77"/>
    <n v="15460.62"/>
    <n v="9918.7199999999993"/>
    <n v="5541.9"/>
    <s v="Debit Card"/>
  </r>
  <r>
    <s v="ORD103304"/>
    <s v="2025-06-25"/>
    <x v="2"/>
    <s v="West"/>
    <s v="Gujarat"/>
    <s v="Ahmedabad"/>
    <x v="2"/>
    <x v="2"/>
    <s v="CUST1594"/>
    <s v="SP_12"/>
    <n v="3"/>
    <n v="44683.6"/>
    <n v="134050.79999999999"/>
    <n v="108297.54"/>
    <n v="25753.26"/>
    <s v="Cash"/>
  </r>
  <r>
    <s v="ORD103305"/>
    <s v="2025-11-07"/>
    <x v="10"/>
    <s v="East"/>
    <s v="Bihar"/>
    <s v="Patna"/>
    <x v="0"/>
    <x v="0"/>
    <s v="CUST1919"/>
    <s v="SP_13"/>
    <n v="8"/>
    <n v="3547.23"/>
    <n v="28377.84"/>
    <n v="17582.52"/>
    <n v="10795.32"/>
    <s v="Debit Card"/>
  </r>
  <r>
    <s v="ORD103306"/>
    <s v="2025-12-06"/>
    <x v="7"/>
    <s v="East"/>
    <s v="Odisha"/>
    <s v="Bhubaneswar"/>
    <x v="2"/>
    <x v="2"/>
    <s v="CUST1293"/>
    <s v="SP_06"/>
    <n v="8"/>
    <n v="47932.93"/>
    <n v="383463.44"/>
    <n v="269518.31"/>
    <n v="113945.13"/>
    <s v="UPI"/>
  </r>
  <r>
    <s v="ORD103307"/>
    <s v="2025-04-16"/>
    <x v="0"/>
    <s v="North"/>
    <s v="Punjab"/>
    <s v="Chandigarh"/>
    <x v="2"/>
    <x v="2"/>
    <s v="CUST1925"/>
    <s v="SP_05"/>
    <n v="4"/>
    <n v="48451.85"/>
    <n v="193807.4"/>
    <n v="141637.23000000001"/>
    <n v="52170.17"/>
    <s v="Net Banking"/>
  </r>
  <r>
    <s v="ORD103308"/>
    <s v="2025-10-23"/>
    <x v="1"/>
    <s v="East"/>
    <s v="Odisha"/>
    <s v="Bhubaneswar"/>
    <x v="3"/>
    <x v="3"/>
    <s v="CUST1574"/>
    <s v="SP_05"/>
    <n v="4"/>
    <n v="24.65"/>
    <n v="98.6"/>
    <n v="40.07"/>
    <n v="58.53"/>
    <s v="Net Banking"/>
  </r>
  <r>
    <s v="ORD103309"/>
    <s v="2025-05-22"/>
    <x v="3"/>
    <s v="North"/>
    <s v="Uttar Pradesh"/>
    <s v="Lucknow"/>
    <x v="2"/>
    <x v="10"/>
    <s v="CUST1077"/>
    <s v="SP_03"/>
    <n v="2"/>
    <n v="18942.04"/>
    <n v="37884.080000000002"/>
    <n v="28409.23"/>
    <n v="9474.85"/>
    <s v="UPI"/>
  </r>
  <r>
    <s v="ORD103310"/>
    <s v="2025-01-18"/>
    <x v="9"/>
    <s v="West"/>
    <s v="Maharashtra"/>
    <s v="Mumbai"/>
    <x v="1"/>
    <x v="5"/>
    <s v="CUST1994"/>
    <s v="SP_01"/>
    <n v="4"/>
    <n v="10290.67"/>
    <n v="41162.68"/>
    <n v="30081.73"/>
    <n v="11080.95"/>
    <s v="Cash"/>
  </r>
  <r>
    <s v="ORD103311"/>
    <s v="2025-03-14"/>
    <x v="4"/>
    <s v="West"/>
    <s v="Rajasthan"/>
    <s v="Jaipur"/>
    <x v="2"/>
    <x v="10"/>
    <s v="CUST1972"/>
    <s v="SP_11"/>
    <n v="4"/>
    <n v="17593.009999999998"/>
    <n v="70372.039999999994"/>
    <n v="57590.27"/>
    <n v="12781.77"/>
    <s v="Debit Card"/>
  </r>
  <r>
    <s v="ORD103312"/>
    <s v="2025-02-15"/>
    <x v="8"/>
    <s v="North"/>
    <s v="Punjab"/>
    <s v="Chandigarh"/>
    <x v="1"/>
    <x v="5"/>
    <s v="CUST1456"/>
    <s v="SP_09"/>
    <n v="2"/>
    <n v="9182.9699999999993"/>
    <n v="18365.939999999999"/>
    <n v="15769.34"/>
    <n v="2596.6"/>
    <s v="Net Banking"/>
  </r>
  <r>
    <s v="ORD103313"/>
    <s v="2025-05-19"/>
    <x v="3"/>
    <s v="West"/>
    <s v="Maharashtra"/>
    <s v="Mumbai"/>
    <x v="0"/>
    <x v="9"/>
    <s v="CUST1844"/>
    <s v="SP_15"/>
    <n v="4"/>
    <n v="6920.04"/>
    <n v="27680.16"/>
    <n v="20491.82"/>
    <n v="7188.34"/>
    <s v="Credit Card"/>
  </r>
  <r>
    <s v="ORD103314"/>
    <s v="2025-09-21"/>
    <x v="5"/>
    <s v="North"/>
    <s v="Uttar Pradesh"/>
    <s v="Lucknow"/>
    <x v="2"/>
    <x v="2"/>
    <s v="CUST1957"/>
    <s v="SP_12"/>
    <n v="8"/>
    <n v="47172.639999999999"/>
    <n v="377381.12"/>
    <n v="293966.99"/>
    <n v="83414.13"/>
    <s v="Credit Card"/>
  </r>
  <r>
    <s v="ORD103315"/>
    <s v="2025-11-21"/>
    <x v="10"/>
    <s v="North"/>
    <s v="Punjab"/>
    <s v="Chandigarh"/>
    <x v="0"/>
    <x v="8"/>
    <s v="CUST1981"/>
    <s v="SP_11"/>
    <n v="6"/>
    <n v="23577.05"/>
    <n v="141462.29999999999"/>
    <n v="103603.78"/>
    <n v="37858.519999999997"/>
    <s v="Debit Card"/>
  </r>
  <r>
    <s v="ORD103316"/>
    <s v="2025-11-27"/>
    <x v="10"/>
    <s v="East"/>
    <s v="Odisha"/>
    <s v="Bhubaneswar"/>
    <x v="0"/>
    <x v="8"/>
    <s v="CUST1565"/>
    <s v="SP_04"/>
    <n v="1"/>
    <n v="22374.75"/>
    <n v="22374.75"/>
    <n v="16809.03"/>
    <n v="5565.72"/>
    <s v="Cash"/>
  </r>
  <r>
    <s v="ORD103317"/>
    <s v="2025-04-18"/>
    <x v="0"/>
    <s v="North"/>
    <s v="Uttar Pradesh"/>
    <s v="Lucknow"/>
    <x v="1"/>
    <x v="6"/>
    <s v="CUST1662"/>
    <s v="SP_06"/>
    <n v="8"/>
    <n v="3273.82"/>
    <n v="26190.560000000001"/>
    <n v="19638.11"/>
    <n v="6552.45"/>
    <s v="Debit Card"/>
  </r>
  <r>
    <s v="ORD103318"/>
    <s v="2025-04-03"/>
    <x v="0"/>
    <s v="South"/>
    <s v="Telangana"/>
    <s v="Hyderabad"/>
    <x v="3"/>
    <x v="11"/>
    <s v="CUST1324"/>
    <s v="SP_09"/>
    <n v="3"/>
    <n v="120.3"/>
    <n v="360.9"/>
    <n v="174.14"/>
    <n v="186.76"/>
    <s v="Debit Card"/>
  </r>
  <r>
    <s v="ORD103319"/>
    <s v="2025-07-05"/>
    <x v="6"/>
    <s v="South"/>
    <s v="Tamil Nadu"/>
    <s v="Chennai"/>
    <x v="3"/>
    <x v="7"/>
    <s v="CUST1216"/>
    <s v="SP_15"/>
    <n v="5"/>
    <n v="12476"/>
    <n v="62380"/>
    <n v="46971.360000000001"/>
    <n v="15408.64"/>
    <s v="Cash"/>
  </r>
  <r>
    <s v="ORD103320"/>
    <s v="2025-01-03"/>
    <x v="9"/>
    <s v="North"/>
    <s v="Delhi"/>
    <s v="Delhi"/>
    <x v="0"/>
    <x v="9"/>
    <s v="CUST1072"/>
    <s v="SP_02"/>
    <n v="6"/>
    <n v="7296.47"/>
    <n v="43778.82"/>
    <n v="31489.91"/>
    <n v="12288.91"/>
    <s v="Debit Card"/>
  </r>
  <r>
    <s v="ORD103321"/>
    <s v="2025-10-06"/>
    <x v="1"/>
    <s v="South"/>
    <s v="Karnataka"/>
    <s v="Bengaluru"/>
    <x v="3"/>
    <x v="7"/>
    <s v="CUST1318"/>
    <s v="SP_04"/>
    <n v="2"/>
    <n v="12009.68"/>
    <n v="24019.360000000001"/>
    <n v="18745.849999999999"/>
    <n v="5273.51"/>
    <s v="Debit Card"/>
  </r>
  <r>
    <s v="ORD103322"/>
    <s v="2025-09-20"/>
    <x v="5"/>
    <s v="East"/>
    <s v="West Bengal"/>
    <s v="Kolkata"/>
    <x v="1"/>
    <x v="5"/>
    <s v="CUST1616"/>
    <s v="SP_04"/>
    <n v="2"/>
    <n v="9075.83"/>
    <n v="18151.66"/>
    <n v="15522.9"/>
    <n v="2628.76"/>
    <s v="Credit Card"/>
  </r>
  <r>
    <s v="ORD103323"/>
    <s v="2025-08-22"/>
    <x v="11"/>
    <s v="North"/>
    <s v="Delhi"/>
    <s v="Delhi"/>
    <x v="3"/>
    <x v="3"/>
    <s v="CUST1481"/>
    <s v="SP_08"/>
    <n v="2"/>
    <n v="22.97"/>
    <n v="45.94"/>
    <n v="20.99"/>
    <n v="24.95"/>
    <s v="Credit Card"/>
  </r>
  <r>
    <s v="ORD103324"/>
    <s v="2025-12-15"/>
    <x v="7"/>
    <s v="West"/>
    <s v="Gujarat"/>
    <s v="Ahmedabad"/>
    <x v="0"/>
    <x v="0"/>
    <s v="CUST1199"/>
    <s v="SP_02"/>
    <n v="2"/>
    <n v="3212.35"/>
    <n v="6424.7"/>
    <n v="4188.92"/>
    <n v="2235.7800000000002"/>
    <s v="Net Banking"/>
  </r>
  <r>
    <s v="ORD103325"/>
    <s v="2025-11-03"/>
    <x v="10"/>
    <s v="South"/>
    <s v="Karnataka"/>
    <s v="Bengaluru"/>
    <x v="3"/>
    <x v="11"/>
    <s v="CUST1549"/>
    <s v="SP_07"/>
    <n v="1"/>
    <n v="124.8"/>
    <n v="124.8"/>
    <n v="60.9"/>
    <n v="63.9"/>
    <s v="Credit Card"/>
  </r>
  <r>
    <s v="ORD103326"/>
    <s v="2025-03-18"/>
    <x v="4"/>
    <s v="South"/>
    <s v="Tamil Nadu"/>
    <s v="Chennai"/>
    <x v="3"/>
    <x v="11"/>
    <s v="CUST1025"/>
    <s v="SP_01"/>
    <n v="2"/>
    <n v="129.09"/>
    <n v="258.18"/>
    <n v="120.67"/>
    <n v="137.51"/>
    <s v="Credit Card"/>
  </r>
  <r>
    <s v="ORD103327"/>
    <s v="2025-02-13"/>
    <x v="8"/>
    <s v="West"/>
    <s v="Maharashtra"/>
    <s v="Mumbai"/>
    <x v="3"/>
    <x v="11"/>
    <s v="CUST1931"/>
    <s v="SP_14"/>
    <n v="3"/>
    <n v="128"/>
    <n v="384"/>
    <n v="188.27"/>
    <n v="195.73"/>
    <s v="Net Banking"/>
  </r>
  <r>
    <s v="ORD103328"/>
    <s v="2025-01-25"/>
    <x v="9"/>
    <s v="West"/>
    <s v="Rajasthan"/>
    <s v="Jaipur"/>
    <x v="0"/>
    <x v="8"/>
    <s v="CUST1177"/>
    <s v="SP_10"/>
    <n v="8"/>
    <n v="23852.05"/>
    <n v="190816.4"/>
    <n v="139523.24"/>
    <n v="51293.16"/>
    <s v="Debit Card"/>
  </r>
  <r>
    <s v="ORD103329"/>
    <s v="2025-04-19"/>
    <x v="0"/>
    <s v="North"/>
    <s v="Uttar Pradesh"/>
    <s v="Lucknow"/>
    <x v="0"/>
    <x v="0"/>
    <s v="CUST1273"/>
    <s v="SP_11"/>
    <n v="4"/>
    <n v="3675.56"/>
    <n v="14702.24"/>
    <n v="8505.01"/>
    <n v="6197.23"/>
    <s v="Debit Card"/>
  </r>
  <r>
    <s v="ORD103330"/>
    <s v="2025-04-11"/>
    <x v="0"/>
    <s v="South"/>
    <s v="Telangana"/>
    <s v="Hyderabad"/>
    <x v="3"/>
    <x v="11"/>
    <s v="CUST1241"/>
    <s v="SP_09"/>
    <n v="1"/>
    <n v="112.21"/>
    <n v="112.21"/>
    <n v="57.44"/>
    <n v="54.77"/>
    <s v="Cash"/>
  </r>
  <r>
    <s v="ORD103331"/>
    <s v="2025-12-03"/>
    <x v="7"/>
    <s v="South"/>
    <s v="Telangana"/>
    <s v="Hyderabad"/>
    <x v="3"/>
    <x v="3"/>
    <s v="CUST1191"/>
    <s v="SP_13"/>
    <n v="3"/>
    <n v="27.38"/>
    <n v="82.14"/>
    <n v="31.13"/>
    <n v="51.01"/>
    <s v="Net Banking"/>
  </r>
  <r>
    <s v="ORD103332"/>
    <s v="2025-12-28"/>
    <x v="7"/>
    <s v="East"/>
    <s v="West Bengal"/>
    <s v="Kolkata"/>
    <x v="3"/>
    <x v="11"/>
    <s v="CUST1149"/>
    <s v="SP_12"/>
    <n v="3"/>
    <n v="108.62"/>
    <n v="325.86"/>
    <n v="188.26"/>
    <n v="137.6"/>
    <s v="Credit Card"/>
  </r>
  <r>
    <s v="ORD103333"/>
    <s v="2025-11-14"/>
    <x v="10"/>
    <s v="East"/>
    <s v="Odisha"/>
    <s v="Bhubaneswar"/>
    <x v="1"/>
    <x v="6"/>
    <s v="CUST1988"/>
    <s v="SP_02"/>
    <n v="4"/>
    <n v="2921.93"/>
    <n v="11687.72"/>
    <n v="10049.39"/>
    <n v="1638.33"/>
    <s v="UPI"/>
  </r>
  <r>
    <s v="ORD103334"/>
    <s v="2025-07-29"/>
    <x v="6"/>
    <s v="West"/>
    <s v="Rajasthan"/>
    <s v="Jaipur"/>
    <x v="2"/>
    <x v="4"/>
    <s v="CUST1814"/>
    <s v="SP_15"/>
    <n v="6"/>
    <n v="2684.5"/>
    <n v="16107"/>
    <n v="9547.2999999999993"/>
    <n v="6559.7"/>
    <s v="Credit Card"/>
  </r>
  <r>
    <s v="ORD103335"/>
    <s v="2025-03-25"/>
    <x v="4"/>
    <s v="South"/>
    <s v="Tamil Nadu"/>
    <s v="Chennai"/>
    <x v="2"/>
    <x v="2"/>
    <s v="CUST1817"/>
    <s v="SP_07"/>
    <n v="2"/>
    <n v="46431.77"/>
    <n v="92863.54"/>
    <n v="71166.31"/>
    <n v="21697.23"/>
    <s v="Net Banking"/>
  </r>
  <r>
    <s v="ORD103336"/>
    <s v="2025-10-25"/>
    <x v="1"/>
    <s v="South"/>
    <s v="Telangana"/>
    <s v="Hyderabad"/>
    <x v="2"/>
    <x v="2"/>
    <s v="CUST1994"/>
    <s v="SP_15"/>
    <n v="7"/>
    <n v="46714.18"/>
    <n v="326999.26"/>
    <n v="236604.31"/>
    <n v="90394.95"/>
    <s v="UPI"/>
  </r>
  <r>
    <s v="ORD103337"/>
    <s v="2025-06-03"/>
    <x v="2"/>
    <s v="East"/>
    <s v="West Bengal"/>
    <s v="Kolkata"/>
    <x v="3"/>
    <x v="7"/>
    <s v="CUST1482"/>
    <s v="SP_03"/>
    <n v="7"/>
    <n v="12851.77"/>
    <n v="89962.39"/>
    <n v="60365.14"/>
    <n v="29597.25"/>
    <s v="Cash"/>
  </r>
  <r>
    <s v="ORD103338"/>
    <s v="2025-05-31"/>
    <x v="3"/>
    <s v="North"/>
    <s v="Delhi"/>
    <s v="Delhi"/>
    <x v="2"/>
    <x v="2"/>
    <s v="CUST1380"/>
    <s v="SP_15"/>
    <n v="3"/>
    <n v="40890.5"/>
    <n v="122671.5"/>
    <n v="104724.55"/>
    <n v="17946.95"/>
    <s v="Cash"/>
  </r>
  <r>
    <s v="ORD103339"/>
    <s v="2025-05-01"/>
    <x v="3"/>
    <s v="East"/>
    <s v="Bihar"/>
    <s v="Patna"/>
    <x v="1"/>
    <x v="6"/>
    <s v="CUST1370"/>
    <s v="SP_07"/>
    <n v="1"/>
    <n v="3477.03"/>
    <n v="3477.03"/>
    <n v="2436.0100000000002"/>
    <n v="1041.02"/>
    <s v="Debit Card"/>
  </r>
  <r>
    <s v="ORD103340"/>
    <s v="2025-08-29"/>
    <x v="11"/>
    <s v="South"/>
    <s v="Karnataka"/>
    <s v="Bengaluru"/>
    <x v="1"/>
    <x v="5"/>
    <s v="CUST1315"/>
    <s v="SP_08"/>
    <n v="5"/>
    <n v="9775.76"/>
    <n v="48878.8"/>
    <n v="37875.019999999997"/>
    <n v="11003.78"/>
    <s v="Debit Card"/>
  </r>
  <r>
    <s v="ORD103341"/>
    <s v="2025-08-26"/>
    <x v="11"/>
    <s v="West"/>
    <s v="Maharashtra"/>
    <s v="Mumbai"/>
    <x v="2"/>
    <x v="2"/>
    <s v="CUST1811"/>
    <s v="SP_06"/>
    <n v="4"/>
    <n v="44571.26"/>
    <n v="178285.04"/>
    <n v="146828.26"/>
    <n v="31456.78"/>
    <s v="Debit Card"/>
  </r>
  <r>
    <s v="ORD103342"/>
    <s v="2025-10-20"/>
    <x v="1"/>
    <s v="South"/>
    <s v="Telangana"/>
    <s v="Hyderabad"/>
    <x v="1"/>
    <x v="5"/>
    <s v="CUST1600"/>
    <s v="SP_04"/>
    <n v="1"/>
    <n v="10268.51"/>
    <n v="10268.51"/>
    <n v="7584.24"/>
    <n v="2684.27"/>
    <s v="Credit Card"/>
  </r>
  <r>
    <s v="ORD103343"/>
    <s v="2025-11-11"/>
    <x v="10"/>
    <s v="North"/>
    <s v="Delhi"/>
    <s v="Delhi"/>
    <x v="0"/>
    <x v="9"/>
    <s v="CUST1293"/>
    <s v="SP_04"/>
    <n v="1"/>
    <n v="7133.38"/>
    <n v="7133.38"/>
    <n v="5014.1499999999996"/>
    <n v="2119.23"/>
    <s v="Debit Card"/>
  </r>
  <r>
    <s v="ORD103344"/>
    <s v="2025-03-02"/>
    <x v="4"/>
    <s v="West"/>
    <s v="Maharashtra"/>
    <s v="Mumbai"/>
    <x v="2"/>
    <x v="2"/>
    <s v="CUST1292"/>
    <s v="SP_03"/>
    <n v="1"/>
    <n v="42573.97"/>
    <n v="42573.97"/>
    <n v="33667.019999999997"/>
    <n v="8906.9500000000007"/>
    <s v="Cash"/>
  </r>
  <r>
    <s v="ORD103345"/>
    <s v="2025-01-05"/>
    <x v="9"/>
    <s v="East"/>
    <s v="West Bengal"/>
    <s v="Kolkata"/>
    <x v="2"/>
    <x v="4"/>
    <s v="CUST1215"/>
    <s v="SP_15"/>
    <n v="8"/>
    <n v="2709.09"/>
    <n v="21672.720000000001"/>
    <n v="12160.79"/>
    <n v="9511.93"/>
    <s v="UPI"/>
  </r>
  <r>
    <s v="ORD103346"/>
    <s v="2025-12-04"/>
    <x v="7"/>
    <s v="East"/>
    <s v="West Bengal"/>
    <s v="Kolkata"/>
    <x v="2"/>
    <x v="10"/>
    <s v="CUST1383"/>
    <s v="SP_01"/>
    <n v="7"/>
    <n v="17369.75"/>
    <n v="121588.25"/>
    <n v="94006.11"/>
    <n v="27582.14"/>
    <s v="Credit Card"/>
  </r>
  <r>
    <s v="ORD103347"/>
    <s v="2025-10-06"/>
    <x v="1"/>
    <s v="North"/>
    <s v="Uttar Pradesh"/>
    <s v="Lucknow"/>
    <x v="0"/>
    <x v="9"/>
    <s v="CUST1623"/>
    <s v="SP_02"/>
    <n v="6"/>
    <n v="7077.02"/>
    <n v="42462.12"/>
    <n v="30487.69"/>
    <n v="11974.43"/>
    <s v="Debit Card"/>
  </r>
  <r>
    <s v="ORD103348"/>
    <s v="2025-03-28"/>
    <x v="4"/>
    <s v="West"/>
    <s v="Rajasthan"/>
    <s v="Jaipur"/>
    <x v="1"/>
    <x v="1"/>
    <s v="CUST1121"/>
    <s v="SP_13"/>
    <n v="1"/>
    <n v="2743.24"/>
    <n v="2743.24"/>
    <n v="1824.26"/>
    <n v="918.98"/>
    <s v="UPI"/>
  </r>
  <r>
    <s v="ORD103349"/>
    <s v="2025-11-02"/>
    <x v="10"/>
    <s v="West"/>
    <s v="Rajasthan"/>
    <s v="Jaipur"/>
    <x v="2"/>
    <x v="10"/>
    <s v="CUST1816"/>
    <s v="SP_11"/>
    <n v="2"/>
    <n v="16432.169999999998"/>
    <n v="32864.339999999997"/>
    <n v="27843.74"/>
    <n v="5020.6000000000004"/>
    <s v="Credit Card"/>
  </r>
  <r>
    <s v="ORD103350"/>
    <s v="2025-01-03"/>
    <x v="9"/>
    <s v="West"/>
    <s v="Maharashtra"/>
    <s v="Mumbai"/>
    <x v="1"/>
    <x v="5"/>
    <s v="CUST1483"/>
    <s v="SP_09"/>
    <n v="2"/>
    <n v="9944.66"/>
    <n v="19889.32"/>
    <n v="15256.28"/>
    <n v="4633.04"/>
    <s v="Credit Card"/>
  </r>
  <r>
    <s v="ORD103351"/>
    <s v="2025-08-03"/>
    <x v="11"/>
    <s v="East"/>
    <s v="Odisha"/>
    <s v="Bhubaneswar"/>
    <x v="0"/>
    <x v="0"/>
    <s v="CUST1317"/>
    <s v="SP_15"/>
    <n v="4"/>
    <n v="3527.28"/>
    <n v="14109.12"/>
    <n v="8488.89"/>
    <n v="5620.23"/>
    <s v="Net Banking"/>
  </r>
  <r>
    <s v="ORD103352"/>
    <s v="2025-03-28"/>
    <x v="4"/>
    <s v="East"/>
    <s v="Odisha"/>
    <s v="Bhubaneswar"/>
    <x v="0"/>
    <x v="9"/>
    <s v="CUST1359"/>
    <s v="SP_01"/>
    <n v="5"/>
    <n v="6513.12"/>
    <n v="32565.599999999999"/>
    <n v="25688.82"/>
    <n v="6876.78"/>
    <s v="UPI"/>
  </r>
  <r>
    <s v="ORD103353"/>
    <s v="2025-10-09"/>
    <x v="1"/>
    <s v="South"/>
    <s v="Telangana"/>
    <s v="Hyderabad"/>
    <x v="1"/>
    <x v="6"/>
    <s v="CUST1883"/>
    <s v="SP_13"/>
    <n v="1"/>
    <n v="3083.82"/>
    <n v="3083.82"/>
    <n v="2423.52"/>
    <n v="660.3"/>
    <s v="Cash"/>
  </r>
  <r>
    <s v="ORD103354"/>
    <s v="2025-04-06"/>
    <x v="0"/>
    <s v="East"/>
    <s v="Odisha"/>
    <s v="Bhubaneswar"/>
    <x v="0"/>
    <x v="0"/>
    <s v="CUST1656"/>
    <s v="SP_04"/>
    <n v="8"/>
    <n v="3842.7"/>
    <n v="30741.599999999999"/>
    <n v="18401.28"/>
    <n v="12340.32"/>
    <s v="UPI"/>
  </r>
  <r>
    <s v="ORD103355"/>
    <s v="2025-07-18"/>
    <x v="6"/>
    <s v="East"/>
    <s v="Bihar"/>
    <s v="Patna"/>
    <x v="1"/>
    <x v="1"/>
    <s v="CUST1505"/>
    <s v="SP_06"/>
    <n v="1"/>
    <n v="3013.02"/>
    <n v="3013.02"/>
    <n v="1975.8"/>
    <n v="1037.22"/>
    <s v="UPI"/>
  </r>
  <r>
    <s v="ORD103356"/>
    <s v="2025-01-29"/>
    <x v="9"/>
    <s v="East"/>
    <s v="Bihar"/>
    <s v="Patna"/>
    <x v="1"/>
    <x v="5"/>
    <s v="CUST1934"/>
    <s v="SP_03"/>
    <n v="7"/>
    <n v="9481.7199999999993"/>
    <n v="66372.039999999994"/>
    <n v="55132.7"/>
    <n v="11239.34"/>
    <s v="Net Banking"/>
  </r>
  <r>
    <s v="ORD103357"/>
    <s v="2025-04-14"/>
    <x v="0"/>
    <s v="West"/>
    <s v="Gujarat"/>
    <s v="Ahmedabad"/>
    <x v="1"/>
    <x v="1"/>
    <s v="CUST1792"/>
    <s v="SP_11"/>
    <n v="2"/>
    <n v="2591.8000000000002"/>
    <n v="5183.6000000000004"/>
    <n v="3859.97"/>
    <n v="1323.63"/>
    <s v="Credit Card"/>
  </r>
  <r>
    <s v="ORD103358"/>
    <s v="2025-01-03"/>
    <x v="9"/>
    <s v="South"/>
    <s v="Karnataka"/>
    <s v="Bengaluru"/>
    <x v="3"/>
    <x v="7"/>
    <s v="CUST1541"/>
    <s v="SP_03"/>
    <n v="2"/>
    <n v="12307.56"/>
    <n v="24615.119999999999"/>
    <n v="18230.52"/>
    <n v="6384.6"/>
    <s v="Cash"/>
  </r>
  <r>
    <s v="ORD103359"/>
    <s v="2025-09-04"/>
    <x v="5"/>
    <s v="South"/>
    <s v="Karnataka"/>
    <s v="Bengaluru"/>
    <x v="1"/>
    <x v="5"/>
    <s v="CUST1923"/>
    <s v="SP_02"/>
    <n v="3"/>
    <n v="9558.39"/>
    <n v="28675.17"/>
    <n v="23912.21"/>
    <n v="4762.96"/>
    <s v="Cash"/>
  </r>
  <r>
    <s v="ORD103360"/>
    <s v="2025-11-15"/>
    <x v="10"/>
    <s v="West"/>
    <s v="Rajasthan"/>
    <s v="Jaipur"/>
    <x v="0"/>
    <x v="9"/>
    <s v="CUST1547"/>
    <s v="SP_02"/>
    <n v="7"/>
    <n v="7008.44"/>
    <n v="49059.08"/>
    <n v="36278.33"/>
    <n v="12780.75"/>
    <s v="Cash"/>
  </r>
  <r>
    <s v="ORD103361"/>
    <s v="2025-04-11"/>
    <x v="0"/>
    <s v="South"/>
    <s v="Karnataka"/>
    <s v="Bengaluru"/>
    <x v="3"/>
    <x v="11"/>
    <s v="CUST1430"/>
    <s v="SP_12"/>
    <n v="4"/>
    <n v="129.99"/>
    <n v="519.96"/>
    <n v="230.72"/>
    <n v="289.24"/>
    <s v="Credit Card"/>
  </r>
  <r>
    <s v="ORD103362"/>
    <s v="2025-07-03"/>
    <x v="6"/>
    <s v="West"/>
    <s v="Rajasthan"/>
    <s v="Jaipur"/>
    <x v="1"/>
    <x v="6"/>
    <s v="CUST1702"/>
    <s v="SP_13"/>
    <n v="5"/>
    <n v="3248.44"/>
    <n v="16242.2"/>
    <n v="11454.85"/>
    <n v="4787.3500000000004"/>
    <s v="UPI"/>
  </r>
  <r>
    <s v="ORD103363"/>
    <s v="2025-05-04"/>
    <x v="3"/>
    <s v="West"/>
    <s v="Gujarat"/>
    <s v="Ahmedabad"/>
    <x v="2"/>
    <x v="10"/>
    <s v="CUST1836"/>
    <s v="SP_06"/>
    <n v="8"/>
    <n v="18566.349999999999"/>
    <n v="148530.79999999999"/>
    <n v="116463.13"/>
    <n v="32067.67"/>
    <s v="Credit Card"/>
  </r>
  <r>
    <s v="ORD103364"/>
    <s v="2025-03-03"/>
    <x v="4"/>
    <s v="East"/>
    <s v="Bihar"/>
    <s v="Patna"/>
    <x v="3"/>
    <x v="11"/>
    <s v="CUST1051"/>
    <s v="SP_15"/>
    <n v="2"/>
    <n v="121.98"/>
    <n v="243.96"/>
    <n v="118.98"/>
    <n v="124.98"/>
    <s v="UPI"/>
  </r>
  <r>
    <s v="ORD103365"/>
    <s v="2025-08-25"/>
    <x v="11"/>
    <s v="South"/>
    <s v="Karnataka"/>
    <s v="Bengaluru"/>
    <x v="0"/>
    <x v="0"/>
    <s v="CUST1737"/>
    <s v="SP_09"/>
    <n v="3"/>
    <n v="3810.31"/>
    <n v="11430.93"/>
    <n v="6350.81"/>
    <n v="5080.12"/>
    <s v="Cash"/>
  </r>
  <r>
    <s v="ORD103366"/>
    <s v="2025-12-19"/>
    <x v="7"/>
    <s v="North"/>
    <s v="Uttar Pradesh"/>
    <s v="Lucknow"/>
    <x v="1"/>
    <x v="5"/>
    <s v="CUST1637"/>
    <s v="SP_06"/>
    <n v="5"/>
    <n v="10326.719999999999"/>
    <n v="51633.599999999999"/>
    <n v="39801.32"/>
    <n v="11832.28"/>
    <s v="Net Banking"/>
  </r>
  <r>
    <s v="ORD103367"/>
    <s v="2025-11-30"/>
    <x v="10"/>
    <s v="South"/>
    <s v="Tamil Nadu"/>
    <s v="Chennai"/>
    <x v="1"/>
    <x v="6"/>
    <s v="CUST1215"/>
    <s v="SP_13"/>
    <n v="1"/>
    <n v="3177.15"/>
    <n v="3177.15"/>
    <n v="2298.19"/>
    <n v="878.96"/>
    <s v="Credit Card"/>
  </r>
  <r>
    <s v="ORD103368"/>
    <s v="2025-01-27"/>
    <x v="9"/>
    <s v="North"/>
    <s v="Punjab"/>
    <s v="Chandigarh"/>
    <x v="0"/>
    <x v="8"/>
    <s v="CUST1574"/>
    <s v="SP_15"/>
    <n v="7"/>
    <n v="21066.66"/>
    <n v="147466.62"/>
    <n v="123533.67"/>
    <n v="23932.95"/>
    <s v="Debit Card"/>
  </r>
  <r>
    <s v="ORD103369"/>
    <s v="2025-01-21"/>
    <x v="9"/>
    <s v="South"/>
    <s v="Tamil Nadu"/>
    <s v="Chennai"/>
    <x v="1"/>
    <x v="5"/>
    <s v="CUST1403"/>
    <s v="SP_03"/>
    <n v="5"/>
    <n v="9197.51"/>
    <n v="45987.55"/>
    <n v="38769.72"/>
    <n v="7217.83"/>
    <s v="Debit Card"/>
  </r>
  <r>
    <s v="ORD103370"/>
    <s v="2025-01-19"/>
    <x v="9"/>
    <s v="West"/>
    <s v="Rajasthan"/>
    <s v="Jaipur"/>
    <x v="1"/>
    <x v="6"/>
    <s v="CUST1551"/>
    <s v="SP_04"/>
    <n v="5"/>
    <n v="3061.85"/>
    <n v="15309.25"/>
    <n v="11487.83"/>
    <n v="3821.42"/>
    <s v="UPI"/>
  </r>
  <r>
    <s v="ORD103371"/>
    <s v="2025-01-20"/>
    <x v="9"/>
    <s v="West"/>
    <s v="Rajasthan"/>
    <s v="Jaipur"/>
    <x v="1"/>
    <x v="1"/>
    <s v="CUST1153"/>
    <s v="SP_12"/>
    <n v="6"/>
    <n v="3005.94"/>
    <n v="18035.64"/>
    <n v="11771.04"/>
    <n v="6264.6"/>
    <s v="Cash"/>
  </r>
  <r>
    <s v="ORD103372"/>
    <s v="2025-07-16"/>
    <x v="6"/>
    <s v="North"/>
    <s v="Punjab"/>
    <s v="Chandigarh"/>
    <x v="1"/>
    <x v="6"/>
    <s v="CUST1496"/>
    <s v="SP_04"/>
    <n v="1"/>
    <n v="3228.67"/>
    <n v="3228.67"/>
    <n v="2448.54"/>
    <n v="780.13"/>
    <s v="Credit Card"/>
  </r>
  <r>
    <s v="ORD103373"/>
    <s v="2025-08-03"/>
    <x v="11"/>
    <s v="South"/>
    <s v="Telangana"/>
    <s v="Hyderabad"/>
    <x v="2"/>
    <x v="10"/>
    <s v="CUST1706"/>
    <s v="SP_08"/>
    <n v="2"/>
    <n v="18996.78"/>
    <n v="37993.56"/>
    <n v="26617.05"/>
    <n v="11376.51"/>
    <s v="Net Banking"/>
  </r>
  <r>
    <s v="ORD103374"/>
    <s v="2025-07-26"/>
    <x v="6"/>
    <s v="East"/>
    <s v="Bihar"/>
    <s v="Patna"/>
    <x v="3"/>
    <x v="7"/>
    <s v="CUST1482"/>
    <s v="SP_14"/>
    <n v="4"/>
    <n v="12700.26"/>
    <n v="50801.04"/>
    <n v="36391.93"/>
    <n v="14409.11"/>
    <s v="UPI"/>
  </r>
  <r>
    <s v="ORD103375"/>
    <s v="2025-10-14"/>
    <x v="1"/>
    <s v="West"/>
    <s v="Rajasthan"/>
    <s v="Jaipur"/>
    <x v="1"/>
    <x v="1"/>
    <s v="CUST1129"/>
    <s v="SP_09"/>
    <n v="7"/>
    <n v="2729.86"/>
    <n v="19109.02"/>
    <n v="12832.74"/>
    <n v="6276.28"/>
    <s v="Credit Card"/>
  </r>
  <r>
    <s v="ORD103376"/>
    <s v="2025-02-14"/>
    <x v="8"/>
    <s v="North"/>
    <s v="Uttar Pradesh"/>
    <s v="Lucknow"/>
    <x v="1"/>
    <x v="1"/>
    <s v="CUST1004"/>
    <s v="SP_03"/>
    <n v="5"/>
    <n v="2630.6"/>
    <n v="13153"/>
    <n v="9094.2800000000007"/>
    <n v="4058.72"/>
    <s v="UPI"/>
  </r>
  <r>
    <s v="ORD103377"/>
    <s v="2025-12-31"/>
    <x v="7"/>
    <s v="West"/>
    <s v="Gujarat"/>
    <s v="Ahmedabad"/>
    <x v="3"/>
    <x v="7"/>
    <s v="CUST1399"/>
    <s v="SP_07"/>
    <n v="6"/>
    <n v="11270.15"/>
    <n v="67620.899999999994"/>
    <n v="56186.92"/>
    <n v="11433.98"/>
    <s v="UPI"/>
  </r>
  <r>
    <s v="ORD103378"/>
    <s v="2025-04-19"/>
    <x v="0"/>
    <s v="North"/>
    <s v="Delhi"/>
    <s v="Delhi"/>
    <x v="3"/>
    <x v="7"/>
    <s v="CUST1672"/>
    <s v="SP_09"/>
    <n v="3"/>
    <n v="11081.83"/>
    <n v="33245.49"/>
    <n v="27726.799999999999"/>
    <n v="5518.69"/>
    <s v="Debit Card"/>
  </r>
  <r>
    <s v="ORD103379"/>
    <s v="2025-12-06"/>
    <x v="7"/>
    <s v="East"/>
    <s v="Odisha"/>
    <s v="Bhubaneswar"/>
    <x v="3"/>
    <x v="3"/>
    <s v="CUST1148"/>
    <s v="SP_13"/>
    <n v="8"/>
    <n v="26.19"/>
    <n v="209.52"/>
    <n v="79.05"/>
    <n v="130.47"/>
    <s v="UPI"/>
  </r>
  <r>
    <s v="ORD103380"/>
    <s v="2025-01-07"/>
    <x v="9"/>
    <s v="West"/>
    <s v="Maharashtra"/>
    <s v="Mumbai"/>
    <x v="1"/>
    <x v="6"/>
    <s v="CUST1683"/>
    <s v="SP_06"/>
    <n v="8"/>
    <n v="3445.18"/>
    <n v="27561.439999999999"/>
    <n v="19418"/>
    <n v="8143.44"/>
    <s v="UPI"/>
  </r>
  <r>
    <s v="ORD103381"/>
    <s v="2025-04-29"/>
    <x v="0"/>
    <s v="West"/>
    <s v="Rajasthan"/>
    <s v="Jaipur"/>
    <x v="3"/>
    <x v="11"/>
    <s v="CUST1278"/>
    <s v="SP_03"/>
    <n v="4"/>
    <n v="109.58"/>
    <n v="438.32"/>
    <n v="249.98"/>
    <n v="188.34"/>
    <s v="Debit Card"/>
  </r>
  <r>
    <s v="ORD103382"/>
    <s v="2025-04-03"/>
    <x v="0"/>
    <s v="North"/>
    <s v="Punjab"/>
    <s v="Chandigarh"/>
    <x v="1"/>
    <x v="6"/>
    <s v="CUST1786"/>
    <s v="SP_06"/>
    <n v="4"/>
    <n v="3286.81"/>
    <n v="13147.24"/>
    <n v="9752.2800000000007"/>
    <n v="3394.96"/>
    <s v="Cash"/>
  </r>
  <r>
    <s v="ORD103383"/>
    <s v="2025-12-14"/>
    <x v="7"/>
    <s v="West"/>
    <s v="Maharashtra"/>
    <s v="Mumbai"/>
    <x v="0"/>
    <x v="8"/>
    <s v="CUST1110"/>
    <s v="SP_14"/>
    <n v="6"/>
    <n v="23659.119999999999"/>
    <n v="141954.72"/>
    <n v="104490.51"/>
    <n v="37464.21"/>
    <s v="Credit Card"/>
  </r>
  <r>
    <s v="ORD103384"/>
    <s v="2025-05-27"/>
    <x v="3"/>
    <s v="North"/>
    <s v="Punjab"/>
    <s v="Chandigarh"/>
    <x v="3"/>
    <x v="3"/>
    <s v="CUST1888"/>
    <s v="SP_02"/>
    <n v="7"/>
    <n v="25.24"/>
    <n v="176.68"/>
    <n v="66.62"/>
    <n v="110.06"/>
    <s v="Cash"/>
  </r>
  <r>
    <s v="ORD103385"/>
    <s v="2025-10-31"/>
    <x v="1"/>
    <s v="South"/>
    <s v="Telangana"/>
    <s v="Hyderabad"/>
    <x v="1"/>
    <x v="5"/>
    <s v="CUST1960"/>
    <s v="SP_06"/>
    <n v="2"/>
    <n v="8997.2800000000007"/>
    <n v="17994.560000000001"/>
    <n v="14573.3"/>
    <n v="3421.26"/>
    <s v="Net Banking"/>
  </r>
  <r>
    <s v="ORD103386"/>
    <s v="2025-02-10"/>
    <x v="8"/>
    <s v="North"/>
    <s v="Uttar Pradesh"/>
    <s v="Lucknow"/>
    <x v="2"/>
    <x v="4"/>
    <s v="CUST1901"/>
    <s v="SP_09"/>
    <n v="7"/>
    <n v="2610.16"/>
    <n v="18271.12"/>
    <n v="11075.61"/>
    <n v="7195.51"/>
    <s v="Debit Card"/>
  </r>
  <r>
    <s v="ORD103387"/>
    <s v="2025-02-06"/>
    <x v="8"/>
    <s v="East"/>
    <s v="Bihar"/>
    <s v="Patna"/>
    <x v="0"/>
    <x v="8"/>
    <s v="CUST1082"/>
    <s v="SP_08"/>
    <n v="1"/>
    <n v="24019.200000000001"/>
    <n v="24019.200000000001"/>
    <n v="16308.58"/>
    <n v="7710.62"/>
    <s v="Debit Card"/>
  </r>
  <r>
    <s v="ORD103388"/>
    <s v="2025-12-30"/>
    <x v="7"/>
    <s v="East"/>
    <s v="Bihar"/>
    <s v="Patna"/>
    <x v="1"/>
    <x v="1"/>
    <s v="CUST1619"/>
    <s v="SP_05"/>
    <n v="3"/>
    <n v="2828.56"/>
    <n v="8485.68"/>
    <n v="5883.57"/>
    <n v="2602.11"/>
    <s v="Credit Card"/>
  </r>
  <r>
    <s v="ORD103389"/>
    <s v="2025-05-29"/>
    <x v="3"/>
    <s v="South"/>
    <s v="Telangana"/>
    <s v="Hyderabad"/>
    <x v="1"/>
    <x v="6"/>
    <s v="CUST1056"/>
    <s v="SP_13"/>
    <n v="3"/>
    <n v="3443.95"/>
    <n v="10331.85"/>
    <n v="7163.46"/>
    <n v="3168.39"/>
    <s v="Cash"/>
  </r>
  <r>
    <s v="ORD103390"/>
    <s v="2025-03-14"/>
    <x v="4"/>
    <s v="East"/>
    <s v="West Bengal"/>
    <s v="Kolkata"/>
    <x v="2"/>
    <x v="4"/>
    <s v="CUST1456"/>
    <s v="SP_02"/>
    <n v="8"/>
    <n v="2604.1799999999998"/>
    <n v="20833.439999999999"/>
    <n v="12820.01"/>
    <n v="8013.43"/>
    <s v="Credit Card"/>
  </r>
  <r>
    <s v="ORD103391"/>
    <s v="2025-12-11"/>
    <x v="7"/>
    <s v="South"/>
    <s v="Tamil Nadu"/>
    <s v="Chennai"/>
    <x v="0"/>
    <x v="8"/>
    <s v="CUST1989"/>
    <s v="SP_09"/>
    <n v="5"/>
    <n v="21686.45"/>
    <n v="108432.25"/>
    <n v="84698.36"/>
    <n v="23733.89"/>
    <s v="UPI"/>
  </r>
  <r>
    <s v="ORD103392"/>
    <s v="2025-03-13"/>
    <x v="4"/>
    <s v="East"/>
    <s v="West Bengal"/>
    <s v="Kolkata"/>
    <x v="1"/>
    <x v="6"/>
    <s v="CUST1613"/>
    <s v="SP_01"/>
    <n v="6"/>
    <n v="3237.31"/>
    <n v="19423.86"/>
    <n v="14523.68"/>
    <n v="4900.18"/>
    <s v="Net Banking"/>
  </r>
  <r>
    <s v="ORD103393"/>
    <s v="2025-03-07"/>
    <x v="4"/>
    <s v="North"/>
    <s v="Punjab"/>
    <s v="Chandigarh"/>
    <x v="1"/>
    <x v="1"/>
    <s v="CUST1799"/>
    <s v="SP_14"/>
    <n v="2"/>
    <n v="2854.75"/>
    <n v="5709.5"/>
    <n v="3743.6"/>
    <n v="1965.9"/>
    <s v="Net Banking"/>
  </r>
  <r>
    <s v="ORD103394"/>
    <s v="2025-04-07"/>
    <x v="0"/>
    <s v="South"/>
    <s v="Tamil Nadu"/>
    <s v="Chennai"/>
    <x v="0"/>
    <x v="8"/>
    <s v="CUST1504"/>
    <s v="SP_02"/>
    <n v="7"/>
    <n v="23397.919999999998"/>
    <n v="163785.44"/>
    <n v="122333.85"/>
    <n v="41451.589999999997"/>
    <s v="Credit Card"/>
  </r>
  <r>
    <s v="ORD103395"/>
    <s v="2025-04-28"/>
    <x v="0"/>
    <s v="South"/>
    <s v="Karnataka"/>
    <s v="Bengaluru"/>
    <x v="3"/>
    <x v="11"/>
    <s v="CUST1170"/>
    <s v="SP_15"/>
    <n v="6"/>
    <n v="117.06"/>
    <n v="702.36"/>
    <n v="350.56"/>
    <n v="351.8"/>
    <s v="Net Banking"/>
  </r>
  <r>
    <s v="ORD103396"/>
    <s v="2025-08-25"/>
    <x v="11"/>
    <s v="East"/>
    <s v="Bihar"/>
    <s v="Patna"/>
    <x v="1"/>
    <x v="1"/>
    <s v="CUST1701"/>
    <s v="SP_07"/>
    <n v="3"/>
    <n v="2539.2399999999998"/>
    <n v="7617.72"/>
    <n v="5454.65"/>
    <n v="2163.0700000000002"/>
    <s v="Net Banking"/>
  </r>
  <r>
    <s v="ORD103397"/>
    <s v="2025-04-21"/>
    <x v="0"/>
    <s v="West"/>
    <s v="Maharashtra"/>
    <s v="Mumbai"/>
    <x v="0"/>
    <x v="8"/>
    <s v="CUST1864"/>
    <s v="SP_12"/>
    <n v="1"/>
    <n v="22398.71"/>
    <n v="22398.71"/>
    <n v="16526.11"/>
    <n v="5872.6"/>
    <s v="Debit Card"/>
  </r>
  <r>
    <s v="ORD103398"/>
    <s v="2025-05-31"/>
    <x v="3"/>
    <s v="North"/>
    <s v="Delhi"/>
    <s v="Delhi"/>
    <x v="0"/>
    <x v="9"/>
    <s v="CUST1472"/>
    <s v="SP_01"/>
    <n v="2"/>
    <n v="7544.72"/>
    <n v="15089.44"/>
    <n v="10341.84"/>
    <n v="4747.6000000000004"/>
    <s v="Net Banking"/>
  </r>
  <r>
    <s v="ORD103399"/>
    <s v="2025-05-22"/>
    <x v="3"/>
    <s v="West"/>
    <s v="Maharashtra"/>
    <s v="Mumbai"/>
    <x v="3"/>
    <x v="3"/>
    <s v="CUST1106"/>
    <s v="SP_14"/>
    <n v="5"/>
    <n v="24.81"/>
    <n v="124.05"/>
    <n v="50.35"/>
    <n v="73.7"/>
    <s v="Net Banking"/>
  </r>
  <r>
    <s v="ORD103400"/>
    <s v="2025-04-28"/>
    <x v="0"/>
    <s v="North"/>
    <s v="Punjab"/>
    <s v="Chandigarh"/>
    <x v="0"/>
    <x v="9"/>
    <s v="CUST1757"/>
    <s v="SP_02"/>
    <n v="5"/>
    <n v="7538.31"/>
    <n v="37691.550000000003"/>
    <n v="25211.54"/>
    <n v="12480.01"/>
    <s v="UPI"/>
  </r>
  <r>
    <s v="ORD103401"/>
    <s v="2025-05-26"/>
    <x v="3"/>
    <s v="South"/>
    <s v="Karnataka"/>
    <s v="Bengaluru"/>
    <x v="3"/>
    <x v="11"/>
    <s v="CUST1052"/>
    <s v="SP_07"/>
    <n v="2"/>
    <n v="117.55"/>
    <n v="235.1"/>
    <n v="114.05"/>
    <n v="121.05"/>
    <s v="Credit Card"/>
  </r>
  <r>
    <s v="ORD103402"/>
    <s v="2025-07-05"/>
    <x v="6"/>
    <s v="South"/>
    <s v="Tamil Nadu"/>
    <s v="Chennai"/>
    <x v="0"/>
    <x v="0"/>
    <s v="CUST1998"/>
    <s v="SP_02"/>
    <n v="1"/>
    <n v="3198.45"/>
    <n v="3198.45"/>
    <n v="2170.1999999999998"/>
    <n v="1028.25"/>
    <s v="Cash"/>
  </r>
  <r>
    <s v="ORD103403"/>
    <s v="2025-05-25"/>
    <x v="3"/>
    <s v="South"/>
    <s v="Tamil Nadu"/>
    <s v="Chennai"/>
    <x v="0"/>
    <x v="9"/>
    <s v="CUST1941"/>
    <s v="SP_05"/>
    <n v="4"/>
    <n v="6537.81"/>
    <n v="26151.24"/>
    <n v="20428.560000000001"/>
    <n v="5722.68"/>
    <s v="Credit Card"/>
  </r>
  <r>
    <s v="ORD103404"/>
    <s v="2025-04-01"/>
    <x v="0"/>
    <s v="West"/>
    <s v="Maharashtra"/>
    <s v="Mumbai"/>
    <x v="0"/>
    <x v="8"/>
    <s v="CUST1078"/>
    <s v="SP_08"/>
    <n v="3"/>
    <n v="19969.87"/>
    <n v="59909.61"/>
    <n v="52185.87"/>
    <n v="7723.74"/>
    <s v="Net Banking"/>
  </r>
  <r>
    <s v="ORD103405"/>
    <s v="2025-12-17"/>
    <x v="7"/>
    <s v="West"/>
    <s v="Maharashtra"/>
    <s v="Mumbai"/>
    <x v="1"/>
    <x v="6"/>
    <s v="CUST1287"/>
    <s v="SP_04"/>
    <n v="2"/>
    <n v="3421.72"/>
    <n v="6843.44"/>
    <n v="4702.8999999999996"/>
    <n v="2140.54"/>
    <s v="Cash"/>
  </r>
  <r>
    <s v="ORD103406"/>
    <s v="2025-12-12"/>
    <x v="7"/>
    <s v="West"/>
    <s v="Gujarat"/>
    <s v="Ahmedabad"/>
    <x v="3"/>
    <x v="7"/>
    <s v="CUST1807"/>
    <s v="SP_01"/>
    <n v="4"/>
    <n v="12667.85"/>
    <n v="50671.4"/>
    <n v="36076.19"/>
    <n v="14595.21"/>
    <s v="Net Banking"/>
  </r>
  <r>
    <s v="ORD103407"/>
    <s v="2025-10-14"/>
    <x v="1"/>
    <s v="East"/>
    <s v="Odisha"/>
    <s v="Bhubaneswar"/>
    <x v="2"/>
    <x v="2"/>
    <s v="CUST1195"/>
    <s v="SP_12"/>
    <n v="8"/>
    <n v="45000.84"/>
    <n v="360006.72"/>
    <n v="291093.73"/>
    <n v="68912.990000000005"/>
    <s v="Net Banking"/>
  </r>
  <r>
    <s v="ORD103408"/>
    <s v="2025-11-24"/>
    <x v="10"/>
    <s v="South"/>
    <s v="Karnataka"/>
    <s v="Bengaluru"/>
    <x v="3"/>
    <x v="3"/>
    <s v="CUST1955"/>
    <s v="SP_14"/>
    <n v="8"/>
    <n v="23.27"/>
    <n v="186.16"/>
    <n v="83.92"/>
    <n v="102.24"/>
    <s v="UPI"/>
  </r>
  <r>
    <s v="ORD103409"/>
    <s v="2025-06-05"/>
    <x v="2"/>
    <s v="East"/>
    <s v="Odisha"/>
    <s v="Bhubaneswar"/>
    <x v="3"/>
    <x v="7"/>
    <s v="CUST1771"/>
    <s v="SP_14"/>
    <n v="1"/>
    <n v="12229.34"/>
    <n v="12229.34"/>
    <n v="8793.07"/>
    <n v="3436.27"/>
    <s v="Net Banking"/>
  </r>
  <r>
    <s v="ORD103410"/>
    <s v="2025-04-22"/>
    <x v="0"/>
    <s v="East"/>
    <s v="Bihar"/>
    <s v="Patna"/>
    <x v="0"/>
    <x v="0"/>
    <s v="CUST1266"/>
    <s v="SP_07"/>
    <n v="1"/>
    <n v="3395.88"/>
    <n v="3395.88"/>
    <n v="2172.08"/>
    <n v="1223.8"/>
    <s v="UPI"/>
  </r>
  <r>
    <s v="ORD103411"/>
    <s v="2025-08-05"/>
    <x v="11"/>
    <s v="West"/>
    <s v="Maharashtra"/>
    <s v="Mumbai"/>
    <x v="3"/>
    <x v="7"/>
    <s v="CUST1483"/>
    <s v="SP_03"/>
    <n v="8"/>
    <n v="11083.37"/>
    <n v="88666.96"/>
    <n v="74101.97"/>
    <n v="14564.99"/>
    <s v="Credit Card"/>
  </r>
  <r>
    <s v="ORD103412"/>
    <s v="2025-12-01"/>
    <x v="7"/>
    <s v="North"/>
    <s v="Delhi"/>
    <s v="Delhi"/>
    <x v="3"/>
    <x v="7"/>
    <s v="CUST1619"/>
    <s v="SP_08"/>
    <n v="1"/>
    <n v="10868.32"/>
    <n v="10868.32"/>
    <n v="9315.44"/>
    <n v="1552.88"/>
    <s v="Debit Card"/>
  </r>
  <r>
    <s v="ORD103413"/>
    <s v="2025-06-18"/>
    <x v="2"/>
    <s v="East"/>
    <s v="West Bengal"/>
    <s v="Kolkata"/>
    <x v="3"/>
    <x v="7"/>
    <s v="CUST1079"/>
    <s v="SP_04"/>
    <n v="6"/>
    <n v="12437.11"/>
    <n v="74622.66"/>
    <n v="54951.54"/>
    <n v="19671.12"/>
    <s v="Cash"/>
  </r>
  <r>
    <s v="ORD103414"/>
    <s v="2025-01-23"/>
    <x v="9"/>
    <s v="North"/>
    <s v="Punjab"/>
    <s v="Chandigarh"/>
    <x v="2"/>
    <x v="4"/>
    <s v="CUST1214"/>
    <s v="SP_01"/>
    <n v="2"/>
    <n v="2746.71"/>
    <n v="5493.42"/>
    <n v="3258.19"/>
    <n v="2235.23"/>
    <s v="Net Banking"/>
  </r>
  <r>
    <s v="ORD103415"/>
    <s v="2025-11-04"/>
    <x v="10"/>
    <s v="West"/>
    <s v="Maharashtra"/>
    <s v="Mumbai"/>
    <x v="2"/>
    <x v="10"/>
    <s v="CUST1594"/>
    <s v="SP_12"/>
    <n v="3"/>
    <n v="18913.490000000002"/>
    <n v="56740.47"/>
    <n v="43780.33"/>
    <n v="12960.14"/>
    <s v="UPI"/>
  </r>
  <r>
    <s v="ORD103416"/>
    <s v="2025-01-19"/>
    <x v="9"/>
    <s v="North"/>
    <s v="Delhi"/>
    <s v="Delhi"/>
    <x v="0"/>
    <x v="8"/>
    <s v="CUST1690"/>
    <s v="SP_05"/>
    <n v="2"/>
    <n v="21274.83"/>
    <n v="42549.66"/>
    <n v="34639.919999999998"/>
    <n v="7909.74"/>
    <s v="Net Banking"/>
  </r>
  <r>
    <s v="ORD103417"/>
    <s v="2025-05-06"/>
    <x v="3"/>
    <s v="South"/>
    <s v="Telangana"/>
    <s v="Hyderabad"/>
    <x v="3"/>
    <x v="3"/>
    <s v="CUST1928"/>
    <s v="SP_02"/>
    <n v="1"/>
    <n v="26.36"/>
    <n v="26.36"/>
    <n v="10.210000000000001"/>
    <n v="16.149999999999999"/>
    <s v="Net Banking"/>
  </r>
  <r>
    <s v="ORD103418"/>
    <s v="2025-04-13"/>
    <x v="0"/>
    <s v="East"/>
    <s v="West Bengal"/>
    <s v="Kolkata"/>
    <x v="2"/>
    <x v="10"/>
    <s v="CUST1986"/>
    <s v="SP_04"/>
    <n v="6"/>
    <n v="19044.36"/>
    <n v="114266.16"/>
    <n v="85286.9"/>
    <n v="28979.26"/>
    <s v="Credit Card"/>
  </r>
  <r>
    <s v="ORD103419"/>
    <s v="2025-05-28"/>
    <x v="3"/>
    <s v="East"/>
    <s v="Odisha"/>
    <s v="Bhubaneswar"/>
    <x v="1"/>
    <x v="6"/>
    <s v="CUST1542"/>
    <s v="SP_08"/>
    <n v="5"/>
    <n v="3494.45"/>
    <n v="17472.25"/>
    <n v="11693.79"/>
    <n v="5778.46"/>
    <s v="Cash"/>
  </r>
  <r>
    <s v="ORD103420"/>
    <s v="2025-09-10"/>
    <x v="5"/>
    <s v="East"/>
    <s v="Bihar"/>
    <s v="Patna"/>
    <x v="0"/>
    <x v="8"/>
    <s v="CUST1023"/>
    <s v="SP_06"/>
    <n v="4"/>
    <n v="19852.5"/>
    <n v="79410"/>
    <n v="68029.14"/>
    <n v="11380.86"/>
    <s v="Debit Card"/>
  </r>
  <r>
    <s v="ORD103421"/>
    <s v="2025-05-07"/>
    <x v="3"/>
    <s v="South"/>
    <s v="Telangana"/>
    <s v="Hyderabad"/>
    <x v="2"/>
    <x v="4"/>
    <s v="CUST1869"/>
    <s v="SP_07"/>
    <n v="6"/>
    <n v="2683.38"/>
    <n v="16100.28"/>
    <n v="9270.31"/>
    <n v="6829.97"/>
    <s v="Cash"/>
  </r>
  <r>
    <s v="ORD103422"/>
    <s v="2025-02-22"/>
    <x v="8"/>
    <s v="South"/>
    <s v="Telangana"/>
    <s v="Hyderabad"/>
    <x v="3"/>
    <x v="3"/>
    <s v="CUST1297"/>
    <s v="SP_11"/>
    <n v="5"/>
    <n v="22.77"/>
    <n v="113.85"/>
    <n v="49.21"/>
    <n v="64.64"/>
    <s v="Cash"/>
  </r>
  <r>
    <s v="ORD103423"/>
    <s v="2025-04-20"/>
    <x v="0"/>
    <s v="West"/>
    <s v="Gujarat"/>
    <s v="Ahmedabad"/>
    <x v="0"/>
    <x v="0"/>
    <s v="CUST1678"/>
    <s v="SP_12"/>
    <n v="4"/>
    <n v="3220.45"/>
    <n v="12881.8"/>
    <n v="8438.65"/>
    <n v="4443.1499999999996"/>
    <s v="Cash"/>
  </r>
  <r>
    <s v="ORD103424"/>
    <s v="2025-05-30"/>
    <x v="3"/>
    <s v="North"/>
    <s v="Punjab"/>
    <s v="Chandigarh"/>
    <x v="0"/>
    <x v="9"/>
    <s v="CUST1889"/>
    <s v="SP_04"/>
    <n v="8"/>
    <n v="7395.84"/>
    <n v="59166.720000000001"/>
    <n v="39950.49"/>
    <n v="19216.23"/>
    <s v="UPI"/>
  </r>
  <r>
    <s v="ORD103425"/>
    <s v="2025-07-23"/>
    <x v="6"/>
    <s v="East"/>
    <s v="West Bengal"/>
    <s v="Kolkata"/>
    <x v="3"/>
    <x v="3"/>
    <s v="CUST1686"/>
    <s v="SP_04"/>
    <n v="2"/>
    <n v="22.58"/>
    <n v="45.16"/>
    <n v="19.95"/>
    <n v="25.21"/>
    <s v="Debit Card"/>
  </r>
  <r>
    <s v="ORD103426"/>
    <s v="2025-05-10"/>
    <x v="3"/>
    <s v="East"/>
    <s v="West Bengal"/>
    <s v="Kolkata"/>
    <x v="1"/>
    <x v="1"/>
    <s v="CUST1329"/>
    <s v="SP_08"/>
    <n v="8"/>
    <n v="2809.8"/>
    <n v="22478.400000000001"/>
    <n v="15731.05"/>
    <n v="6747.35"/>
    <s v="UPI"/>
  </r>
  <r>
    <s v="ORD103427"/>
    <s v="2025-02-16"/>
    <x v="8"/>
    <s v="South"/>
    <s v="Telangana"/>
    <s v="Hyderabad"/>
    <x v="0"/>
    <x v="8"/>
    <s v="CUST1990"/>
    <s v="SP_08"/>
    <n v="1"/>
    <n v="20155.919999999998"/>
    <n v="20155.919999999998"/>
    <n v="17836.830000000002"/>
    <n v="2319.09"/>
    <s v="Net Banking"/>
  </r>
  <r>
    <s v="ORD103428"/>
    <s v="2025-08-22"/>
    <x v="11"/>
    <s v="North"/>
    <s v="Punjab"/>
    <s v="Chandigarh"/>
    <x v="0"/>
    <x v="8"/>
    <s v="CUST1697"/>
    <s v="SP_09"/>
    <n v="3"/>
    <n v="20716.169999999998"/>
    <n v="62148.51"/>
    <n v="51083.11"/>
    <n v="11065.4"/>
    <s v="UPI"/>
  </r>
  <r>
    <s v="ORD103429"/>
    <s v="2025-06-23"/>
    <x v="2"/>
    <s v="East"/>
    <s v="Odisha"/>
    <s v="Bhubaneswar"/>
    <x v="3"/>
    <x v="11"/>
    <s v="CUST1367"/>
    <s v="SP_04"/>
    <n v="1"/>
    <n v="114.25"/>
    <n v="114.25"/>
    <n v="60.28"/>
    <n v="53.97"/>
    <s v="Debit Card"/>
  </r>
  <r>
    <s v="ORD103430"/>
    <s v="2025-10-11"/>
    <x v="1"/>
    <s v="West"/>
    <s v="Gujarat"/>
    <s v="Ahmedabad"/>
    <x v="1"/>
    <x v="6"/>
    <s v="CUST1643"/>
    <s v="SP_03"/>
    <n v="4"/>
    <n v="3204.63"/>
    <n v="12818.52"/>
    <n v="9831.34"/>
    <n v="2987.18"/>
    <s v="UPI"/>
  </r>
  <r>
    <s v="ORD103431"/>
    <s v="2025-05-07"/>
    <x v="3"/>
    <s v="North"/>
    <s v="Uttar Pradesh"/>
    <s v="Lucknow"/>
    <x v="0"/>
    <x v="8"/>
    <s v="CUST1946"/>
    <s v="SP_05"/>
    <n v="1"/>
    <n v="23701.97"/>
    <n v="23701.97"/>
    <n v="17244.62"/>
    <n v="6457.35"/>
    <s v="Debit Card"/>
  </r>
  <r>
    <s v="ORD103432"/>
    <s v="2025-06-30"/>
    <x v="2"/>
    <s v="South"/>
    <s v="Karnataka"/>
    <s v="Bengaluru"/>
    <x v="1"/>
    <x v="5"/>
    <s v="CUST1403"/>
    <s v="SP_04"/>
    <n v="7"/>
    <n v="9477.09"/>
    <n v="66339.63"/>
    <n v="52262.61"/>
    <n v="14077.02"/>
    <s v="UPI"/>
  </r>
  <r>
    <s v="ORD103433"/>
    <s v="2025-01-07"/>
    <x v="9"/>
    <s v="West"/>
    <s v="Gujarat"/>
    <s v="Ahmedabad"/>
    <x v="1"/>
    <x v="6"/>
    <s v="CUST1973"/>
    <s v="SP_07"/>
    <n v="7"/>
    <n v="3265.06"/>
    <n v="22855.42"/>
    <n v="16283.66"/>
    <n v="6571.76"/>
    <s v="Net Banking"/>
  </r>
  <r>
    <s v="ORD103434"/>
    <s v="2025-01-05"/>
    <x v="9"/>
    <s v="South"/>
    <s v="Telangana"/>
    <s v="Hyderabad"/>
    <x v="0"/>
    <x v="0"/>
    <s v="CUST1294"/>
    <s v="SP_08"/>
    <n v="2"/>
    <n v="3627.58"/>
    <n v="7255.16"/>
    <n v="4528.91"/>
    <n v="2726.25"/>
    <s v="Net Banking"/>
  </r>
  <r>
    <s v="ORD103435"/>
    <s v="2025-05-09"/>
    <x v="3"/>
    <s v="East"/>
    <s v="Bihar"/>
    <s v="Patna"/>
    <x v="1"/>
    <x v="1"/>
    <s v="CUST1216"/>
    <s v="SP_03"/>
    <n v="7"/>
    <n v="2633.15"/>
    <n v="18432.05"/>
    <n v="13117.03"/>
    <n v="5315.02"/>
    <s v="UPI"/>
  </r>
  <r>
    <s v="ORD103436"/>
    <s v="2025-06-04"/>
    <x v="2"/>
    <s v="East"/>
    <s v="Bihar"/>
    <s v="Patna"/>
    <x v="0"/>
    <x v="9"/>
    <s v="CUST1435"/>
    <s v="SP_14"/>
    <n v="4"/>
    <n v="6910.19"/>
    <n v="27640.76"/>
    <n v="20385.080000000002"/>
    <n v="7255.68"/>
    <s v="Net Banking"/>
  </r>
  <r>
    <s v="ORD103437"/>
    <s v="2025-02-14"/>
    <x v="8"/>
    <s v="North"/>
    <s v="Delhi"/>
    <s v="Delhi"/>
    <x v="0"/>
    <x v="0"/>
    <s v="CUST1460"/>
    <s v="SP_04"/>
    <n v="6"/>
    <n v="3166.43"/>
    <n v="18998.580000000002"/>
    <n v="12891.41"/>
    <n v="6107.17"/>
    <s v="Credit Card"/>
  </r>
  <r>
    <s v="ORD103438"/>
    <s v="2025-04-25"/>
    <x v="0"/>
    <s v="West"/>
    <s v="Rajasthan"/>
    <s v="Jaipur"/>
    <x v="1"/>
    <x v="1"/>
    <s v="CUST1812"/>
    <s v="SP_09"/>
    <n v="8"/>
    <n v="3032.4"/>
    <n v="24259.200000000001"/>
    <n v="14823.5"/>
    <n v="9435.7000000000007"/>
    <s v="Credit Card"/>
  </r>
  <r>
    <s v="ORD103439"/>
    <s v="2025-04-21"/>
    <x v="0"/>
    <s v="West"/>
    <s v="Rajasthan"/>
    <s v="Jaipur"/>
    <x v="3"/>
    <x v="11"/>
    <s v="CUST1012"/>
    <s v="SP_06"/>
    <n v="6"/>
    <n v="123.5"/>
    <n v="741"/>
    <n v="362.45"/>
    <n v="378.55"/>
    <s v="Cash"/>
  </r>
  <r>
    <s v="ORD103440"/>
    <s v="2025-03-18"/>
    <x v="4"/>
    <s v="South"/>
    <s v="Tamil Nadu"/>
    <s v="Chennai"/>
    <x v="3"/>
    <x v="3"/>
    <s v="CUST1908"/>
    <s v="SP_15"/>
    <n v="7"/>
    <n v="23.48"/>
    <n v="164.36"/>
    <n v="72.47"/>
    <n v="91.89"/>
    <s v="Credit Card"/>
  </r>
  <r>
    <s v="ORD103441"/>
    <s v="2025-01-06"/>
    <x v="9"/>
    <s v="South"/>
    <s v="Tamil Nadu"/>
    <s v="Chennai"/>
    <x v="2"/>
    <x v="4"/>
    <s v="CUST1222"/>
    <s v="SP_12"/>
    <n v="2"/>
    <n v="2421.8200000000002"/>
    <n v="4843.6400000000003"/>
    <n v="3314.59"/>
    <n v="1529.05"/>
    <s v="UPI"/>
  </r>
  <r>
    <s v="ORD103442"/>
    <s v="2025-11-11"/>
    <x v="10"/>
    <s v="East"/>
    <s v="Bihar"/>
    <s v="Patna"/>
    <x v="1"/>
    <x v="1"/>
    <s v="CUST1174"/>
    <s v="SP_12"/>
    <n v="4"/>
    <n v="2640.71"/>
    <n v="10562.84"/>
    <n v="7724.31"/>
    <n v="2838.53"/>
    <s v="Credit Card"/>
  </r>
  <r>
    <s v="ORD103443"/>
    <s v="2025-09-22"/>
    <x v="5"/>
    <s v="East"/>
    <s v="West Bengal"/>
    <s v="Kolkata"/>
    <x v="0"/>
    <x v="9"/>
    <s v="CUST1438"/>
    <s v="SP_07"/>
    <n v="1"/>
    <n v="7067.77"/>
    <n v="7067.77"/>
    <n v="5088.05"/>
    <n v="1979.72"/>
    <s v="UPI"/>
  </r>
  <r>
    <s v="ORD103444"/>
    <s v="2025-08-22"/>
    <x v="11"/>
    <s v="East"/>
    <s v="Odisha"/>
    <s v="Bhubaneswar"/>
    <x v="1"/>
    <x v="1"/>
    <s v="CUST1574"/>
    <s v="SP_05"/>
    <n v="4"/>
    <n v="3008.08"/>
    <n v="12032.32"/>
    <n v="7832.53"/>
    <n v="4199.79"/>
    <s v="Net Banking"/>
  </r>
  <r>
    <s v="ORD103445"/>
    <s v="2025-04-30"/>
    <x v="0"/>
    <s v="East"/>
    <s v="West Bengal"/>
    <s v="Kolkata"/>
    <x v="0"/>
    <x v="8"/>
    <s v="CUST1886"/>
    <s v="SP_04"/>
    <n v="4"/>
    <n v="22281.18"/>
    <n v="89124.72"/>
    <n v="65498.51"/>
    <n v="23626.21"/>
    <s v="Credit Card"/>
  </r>
  <r>
    <s v="ORD103446"/>
    <s v="2025-06-02"/>
    <x v="2"/>
    <s v="East"/>
    <s v="Bihar"/>
    <s v="Patna"/>
    <x v="0"/>
    <x v="8"/>
    <s v="CUST1440"/>
    <s v="SP_09"/>
    <n v="8"/>
    <n v="22740.09"/>
    <n v="181920.72"/>
    <n v="130848.22"/>
    <n v="51072.5"/>
    <s v="Cash"/>
  </r>
  <r>
    <s v="ORD103447"/>
    <s v="2025-04-01"/>
    <x v="0"/>
    <s v="South"/>
    <s v="Karnataka"/>
    <s v="Bengaluru"/>
    <x v="3"/>
    <x v="7"/>
    <s v="CUST1932"/>
    <s v="SP_06"/>
    <n v="5"/>
    <n v="11550.67"/>
    <n v="57753.35"/>
    <n v="46763.33"/>
    <n v="10990.02"/>
    <s v="UPI"/>
  </r>
  <r>
    <s v="ORD103448"/>
    <s v="2025-08-12"/>
    <x v="11"/>
    <s v="East"/>
    <s v="Bihar"/>
    <s v="Patna"/>
    <x v="2"/>
    <x v="4"/>
    <s v="CUST1040"/>
    <s v="SP_04"/>
    <n v="5"/>
    <n v="2547.96"/>
    <n v="12739.8"/>
    <n v="8025.84"/>
    <n v="4713.96"/>
    <s v="Credit Card"/>
  </r>
  <r>
    <s v="ORD103449"/>
    <s v="2025-08-08"/>
    <x v="11"/>
    <s v="South"/>
    <s v="Telangana"/>
    <s v="Hyderabad"/>
    <x v="3"/>
    <x v="11"/>
    <s v="CUST1928"/>
    <s v="SP_06"/>
    <n v="6"/>
    <n v="125.18"/>
    <n v="751.08"/>
    <n v="344.15"/>
    <n v="406.93"/>
    <s v="Credit Card"/>
  </r>
  <r>
    <s v="ORD103450"/>
    <s v="2025-06-16"/>
    <x v="2"/>
    <s v="North"/>
    <s v="Uttar Pradesh"/>
    <s v="Lucknow"/>
    <x v="1"/>
    <x v="5"/>
    <s v="CUST1873"/>
    <s v="SP_03"/>
    <n v="1"/>
    <n v="9278.52"/>
    <n v="9278.52"/>
    <n v="7389.02"/>
    <n v="1889.5"/>
    <s v="Debit Card"/>
  </r>
  <r>
    <s v="ORD103451"/>
    <s v="2025-12-13"/>
    <x v="7"/>
    <s v="North"/>
    <s v="Uttar Pradesh"/>
    <s v="Lucknow"/>
    <x v="0"/>
    <x v="9"/>
    <s v="CUST1925"/>
    <s v="SP_04"/>
    <n v="4"/>
    <n v="6840.47"/>
    <n v="27361.88"/>
    <n v="19361.78"/>
    <n v="8000.1"/>
    <s v="Cash"/>
  </r>
  <r>
    <s v="ORD103452"/>
    <s v="2025-07-13"/>
    <x v="6"/>
    <s v="East"/>
    <s v="Bihar"/>
    <s v="Patna"/>
    <x v="1"/>
    <x v="1"/>
    <s v="CUST1414"/>
    <s v="SP_15"/>
    <n v="2"/>
    <n v="2522.48"/>
    <n v="5044.96"/>
    <n v="3694.45"/>
    <n v="1350.51"/>
    <s v="Cash"/>
  </r>
  <r>
    <s v="ORD103453"/>
    <s v="2025-03-25"/>
    <x v="4"/>
    <s v="South"/>
    <s v="Tamil Nadu"/>
    <s v="Chennai"/>
    <x v="2"/>
    <x v="2"/>
    <s v="CUST1197"/>
    <s v="SP_11"/>
    <n v="2"/>
    <n v="42820.54"/>
    <n v="85641.08"/>
    <n v="66932.25"/>
    <n v="18708.830000000002"/>
    <s v="Net Banking"/>
  </r>
  <r>
    <s v="ORD103454"/>
    <s v="2025-02-28"/>
    <x v="8"/>
    <s v="East"/>
    <s v="West Bengal"/>
    <s v="Kolkata"/>
    <x v="2"/>
    <x v="10"/>
    <s v="CUST1399"/>
    <s v="SP_14"/>
    <n v="5"/>
    <n v="18458.84"/>
    <n v="92294.2"/>
    <n v="72761.490000000005"/>
    <n v="19532.71"/>
    <s v="Cash"/>
  </r>
  <r>
    <s v="ORD103455"/>
    <s v="2025-02-25"/>
    <x v="8"/>
    <s v="North"/>
    <s v="Punjab"/>
    <s v="Chandigarh"/>
    <x v="2"/>
    <x v="2"/>
    <s v="CUST1662"/>
    <s v="SP_15"/>
    <n v="4"/>
    <n v="43905.18"/>
    <n v="175620.72"/>
    <n v="134178.57"/>
    <n v="41442.15"/>
    <s v="Credit Card"/>
  </r>
  <r>
    <s v="ORD103456"/>
    <s v="2025-06-16"/>
    <x v="2"/>
    <s v="South"/>
    <s v="Tamil Nadu"/>
    <s v="Chennai"/>
    <x v="3"/>
    <x v="7"/>
    <s v="CUST1617"/>
    <s v="SP_09"/>
    <n v="1"/>
    <n v="11874.73"/>
    <n v="11874.73"/>
    <n v="8928.73"/>
    <n v="2946"/>
    <s v="Cash"/>
  </r>
  <r>
    <s v="ORD103457"/>
    <s v="2025-08-16"/>
    <x v="11"/>
    <s v="South"/>
    <s v="Tamil Nadu"/>
    <s v="Chennai"/>
    <x v="3"/>
    <x v="3"/>
    <s v="CUST1222"/>
    <s v="SP_03"/>
    <n v="1"/>
    <n v="27.22"/>
    <n v="27.22"/>
    <n v="10.18"/>
    <n v="17.04"/>
    <s v="Debit Card"/>
  </r>
  <r>
    <s v="ORD103458"/>
    <s v="2025-07-06"/>
    <x v="6"/>
    <s v="North"/>
    <s v="Punjab"/>
    <s v="Chandigarh"/>
    <x v="3"/>
    <x v="11"/>
    <s v="CUST1433"/>
    <s v="SP_08"/>
    <n v="1"/>
    <n v="112.83"/>
    <n v="112.83"/>
    <n v="59.91"/>
    <n v="52.92"/>
    <s v="Net Banking"/>
  </r>
  <r>
    <s v="ORD103459"/>
    <s v="2025-03-01"/>
    <x v="4"/>
    <s v="South"/>
    <s v="Karnataka"/>
    <s v="Bengaluru"/>
    <x v="2"/>
    <x v="4"/>
    <s v="CUST1587"/>
    <s v="SP_05"/>
    <n v="5"/>
    <n v="2679.58"/>
    <n v="13397.9"/>
    <n v="7892.93"/>
    <n v="5504.97"/>
    <s v="Net Banking"/>
  </r>
  <r>
    <s v="ORD103460"/>
    <s v="2025-08-19"/>
    <x v="11"/>
    <s v="East"/>
    <s v="West Bengal"/>
    <s v="Kolkata"/>
    <x v="1"/>
    <x v="5"/>
    <s v="CUST1621"/>
    <s v="SP_07"/>
    <n v="4"/>
    <n v="10065.24"/>
    <n v="40260.959999999999"/>
    <n v="29147.5"/>
    <n v="11113.46"/>
    <s v="UPI"/>
  </r>
  <r>
    <s v="ORD103461"/>
    <s v="2025-11-13"/>
    <x v="10"/>
    <s v="South"/>
    <s v="Karnataka"/>
    <s v="Bengaluru"/>
    <x v="2"/>
    <x v="10"/>
    <s v="CUST1558"/>
    <s v="SP_06"/>
    <n v="6"/>
    <n v="17742.97"/>
    <n v="106457.82"/>
    <n v="81587.09"/>
    <n v="24870.73"/>
    <s v="Credit Card"/>
  </r>
  <r>
    <s v="ORD103462"/>
    <s v="2025-02-10"/>
    <x v="8"/>
    <s v="North"/>
    <s v="Uttar Pradesh"/>
    <s v="Lucknow"/>
    <x v="0"/>
    <x v="0"/>
    <s v="CUST1987"/>
    <s v="SP_13"/>
    <n v="3"/>
    <n v="3165.72"/>
    <n v="9497.16"/>
    <n v="6593.05"/>
    <n v="2904.11"/>
    <s v="Cash"/>
  </r>
  <r>
    <s v="ORD103463"/>
    <s v="2025-09-09"/>
    <x v="5"/>
    <s v="West"/>
    <s v="Rajasthan"/>
    <s v="Jaipur"/>
    <x v="1"/>
    <x v="1"/>
    <s v="CUST1408"/>
    <s v="SP_08"/>
    <n v="3"/>
    <n v="2789.9"/>
    <n v="8369.7000000000007"/>
    <n v="5815.26"/>
    <n v="2554.44"/>
    <s v="Cash"/>
  </r>
  <r>
    <s v="ORD103464"/>
    <s v="2025-02-11"/>
    <x v="8"/>
    <s v="North"/>
    <s v="Uttar Pradesh"/>
    <s v="Lucknow"/>
    <x v="1"/>
    <x v="5"/>
    <s v="CUST1153"/>
    <s v="SP_11"/>
    <n v="8"/>
    <n v="9743.4699999999993"/>
    <n v="77947.759999999995"/>
    <n v="59180.639999999999"/>
    <n v="18767.12"/>
    <s v="Debit Card"/>
  </r>
  <r>
    <s v="ORD103465"/>
    <s v="2025-07-07"/>
    <x v="6"/>
    <s v="West"/>
    <s v="Rajasthan"/>
    <s v="Jaipur"/>
    <x v="3"/>
    <x v="7"/>
    <s v="CUST1944"/>
    <s v="SP_11"/>
    <n v="6"/>
    <n v="11743.42"/>
    <n v="70460.52"/>
    <n v="55812.35"/>
    <n v="14648.17"/>
    <s v="Debit Card"/>
  </r>
  <r>
    <s v="ORD103466"/>
    <s v="2025-09-20"/>
    <x v="5"/>
    <s v="East"/>
    <s v="Odisha"/>
    <s v="Bhubaneswar"/>
    <x v="0"/>
    <x v="0"/>
    <s v="CUST1178"/>
    <s v="SP_15"/>
    <n v="8"/>
    <n v="3222.24"/>
    <n v="25777.919999999998"/>
    <n v="17600.88"/>
    <n v="8177.04"/>
    <s v="Cash"/>
  </r>
  <r>
    <s v="ORD103467"/>
    <s v="2025-04-26"/>
    <x v="0"/>
    <s v="North"/>
    <s v="Uttar Pradesh"/>
    <s v="Lucknow"/>
    <x v="1"/>
    <x v="5"/>
    <s v="CUST1367"/>
    <s v="SP_11"/>
    <n v="4"/>
    <n v="9661.81"/>
    <n v="38647.24"/>
    <n v="28908.15"/>
    <n v="9739.09"/>
    <s v="Cash"/>
  </r>
  <r>
    <s v="ORD103468"/>
    <s v="2025-05-23"/>
    <x v="3"/>
    <s v="East"/>
    <s v="West Bengal"/>
    <s v="Kolkata"/>
    <x v="0"/>
    <x v="9"/>
    <s v="CUST1755"/>
    <s v="SP_03"/>
    <n v="7"/>
    <n v="7214.66"/>
    <n v="50502.62"/>
    <n v="35670.19"/>
    <n v="14832.43"/>
    <s v="Net Banking"/>
  </r>
  <r>
    <s v="ORD103469"/>
    <s v="2025-06-20"/>
    <x v="2"/>
    <s v="North"/>
    <s v="Uttar Pradesh"/>
    <s v="Lucknow"/>
    <x v="0"/>
    <x v="8"/>
    <s v="CUST1732"/>
    <s v="SP_08"/>
    <n v="1"/>
    <n v="22967.360000000001"/>
    <n v="22967.360000000001"/>
    <n v="16616.03"/>
    <n v="6351.33"/>
    <s v="Net Banking"/>
  </r>
  <r>
    <s v="ORD103470"/>
    <s v="2025-08-13"/>
    <x v="11"/>
    <s v="West"/>
    <s v="Rajasthan"/>
    <s v="Jaipur"/>
    <x v="0"/>
    <x v="9"/>
    <s v="CUST1903"/>
    <s v="SP_06"/>
    <n v="6"/>
    <n v="7281.74"/>
    <n v="43690.44"/>
    <n v="29090.15"/>
    <n v="14600.29"/>
    <s v="Debit Card"/>
  </r>
  <r>
    <s v="ORD103471"/>
    <s v="2025-01-24"/>
    <x v="9"/>
    <s v="West"/>
    <s v="Gujarat"/>
    <s v="Ahmedabad"/>
    <x v="3"/>
    <x v="3"/>
    <s v="CUST1615"/>
    <s v="SP_14"/>
    <n v="5"/>
    <n v="23.9"/>
    <n v="119.5"/>
    <n v="49.63"/>
    <n v="69.87"/>
    <s v="Net Banking"/>
  </r>
  <r>
    <s v="ORD103472"/>
    <s v="2025-09-19"/>
    <x v="5"/>
    <s v="South"/>
    <s v="Karnataka"/>
    <s v="Bengaluru"/>
    <x v="0"/>
    <x v="0"/>
    <s v="CUST1578"/>
    <s v="SP_14"/>
    <n v="1"/>
    <n v="3178.7"/>
    <n v="3178.7"/>
    <n v="2161.04"/>
    <n v="1017.66"/>
    <s v="UPI"/>
  </r>
  <r>
    <s v="ORD103473"/>
    <s v="2025-01-19"/>
    <x v="9"/>
    <s v="East"/>
    <s v="West Bengal"/>
    <s v="Kolkata"/>
    <x v="0"/>
    <x v="0"/>
    <s v="CUST1064"/>
    <s v="SP_12"/>
    <n v="6"/>
    <n v="3336.79"/>
    <n v="20020.740000000002"/>
    <n v="13399.17"/>
    <n v="6621.57"/>
    <s v="UPI"/>
  </r>
  <r>
    <s v="ORD103474"/>
    <s v="2025-12-25"/>
    <x v="7"/>
    <s v="North"/>
    <s v="Punjab"/>
    <s v="Chandigarh"/>
    <x v="1"/>
    <x v="5"/>
    <s v="CUST1408"/>
    <s v="SP_14"/>
    <n v="2"/>
    <n v="10314.36"/>
    <n v="20628.72"/>
    <n v="15934.33"/>
    <n v="4694.3900000000003"/>
    <s v="Debit Card"/>
  </r>
  <r>
    <s v="ORD103475"/>
    <s v="2025-01-02"/>
    <x v="9"/>
    <s v="East"/>
    <s v="Odisha"/>
    <s v="Bhubaneswar"/>
    <x v="2"/>
    <x v="2"/>
    <s v="CUST1701"/>
    <s v="SP_15"/>
    <n v="6"/>
    <n v="48373.69"/>
    <n v="290242.14"/>
    <n v="202786.3"/>
    <n v="87455.84"/>
    <s v="Cash"/>
  </r>
  <r>
    <s v="ORD103476"/>
    <s v="2025-10-31"/>
    <x v="1"/>
    <s v="South"/>
    <s v="Telangana"/>
    <s v="Hyderabad"/>
    <x v="3"/>
    <x v="7"/>
    <s v="CUST1608"/>
    <s v="SP_08"/>
    <n v="6"/>
    <n v="13101.12"/>
    <n v="78606.720000000001"/>
    <n v="55025.91"/>
    <n v="23580.81"/>
    <s v="Cash"/>
  </r>
  <r>
    <s v="ORD103477"/>
    <s v="2025-04-19"/>
    <x v="0"/>
    <s v="West"/>
    <s v="Rajasthan"/>
    <s v="Jaipur"/>
    <x v="0"/>
    <x v="9"/>
    <s v="CUST1882"/>
    <s v="SP_11"/>
    <n v="6"/>
    <n v="7450.93"/>
    <n v="44705.58"/>
    <n v="28600.62"/>
    <n v="16104.96"/>
    <s v="Debit Card"/>
  </r>
  <r>
    <s v="ORD103478"/>
    <s v="2025-05-13"/>
    <x v="3"/>
    <s v="East"/>
    <s v="Odisha"/>
    <s v="Bhubaneswar"/>
    <x v="1"/>
    <x v="6"/>
    <s v="CUST1749"/>
    <s v="SP_14"/>
    <n v="8"/>
    <n v="3239.79"/>
    <n v="25918.32"/>
    <n v="19864.75"/>
    <n v="6053.57"/>
    <s v="Cash"/>
  </r>
  <r>
    <s v="ORD103479"/>
    <s v="2025-08-07"/>
    <x v="11"/>
    <s v="East"/>
    <s v="Odisha"/>
    <s v="Bhubaneswar"/>
    <x v="1"/>
    <x v="6"/>
    <s v="CUST1352"/>
    <s v="SP_10"/>
    <n v="8"/>
    <n v="2920.69"/>
    <n v="23365.52"/>
    <n v="18553.96"/>
    <n v="4811.5600000000004"/>
    <s v="UPI"/>
  </r>
  <r>
    <s v="ORD103480"/>
    <s v="2025-04-09"/>
    <x v="0"/>
    <s v="East"/>
    <s v="Bihar"/>
    <s v="Patna"/>
    <x v="0"/>
    <x v="9"/>
    <s v="CUST1745"/>
    <s v="SP_12"/>
    <n v="3"/>
    <n v="7012.98"/>
    <n v="21038.94"/>
    <n v="15059.84"/>
    <n v="5979.1"/>
    <s v="UPI"/>
  </r>
  <r>
    <s v="ORD103481"/>
    <s v="2025-09-14"/>
    <x v="5"/>
    <s v="East"/>
    <s v="Bihar"/>
    <s v="Patna"/>
    <x v="3"/>
    <x v="11"/>
    <s v="CUST1727"/>
    <s v="SP_11"/>
    <n v="6"/>
    <n v="124.45"/>
    <n v="746.7"/>
    <n v="354.37"/>
    <n v="392.33"/>
    <s v="Debit Card"/>
  </r>
  <r>
    <s v="ORD103482"/>
    <s v="2025-05-23"/>
    <x v="3"/>
    <s v="North"/>
    <s v="Delhi"/>
    <s v="Delhi"/>
    <x v="1"/>
    <x v="1"/>
    <s v="CUST1745"/>
    <s v="SP_05"/>
    <n v="4"/>
    <n v="2592.5300000000002"/>
    <n v="10370.120000000001"/>
    <n v="7380.39"/>
    <n v="2989.73"/>
    <s v="Cash"/>
  </r>
  <r>
    <s v="ORD103483"/>
    <s v="2025-12-21"/>
    <x v="7"/>
    <s v="East"/>
    <s v="Bihar"/>
    <s v="Patna"/>
    <x v="3"/>
    <x v="3"/>
    <s v="CUST1816"/>
    <s v="SP_12"/>
    <n v="4"/>
    <n v="24.21"/>
    <n v="96.84"/>
    <n v="41.52"/>
    <n v="55.32"/>
    <s v="Cash"/>
  </r>
  <r>
    <s v="ORD103484"/>
    <s v="2025-01-28"/>
    <x v="9"/>
    <s v="East"/>
    <s v="Bihar"/>
    <s v="Patna"/>
    <x v="0"/>
    <x v="0"/>
    <s v="CUST1742"/>
    <s v="SP_12"/>
    <n v="7"/>
    <n v="3397.45"/>
    <n v="23782.15"/>
    <n v="15589.88"/>
    <n v="8192.27"/>
    <s v="Cash"/>
  </r>
  <r>
    <s v="ORD103485"/>
    <s v="2025-09-09"/>
    <x v="5"/>
    <s v="East"/>
    <s v="Bihar"/>
    <s v="Patna"/>
    <x v="2"/>
    <x v="2"/>
    <s v="CUST1432"/>
    <s v="SP_14"/>
    <n v="3"/>
    <n v="45478.5"/>
    <n v="136435.5"/>
    <n v="105732.22"/>
    <n v="30703.279999999999"/>
    <s v="Credit Card"/>
  </r>
  <r>
    <s v="ORD103486"/>
    <s v="2025-08-13"/>
    <x v="11"/>
    <s v="East"/>
    <s v="Odisha"/>
    <s v="Bhubaneswar"/>
    <x v="2"/>
    <x v="4"/>
    <s v="CUST1856"/>
    <s v="SP_15"/>
    <n v="1"/>
    <n v="2400.38"/>
    <n v="2400.38"/>
    <n v="1655.91"/>
    <n v="744.47"/>
    <s v="Credit Card"/>
  </r>
  <r>
    <s v="ORD103487"/>
    <s v="2025-11-25"/>
    <x v="10"/>
    <s v="West"/>
    <s v="Rajasthan"/>
    <s v="Jaipur"/>
    <x v="1"/>
    <x v="6"/>
    <s v="CUST1754"/>
    <s v="SP_03"/>
    <n v="5"/>
    <n v="3377.03"/>
    <n v="16885.150000000001"/>
    <n v="12549.87"/>
    <n v="4335.28"/>
    <s v="Cash"/>
  </r>
  <r>
    <s v="ORD103488"/>
    <s v="2025-07-04"/>
    <x v="6"/>
    <s v="North"/>
    <s v="Punjab"/>
    <s v="Chandigarh"/>
    <x v="3"/>
    <x v="11"/>
    <s v="CUST1889"/>
    <s v="SP_01"/>
    <n v="1"/>
    <n v="112.2"/>
    <n v="112.2"/>
    <n v="61.89"/>
    <n v="50.31"/>
    <s v="UPI"/>
  </r>
  <r>
    <s v="ORD103489"/>
    <s v="2025-11-03"/>
    <x v="10"/>
    <s v="East"/>
    <s v="Odisha"/>
    <s v="Bhubaneswar"/>
    <x v="3"/>
    <x v="7"/>
    <s v="CUST1703"/>
    <s v="SP_15"/>
    <n v="1"/>
    <n v="12680.3"/>
    <n v="12680.3"/>
    <n v="9184.89"/>
    <n v="3495.41"/>
    <s v="Cash"/>
  </r>
  <r>
    <s v="ORD103490"/>
    <s v="2025-12-21"/>
    <x v="7"/>
    <s v="South"/>
    <s v="Karnataka"/>
    <s v="Bengaluru"/>
    <x v="2"/>
    <x v="4"/>
    <s v="CUST1145"/>
    <s v="SP_13"/>
    <n v="1"/>
    <n v="2619.6799999999998"/>
    <n v="2619.6799999999998"/>
    <n v="1622.81"/>
    <n v="996.87"/>
    <s v="Debit Card"/>
  </r>
  <r>
    <s v="ORD103491"/>
    <s v="2025-10-06"/>
    <x v="1"/>
    <s v="North"/>
    <s v="Delhi"/>
    <s v="Delhi"/>
    <x v="3"/>
    <x v="3"/>
    <s v="CUST1638"/>
    <s v="SP_14"/>
    <n v="3"/>
    <n v="26.17"/>
    <n v="78.510000000000005"/>
    <n v="29.83"/>
    <n v="48.68"/>
    <s v="Debit Card"/>
  </r>
  <r>
    <s v="ORD103492"/>
    <s v="2025-06-11"/>
    <x v="2"/>
    <s v="East"/>
    <s v="Bihar"/>
    <s v="Patna"/>
    <x v="3"/>
    <x v="11"/>
    <s v="CUST1115"/>
    <s v="SP_14"/>
    <n v="7"/>
    <n v="116.08"/>
    <n v="812.56"/>
    <n v="435.45"/>
    <n v="377.11"/>
    <s v="Cash"/>
  </r>
  <r>
    <s v="ORD103493"/>
    <s v="2025-05-29"/>
    <x v="3"/>
    <s v="East"/>
    <s v="Odisha"/>
    <s v="Bhubaneswar"/>
    <x v="1"/>
    <x v="5"/>
    <s v="CUST1023"/>
    <s v="SP_07"/>
    <n v="1"/>
    <n v="9848.7099999999991"/>
    <n v="9848.7099999999991"/>
    <n v="7601.18"/>
    <n v="2247.5300000000002"/>
    <s v="Cash"/>
  </r>
  <r>
    <s v="ORD103494"/>
    <s v="2025-07-15"/>
    <x v="6"/>
    <s v="North"/>
    <s v="Delhi"/>
    <s v="Delhi"/>
    <x v="1"/>
    <x v="6"/>
    <s v="CUST1481"/>
    <s v="SP_03"/>
    <n v="8"/>
    <n v="3012.01"/>
    <n v="24096.080000000002"/>
    <n v="19739.189999999999"/>
    <n v="4356.8900000000003"/>
    <s v="Credit Card"/>
  </r>
  <r>
    <s v="ORD103495"/>
    <s v="2025-06-19"/>
    <x v="2"/>
    <s v="North"/>
    <s v="Uttar Pradesh"/>
    <s v="Lucknow"/>
    <x v="2"/>
    <x v="4"/>
    <s v="CUST1137"/>
    <s v="SP_06"/>
    <n v="2"/>
    <n v="2365.7800000000002"/>
    <n v="4731.5600000000004"/>
    <n v="3134.17"/>
    <n v="1597.39"/>
    <s v="Net Banking"/>
  </r>
  <r>
    <s v="ORD103496"/>
    <s v="2025-01-25"/>
    <x v="9"/>
    <s v="West"/>
    <s v="Rajasthan"/>
    <s v="Jaipur"/>
    <x v="1"/>
    <x v="5"/>
    <s v="CUST1132"/>
    <s v="SP_14"/>
    <n v="4"/>
    <n v="10114.98"/>
    <n v="40459.919999999998"/>
    <n v="30064.67"/>
    <n v="10395.25"/>
    <s v="Net Banking"/>
  </r>
  <r>
    <s v="ORD103497"/>
    <s v="2025-07-15"/>
    <x v="6"/>
    <s v="North"/>
    <s v="Delhi"/>
    <s v="Delhi"/>
    <x v="0"/>
    <x v="0"/>
    <s v="CUST1483"/>
    <s v="SP_04"/>
    <n v="5"/>
    <n v="3493.6"/>
    <n v="17468"/>
    <n v="10806.58"/>
    <n v="6661.42"/>
    <s v="Debit Card"/>
  </r>
  <r>
    <s v="ORD103498"/>
    <s v="2025-10-14"/>
    <x v="1"/>
    <s v="South"/>
    <s v="Karnataka"/>
    <s v="Bengaluru"/>
    <x v="1"/>
    <x v="5"/>
    <s v="CUST1649"/>
    <s v="SP_06"/>
    <n v="1"/>
    <n v="8653.41"/>
    <n v="8653.41"/>
    <n v="7413.08"/>
    <n v="1240.33"/>
    <s v="Debit Card"/>
  </r>
  <r>
    <s v="ORD103499"/>
    <s v="2025-02-12"/>
    <x v="8"/>
    <s v="East"/>
    <s v="Bihar"/>
    <s v="Patna"/>
    <x v="3"/>
    <x v="11"/>
    <s v="CUST1280"/>
    <s v="SP_01"/>
    <n v="8"/>
    <n v="120.95"/>
    <n v="967.6"/>
    <n v="484.34"/>
    <n v="483.26"/>
    <s v="Credit Card"/>
  </r>
  <r>
    <s v="ORD103500"/>
    <s v="2025-06-11"/>
    <x v="2"/>
    <s v="South"/>
    <s v="Karnataka"/>
    <s v="Bengaluru"/>
    <x v="2"/>
    <x v="2"/>
    <s v="CUST1119"/>
    <s v="SP_02"/>
    <n v="8"/>
    <n v="48965.8"/>
    <n v="391726.4"/>
    <n v="287362.59000000003"/>
    <n v="104363.81"/>
    <s v="UPI"/>
  </r>
  <r>
    <s v="ORD103501"/>
    <s v="2025-04-26"/>
    <x v="0"/>
    <s v="North"/>
    <s v="Punjab"/>
    <s v="Chandigarh"/>
    <x v="1"/>
    <x v="5"/>
    <s v="CUST1144"/>
    <s v="SP_15"/>
    <n v="7"/>
    <n v="9526.14"/>
    <n v="66682.98"/>
    <n v="51585.71"/>
    <n v="15097.27"/>
    <s v="Net Banking"/>
  </r>
  <r>
    <s v="ORD103502"/>
    <s v="2025-05-07"/>
    <x v="3"/>
    <s v="West"/>
    <s v="Maharashtra"/>
    <s v="Mumbai"/>
    <x v="3"/>
    <x v="7"/>
    <s v="CUST1942"/>
    <s v="SP_01"/>
    <n v="4"/>
    <n v="13170.62"/>
    <n v="52682.48"/>
    <n v="36299.629999999997"/>
    <n v="16382.85"/>
    <s v="Net Banking"/>
  </r>
  <r>
    <s v="ORD103503"/>
    <s v="2025-05-11"/>
    <x v="3"/>
    <s v="North"/>
    <s v="Delhi"/>
    <s v="Delhi"/>
    <x v="1"/>
    <x v="1"/>
    <s v="CUST1535"/>
    <s v="SP_10"/>
    <n v="1"/>
    <n v="2597.88"/>
    <n v="2597.88"/>
    <n v="1953.28"/>
    <n v="644.6"/>
    <s v="Cash"/>
  </r>
  <r>
    <s v="ORD103504"/>
    <s v="2025-03-28"/>
    <x v="4"/>
    <s v="East"/>
    <s v="Odisha"/>
    <s v="Bhubaneswar"/>
    <x v="1"/>
    <x v="1"/>
    <s v="CUST1308"/>
    <s v="SP_11"/>
    <n v="2"/>
    <n v="2806.12"/>
    <n v="5612.24"/>
    <n v="3970.45"/>
    <n v="1641.79"/>
    <s v="Cash"/>
  </r>
  <r>
    <s v="ORD103505"/>
    <s v="2025-09-09"/>
    <x v="5"/>
    <s v="West"/>
    <s v="Gujarat"/>
    <s v="Ahmedabad"/>
    <x v="3"/>
    <x v="11"/>
    <s v="CUST1639"/>
    <s v="SP_10"/>
    <n v="5"/>
    <n v="128.26"/>
    <n v="641.29999999999995"/>
    <n v="288.97000000000003"/>
    <n v="352.33"/>
    <s v="Debit Card"/>
  </r>
  <r>
    <s v="ORD103506"/>
    <s v="2025-11-30"/>
    <x v="10"/>
    <s v="South"/>
    <s v="Tamil Nadu"/>
    <s v="Chennai"/>
    <x v="2"/>
    <x v="4"/>
    <s v="CUST1688"/>
    <s v="SP_12"/>
    <n v="4"/>
    <n v="2527.6999999999998"/>
    <n v="10110.799999999999"/>
    <n v="6119.08"/>
    <n v="3991.72"/>
    <s v="Net Banking"/>
  </r>
  <r>
    <s v="ORD103507"/>
    <s v="2025-06-10"/>
    <x v="2"/>
    <s v="North"/>
    <s v="Punjab"/>
    <s v="Chandigarh"/>
    <x v="3"/>
    <x v="11"/>
    <s v="CUST1101"/>
    <s v="SP_09"/>
    <n v="6"/>
    <n v="125.35"/>
    <n v="752.1"/>
    <n v="348.32"/>
    <n v="403.78"/>
    <s v="Credit Card"/>
  </r>
  <r>
    <s v="ORD103508"/>
    <s v="2025-06-13"/>
    <x v="2"/>
    <s v="East"/>
    <s v="West Bengal"/>
    <s v="Kolkata"/>
    <x v="0"/>
    <x v="8"/>
    <s v="CUST1692"/>
    <s v="SP_13"/>
    <n v="5"/>
    <n v="20977.94"/>
    <n v="104889.7"/>
    <n v="86338.75"/>
    <n v="18550.95"/>
    <s v="UPI"/>
  </r>
  <r>
    <s v="ORD103509"/>
    <s v="2025-04-28"/>
    <x v="0"/>
    <s v="North"/>
    <s v="Uttar Pradesh"/>
    <s v="Lucknow"/>
    <x v="2"/>
    <x v="10"/>
    <s v="CUST1143"/>
    <s v="SP_12"/>
    <n v="6"/>
    <n v="17760.93"/>
    <n v="106565.58"/>
    <n v="83703.759999999995"/>
    <n v="22861.82"/>
    <s v="Cash"/>
  </r>
  <r>
    <s v="ORD103510"/>
    <s v="2025-09-26"/>
    <x v="5"/>
    <s v="South"/>
    <s v="Telangana"/>
    <s v="Hyderabad"/>
    <x v="1"/>
    <x v="6"/>
    <s v="CUST1178"/>
    <s v="SP_10"/>
    <n v="4"/>
    <n v="3343.96"/>
    <n v="13375.84"/>
    <n v="9619.68"/>
    <n v="3756.16"/>
    <s v="UPI"/>
  </r>
  <r>
    <s v="ORD103511"/>
    <s v="2025-11-17"/>
    <x v="10"/>
    <s v="North"/>
    <s v="Delhi"/>
    <s v="Delhi"/>
    <x v="3"/>
    <x v="7"/>
    <s v="CUST1406"/>
    <s v="SP_12"/>
    <n v="7"/>
    <n v="12277.49"/>
    <n v="85942.43"/>
    <n v="61522.22"/>
    <n v="24420.21"/>
    <s v="Cash"/>
  </r>
  <r>
    <s v="ORD103512"/>
    <s v="2025-01-20"/>
    <x v="9"/>
    <s v="East"/>
    <s v="Odisha"/>
    <s v="Bhubaneswar"/>
    <x v="1"/>
    <x v="6"/>
    <s v="CUST1528"/>
    <s v="SP_10"/>
    <n v="6"/>
    <n v="3459.8"/>
    <n v="20758.8"/>
    <n v="14543.64"/>
    <n v="6215.16"/>
    <s v="UPI"/>
  </r>
  <r>
    <s v="ORD103513"/>
    <s v="2025-07-01"/>
    <x v="6"/>
    <s v="North"/>
    <s v="Uttar Pradesh"/>
    <s v="Lucknow"/>
    <x v="3"/>
    <x v="3"/>
    <s v="CUST1042"/>
    <s v="SP_15"/>
    <n v="7"/>
    <n v="22.62"/>
    <n v="158.34"/>
    <n v="72.349999999999994"/>
    <n v="85.99"/>
    <s v="Debit Card"/>
  </r>
  <r>
    <s v="ORD103514"/>
    <s v="2025-06-24"/>
    <x v="2"/>
    <s v="South"/>
    <s v="Karnataka"/>
    <s v="Bengaluru"/>
    <x v="2"/>
    <x v="2"/>
    <s v="CUST1604"/>
    <s v="SP_15"/>
    <n v="6"/>
    <n v="41833.4"/>
    <n v="251000.4"/>
    <n v="202915.46"/>
    <n v="48084.94"/>
    <s v="Cash"/>
  </r>
  <r>
    <s v="ORD103515"/>
    <s v="2025-10-27"/>
    <x v="1"/>
    <s v="West"/>
    <s v="Maharashtra"/>
    <s v="Mumbai"/>
    <x v="2"/>
    <x v="4"/>
    <s v="CUST1205"/>
    <s v="SP_03"/>
    <n v="2"/>
    <n v="2668.02"/>
    <n v="5336.04"/>
    <n v="3115.93"/>
    <n v="2220.11"/>
    <s v="Credit Card"/>
  </r>
  <r>
    <s v="ORD103516"/>
    <s v="2025-12-01"/>
    <x v="7"/>
    <s v="West"/>
    <s v="Maharashtra"/>
    <s v="Mumbai"/>
    <x v="0"/>
    <x v="9"/>
    <s v="CUST1244"/>
    <s v="SP_08"/>
    <n v="8"/>
    <n v="6499.63"/>
    <n v="51997.04"/>
    <n v="38386.67"/>
    <n v="13610.37"/>
    <s v="Credit Card"/>
  </r>
  <r>
    <s v="ORD103517"/>
    <s v="2025-06-25"/>
    <x v="2"/>
    <s v="West"/>
    <s v="Gujarat"/>
    <s v="Ahmedabad"/>
    <x v="2"/>
    <x v="10"/>
    <s v="CUST1520"/>
    <s v="SP_02"/>
    <n v="8"/>
    <n v="17271.36"/>
    <n v="138170.88"/>
    <n v="113055.58"/>
    <n v="25115.3"/>
    <s v="Net Banking"/>
  </r>
  <r>
    <s v="ORD103518"/>
    <s v="2025-05-31"/>
    <x v="3"/>
    <s v="South"/>
    <s v="Telangana"/>
    <s v="Hyderabad"/>
    <x v="1"/>
    <x v="1"/>
    <s v="CUST1643"/>
    <s v="SP_15"/>
    <n v="2"/>
    <n v="2530.98"/>
    <n v="5061.96"/>
    <n v="3725.28"/>
    <n v="1336.68"/>
    <s v="Net Banking"/>
  </r>
  <r>
    <s v="ORD103519"/>
    <s v="2025-03-19"/>
    <x v="4"/>
    <s v="South"/>
    <s v="Telangana"/>
    <s v="Hyderabad"/>
    <x v="0"/>
    <x v="0"/>
    <s v="CUST1254"/>
    <s v="SP_08"/>
    <n v="4"/>
    <n v="3276.78"/>
    <n v="13107.12"/>
    <n v="9094.82"/>
    <n v="4012.3"/>
    <s v="UPI"/>
  </r>
  <r>
    <s v="ORD103520"/>
    <s v="2025-11-11"/>
    <x v="10"/>
    <s v="West"/>
    <s v="Rajasthan"/>
    <s v="Jaipur"/>
    <x v="2"/>
    <x v="10"/>
    <s v="CUST1082"/>
    <s v="SP_10"/>
    <n v="6"/>
    <n v="17355.740000000002"/>
    <n v="104134.44"/>
    <n v="86231.14"/>
    <n v="17903.3"/>
    <s v="Cash"/>
  </r>
  <r>
    <s v="ORD103521"/>
    <s v="2025-07-05"/>
    <x v="6"/>
    <s v="South"/>
    <s v="Tamil Nadu"/>
    <s v="Chennai"/>
    <x v="1"/>
    <x v="5"/>
    <s v="CUST1072"/>
    <s v="SP_10"/>
    <n v="4"/>
    <n v="9754.2999999999993"/>
    <n v="39017.199999999997"/>
    <n v="29396.63"/>
    <n v="9620.57"/>
    <s v="Credit Card"/>
  </r>
  <r>
    <s v="ORD103522"/>
    <s v="2025-09-03"/>
    <x v="5"/>
    <s v="South"/>
    <s v="Karnataka"/>
    <s v="Bengaluru"/>
    <x v="0"/>
    <x v="9"/>
    <s v="CUST1450"/>
    <s v="SP_07"/>
    <n v="8"/>
    <n v="6974.72"/>
    <n v="55797.760000000002"/>
    <n v="40220.870000000003"/>
    <n v="15576.89"/>
    <s v="Debit Card"/>
  </r>
  <r>
    <s v="ORD103523"/>
    <s v="2025-09-06"/>
    <x v="5"/>
    <s v="West"/>
    <s v="Gujarat"/>
    <s v="Ahmedabad"/>
    <x v="0"/>
    <x v="0"/>
    <s v="CUST1301"/>
    <s v="SP_09"/>
    <n v="1"/>
    <n v="3478.49"/>
    <n v="3478.49"/>
    <n v="2186.31"/>
    <n v="1292.18"/>
    <s v="Debit Card"/>
  </r>
  <r>
    <s v="ORD103524"/>
    <s v="2025-01-20"/>
    <x v="9"/>
    <s v="East"/>
    <s v="West Bengal"/>
    <s v="Kolkata"/>
    <x v="2"/>
    <x v="2"/>
    <s v="CUST1342"/>
    <s v="SP_04"/>
    <n v="4"/>
    <n v="48707.59"/>
    <n v="194830.36"/>
    <n v="136980.88"/>
    <n v="57849.48"/>
    <s v="Credit Card"/>
  </r>
  <r>
    <s v="ORD103525"/>
    <s v="2025-09-13"/>
    <x v="5"/>
    <s v="East"/>
    <s v="West Bengal"/>
    <s v="Kolkata"/>
    <x v="2"/>
    <x v="10"/>
    <s v="CUST1942"/>
    <s v="SP_15"/>
    <n v="5"/>
    <n v="16857.25"/>
    <n v="84286.25"/>
    <n v="66594.91"/>
    <n v="17691.34"/>
    <s v="Cash"/>
  </r>
  <r>
    <s v="ORD103526"/>
    <s v="2025-03-24"/>
    <x v="4"/>
    <s v="West"/>
    <s v="Rajasthan"/>
    <s v="Jaipur"/>
    <x v="1"/>
    <x v="1"/>
    <s v="CUST1779"/>
    <s v="SP_12"/>
    <n v="4"/>
    <n v="2537.1799999999998"/>
    <n v="10148.719999999999"/>
    <n v="7448.99"/>
    <n v="2699.73"/>
    <s v="Net Banking"/>
  </r>
  <r>
    <s v="ORD103527"/>
    <s v="2025-12-02"/>
    <x v="7"/>
    <s v="North"/>
    <s v="Uttar Pradesh"/>
    <s v="Lucknow"/>
    <x v="1"/>
    <x v="6"/>
    <s v="CUST1808"/>
    <s v="SP_12"/>
    <n v="5"/>
    <n v="3295.78"/>
    <n v="16478.900000000001"/>
    <n v="11470.07"/>
    <n v="5008.83"/>
    <s v="Cash"/>
  </r>
  <r>
    <s v="ORD103528"/>
    <s v="2025-06-19"/>
    <x v="2"/>
    <s v="South"/>
    <s v="Tamil Nadu"/>
    <s v="Chennai"/>
    <x v="3"/>
    <x v="7"/>
    <s v="CUST1050"/>
    <s v="SP_12"/>
    <n v="4"/>
    <n v="11504.38"/>
    <n v="46017.52"/>
    <n v="34362.910000000003"/>
    <n v="11654.61"/>
    <s v="Cash"/>
  </r>
  <r>
    <s v="ORD103529"/>
    <s v="2025-10-13"/>
    <x v="1"/>
    <s v="North"/>
    <s v="Uttar Pradesh"/>
    <s v="Lucknow"/>
    <x v="0"/>
    <x v="9"/>
    <s v="CUST1831"/>
    <s v="SP_08"/>
    <n v="5"/>
    <n v="7227.47"/>
    <n v="36137.35"/>
    <n v="25096.27"/>
    <n v="11041.08"/>
    <s v="Net Banking"/>
  </r>
  <r>
    <s v="ORD103530"/>
    <s v="2025-09-05"/>
    <x v="5"/>
    <s v="North"/>
    <s v="Uttar Pradesh"/>
    <s v="Lucknow"/>
    <x v="0"/>
    <x v="0"/>
    <s v="CUST1454"/>
    <s v="SP_07"/>
    <n v="8"/>
    <n v="3580.24"/>
    <n v="28641.919999999998"/>
    <n v="18146.599999999999"/>
    <n v="10495.32"/>
    <s v="UPI"/>
  </r>
  <r>
    <s v="ORD103531"/>
    <s v="2025-05-07"/>
    <x v="3"/>
    <s v="South"/>
    <s v="Karnataka"/>
    <s v="Bengaluru"/>
    <x v="3"/>
    <x v="11"/>
    <s v="CUST1163"/>
    <s v="SP_09"/>
    <n v="7"/>
    <n v="131.58000000000001"/>
    <n v="921.06"/>
    <n v="406.15"/>
    <n v="514.91"/>
    <s v="Net Banking"/>
  </r>
  <r>
    <s v="ORD103532"/>
    <s v="2025-09-07"/>
    <x v="5"/>
    <s v="South"/>
    <s v="Tamil Nadu"/>
    <s v="Chennai"/>
    <x v="3"/>
    <x v="3"/>
    <s v="CUST1464"/>
    <s v="SP_11"/>
    <n v="3"/>
    <n v="23.95"/>
    <n v="71.849999999999994"/>
    <n v="31.2"/>
    <n v="40.65"/>
    <s v="Credit Card"/>
  </r>
  <r>
    <s v="ORD103533"/>
    <s v="2025-05-21"/>
    <x v="3"/>
    <s v="North"/>
    <s v="Uttar Pradesh"/>
    <s v="Lucknow"/>
    <x v="3"/>
    <x v="3"/>
    <s v="CUST1791"/>
    <s v="SP_10"/>
    <n v="1"/>
    <n v="23.78"/>
    <n v="23.78"/>
    <n v="9.91"/>
    <n v="13.87"/>
    <s v="Cash"/>
  </r>
  <r>
    <s v="ORD103534"/>
    <s v="2025-09-24"/>
    <x v="5"/>
    <s v="East"/>
    <s v="Odisha"/>
    <s v="Bhubaneswar"/>
    <x v="0"/>
    <x v="0"/>
    <s v="CUST1881"/>
    <s v="SP_11"/>
    <n v="4"/>
    <n v="3764.51"/>
    <n v="15058.04"/>
    <n v="9008.57"/>
    <n v="6049.47"/>
    <s v="Debit Card"/>
  </r>
  <r>
    <s v="ORD103535"/>
    <s v="2025-03-25"/>
    <x v="4"/>
    <s v="West"/>
    <s v="Rajasthan"/>
    <s v="Jaipur"/>
    <x v="0"/>
    <x v="0"/>
    <s v="CUST1254"/>
    <s v="SP_09"/>
    <n v="4"/>
    <n v="3732.92"/>
    <n v="14931.68"/>
    <n v="9063.34"/>
    <n v="5868.34"/>
    <s v="Cash"/>
  </r>
  <r>
    <s v="ORD103536"/>
    <s v="2025-08-22"/>
    <x v="11"/>
    <s v="East"/>
    <s v="West Bengal"/>
    <s v="Kolkata"/>
    <x v="0"/>
    <x v="0"/>
    <s v="CUST1684"/>
    <s v="SP_14"/>
    <n v="6"/>
    <n v="3494.54"/>
    <n v="20967.240000000002"/>
    <n v="13364.21"/>
    <n v="7603.03"/>
    <s v="Net Banking"/>
  </r>
  <r>
    <s v="ORD103537"/>
    <s v="2025-12-25"/>
    <x v="7"/>
    <s v="South"/>
    <s v="Tamil Nadu"/>
    <s v="Chennai"/>
    <x v="1"/>
    <x v="6"/>
    <s v="CUST1178"/>
    <s v="SP_07"/>
    <n v="2"/>
    <n v="2884.55"/>
    <n v="5769.1"/>
    <n v="4613.3100000000004"/>
    <n v="1155.79"/>
    <s v="Cash"/>
  </r>
  <r>
    <s v="ORD103538"/>
    <s v="2025-03-17"/>
    <x v="4"/>
    <s v="East"/>
    <s v="Bihar"/>
    <s v="Patna"/>
    <x v="0"/>
    <x v="9"/>
    <s v="CUST1688"/>
    <s v="SP_10"/>
    <n v="3"/>
    <n v="7626.63"/>
    <n v="22879.89"/>
    <n v="15130.74"/>
    <n v="7749.15"/>
    <s v="UPI"/>
  </r>
  <r>
    <s v="ORD103539"/>
    <s v="2025-06-04"/>
    <x v="2"/>
    <s v="South"/>
    <s v="Karnataka"/>
    <s v="Bengaluru"/>
    <x v="0"/>
    <x v="8"/>
    <s v="CUST1351"/>
    <s v="SP_04"/>
    <n v="7"/>
    <n v="21325.7"/>
    <n v="149279.9"/>
    <n v="115099.96"/>
    <n v="34179.94"/>
    <s v="Net Banking"/>
  </r>
  <r>
    <s v="ORD103540"/>
    <s v="2025-02-20"/>
    <x v="8"/>
    <s v="North"/>
    <s v="Punjab"/>
    <s v="Chandigarh"/>
    <x v="1"/>
    <x v="5"/>
    <s v="CUST1624"/>
    <s v="SP_10"/>
    <n v="2"/>
    <n v="9822.26"/>
    <n v="19644.52"/>
    <n v="15089.91"/>
    <n v="4554.6099999999997"/>
    <s v="UPI"/>
  </r>
  <r>
    <s v="ORD103541"/>
    <s v="2025-07-12"/>
    <x v="6"/>
    <s v="South"/>
    <s v="Telangana"/>
    <s v="Hyderabad"/>
    <x v="0"/>
    <x v="0"/>
    <s v="CUST1797"/>
    <s v="SP_01"/>
    <n v="8"/>
    <n v="3360.46"/>
    <n v="26883.68"/>
    <n v="17856.11"/>
    <n v="9027.57"/>
    <s v="Credit Card"/>
  </r>
  <r>
    <s v="ORD103542"/>
    <s v="2025-05-09"/>
    <x v="3"/>
    <s v="West"/>
    <s v="Maharashtra"/>
    <s v="Mumbai"/>
    <x v="1"/>
    <x v="1"/>
    <s v="CUST1949"/>
    <s v="SP_01"/>
    <n v="7"/>
    <n v="2874.3"/>
    <n v="20120.099999999999"/>
    <n v="13615.27"/>
    <n v="6504.83"/>
    <s v="Cash"/>
  </r>
  <r>
    <s v="ORD103543"/>
    <s v="2025-10-30"/>
    <x v="1"/>
    <s v="East"/>
    <s v="Odisha"/>
    <s v="Bhubaneswar"/>
    <x v="0"/>
    <x v="0"/>
    <s v="CUST1165"/>
    <s v="SP_04"/>
    <n v="4"/>
    <n v="3381.27"/>
    <n v="13525.08"/>
    <n v="9124.61"/>
    <n v="4400.47"/>
    <s v="Net Banking"/>
  </r>
  <r>
    <s v="ORD103544"/>
    <s v="2025-06-30"/>
    <x v="2"/>
    <s v="South"/>
    <s v="Karnataka"/>
    <s v="Bengaluru"/>
    <x v="0"/>
    <x v="8"/>
    <s v="CUST1365"/>
    <s v="SP_10"/>
    <n v="2"/>
    <n v="20085.599999999999"/>
    <n v="40171.199999999997"/>
    <n v="35424.69"/>
    <n v="4746.51"/>
    <s v="UPI"/>
  </r>
  <r>
    <s v="ORD103545"/>
    <s v="2025-11-15"/>
    <x v="10"/>
    <s v="North"/>
    <s v="Delhi"/>
    <s v="Delhi"/>
    <x v="0"/>
    <x v="9"/>
    <s v="CUST1953"/>
    <s v="SP_02"/>
    <n v="7"/>
    <n v="6840.69"/>
    <n v="47884.83"/>
    <n v="35072.82"/>
    <n v="12812.01"/>
    <s v="Net Banking"/>
  </r>
  <r>
    <s v="ORD103546"/>
    <s v="2025-04-19"/>
    <x v="0"/>
    <s v="East"/>
    <s v="West Bengal"/>
    <s v="Kolkata"/>
    <x v="0"/>
    <x v="8"/>
    <s v="CUST1257"/>
    <s v="SP_04"/>
    <n v="5"/>
    <n v="20416.64"/>
    <n v="102083.2"/>
    <n v="81833.47"/>
    <n v="20249.73"/>
    <s v="Net Banking"/>
  </r>
  <r>
    <s v="ORD103547"/>
    <s v="2025-04-04"/>
    <x v="0"/>
    <s v="West"/>
    <s v="Rajasthan"/>
    <s v="Jaipur"/>
    <x v="1"/>
    <x v="1"/>
    <s v="CUST1303"/>
    <s v="SP_05"/>
    <n v="6"/>
    <n v="2856.79"/>
    <n v="17140.740000000002"/>
    <n v="11439.65"/>
    <n v="5701.09"/>
    <s v="Net Banking"/>
  </r>
  <r>
    <s v="ORD103548"/>
    <s v="2025-03-06"/>
    <x v="4"/>
    <s v="West"/>
    <s v="Maharashtra"/>
    <s v="Mumbai"/>
    <x v="1"/>
    <x v="5"/>
    <s v="CUST1991"/>
    <s v="SP_01"/>
    <n v="6"/>
    <n v="8672.92"/>
    <n v="52037.52"/>
    <n v="43416.480000000003"/>
    <n v="8621.0400000000009"/>
    <s v="Cash"/>
  </r>
  <r>
    <s v="ORD103549"/>
    <s v="2025-07-12"/>
    <x v="6"/>
    <s v="North"/>
    <s v="Punjab"/>
    <s v="Chandigarh"/>
    <x v="3"/>
    <x v="11"/>
    <s v="CUST1469"/>
    <s v="SP_12"/>
    <n v="8"/>
    <n v="112.81"/>
    <n v="902.48"/>
    <n v="458.56"/>
    <n v="443.92"/>
    <s v="Debit Card"/>
  </r>
  <r>
    <s v="ORD103550"/>
    <s v="2025-08-19"/>
    <x v="11"/>
    <s v="East"/>
    <s v="Odisha"/>
    <s v="Bhubaneswar"/>
    <x v="3"/>
    <x v="3"/>
    <s v="CUST1649"/>
    <s v="SP_05"/>
    <n v="4"/>
    <n v="26.37"/>
    <n v="105.48"/>
    <n v="41.68"/>
    <n v="63.8"/>
    <s v="Debit Card"/>
  </r>
  <r>
    <s v="ORD103551"/>
    <s v="2025-01-08"/>
    <x v="9"/>
    <s v="East"/>
    <s v="West Bengal"/>
    <s v="Kolkata"/>
    <x v="0"/>
    <x v="0"/>
    <s v="CUST1399"/>
    <s v="SP_09"/>
    <n v="2"/>
    <n v="3623.01"/>
    <n v="7246.02"/>
    <n v="4336.67"/>
    <n v="2909.35"/>
    <s v="Credit Card"/>
  </r>
  <r>
    <s v="ORD103552"/>
    <s v="2025-04-16"/>
    <x v="0"/>
    <s v="West"/>
    <s v="Maharashtra"/>
    <s v="Mumbai"/>
    <x v="0"/>
    <x v="0"/>
    <s v="CUST1041"/>
    <s v="SP_07"/>
    <n v="7"/>
    <n v="3449.72"/>
    <n v="24148.04"/>
    <n v="15080.7"/>
    <n v="9067.34"/>
    <s v="UPI"/>
  </r>
  <r>
    <s v="ORD103553"/>
    <s v="2025-05-20"/>
    <x v="3"/>
    <s v="South"/>
    <s v="Karnataka"/>
    <s v="Bengaluru"/>
    <x v="0"/>
    <x v="0"/>
    <s v="CUST1441"/>
    <s v="SP_02"/>
    <n v="5"/>
    <n v="3711.15"/>
    <n v="18555.75"/>
    <n v="10989.17"/>
    <n v="7566.58"/>
    <s v="Debit Card"/>
  </r>
  <r>
    <s v="ORD103554"/>
    <s v="2025-03-18"/>
    <x v="4"/>
    <s v="North"/>
    <s v="Delhi"/>
    <s v="Delhi"/>
    <x v="1"/>
    <x v="5"/>
    <s v="CUST1482"/>
    <s v="SP_12"/>
    <n v="6"/>
    <n v="9207.76"/>
    <n v="55246.559999999998"/>
    <n v="44677.05"/>
    <n v="10569.51"/>
    <s v="Debit Card"/>
  </r>
  <r>
    <s v="ORD103555"/>
    <s v="2025-09-07"/>
    <x v="5"/>
    <s v="South"/>
    <s v="Tamil Nadu"/>
    <s v="Chennai"/>
    <x v="3"/>
    <x v="7"/>
    <s v="CUST1524"/>
    <s v="SP_07"/>
    <n v="8"/>
    <n v="12374.21"/>
    <n v="98993.68"/>
    <n v="72205.97"/>
    <n v="26787.71"/>
    <s v="UPI"/>
  </r>
  <r>
    <s v="ORD103556"/>
    <s v="2025-07-27"/>
    <x v="6"/>
    <s v="North"/>
    <s v="Punjab"/>
    <s v="Chandigarh"/>
    <x v="2"/>
    <x v="10"/>
    <s v="CUST1168"/>
    <s v="SP_08"/>
    <n v="5"/>
    <n v="19598.16"/>
    <n v="97990.8"/>
    <n v="69865.56"/>
    <n v="28125.24"/>
    <s v="Credit Card"/>
  </r>
  <r>
    <s v="ORD103557"/>
    <s v="2025-09-24"/>
    <x v="5"/>
    <s v="West"/>
    <s v="Gujarat"/>
    <s v="Ahmedabad"/>
    <x v="0"/>
    <x v="8"/>
    <s v="CUST1093"/>
    <s v="SP_08"/>
    <n v="1"/>
    <n v="23176.34"/>
    <n v="23176.34"/>
    <n v="16823.45"/>
    <n v="6352.89"/>
    <s v="Net Banking"/>
  </r>
  <r>
    <s v="ORD103558"/>
    <s v="2025-12-29"/>
    <x v="7"/>
    <s v="North"/>
    <s v="Uttar Pradesh"/>
    <s v="Lucknow"/>
    <x v="3"/>
    <x v="3"/>
    <s v="CUST1571"/>
    <s v="SP_01"/>
    <n v="5"/>
    <n v="25.09"/>
    <n v="125.45"/>
    <n v="47.66"/>
    <n v="77.790000000000006"/>
    <s v="Cash"/>
  </r>
  <r>
    <s v="ORD103559"/>
    <s v="2025-01-05"/>
    <x v="9"/>
    <s v="East"/>
    <s v="Odisha"/>
    <s v="Bhubaneswar"/>
    <x v="1"/>
    <x v="6"/>
    <s v="CUST1536"/>
    <s v="SP_13"/>
    <n v="7"/>
    <n v="2949.76"/>
    <n v="20648.32"/>
    <n v="17348.240000000002"/>
    <n v="3300.08"/>
    <s v="UPI"/>
  </r>
  <r>
    <s v="ORD103560"/>
    <s v="2025-07-07"/>
    <x v="6"/>
    <s v="South"/>
    <s v="Telangana"/>
    <s v="Hyderabad"/>
    <x v="0"/>
    <x v="9"/>
    <s v="CUST1148"/>
    <s v="SP_09"/>
    <n v="8"/>
    <n v="7507.37"/>
    <n v="60058.96"/>
    <n v="40310.959999999999"/>
    <n v="19748"/>
    <s v="Credit Card"/>
  </r>
  <r>
    <s v="ORD103561"/>
    <s v="2025-01-18"/>
    <x v="9"/>
    <s v="South"/>
    <s v="Tamil Nadu"/>
    <s v="Chennai"/>
    <x v="3"/>
    <x v="3"/>
    <s v="CUST1102"/>
    <s v="SP_02"/>
    <n v="8"/>
    <n v="23.75"/>
    <n v="190"/>
    <n v="77.97"/>
    <n v="112.03"/>
    <s v="Debit Card"/>
  </r>
  <r>
    <s v="ORD103562"/>
    <s v="2025-06-03"/>
    <x v="2"/>
    <s v="East"/>
    <s v="West Bengal"/>
    <s v="Kolkata"/>
    <x v="0"/>
    <x v="8"/>
    <s v="CUST1282"/>
    <s v="SP_05"/>
    <n v="2"/>
    <n v="22652.95"/>
    <n v="45305.9"/>
    <n v="34807.449999999997"/>
    <n v="10498.45"/>
    <s v="Debit Card"/>
  </r>
  <r>
    <s v="ORD103563"/>
    <s v="2025-01-07"/>
    <x v="9"/>
    <s v="West"/>
    <s v="Rajasthan"/>
    <s v="Jaipur"/>
    <x v="1"/>
    <x v="5"/>
    <s v="CUST1431"/>
    <s v="SP_08"/>
    <n v="2"/>
    <n v="9025.65"/>
    <n v="18051.3"/>
    <n v="14651.55"/>
    <n v="3399.75"/>
    <s v="Cash"/>
  </r>
  <r>
    <s v="ORD103564"/>
    <s v="2025-04-03"/>
    <x v="0"/>
    <s v="South"/>
    <s v="Tamil Nadu"/>
    <s v="Chennai"/>
    <x v="3"/>
    <x v="11"/>
    <s v="CUST1995"/>
    <s v="SP_08"/>
    <n v="6"/>
    <n v="130.44"/>
    <n v="782.64"/>
    <n v="352.78"/>
    <n v="429.86"/>
    <s v="Net Banking"/>
  </r>
  <r>
    <s v="ORD103565"/>
    <s v="2025-07-04"/>
    <x v="6"/>
    <s v="South"/>
    <s v="Karnataka"/>
    <s v="Bengaluru"/>
    <x v="0"/>
    <x v="9"/>
    <s v="CUST1783"/>
    <s v="SP_08"/>
    <n v="3"/>
    <n v="7214.43"/>
    <n v="21643.29"/>
    <n v="14885.83"/>
    <n v="6757.46"/>
    <s v="UPI"/>
  </r>
  <r>
    <s v="ORD103566"/>
    <s v="2025-01-13"/>
    <x v="9"/>
    <s v="West"/>
    <s v="Maharashtra"/>
    <s v="Mumbai"/>
    <x v="3"/>
    <x v="11"/>
    <s v="CUST1279"/>
    <s v="SP_10"/>
    <n v="4"/>
    <n v="114.61"/>
    <n v="458.44"/>
    <n v="234.05"/>
    <n v="224.39"/>
    <s v="UPI"/>
  </r>
  <r>
    <s v="ORD103567"/>
    <s v="2025-12-16"/>
    <x v="7"/>
    <s v="East"/>
    <s v="West Bengal"/>
    <s v="Kolkata"/>
    <x v="2"/>
    <x v="10"/>
    <s v="CUST1931"/>
    <s v="SP_11"/>
    <n v="4"/>
    <n v="16755.46"/>
    <n v="67021.84"/>
    <n v="56729.48"/>
    <n v="10292.36"/>
    <s v="UPI"/>
  </r>
  <r>
    <s v="ORD103568"/>
    <s v="2025-07-18"/>
    <x v="6"/>
    <s v="West"/>
    <s v="Rajasthan"/>
    <s v="Jaipur"/>
    <x v="2"/>
    <x v="10"/>
    <s v="CUST1726"/>
    <s v="SP_14"/>
    <n v="8"/>
    <n v="18089.150000000001"/>
    <n v="144713.20000000001"/>
    <n v="111428.85"/>
    <n v="33284.35"/>
    <s v="UPI"/>
  </r>
  <r>
    <s v="ORD103569"/>
    <s v="2025-08-29"/>
    <x v="11"/>
    <s v="North"/>
    <s v="Punjab"/>
    <s v="Chandigarh"/>
    <x v="0"/>
    <x v="8"/>
    <s v="CUST1648"/>
    <s v="SP_08"/>
    <n v="3"/>
    <n v="23763.759999999998"/>
    <n v="71291.28"/>
    <n v="51222.559999999998"/>
    <n v="20068.72"/>
    <s v="Credit Card"/>
  </r>
  <r>
    <s v="ORD103570"/>
    <s v="2025-10-21"/>
    <x v="1"/>
    <s v="East"/>
    <s v="Odisha"/>
    <s v="Bhubaneswar"/>
    <x v="2"/>
    <x v="10"/>
    <s v="CUST1460"/>
    <s v="SP_06"/>
    <n v="3"/>
    <n v="16441.75"/>
    <n v="49325.25"/>
    <n v="41370.720000000001"/>
    <n v="7954.53"/>
    <s v="Credit Card"/>
  </r>
  <r>
    <s v="ORD103571"/>
    <s v="2025-02-28"/>
    <x v="8"/>
    <s v="North"/>
    <s v="Uttar Pradesh"/>
    <s v="Lucknow"/>
    <x v="2"/>
    <x v="4"/>
    <s v="CUST1654"/>
    <s v="SP_06"/>
    <n v="4"/>
    <n v="2486.29"/>
    <n v="9945.16"/>
    <n v="6106.36"/>
    <n v="3838.8"/>
    <s v="Net Banking"/>
  </r>
  <r>
    <s v="ORD103572"/>
    <s v="2025-11-13"/>
    <x v="10"/>
    <s v="North"/>
    <s v="Delhi"/>
    <s v="Delhi"/>
    <x v="3"/>
    <x v="7"/>
    <s v="CUST1787"/>
    <s v="SP_03"/>
    <n v="3"/>
    <n v="12078.73"/>
    <n v="36236.19"/>
    <n v="27469.87"/>
    <n v="8766.32"/>
    <s v="Net Banking"/>
  </r>
  <r>
    <s v="ORD103573"/>
    <s v="2025-04-05"/>
    <x v="0"/>
    <s v="West"/>
    <s v="Gujarat"/>
    <s v="Ahmedabad"/>
    <x v="3"/>
    <x v="7"/>
    <s v="CUST1120"/>
    <s v="SP_01"/>
    <n v="4"/>
    <n v="11953.08"/>
    <n v="47812.32"/>
    <n v="35134.769999999997"/>
    <n v="12677.55"/>
    <s v="Credit Card"/>
  </r>
  <r>
    <s v="ORD103574"/>
    <s v="2025-06-06"/>
    <x v="2"/>
    <s v="West"/>
    <s v="Gujarat"/>
    <s v="Ahmedabad"/>
    <x v="1"/>
    <x v="1"/>
    <s v="CUST1307"/>
    <s v="SP_09"/>
    <n v="8"/>
    <n v="2891.37"/>
    <n v="23130.959999999999"/>
    <n v="14926.96"/>
    <n v="8204"/>
    <s v="Debit Card"/>
  </r>
  <r>
    <s v="ORD103575"/>
    <s v="2025-10-09"/>
    <x v="1"/>
    <s v="East"/>
    <s v="Bihar"/>
    <s v="Patna"/>
    <x v="3"/>
    <x v="3"/>
    <s v="CUST1639"/>
    <s v="SP_04"/>
    <n v="1"/>
    <n v="24.52"/>
    <n v="24.52"/>
    <n v="9.52"/>
    <n v="15"/>
    <s v="UPI"/>
  </r>
  <r>
    <s v="ORD103576"/>
    <s v="2025-04-18"/>
    <x v="0"/>
    <s v="West"/>
    <s v="Maharashtra"/>
    <s v="Mumbai"/>
    <x v="2"/>
    <x v="2"/>
    <s v="CUST1047"/>
    <s v="SP_07"/>
    <n v="2"/>
    <n v="43263.63"/>
    <n v="86527.26"/>
    <n v="70225.8"/>
    <n v="16301.46"/>
    <s v="Credit Card"/>
  </r>
  <r>
    <s v="ORD103577"/>
    <s v="2025-06-02"/>
    <x v="2"/>
    <s v="North"/>
    <s v="Delhi"/>
    <s v="Delhi"/>
    <x v="2"/>
    <x v="4"/>
    <s v="CUST1399"/>
    <s v="SP_05"/>
    <n v="7"/>
    <n v="2643.32"/>
    <n v="18503.240000000002"/>
    <n v="11333.05"/>
    <n v="7170.19"/>
    <s v="Cash"/>
  </r>
  <r>
    <s v="ORD103578"/>
    <s v="2025-01-12"/>
    <x v="9"/>
    <s v="South"/>
    <s v="Telangana"/>
    <s v="Hyderabad"/>
    <x v="0"/>
    <x v="9"/>
    <s v="CUST1154"/>
    <s v="SP_13"/>
    <n v="8"/>
    <n v="7622.63"/>
    <n v="60981.04"/>
    <n v="41747.06"/>
    <n v="19233.98"/>
    <s v="Cash"/>
  </r>
  <r>
    <s v="ORD103579"/>
    <s v="2025-06-27"/>
    <x v="2"/>
    <s v="West"/>
    <s v="Gujarat"/>
    <s v="Ahmedabad"/>
    <x v="1"/>
    <x v="6"/>
    <s v="CUST1391"/>
    <s v="SP_10"/>
    <n v="1"/>
    <n v="3493.72"/>
    <n v="3493.72"/>
    <n v="2344.34"/>
    <n v="1149.3800000000001"/>
    <s v="Cash"/>
  </r>
  <r>
    <s v="ORD103580"/>
    <s v="2025-03-03"/>
    <x v="4"/>
    <s v="South"/>
    <s v="Telangana"/>
    <s v="Hyderabad"/>
    <x v="3"/>
    <x v="3"/>
    <s v="CUST1278"/>
    <s v="SP_12"/>
    <n v="4"/>
    <n v="23.15"/>
    <n v="92.6"/>
    <n v="41.44"/>
    <n v="51.16"/>
    <s v="Credit Card"/>
  </r>
  <r>
    <s v="ORD103581"/>
    <s v="2025-05-04"/>
    <x v="3"/>
    <s v="South"/>
    <s v="Karnataka"/>
    <s v="Bengaluru"/>
    <x v="3"/>
    <x v="3"/>
    <s v="CUST1855"/>
    <s v="SP_03"/>
    <n v="1"/>
    <n v="25.58"/>
    <n v="25.58"/>
    <n v="10.15"/>
    <n v="15.43"/>
    <s v="Credit Card"/>
  </r>
  <r>
    <s v="ORD103582"/>
    <s v="2025-01-29"/>
    <x v="9"/>
    <s v="East"/>
    <s v="Bihar"/>
    <s v="Patna"/>
    <x v="1"/>
    <x v="1"/>
    <s v="CUST1002"/>
    <s v="SP_07"/>
    <n v="6"/>
    <n v="2529.39"/>
    <n v="15176.34"/>
    <n v="11462.35"/>
    <n v="3713.99"/>
    <s v="Debit Card"/>
  </r>
  <r>
    <s v="ORD103583"/>
    <s v="2025-05-10"/>
    <x v="3"/>
    <s v="West"/>
    <s v="Gujarat"/>
    <s v="Ahmedabad"/>
    <x v="2"/>
    <x v="2"/>
    <s v="CUST1157"/>
    <s v="SP_02"/>
    <n v="3"/>
    <n v="40544.769999999997"/>
    <n v="121634.31"/>
    <n v="109301.31"/>
    <n v="12333"/>
    <s v="Net Banking"/>
  </r>
  <r>
    <s v="ORD103584"/>
    <s v="2025-08-05"/>
    <x v="11"/>
    <s v="East"/>
    <s v="West Bengal"/>
    <s v="Kolkata"/>
    <x v="1"/>
    <x v="6"/>
    <s v="CUST1234"/>
    <s v="SP_11"/>
    <n v="1"/>
    <n v="3351.83"/>
    <n v="3351.83"/>
    <n v="2435.92"/>
    <n v="915.91"/>
    <s v="UPI"/>
  </r>
  <r>
    <s v="ORD103585"/>
    <s v="2025-11-13"/>
    <x v="10"/>
    <s v="South"/>
    <s v="Telangana"/>
    <s v="Hyderabad"/>
    <x v="0"/>
    <x v="0"/>
    <s v="CUST1400"/>
    <s v="SP_04"/>
    <n v="2"/>
    <n v="3558.16"/>
    <n v="7116.32"/>
    <n v="4300.1899999999996"/>
    <n v="2816.13"/>
    <s v="Net Banking"/>
  </r>
  <r>
    <s v="ORD103586"/>
    <s v="2025-11-07"/>
    <x v="10"/>
    <s v="South"/>
    <s v="Karnataka"/>
    <s v="Bengaluru"/>
    <x v="2"/>
    <x v="10"/>
    <s v="CUST1608"/>
    <s v="SP_05"/>
    <n v="5"/>
    <n v="17826.23"/>
    <n v="89131.15"/>
    <n v="73441.47"/>
    <n v="15689.68"/>
    <s v="UPI"/>
  </r>
  <r>
    <s v="ORD103587"/>
    <s v="2025-11-05"/>
    <x v="10"/>
    <s v="East"/>
    <s v="West Bengal"/>
    <s v="Kolkata"/>
    <x v="2"/>
    <x v="10"/>
    <s v="CUST1451"/>
    <s v="SP_04"/>
    <n v="3"/>
    <n v="16551.189999999999"/>
    <n v="49653.57"/>
    <n v="43647.24"/>
    <n v="6006.33"/>
    <s v="Cash"/>
  </r>
  <r>
    <s v="ORD103588"/>
    <s v="2025-05-01"/>
    <x v="3"/>
    <s v="South"/>
    <s v="Telangana"/>
    <s v="Hyderabad"/>
    <x v="1"/>
    <x v="6"/>
    <s v="CUST1724"/>
    <s v="SP_10"/>
    <n v="3"/>
    <n v="3482.79"/>
    <n v="10448.370000000001"/>
    <n v="7347.11"/>
    <n v="3101.26"/>
    <s v="Cash"/>
  </r>
  <r>
    <s v="ORD103589"/>
    <s v="2025-07-30"/>
    <x v="6"/>
    <s v="South"/>
    <s v="Telangana"/>
    <s v="Hyderabad"/>
    <x v="0"/>
    <x v="9"/>
    <s v="CUST1744"/>
    <s v="SP_07"/>
    <n v="5"/>
    <n v="6879.7"/>
    <n v="34398.5"/>
    <n v="25545.33"/>
    <n v="8853.17"/>
    <s v="Debit Card"/>
  </r>
  <r>
    <s v="ORD103590"/>
    <s v="2025-06-27"/>
    <x v="2"/>
    <s v="East"/>
    <s v="Bihar"/>
    <s v="Patna"/>
    <x v="3"/>
    <x v="7"/>
    <s v="CUST1450"/>
    <s v="SP_02"/>
    <n v="1"/>
    <n v="13052.15"/>
    <n v="13052.15"/>
    <n v="9070.17"/>
    <n v="3981.98"/>
    <s v="Credit Card"/>
  </r>
  <r>
    <s v="ORD103591"/>
    <s v="2025-07-11"/>
    <x v="6"/>
    <s v="North"/>
    <s v="Punjab"/>
    <s v="Chandigarh"/>
    <x v="0"/>
    <x v="9"/>
    <s v="CUST1809"/>
    <s v="SP_06"/>
    <n v="2"/>
    <n v="6518.43"/>
    <n v="13036.86"/>
    <n v="10066.11"/>
    <n v="2970.75"/>
    <s v="Debit Card"/>
  </r>
  <r>
    <s v="ORD103592"/>
    <s v="2025-03-08"/>
    <x v="4"/>
    <s v="South"/>
    <s v="Tamil Nadu"/>
    <s v="Chennai"/>
    <x v="0"/>
    <x v="8"/>
    <s v="CUST1916"/>
    <s v="SP_08"/>
    <n v="8"/>
    <n v="20513.86"/>
    <n v="164110.88"/>
    <n v="133967.28"/>
    <n v="30143.599999999999"/>
    <s v="Credit Card"/>
  </r>
  <r>
    <s v="ORD103593"/>
    <s v="2025-03-09"/>
    <x v="4"/>
    <s v="South"/>
    <s v="Telangana"/>
    <s v="Hyderabad"/>
    <x v="3"/>
    <x v="7"/>
    <s v="CUST1691"/>
    <s v="SP_06"/>
    <n v="7"/>
    <n v="12725.95"/>
    <n v="89081.65"/>
    <n v="61686.879999999997"/>
    <n v="27394.77"/>
    <s v="Credit Card"/>
  </r>
  <r>
    <s v="ORD103594"/>
    <s v="2025-07-09"/>
    <x v="6"/>
    <s v="South"/>
    <s v="Tamil Nadu"/>
    <s v="Chennai"/>
    <x v="0"/>
    <x v="9"/>
    <s v="CUST1300"/>
    <s v="SP_10"/>
    <n v="7"/>
    <n v="6787.1"/>
    <n v="47509.7"/>
    <n v="35922.21"/>
    <n v="11587.49"/>
    <s v="Credit Card"/>
  </r>
  <r>
    <s v="ORD103595"/>
    <s v="2025-08-02"/>
    <x v="11"/>
    <s v="West"/>
    <s v="Gujarat"/>
    <s v="Ahmedabad"/>
    <x v="1"/>
    <x v="6"/>
    <s v="CUST1284"/>
    <s v="SP_03"/>
    <n v="5"/>
    <n v="3259.27"/>
    <n v="16296.35"/>
    <n v="11647.03"/>
    <n v="4649.32"/>
    <s v="Net Banking"/>
  </r>
  <r>
    <s v="ORD103596"/>
    <s v="2025-10-15"/>
    <x v="1"/>
    <s v="West"/>
    <s v="Gujarat"/>
    <s v="Ahmedabad"/>
    <x v="1"/>
    <x v="1"/>
    <s v="CUST1285"/>
    <s v="SP_10"/>
    <n v="6"/>
    <n v="2578.4499999999998"/>
    <n v="15470.7"/>
    <n v="11844.94"/>
    <n v="3625.76"/>
    <s v="Credit Card"/>
  </r>
  <r>
    <s v="ORD103597"/>
    <s v="2025-01-18"/>
    <x v="9"/>
    <s v="North"/>
    <s v="Punjab"/>
    <s v="Chandigarh"/>
    <x v="1"/>
    <x v="5"/>
    <s v="CUST1958"/>
    <s v="SP_02"/>
    <n v="7"/>
    <n v="9547.18"/>
    <n v="66830.259999999995"/>
    <n v="54757.93"/>
    <n v="12072.33"/>
    <s v="UPI"/>
  </r>
  <r>
    <s v="ORD103598"/>
    <s v="2025-11-14"/>
    <x v="10"/>
    <s v="North"/>
    <s v="Uttar Pradesh"/>
    <s v="Lucknow"/>
    <x v="3"/>
    <x v="3"/>
    <s v="CUST1409"/>
    <s v="SP_14"/>
    <n v="2"/>
    <n v="23.97"/>
    <n v="47.94"/>
    <n v="20.83"/>
    <n v="27.11"/>
    <s v="Cash"/>
  </r>
  <r>
    <s v="ORD103599"/>
    <s v="2025-03-11"/>
    <x v="4"/>
    <s v="East"/>
    <s v="Odisha"/>
    <s v="Bhubaneswar"/>
    <x v="1"/>
    <x v="5"/>
    <s v="CUST1464"/>
    <s v="SP_02"/>
    <n v="8"/>
    <n v="8678.5300000000007"/>
    <n v="69428.240000000005"/>
    <n v="60812.72"/>
    <n v="8615.52"/>
    <s v="UPI"/>
  </r>
  <r>
    <s v="ORD103600"/>
    <s v="2025-11-19"/>
    <x v="10"/>
    <s v="East"/>
    <s v="West Bengal"/>
    <s v="Kolkata"/>
    <x v="2"/>
    <x v="2"/>
    <s v="CUST1552"/>
    <s v="SP_05"/>
    <n v="2"/>
    <n v="42146.9"/>
    <n v="84293.8"/>
    <n v="70707.929999999993"/>
    <n v="13585.87"/>
    <s v="Credit Card"/>
  </r>
  <r>
    <s v="ORD103601"/>
    <s v="2025-11-16"/>
    <x v="10"/>
    <s v="West"/>
    <s v="Rajasthan"/>
    <s v="Jaipur"/>
    <x v="2"/>
    <x v="10"/>
    <s v="CUST1905"/>
    <s v="SP_06"/>
    <n v="3"/>
    <n v="18042.34"/>
    <n v="54127.02"/>
    <n v="42162.25"/>
    <n v="11964.77"/>
    <s v="UPI"/>
  </r>
  <r>
    <s v="ORD103602"/>
    <s v="2025-12-17"/>
    <x v="7"/>
    <s v="South"/>
    <s v="Telangana"/>
    <s v="Hyderabad"/>
    <x v="0"/>
    <x v="8"/>
    <s v="CUST1706"/>
    <s v="SP_13"/>
    <n v="8"/>
    <n v="20343.05"/>
    <n v="162744.4"/>
    <n v="133111.04999999999"/>
    <n v="29633.35"/>
    <s v="Net Banking"/>
  </r>
  <r>
    <s v="ORD103603"/>
    <s v="2025-05-10"/>
    <x v="3"/>
    <s v="South"/>
    <s v="Karnataka"/>
    <s v="Bengaluru"/>
    <x v="2"/>
    <x v="2"/>
    <s v="CUST1573"/>
    <s v="SP_06"/>
    <n v="8"/>
    <n v="42938.42"/>
    <n v="343507.36"/>
    <n v="279293.44"/>
    <n v="64213.919999999998"/>
    <s v="Debit Card"/>
  </r>
  <r>
    <s v="ORD103604"/>
    <s v="2025-02-20"/>
    <x v="8"/>
    <s v="West"/>
    <s v="Maharashtra"/>
    <s v="Mumbai"/>
    <x v="1"/>
    <x v="5"/>
    <s v="CUST1550"/>
    <s v="SP_14"/>
    <n v="5"/>
    <n v="10393.14"/>
    <n v="51965.7"/>
    <n v="38272.239999999998"/>
    <n v="13693.46"/>
    <s v="Cash"/>
  </r>
  <r>
    <s v="ORD103605"/>
    <s v="2025-07-24"/>
    <x v="6"/>
    <s v="South"/>
    <s v="Karnataka"/>
    <s v="Bengaluru"/>
    <x v="2"/>
    <x v="4"/>
    <s v="CUST1184"/>
    <s v="SP_08"/>
    <n v="4"/>
    <n v="2524.6999999999998"/>
    <n v="10098.799999999999"/>
    <n v="6191.4"/>
    <n v="3907.4"/>
    <s v="UPI"/>
  </r>
  <r>
    <s v="ORD103606"/>
    <s v="2025-02-07"/>
    <x v="8"/>
    <s v="West"/>
    <s v="Gujarat"/>
    <s v="Ahmedabad"/>
    <x v="3"/>
    <x v="11"/>
    <s v="CUST1966"/>
    <s v="SP_02"/>
    <n v="2"/>
    <n v="123.95"/>
    <n v="247.9"/>
    <n v="117.98"/>
    <n v="129.91999999999999"/>
    <s v="Cash"/>
  </r>
  <r>
    <s v="ORD103607"/>
    <s v="2025-10-13"/>
    <x v="1"/>
    <s v="East"/>
    <s v="Odisha"/>
    <s v="Bhubaneswar"/>
    <x v="2"/>
    <x v="10"/>
    <s v="CUST1000"/>
    <s v="SP_03"/>
    <n v="7"/>
    <n v="18399.8"/>
    <n v="128798.6"/>
    <n v="102525.34"/>
    <n v="26273.26"/>
    <s v="Cash"/>
  </r>
  <r>
    <s v="ORD103608"/>
    <s v="2025-09-21"/>
    <x v="5"/>
    <s v="North"/>
    <s v="Uttar Pradesh"/>
    <s v="Lucknow"/>
    <x v="3"/>
    <x v="3"/>
    <s v="CUST1787"/>
    <s v="SP_08"/>
    <n v="8"/>
    <n v="25.95"/>
    <n v="207.6"/>
    <n v="79.2"/>
    <n v="128.4"/>
    <s v="Cash"/>
  </r>
  <r>
    <s v="ORD103609"/>
    <s v="2025-01-13"/>
    <x v="9"/>
    <s v="West"/>
    <s v="Rajasthan"/>
    <s v="Jaipur"/>
    <x v="2"/>
    <x v="2"/>
    <s v="CUST1493"/>
    <s v="SP_08"/>
    <n v="1"/>
    <n v="47048.92"/>
    <n v="47048.92"/>
    <n v="34344.78"/>
    <n v="12704.14"/>
    <s v="Debit Card"/>
  </r>
  <r>
    <s v="ORD103610"/>
    <s v="2025-10-01"/>
    <x v="1"/>
    <s v="East"/>
    <s v="Odisha"/>
    <s v="Bhubaneswar"/>
    <x v="2"/>
    <x v="10"/>
    <s v="CUST1315"/>
    <s v="SP_12"/>
    <n v="7"/>
    <n v="18281.88"/>
    <n v="127973.16"/>
    <n v="102751.94"/>
    <n v="25221.22"/>
    <s v="Net Banking"/>
  </r>
  <r>
    <s v="ORD103611"/>
    <s v="2025-06-04"/>
    <x v="2"/>
    <s v="North"/>
    <s v="Uttar Pradesh"/>
    <s v="Lucknow"/>
    <x v="2"/>
    <x v="10"/>
    <s v="CUST1491"/>
    <s v="SP_13"/>
    <n v="6"/>
    <n v="16244.71"/>
    <n v="97468.26"/>
    <n v="84963.199999999997"/>
    <n v="12505.06"/>
    <s v="UPI"/>
  </r>
  <r>
    <s v="ORD103612"/>
    <s v="2025-06-09"/>
    <x v="2"/>
    <s v="West"/>
    <s v="Maharashtra"/>
    <s v="Mumbai"/>
    <x v="0"/>
    <x v="9"/>
    <s v="CUST1883"/>
    <s v="SP_06"/>
    <n v="7"/>
    <n v="6485.54"/>
    <n v="45398.78"/>
    <n v="35085.129999999997"/>
    <n v="10313.65"/>
    <s v="Credit Card"/>
  </r>
  <r>
    <s v="ORD103613"/>
    <s v="2025-07-19"/>
    <x v="6"/>
    <s v="North"/>
    <s v="Uttar Pradesh"/>
    <s v="Lucknow"/>
    <x v="2"/>
    <x v="10"/>
    <s v="CUST1562"/>
    <s v="SP_11"/>
    <n v="5"/>
    <n v="18380.77"/>
    <n v="91903.85"/>
    <n v="71496.89"/>
    <n v="20406.96"/>
    <s v="Debit Card"/>
  </r>
  <r>
    <s v="ORD103614"/>
    <s v="2025-10-18"/>
    <x v="1"/>
    <s v="West"/>
    <s v="Rajasthan"/>
    <s v="Jaipur"/>
    <x v="0"/>
    <x v="0"/>
    <s v="CUST1425"/>
    <s v="SP_05"/>
    <n v="2"/>
    <n v="3734.31"/>
    <n v="7468.62"/>
    <n v="4442.26"/>
    <n v="3026.36"/>
    <s v="Debit Card"/>
  </r>
  <r>
    <s v="ORD103615"/>
    <s v="2025-08-20"/>
    <x v="11"/>
    <s v="North"/>
    <s v="Punjab"/>
    <s v="Chandigarh"/>
    <x v="1"/>
    <x v="5"/>
    <s v="CUST1457"/>
    <s v="SP_05"/>
    <n v="7"/>
    <n v="9484.99"/>
    <n v="66394.929999999993"/>
    <n v="54357.47"/>
    <n v="12037.46"/>
    <s v="Net Banking"/>
  </r>
  <r>
    <s v="ORD103616"/>
    <s v="2025-02-18"/>
    <x v="8"/>
    <s v="North"/>
    <s v="Delhi"/>
    <s v="Delhi"/>
    <x v="0"/>
    <x v="8"/>
    <s v="CUST1485"/>
    <s v="SP_03"/>
    <n v="6"/>
    <n v="24060.94"/>
    <n v="144365.64000000001"/>
    <n v="100645.25"/>
    <n v="43720.39"/>
    <s v="Net Banking"/>
  </r>
  <r>
    <s v="ORD103617"/>
    <s v="2025-06-26"/>
    <x v="2"/>
    <s v="North"/>
    <s v="Delhi"/>
    <s v="Delhi"/>
    <x v="2"/>
    <x v="4"/>
    <s v="CUST1129"/>
    <s v="SP_09"/>
    <n v="5"/>
    <n v="2347.9899999999998"/>
    <n v="11739.95"/>
    <n v="7642.99"/>
    <n v="4096.96"/>
    <s v="UPI"/>
  </r>
  <r>
    <s v="ORD103618"/>
    <s v="2025-12-28"/>
    <x v="7"/>
    <s v="North"/>
    <s v="Uttar Pradesh"/>
    <s v="Lucknow"/>
    <x v="3"/>
    <x v="11"/>
    <s v="CUST1865"/>
    <s v="SP_13"/>
    <n v="5"/>
    <n v="130.97"/>
    <n v="654.85"/>
    <n v="302.72000000000003"/>
    <n v="352.13"/>
    <s v="UPI"/>
  </r>
  <r>
    <s v="ORD103619"/>
    <s v="2025-06-26"/>
    <x v="2"/>
    <s v="West"/>
    <s v="Maharashtra"/>
    <s v="Mumbai"/>
    <x v="1"/>
    <x v="5"/>
    <s v="CUST1813"/>
    <s v="SP_05"/>
    <n v="1"/>
    <n v="10127.030000000001"/>
    <n v="10127.030000000001"/>
    <n v="7499.84"/>
    <n v="2627.19"/>
    <s v="Net Banking"/>
  </r>
  <r>
    <s v="ORD103620"/>
    <s v="2025-02-02"/>
    <x v="8"/>
    <s v="West"/>
    <s v="Gujarat"/>
    <s v="Ahmedabad"/>
    <x v="2"/>
    <x v="10"/>
    <s v="CUST1390"/>
    <s v="SP_09"/>
    <n v="7"/>
    <n v="16977.48"/>
    <n v="118842.36"/>
    <n v="99184"/>
    <n v="19658.36"/>
    <s v="Cash"/>
  </r>
  <r>
    <s v="ORD103621"/>
    <s v="2025-05-28"/>
    <x v="3"/>
    <s v="South"/>
    <s v="Tamil Nadu"/>
    <s v="Chennai"/>
    <x v="0"/>
    <x v="0"/>
    <s v="CUST1554"/>
    <s v="SP_06"/>
    <n v="8"/>
    <n v="3155.68"/>
    <n v="25245.439999999999"/>
    <n v="18279.240000000002"/>
    <n v="6966.2"/>
    <s v="Debit Card"/>
  </r>
  <r>
    <s v="ORD103622"/>
    <s v="2025-10-27"/>
    <x v="1"/>
    <s v="East"/>
    <s v="West Bengal"/>
    <s v="Kolkata"/>
    <x v="3"/>
    <x v="3"/>
    <s v="CUST1725"/>
    <s v="SP_15"/>
    <n v="7"/>
    <n v="24.7"/>
    <n v="172.9"/>
    <n v="68.36"/>
    <n v="104.54"/>
    <s v="Net Banking"/>
  </r>
  <r>
    <s v="ORD103623"/>
    <s v="2025-12-29"/>
    <x v="7"/>
    <s v="North"/>
    <s v="Punjab"/>
    <s v="Chandigarh"/>
    <x v="2"/>
    <x v="4"/>
    <s v="CUST1330"/>
    <s v="SP_03"/>
    <n v="3"/>
    <n v="2483.41"/>
    <n v="7450.23"/>
    <n v="4641.57"/>
    <n v="2808.66"/>
    <s v="Cash"/>
  </r>
  <r>
    <s v="ORD103624"/>
    <s v="2025-03-16"/>
    <x v="4"/>
    <s v="East"/>
    <s v="West Bengal"/>
    <s v="Kolkata"/>
    <x v="0"/>
    <x v="0"/>
    <s v="CUST1337"/>
    <s v="SP_04"/>
    <n v="3"/>
    <n v="3269.2"/>
    <n v="9807.6"/>
    <n v="6784.68"/>
    <n v="3022.92"/>
    <s v="Cash"/>
  </r>
  <r>
    <s v="ORD103625"/>
    <s v="2025-12-26"/>
    <x v="7"/>
    <s v="East"/>
    <s v="Bihar"/>
    <s v="Patna"/>
    <x v="3"/>
    <x v="7"/>
    <s v="CUST1707"/>
    <s v="SP_10"/>
    <n v="2"/>
    <n v="12345.79"/>
    <n v="24691.58"/>
    <n v="17742.75"/>
    <n v="6948.83"/>
    <s v="Cash"/>
  </r>
  <r>
    <s v="ORD103626"/>
    <s v="2025-03-28"/>
    <x v="4"/>
    <s v="South"/>
    <s v="Telangana"/>
    <s v="Hyderabad"/>
    <x v="2"/>
    <x v="2"/>
    <s v="CUST1111"/>
    <s v="SP_01"/>
    <n v="8"/>
    <n v="40796.67"/>
    <n v="326373.36"/>
    <n v="272604.69"/>
    <n v="53768.67"/>
    <s v="Debit Card"/>
  </r>
  <r>
    <s v="ORD103627"/>
    <s v="2025-12-17"/>
    <x v="7"/>
    <s v="West"/>
    <s v="Rajasthan"/>
    <s v="Jaipur"/>
    <x v="2"/>
    <x v="4"/>
    <s v="CUST1152"/>
    <s v="SP_07"/>
    <n v="3"/>
    <n v="2539.15"/>
    <n v="7617.45"/>
    <n v="4909.17"/>
    <n v="2708.28"/>
    <s v="Credit Card"/>
  </r>
  <r>
    <s v="ORD103628"/>
    <s v="2025-12-03"/>
    <x v="7"/>
    <s v="North"/>
    <s v="Uttar Pradesh"/>
    <s v="Lucknow"/>
    <x v="3"/>
    <x v="7"/>
    <s v="CUST1350"/>
    <s v="SP_06"/>
    <n v="7"/>
    <n v="11997.49"/>
    <n v="83982.43"/>
    <n v="61971.93"/>
    <n v="22010.5"/>
    <s v="Credit Card"/>
  </r>
  <r>
    <s v="ORD103629"/>
    <s v="2025-04-25"/>
    <x v="0"/>
    <s v="West"/>
    <s v="Gujarat"/>
    <s v="Ahmedabad"/>
    <x v="0"/>
    <x v="0"/>
    <s v="CUST1089"/>
    <s v="SP_05"/>
    <n v="3"/>
    <n v="3490.41"/>
    <n v="10471.23"/>
    <n v="6662.8"/>
    <n v="3808.43"/>
    <s v="Debit Card"/>
  </r>
  <r>
    <s v="ORD103630"/>
    <s v="2025-03-22"/>
    <x v="4"/>
    <s v="East"/>
    <s v="West Bengal"/>
    <s v="Kolkata"/>
    <x v="1"/>
    <x v="1"/>
    <s v="CUST1219"/>
    <s v="SP_04"/>
    <n v="1"/>
    <n v="2842.25"/>
    <n v="2842.25"/>
    <n v="1836.03"/>
    <n v="1006.22"/>
    <s v="Credit Card"/>
  </r>
  <r>
    <s v="ORD103631"/>
    <s v="2025-08-18"/>
    <x v="11"/>
    <s v="East"/>
    <s v="West Bengal"/>
    <s v="Kolkata"/>
    <x v="1"/>
    <x v="6"/>
    <s v="CUST1377"/>
    <s v="SP_13"/>
    <n v="2"/>
    <n v="2976.65"/>
    <n v="5953.3"/>
    <n v="4959.04"/>
    <n v="994.26"/>
    <s v="Debit Card"/>
  </r>
  <r>
    <s v="ORD103632"/>
    <s v="2025-01-01"/>
    <x v="9"/>
    <s v="East"/>
    <s v="West Bengal"/>
    <s v="Kolkata"/>
    <x v="2"/>
    <x v="2"/>
    <s v="CUST1162"/>
    <s v="SP_02"/>
    <n v="1"/>
    <n v="40905.870000000003"/>
    <n v="40905.870000000003"/>
    <n v="35563.82"/>
    <n v="5342.05"/>
    <s v="Credit Card"/>
  </r>
  <r>
    <s v="ORD103633"/>
    <s v="2025-05-25"/>
    <x v="3"/>
    <s v="East"/>
    <s v="Bihar"/>
    <s v="Patna"/>
    <x v="1"/>
    <x v="5"/>
    <s v="CUST1796"/>
    <s v="SP_10"/>
    <n v="7"/>
    <n v="9653.74"/>
    <n v="67576.179999999993"/>
    <n v="51907.94"/>
    <n v="15668.24"/>
    <s v="Net Banking"/>
  </r>
  <r>
    <s v="ORD103634"/>
    <s v="2025-10-27"/>
    <x v="1"/>
    <s v="South"/>
    <s v="Tamil Nadu"/>
    <s v="Chennai"/>
    <x v="2"/>
    <x v="2"/>
    <s v="CUST1004"/>
    <s v="SP_13"/>
    <n v="3"/>
    <n v="42815.18"/>
    <n v="128445.54"/>
    <n v="109583.08"/>
    <n v="18862.46"/>
    <s v="UPI"/>
  </r>
  <r>
    <s v="ORD103635"/>
    <s v="2025-10-04"/>
    <x v="1"/>
    <s v="West"/>
    <s v="Gujarat"/>
    <s v="Ahmedabad"/>
    <x v="0"/>
    <x v="0"/>
    <s v="CUST1168"/>
    <s v="SP_07"/>
    <n v="7"/>
    <n v="3577.2"/>
    <n v="25040.400000000001"/>
    <n v="15891.04"/>
    <n v="9149.36"/>
    <s v="Cash"/>
  </r>
  <r>
    <s v="ORD103636"/>
    <s v="2025-10-31"/>
    <x v="1"/>
    <s v="East"/>
    <s v="West Bengal"/>
    <s v="Kolkata"/>
    <x v="2"/>
    <x v="2"/>
    <s v="CUST1972"/>
    <s v="SP_01"/>
    <n v="8"/>
    <n v="42646.78"/>
    <n v="341174.24"/>
    <n v="288886.34999999998"/>
    <n v="52287.89"/>
    <s v="UPI"/>
  </r>
  <r>
    <s v="ORD103637"/>
    <s v="2025-01-05"/>
    <x v="9"/>
    <s v="North"/>
    <s v="Uttar Pradesh"/>
    <s v="Lucknow"/>
    <x v="0"/>
    <x v="8"/>
    <s v="CUST1210"/>
    <s v="SP_11"/>
    <n v="5"/>
    <n v="20298.28"/>
    <n v="101491.4"/>
    <n v="86218.72"/>
    <n v="15272.68"/>
    <s v="Credit Card"/>
  </r>
  <r>
    <s v="ORD103638"/>
    <s v="2025-10-11"/>
    <x v="1"/>
    <s v="North"/>
    <s v="Delhi"/>
    <s v="Delhi"/>
    <x v="1"/>
    <x v="1"/>
    <s v="CUST1576"/>
    <s v="SP_08"/>
    <n v="4"/>
    <n v="2555.31"/>
    <n v="10221.24"/>
    <n v="7978.84"/>
    <n v="2242.4"/>
    <s v="Net Banking"/>
  </r>
  <r>
    <s v="ORD103639"/>
    <s v="2025-12-29"/>
    <x v="7"/>
    <s v="North"/>
    <s v="Punjab"/>
    <s v="Chandigarh"/>
    <x v="1"/>
    <x v="6"/>
    <s v="CUST1783"/>
    <s v="SP_10"/>
    <n v="3"/>
    <n v="3407.63"/>
    <n v="10222.89"/>
    <n v="6891.26"/>
    <n v="3331.63"/>
    <s v="Cash"/>
  </r>
  <r>
    <s v="ORD103640"/>
    <s v="2025-05-14"/>
    <x v="3"/>
    <s v="South"/>
    <s v="Telangana"/>
    <s v="Hyderabad"/>
    <x v="3"/>
    <x v="3"/>
    <s v="CUST1514"/>
    <s v="SP_03"/>
    <n v="3"/>
    <n v="22.73"/>
    <n v="68.19"/>
    <n v="29.54"/>
    <n v="38.65"/>
    <s v="UPI"/>
  </r>
  <r>
    <s v="ORD103641"/>
    <s v="2025-06-10"/>
    <x v="2"/>
    <s v="West"/>
    <s v="Rajasthan"/>
    <s v="Jaipur"/>
    <x v="0"/>
    <x v="9"/>
    <s v="CUST1786"/>
    <s v="SP_03"/>
    <n v="5"/>
    <n v="7183.99"/>
    <n v="35919.949999999997"/>
    <n v="24409.66"/>
    <n v="11510.29"/>
    <s v="Net Banking"/>
  </r>
  <r>
    <s v="ORD103642"/>
    <s v="2025-12-09"/>
    <x v="7"/>
    <s v="West"/>
    <s v="Rajasthan"/>
    <s v="Jaipur"/>
    <x v="0"/>
    <x v="0"/>
    <s v="CUST1305"/>
    <s v="SP_09"/>
    <n v="4"/>
    <n v="3706.24"/>
    <n v="14824.96"/>
    <n v="8899.58"/>
    <n v="5925.38"/>
    <s v="Net Banking"/>
  </r>
  <r>
    <s v="ORD103643"/>
    <s v="2025-07-04"/>
    <x v="6"/>
    <s v="North"/>
    <s v="Uttar Pradesh"/>
    <s v="Lucknow"/>
    <x v="1"/>
    <x v="6"/>
    <s v="CUST1447"/>
    <s v="SP_04"/>
    <n v="7"/>
    <n v="2906.2"/>
    <n v="20343.400000000001"/>
    <n v="16231.78"/>
    <n v="4111.62"/>
    <s v="Credit Card"/>
  </r>
  <r>
    <s v="ORD103644"/>
    <s v="2025-04-18"/>
    <x v="0"/>
    <s v="East"/>
    <s v="Odisha"/>
    <s v="Bhubaneswar"/>
    <x v="0"/>
    <x v="9"/>
    <s v="CUST1518"/>
    <s v="SP_14"/>
    <n v="1"/>
    <n v="7288.79"/>
    <n v="7288.79"/>
    <n v="5066.12"/>
    <n v="2222.67"/>
    <s v="Debit Card"/>
  </r>
  <r>
    <s v="ORD103645"/>
    <s v="2025-07-20"/>
    <x v="6"/>
    <s v="South"/>
    <s v="Karnataka"/>
    <s v="Bengaluru"/>
    <x v="2"/>
    <x v="2"/>
    <s v="CUST1905"/>
    <s v="SP_03"/>
    <n v="8"/>
    <n v="41178.6"/>
    <n v="329428.8"/>
    <n v="285139.05"/>
    <n v="44289.75"/>
    <s v="Cash"/>
  </r>
  <r>
    <s v="ORD103646"/>
    <s v="2025-07-26"/>
    <x v="6"/>
    <s v="West"/>
    <s v="Gujarat"/>
    <s v="Ahmedabad"/>
    <x v="0"/>
    <x v="9"/>
    <s v="CUST1035"/>
    <s v="SP_04"/>
    <n v="1"/>
    <n v="6785.52"/>
    <n v="6785.52"/>
    <n v="5187.3500000000004"/>
    <n v="1598.17"/>
    <s v="Debit Card"/>
  </r>
  <r>
    <s v="ORD103647"/>
    <s v="2025-04-22"/>
    <x v="0"/>
    <s v="West"/>
    <s v="Maharashtra"/>
    <s v="Mumbai"/>
    <x v="1"/>
    <x v="1"/>
    <s v="CUST1922"/>
    <s v="SP_08"/>
    <n v="6"/>
    <n v="3027.69"/>
    <n v="18166.14"/>
    <n v="11164.72"/>
    <n v="7001.42"/>
    <s v="Net Banking"/>
  </r>
  <r>
    <s v="ORD103648"/>
    <s v="2025-03-02"/>
    <x v="4"/>
    <s v="East"/>
    <s v="West Bengal"/>
    <s v="Kolkata"/>
    <x v="1"/>
    <x v="1"/>
    <s v="CUST1253"/>
    <s v="SP_04"/>
    <n v="2"/>
    <n v="2588.13"/>
    <n v="5176.26"/>
    <n v="3629.5"/>
    <n v="1546.76"/>
    <s v="Credit Card"/>
  </r>
  <r>
    <s v="ORD103649"/>
    <s v="2025-06-14"/>
    <x v="2"/>
    <s v="East"/>
    <s v="West Bengal"/>
    <s v="Kolkata"/>
    <x v="1"/>
    <x v="6"/>
    <s v="CUST1321"/>
    <s v="SP_10"/>
    <n v="1"/>
    <n v="3040.46"/>
    <n v="3040.46"/>
    <n v="2395.1"/>
    <n v="645.36"/>
    <s v="UPI"/>
  </r>
  <r>
    <s v="ORD103650"/>
    <s v="2025-08-17"/>
    <x v="11"/>
    <s v="South"/>
    <s v="Tamil Nadu"/>
    <s v="Chennai"/>
    <x v="3"/>
    <x v="7"/>
    <s v="CUST1804"/>
    <s v="SP_03"/>
    <n v="1"/>
    <n v="12410.42"/>
    <n v="12410.42"/>
    <n v="9263.2099999999991"/>
    <n v="3147.21"/>
    <s v="UPI"/>
  </r>
  <r>
    <s v="ORD103651"/>
    <s v="2025-02-23"/>
    <x v="8"/>
    <s v="West"/>
    <s v="Maharashtra"/>
    <s v="Mumbai"/>
    <x v="1"/>
    <x v="6"/>
    <s v="CUST1381"/>
    <s v="SP_11"/>
    <n v="4"/>
    <n v="3045.98"/>
    <n v="12183.92"/>
    <n v="9275.92"/>
    <n v="2908"/>
    <s v="Debit Card"/>
  </r>
  <r>
    <s v="ORD103652"/>
    <s v="2025-01-20"/>
    <x v="9"/>
    <s v="West"/>
    <s v="Rajasthan"/>
    <s v="Jaipur"/>
    <x v="3"/>
    <x v="11"/>
    <s v="CUST1898"/>
    <s v="SP_02"/>
    <n v="2"/>
    <n v="130.19"/>
    <n v="260.38"/>
    <n v="116.74"/>
    <n v="143.63999999999999"/>
    <s v="UPI"/>
  </r>
  <r>
    <s v="ORD103653"/>
    <s v="2025-12-05"/>
    <x v="7"/>
    <s v="North"/>
    <s v="Punjab"/>
    <s v="Chandigarh"/>
    <x v="3"/>
    <x v="3"/>
    <s v="CUST1519"/>
    <s v="SP_09"/>
    <n v="2"/>
    <n v="26.22"/>
    <n v="52.44"/>
    <n v="19.43"/>
    <n v="33.01"/>
    <s v="Debit Card"/>
  </r>
  <r>
    <s v="ORD103654"/>
    <s v="2025-07-14"/>
    <x v="6"/>
    <s v="South"/>
    <s v="Karnataka"/>
    <s v="Bengaluru"/>
    <x v="3"/>
    <x v="7"/>
    <s v="CUST1072"/>
    <s v="SP_13"/>
    <n v="3"/>
    <n v="11719.48"/>
    <n v="35158.44"/>
    <n v="27897.25"/>
    <n v="7261.19"/>
    <s v="Debit Card"/>
  </r>
  <r>
    <s v="ORD103655"/>
    <s v="2025-08-10"/>
    <x v="11"/>
    <s v="East"/>
    <s v="Bihar"/>
    <s v="Patna"/>
    <x v="3"/>
    <x v="7"/>
    <s v="CUST1654"/>
    <s v="SP_08"/>
    <n v="8"/>
    <n v="11008.97"/>
    <n v="88071.76"/>
    <n v="71010.41"/>
    <n v="17061.349999999999"/>
    <s v="Net Banking"/>
  </r>
  <r>
    <s v="ORD103656"/>
    <s v="2025-08-09"/>
    <x v="11"/>
    <s v="South"/>
    <s v="Tamil Nadu"/>
    <s v="Chennai"/>
    <x v="3"/>
    <x v="7"/>
    <s v="CUST1557"/>
    <s v="SP_04"/>
    <n v="1"/>
    <n v="11765.61"/>
    <n v="11765.61"/>
    <n v="8567.2099999999991"/>
    <n v="3198.4"/>
    <s v="Credit Card"/>
  </r>
  <r>
    <s v="ORD103657"/>
    <s v="2025-02-22"/>
    <x v="8"/>
    <s v="West"/>
    <s v="Gujarat"/>
    <s v="Ahmedabad"/>
    <x v="1"/>
    <x v="1"/>
    <s v="CUST1449"/>
    <s v="SP_07"/>
    <n v="3"/>
    <n v="2830.31"/>
    <n v="8490.93"/>
    <n v="5580.04"/>
    <n v="2910.89"/>
    <s v="Credit Card"/>
  </r>
  <r>
    <s v="ORD103658"/>
    <s v="2025-05-14"/>
    <x v="3"/>
    <s v="East"/>
    <s v="Bihar"/>
    <s v="Patna"/>
    <x v="3"/>
    <x v="3"/>
    <s v="CUST1263"/>
    <s v="SP_11"/>
    <n v="6"/>
    <n v="25.73"/>
    <n v="154.38"/>
    <n v="58.9"/>
    <n v="95.48"/>
    <s v="Net Banking"/>
  </r>
  <r>
    <s v="ORD103659"/>
    <s v="2025-02-15"/>
    <x v="8"/>
    <s v="North"/>
    <s v="Uttar Pradesh"/>
    <s v="Lucknow"/>
    <x v="2"/>
    <x v="10"/>
    <s v="CUST1846"/>
    <s v="SP_01"/>
    <n v="7"/>
    <n v="19107.349999999999"/>
    <n v="133751.45000000001"/>
    <n v="97815.19"/>
    <n v="35936.26"/>
    <s v="Net Banking"/>
  </r>
  <r>
    <s v="ORD103660"/>
    <s v="2025-11-09"/>
    <x v="10"/>
    <s v="West"/>
    <s v="Maharashtra"/>
    <s v="Mumbai"/>
    <x v="3"/>
    <x v="11"/>
    <s v="CUST1227"/>
    <s v="SP_02"/>
    <n v="7"/>
    <n v="119.84"/>
    <n v="838.88"/>
    <n v="418.5"/>
    <n v="420.38"/>
    <s v="Cash"/>
  </r>
  <r>
    <s v="ORD103661"/>
    <s v="2025-08-09"/>
    <x v="11"/>
    <s v="East"/>
    <s v="Bihar"/>
    <s v="Patna"/>
    <x v="1"/>
    <x v="1"/>
    <s v="CUST1630"/>
    <s v="SP_01"/>
    <n v="1"/>
    <n v="2939.68"/>
    <n v="2939.68"/>
    <n v="1902.32"/>
    <n v="1037.3599999999999"/>
    <s v="Credit Card"/>
  </r>
  <r>
    <s v="ORD103662"/>
    <s v="2025-04-09"/>
    <x v="0"/>
    <s v="East"/>
    <s v="Odisha"/>
    <s v="Bhubaneswar"/>
    <x v="1"/>
    <x v="5"/>
    <s v="CUST1674"/>
    <s v="SP_01"/>
    <n v="5"/>
    <n v="10025.66"/>
    <n v="50128.3"/>
    <n v="36741.370000000003"/>
    <n v="13386.93"/>
    <s v="Debit Card"/>
  </r>
  <r>
    <s v="ORD103663"/>
    <s v="2025-08-29"/>
    <x v="11"/>
    <s v="North"/>
    <s v="Delhi"/>
    <s v="Delhi"/>
    <x v="2"/>
    <x v="2"/>
    <s v="CUST1069"/>
    <s v="SP_06"/>
    <n v="1"/>
    <n v="48647.97"/>
    <n v="48647.97"/>
    <n v="34996.660000000003"/>
    <n v="13651.31"/>
    <s v="Cash"/>
  </r>
  <r>
    <s v="ORD103664"/>
    <s v="2025-01-11"/>
    <x v="9"/>
    <s v="South"/>
    <s v="Telangana"/>
    <s v="Hyderabad"/>
    <x v="1"/>
    <x v="1"/>
    <s v="CUST1486"/>
    <s v="SP_06"/>
    <n v="4"/>
    <n v="2611.81"/>
    <n v="10447.24"/>
    <n v="7971.96"/>
    <n v="2475.2800000000002"/>
    <s v="Credit Card"/>
  </r>
  <r>
    <s v="ORD103665"/>
    <s v="2025-11-24"/>
    <x v="10"/>
    <s v="North"/>
    <s v="Delhi"/>
    <s v="Delhi"/>
    <x v="1"/>
    <x v="5"/>
    <s v="CUST1718"/>
    <s v="SP_05"/>
    <n v="1"/>
    <n v="9237.32"/>
    <n v="9237.32"/>
    <n v="7672.1"/>
    <n v="1565.22"/>
    <s v="Debit Card"/>
  </r>
  <r>
    <s v="ORD103666"/>
    <s v="2025-09-01"/>
    <x v="5"/>
    <s v="South"/>
    <s v="Karnataka"/>
    <s v="Bengaluru"/>
    <x v="2"/>
    <x v="4"/>
    <s v="CUST1183"/>
    <s v="SP_02"/>
    <n v="2"/>
    <n v="2327.67"/>
    <n v="4655.34"/>
    <n v="3324.42"/>
    <n v="1330.92"/>
    <s v="Net Banking"/>
  </r>
  <r>
    <s v="ORD103667"/>
    <s v="2025-03-26"/>
    <x v="4"/>
    <s v="North"/>
    <s v="Punjab"/>
    <s v="Chandigarh"/>
    <x v="1"/>
    <x v="1"/>
    <s v="CUST1862"/>
    <s v="SP_15"/>
    <n v="6"/>
    <n v="2735.38"/>
    <n v="16412.28"/>
    <n v="10884.65"/>
    <n v="5527.63"/>
    <s v="Net Banking"/>
  </r>
  <r>
    <s v="ORD103668"/>
    <s v="2025-12-22"/>
    <x v="7"/>
    <s v="East"/>
    <s v="Odisha"/>
    <s v="Bhubaneswar"/>
    <x v="0"/>
    <x v="8"/>
    <s v="CUST1270"/>
    <s v="SP_15"/>
    <n v="2"/>
    <n v="20302.099999999999"/>
    <n v="40604.199999999997"/>
    <n v="35567"/>
    <n v="5037.2"/>
    <s v="UPI"/>
  </r>
  <r>
    <s v="ORD103669"/>
    <s v="2025-08-13"/>
    <x v="11"/>
    <s v="North"/>
    <s v="Uttar Pradesh"/>
    <s v="Lucknow"/>
    <x v="3"/>
    <x v="11"/>
    <s v="CUST1649"/>
    <s v="SP_01"/>
    <n v="5"/>
    <n v="122.24"/>
    <n v="611.20000000000005"/>
    <n v="289"/>
    <n v="322.2"/>
    <s v="UPI"/>
  </r>
  <r>
    <s v="ORD103670"/>
    <s v="2025-05-18"/>
    <x v="3"/>
    <s v="West"/>
    <s v="Maharashtra"/>
    <s v="Mumbai"/>
    <x v="3"/>
    <x v="11"/>
    <s v="CUST1549"/>
    <s v="SP_09"/>
    <n v="7"/>
    <n v="124.75"/>
    <n v="873.25"/>
    <n v="421.13"/>
    <n v="452.12"/>
    <s v="Debit Card"/>
  </r>
  <r>
    <s v="ORD103671"/>
    <s v="2025-10-07"/>
    <x v="1"/>
    <s v="South"/>
    <s v="Tamil Nadu"/>
    <s v="Chennai"/>
    <x v="0"/>
    <x v="9"/>
    <s v="CUST1278"/>
    <s v="SP_15"/>
    <n v="3"/>
    <n v="7295.92"/>
    <n v="21887.759999999998"/>
    <n v="14356.7"/>
    <n v="7531.06"/>
    <s v="Cash"/>
  </r>
  <r>
    <s v="ORD103672"/>
    <s v="2025-01-21"/>
    <x v="9"/>
    <s v="East"/>
    <s v="Bihar"/>
    <s v="Patna"/>
    <x v="1"/>
    <x v="6"/>
    <s v="CUST1661"/>
    <s v="SP_09"/>
    <n v="5"/>
    <n v="3434.29"/>
    <n v="17171.45"/>
    <n v="12052.8"/>
    <n v="5118.6499999999996"/>
    <s v="Net Banking"/>
  </r>
  <r>
    <s v="ORD103673"/>
    <s v="2025-08-20"/>
    <x v="11"/>
    <s v="East"/>
    <s v="West Bengal"/>
    <s v="Kolkata"/>
    <x v="2"/>
    <x v="10"/>
    <s v="CUST1583"/>
    <s v="SP_09"/>
    <n v="8"/>
    <n v="18082.66"/>
    <n v="144661.28"/>
    <n v="115914.02"/>
    <n v="28747.26"/>
    <s v="UPI"/>
  </r>
  <r>
    <s v="ORD103674"/>
    <s v="2025-06-23"/>
    <x v="2"/>
    <s v="South"/>
    <s v="Karnataka"/>
    <s v="Bengaluru"/>
    <x v="3"/>
    <x v="11"/>
    <s v="CUST1093"/>
    <s v="SP_13"/>
    <n v="1"/>
    <n v="130.41999999999999"/>
    <n v="130.41999999999999"/>
    <n v="59.86"/>
    <n v="70.56"/>
    <s v="Debit Card"/>
  </r>
  <r>
    <s v="ORD103675"/>
    <s v="2025-06-05"/>
    <x v="2"/>
    <s v="South"/>
    <s v="Karnataka"/>
    <s v="Bengaluru"/>
    <x v="0"/>
    <x v="8"/>
    <s v="CUST1141"/>
    <s v="SP_11"/>
    <n v="3"/>
    <n v="22172.02"/>
    <n v="66516.06"/>
    <n v="49210.27"/>
    <n v="17305.79"/>
    <s v="Cash"/>
  </r>
  <r>
    <s v="ORD103676"/>
    <s v="2025-02-05"/>
    <x v="8"/>
    <s v="North"/>
    <s v="Punjab"/>
    <s v="Chandigarh"/>
    <x v="1"/>
    <x v="1"/>
    <s v="CUST1208"/>
    <s v="SP_15"/>
    <n v="6"/>
    <n v="3028.51"/>
    <n v="18171.060000000001"/>
    <n v="10901.42"/>
    <n v="7269.64"/>
    <s v="Net Banking"/>
  </r>
  <r>
    <s v="ORD103677"/>
    <s v="2025-09-06"/>
    <x v="5"/>
    <s v="West"/>
    <s v="Gujarat"/>
    <s v="Ahmedabad"/>
    <x v="2"/>
    <x v="4"/>
    <s v="CUST1885"/>
    <s v="SP_02"/>
    <n v="3"/>
    <n v="2616.4"/>
    <n v="7849.2"/>
    <n v="4805.83"/>
    <n v="3043.37"/>
    <s v="Debit Card"/>
  </r>
  <r>
    <s v="ORD103678"/>
    <s v="2025-05-04"/>
    <x v="3"/>
    <s v="East"/>
    <s v="Odisha"/>
    <s v="Bhubaneswar"/>
    <x v="2"/>
    <x v="4"/>
    <s v="CUST1412"/>
    <s v="SP_06"/>
    <n v="4"/>
    <n v="2444.29"/>
    <n v="9777.16"/>
    <n v="6622.7"/>
    <n v="3154.46"/>
    <s v="Net Banking"/>
  </r>
  <r>
    <s v="ORD103679"/>
    <s v="2025-07-04"/>
    <x v="6"/>
    <s v="East"/>
    <s v="Odisha"/>
    <s v="Bhubaneswar"/>
    <x v="2"/>
    <x v="10"/>
    <s v="CUST1459"/>
    <s v="SP_15"/>
    <n v="8"/>
    <n v="17901.14"/>
    <n v="143209.12"/>
    <n v="110316.14"/>
    <n v="32892.980000000003"/>
    <s v="UPI"/>
  </r>
  <r>
    <s v="ORD103680"/>
    <s v="2025-10-21"/>
    <x v="1"/>
    <s v="South"/>
    <s v="Karnataka"/>
    <s v="Bengaluru"/>
    <x v="0"/>
    <x v="0"/>
    <s v="CUST1874"/>
    <s v="SP_11"/>
    <n v="5"/>
    <n v="3203.62"/>
    <n v="16018.1"/>
    <n v="11442.78"/>
    <n v="4575.32"/>
    <s v="UPI"/>
  </r>
  <r>
    <s v="ORD103681"/>
    <s v="2025-12-17"/>
    <x v="7"/>
    <s v="East"/>
    <s v="Odisha"/>
    <s v="Bhubaneswar"/>
    <x v="3"/>
    <x v="3"/>
    <s v="CUST1129"/>
    <s v="SP_04"/>
    <n v="5"/>
    <n v="27.19"/>
    <n v="135.94999999999999"/>
    <n v="48.95"/>
    <n v="87"/>
    <s v="Debit Card"/>
  </r>
  <r>
    <s v="ORD103682"/>
    <s v="2025-07-08"/>
    <x v="6"/>
    <s v="North"/>
    <s v="Delhi"/>
    <s v="Delhi"/>
    <x v="1"/>
    <x v="1"/>
    <s v="CUST1455"/>
    <s v="SP_07"/>
    <n v="5"/>
    <n v="3019.41"/>
    <n v="15097.05"/>
    <n v="9797.06"/>
    <n v="5299.99"/>
    <s v="Credit Card"/>
  </r>
  <r>
    <s v="ORD103683"/>
    <s v="2025-11-30"/>
    <x v="10"/>
    <s v="West"/>
    <s v="Gujarat"/>
    <s v="Ahmedabad"/>
    <x v="1"/>
    <x v="1"/>
    <s v="CUST1509"/>
    <s v="SP_01"/>
    <n v="2"/>
    <n v="2551.23"/>
    <n v="5102.46"/>
    <n v="3687.13"/>
    <n v="1415.33"/>
    <s v="Cash"/>
  </r>
  <r>
    <s v="ORD103684"/>
    <s v="2025-05-06"/>
    <x v="3"/>
    <s v="East"/>
    <s v="Odisha"/>
    <s v="Bhubaneswar"/>
    <x v="1"/>
    <x v="5"/>
    <s v="CUST1978"/>
    <s v="SP_04"/>
    <n v="8"/>
    <n v="9730.93"/>
    <n v="77847.44"/>
    <n v="61697.88"/>
    <n v="16149.56"/>
    <s v="Net Banking"/>
  </r>
  <r>
    <s v="ORD103685"/>
    <s v="2025-05-02"/>
    <x v="3"/>
    <s v="East"/>
    <s v="Odisha"/>
    <s v="Bhubaneswar"/>
    <x v="0"/>
    <x v="8"/>
    <s v="CUST1167"/>
    <s v="SP_02"/>
    <n v="5"/>
    <n v="23347.95"/>
    <n v="116739.75"/>
    <n v="88484.25"/>
    <n v="28255.5"/>
    <s v="Debit Card"/>
  </r>
  <r>
    <s v="ORD103686"/>
    <s v="2025-07-26"/>
    <x v="6"/>
    <s v="West"/>
    <s v="Gujarat"/>
    <s v="Ahmedabad"/>
    <x v="0"/>
    <x v="8"/>
    <s v="CUST1909"/>
    <s v="SP_02"/>
    <n v="8"/>
    <n v="21013.3"/>
    <n v="168106.4"/>
    <n v="139608.85999999999"/>
    <n v="28497.54"/>
    <s v="Net Banking"/>
  </r>
  <r>
    <s v="ORD103687"/>
    <s v="2025-10-30"/>
    <x v="1"/>
    <s v="East"/>
    <s v="Bihar"/>
    <s v="Patna"/>
    <x v="3"/>
    <x v="7"/>
    <s v="CUST1966"/>
    <s v="SP_05"/>
    <n v="3"/>
    <n v="12957.85"/>
    <n v="38873.550000000003"/>
    <n v="26051.62"/>
    <n v="12821.93"/>
    <s v="Debit Card"/>
  </r>
  <r>
    <s v="ORD103688"/>
    <s v="2025-02-01"/>
    <x v="8"/>
    <s v="South"/>
    <s v="Karnataka"/>
    <s v="Bengaluru"/>
    <x v="2"/>
    <x v="4"/>
    <s v="CUST1456"/>
    <s v="SP_04"/>
    <n v="4"/>
    <n v="2549.42"/>
    <n v="10197.68"/>
    <n v="6346.63"/>
    <n v="3851.05"/>
    <s v="Cash"/>
  </r>
  <r>
    <s v="ORD103689"/>
    <s v="2025-10-10"/>
    <x v="1"/>
    <s v="West"/>
    <s v="Gujarat"/>
    <s v="Ahmedabad"/>
    <x v="1"/>
    <x v="1"/>
    <s v="CUST1859"/>
    <s v="SP_14"/>
    <n v="2"/>
    <n v="2971.37"/>
    <n v="5942.74"/>
    <n v="3986.99"/>
    <n v="1955.75"/>
    <s v="Credit Card"/>
  </r>
  <r>
    <s v="ORD103690"/>
    <s v="2025-11-25"/>
    <x v="10"/>
    <s v="West"/>
    <s v="Gujarat"/>
    <s v="Ahmedabad"/>
    <x v="3"/>
    <x v="3"/>
    <s v="CUST1902"/>
    <s v="SP_10"/>
    <n v="5"/>
    <n v="24.16"/>
    <n v="120.8"/>
    <n v="47.71"/>
    <n v="73.09"/>
    <s v="Cash"/>
  </r>
  <r>
    <s v="ORD103691"/>
    <s v="2025-02-10"/>
    <x v="8"/>
    <s v="South"/>
    <s v="Karnataka"/>
    <s v="Bengaluru"/>
    <x v="0"/>
    <x v="0"/>
    <s v="CUST1285"/>
    <s v="SP_01"/>
    <n v="6"/>
    <n v="3671.69"/>
    <n v="22030.14"/>
    <n v="12544.75"/>
    <n v="9485.39"/>
    <s v="UPI"/>
  </r>
  <r>
    <s v="ORD103692"/>
    <s v="2025-08-13"/>
    <x v="11"/>
    <s v="East"/>
    <s v="West Bengal"/>
    <s v="Kolkata"/>
    <x v="3"/>
    <x v="3"/>
    <s v="CUST1159"/>
    <s v="SP_15"/>
    <n v="5"/>
    <n v="26.3"/>
    <n v="131.5"/>
    <n v="48.21"/>
    <n v="83.29"/>
    <s v="Cash"/>
  </r>
  <r>
    <s v="ORD103693"/>
    <s v="2025-12-20"/>
    <x v="7"/>
    <s v="North"/>
    <s v="Uttar Pradesh"/>
    <s v="Lucknow"/>
    <x v="0"/>
    <x v="9"/>
    <s v="CUST1022"/>
    <s v="SP_08"/>
    <n v="4"/>
    <n v="6952.42"/>
    <n v="27809.68"/>
    <n v="20622.560000000001"/>
    <n v="7187.12"/>
    <s v="Net Banking"/>
  </r>
  <r>
    <s v="ORD103694"/>
    <s v="2025-12-19"/>
    <x v="7"/>
    <s v="West"/>
    <s v="Gujarat"/>
    <s v="Ahmedabad"/>
    <x v="1"/>
    <x v="5"/>
    <s v="CUST1275"/>
    <s v="SP_13"/>
    <n v="6"/>
    <n v="10051.01"/>
    <n v="60306.06"/>
    <n v="44741.08"/>
    <n v="15564.98"/>
    <s v="Net Banking"/>
  </r>
  <r>
    <s v="ORD103695"/>
    <s v="2025-02-02"/>
    <x v="8"/>
    <s v="East"/>
    <s v="West Bengal"/>
    <s v="Kolkata"/>
    <x v="2"/>
    <x v="2"/>
    <s v="CUST1589"/>
    <s v="SP_14"/>
    <n v="5"/>
    <n v="44771.54"/>
    <n v="223857.7"/>
    <n v="182536.42"/>
    <n v="41321.279999999999"/>
    <s v="UPI"/>
  </r>
  <r>
    <s v="ORD103696"/>
    <s v="2025-10-13"/>
    <x v="1"/>
    <s v="West"/>
    <s v="Maharashtra"/>
    <s v="Mumbai"/>
    <x v="3"/>
    <x v="7"/>
    <s v="CUST1928"/>
    <s v="SP_08"/>
    <n v="7"/>
    <n v="11625.51"/>
    <n v="81378.570000000007"/>
    <n v="64983.58"/>
    <n v="16394.990000000002"/>
    <s v="Debit Card"/>
  </r>
  <r>
    <s v="ORD103697"/>
    <s v="2025-11-23"/>
    <x v="10"/>
    <s v="South"/>
    <s v="Tamil Nadu"/>
    <s v="Chennai"/>
    <x v="0"/>
    <x v="9"/>
    <s v="CUST1245"/>
    <s v="SP_06"/>
    <n v="7"/>
    <n v="7655.2"/>
    <n v="53586.400000000001"/>
    <n v="36012.58"/>
    <n v="17573.82"/>
    <s v="Cash"/>
  </r>
  <r>
    <s v="ORD103698"/>
    <s v="2025-03-02"/>
    <x v="4"/>
    <s v="West"/>
    <s v="Gujarat"/>
    <s v="Ahmedabad"/>
    <x v="0"/>
    <x v="9"/>
    <s v="CUST1653"/>
    <s v="SP_10"/>
    <n v="4"/>
    <n v="6316.89"/>
    <n v="25267.56"/>
    <n v="19248.990000000002"/>
    <n v="6018.57"/>
    <s v="UPI"/>
  </r>
  <r>
    <s v="ORD103699"/>
    <s v="2025-02-24"/>
    <x v="8"/>
    <s v="North"/>
    <s v="Punjab"/>
    <s v="Chandigarh"/>
    <x v="3"/>
    <x v="11"/>
    <s v="CUST1771"/>
    <s v="SP_12"/>
    <n v="5"/>
    <n v="108.76"/>
    <n v="543.79999999999995"/>
    <n v="310.24"/>
    <n v="233.56"/>
    <s v="Debit Card"/>
  </r>
  <r>
    <s v="ORD103700"/>
    <s v="2025-08-19"/>
    <x v="11"/>
    <s v="West"/>
    <s v="Rajasthan"/>
    <s v="Jaipur"/>
    <x v="3"/>
    <x v="11"/>
    <s v="CUST1018"/>
    <s v="SP_10"/>
    <n v="4"/>
    <n v="109.57"/>
    <n v="438.28"/>
    <n v="250.39"/>
    <n v="187.89"/>
    <s v="Cash"/>
  </r>
  <r>
    <s v="ORD103701"/>
    <s v="2025-07-16"/>
    <x v="6"/>
    <s v="North"/>
    <s v="Uttar Pradesh"/>
    <s v="Lucknow"/>
    <x v="1"/>
    <x v="1"/>
    <s v="CUST1322"/>
    <s v="SP_15"/>
    <n v="5"/>
    <n v="2725.66"/>
    <n v="13628.3"/>
    <n v="9101.2199999999993"/>
    <n v="4527.08"/>
    <s v="Credit Card"/>
  </r>
  <r>
    <s v="ORD103702"/>
    <s v="2025-09-22"/>
    <x v="5"/>
    <s v="North"/>
    <s v="Punjab"/>
    <s v="Chandigarh"/>
    <x v="1"/>
    <x v="5"/>
    <s v="CUST1202"/>
    <s v="SP_10"/>
    <n v="1"/>
    <n v="9248.6299999999992"/>
    <n v="9248.6299999999992"/>
    <n v="7798.11"/>
    <n v="1450.52"/>
    <s v="Debit Card"/>
  </r>
  <r>
    <s v="ORD103703"/>
    <s v="2025-07-04"/>
    <x v="6"/>
    <s v="South"/>
    <s v="Karnataka"/>
    <s v="Bengaluru"/>
    <x v="3"/>
    <x v="11"/>
    <s v="CUST1333"/>
    <s v="SP_07"/>
    <n v="1"/>
    <n v="131.78"/>
    <n v="131.78"/>
    <n v="61.8"/>
    <n v="69.98"/>
    <s v="Credit Card"/>
  </r>
  <r>
    <s v="ORD103704"/>
    <s v="2025-01-17"/>
    <x v="9"/>
    <s v="North"/>
    <s v="Delhi"/>
    <s v="Delhi"/>
    <x v="2"/>
    <x v="4"/>
    <s v="CUST1652"/>
    <s v="SP_02"/>
    <n v="3"/>
    <n v="2594.98"/>
    <n v="7784.94"/>
    <n v="4853.45"/>
    <n v="2931.49"/>
    <s v="UPI"/>
  </r>
  <r>
    <s v="ORD103705"/>
    <s v="2025-07-26"/>
    <x v="6"/>
    <s v="North"/>
    <s v="Uttar Pradesh"/>
    <s v="Lucknow"/>
    <x v="2"/>
    <x v="4"/>
    <s v="CUST1307"/>
    <s v="SP_12"/>
    <n v="5"/>
    <n v="2607.27"/>
    <n v="13036.35"/>
    <n v="7647.84"/>
    <n v="5388.51"/>
    <s v="Net Banking"/>
  </r>
  <r>
    <s v="ORD103706"/>
    <s v="2025-04-27"/>
    <x v="0"/>
    <s v="West"/>
    <s v="Gujarat"/>
    <s v="Ahmedabad"/>
    <x v="0"/>
    <x v="9"/>
    <s v="CUST1199"/>
    <s v="SP_14"/>
    <n v="8"/>
    <n v="7259.11"/>
    <n v="58072.88"/>
    <n v="41991.98"/>
    <n v="16080.9"/>
    <s v="UPI"/>
  </r>
  <r>
    <s v="ORD103707"/>
    <s v="2025-03-24"/>
    <x v="4"/>
    <s v="South"/>
    <s v="Karnataka"/>
    <s v="Bengaluru"/>
    <x v="1"/>
    <x v="6"/>
    <s v="CUST1213"/>
    <s v="SP_11"/>
    <n v="5"/>
    <n v="3196.48"/>
    <n v="15982.4"/>
    <n v="11470.72"/>
    <n v="4511.68"/>
    <s v="Cash"/>
  </r>
  <r>
    <s v="ORD103708"/>
    <s v="2025-12-28"/>
    <x v="7"/>
    <s v="East"/>
    <s v="West Bengal"/>
    <s v="Kolkata"/>
    <x v="3"/>
    <x v="3"/>
    <s v="CUST1749"/>
    <s v="SP_11"/>
    <n v="4"/>
    <n v="22.82"/>
    <n v="91.28"/>
    <n v="39.799999999999997"/>
    <n v="51.48"/>
    <s v="UPI"/>
  </r>
  <r>
    <s v="ORD103709"/>
    <s v="2025-01-15"/>
    <x v="9"/>
    <s v="North"/>
    <s v="Delhi"/>
    <s v="Delhi"/>
    <x v="1"/>
    <x v="6"/>
    <s v="CUST1663"/>
    <s v="SP_03"/>
    <n v="8"/>
    <n v="3464.79"/>
    <n v="27718.32"/>
    <n v="18653.38"/>
    <n v="9064.94"/>
    <s v="Cash"/>
  </r>
  <r>
    <s v="ORD103710"/>
    <s v="2025-07-20"/>
    <x v="6"/>
    <s v="South"/>
    <s v="Karnataka"/>
    <s v="Bengaluru"/>
    <x v="1"/>
    <x v="5"/>
    <s v="CUST1977"/>
    <s v="SP_05"/>
    <n v="3"/>
    <n v="10320.57"/>
    <n v="30961.71"/>
    <n v="23656.67"/>
    <n v="7305.04"/>
    <s v="Net Banking"/>
  </r>
  <r>
    <s v="ORD103711"/>
    <s v="2025-04-15"/>
    <x v="0"/>
    <s v="North"/>
    <s v="Delhi"/>
    <s v="Delhi"/>
    <x v="1"/>
    <x v="5"/>
    <s v="CUST1682"/>
    <s v="SP_04"/>
    <n v="7"/>
    <n v="8886.9599999999991"/>
    <n v="62208.72"/>
    <n v="53880.07"/>
    <n v="8328.65"/>
    <s v="Credit Card"/>
  </r>
  <r>
    <s v="ORD103712"/>
    <s v="2025-05-25"/>
    <x v="3"/>
    <s v="North"/>
    <s v="Punjab"/>
    <s v="Chandigarh"/>
    <x v="0"/>
    <x v="9"/>
    <s v="CUST1795"/>
    <s v="SP_07"/>
    <n v="6"/>
    <n v="7270.01"/>
    <n v="43620.06"/>
    <n v="30225.19"/>
    <n v="13394.87"/>
    <s v="Credit Card"/>
  </r>
  <r>
    <s v="ORD103713"/>
    <s v="2025-02-24"/>
    <x v="8"/>
    <s v="South"/>
    <s v="Telangana"/>
    <s v="Hyderabad"/>
    <x v="1"/>
    <x v="6"/>
    <s v="CUST1578"/>
    <s v="SP_09"/>
    <n v="8"/>
    <n v="2880.67"/>
    <n v="23045.360000000001"/>
    <n v="18926.38"/>
    <n v="4118.9799999999996"/>
    <s v="Credit Card"/>
  </r>
  <r>
    <s v="ORD103714"/>
    <s v="2025-04-01"/>
    <x v="0"/>
    <s v="North"/>
    <s v="Uttar Pradesh"/>
    <s v="Lucknow"/>
    <x v="0"/>
    <x v="0"/>
    <s v="CUST1837"/>
    <s v="SP_15"/>
    <n v="1"/>
    <n v="3633.49"/>
    <n v="3633.49"/>
    <n v="2274.77"/>
    <n v="1358.72"/>
    <s v="UPI"/>
  </r>
  <r>
    <s v="ORD103715"/>
    <s v="2025-07-21"/>
    <x v="6"/>
    <s v="West"/>
    <s v="Gujarat"/>
    <s v="Ahmedabad"/>
    <x v="3"/>
    <x v="11"/>
    <s v="CUST1229"/>
    <s v="SP_12"/>
    <n v="7"/>
    <n v="128.69"/>
    <n v="900.83"/>
    <n v="401.84"/>
    <n v="498.99"/>
    <s v="UPI"/>
  </r>
  <r>
    <s v="ORD103716"/>
    <s v="2025-03-13"/>
    <x v="4"/>
    <s v="East"/>
    <s v="West Bengal"/>
    <s v="Kolkata"/>
    <x v="2"/>
    <x v="4"/>
    <s v="CUST1055"/>
    <s v="SP_07"/>
    <n v="2"/>
    <n v="2407.89"/>
    <n v="4815.78"/>
    <n v="3155.26"/>
    <n v="1660.52"/>
    <s v="UPI"/>
  </r>
  <r>
    <s v="ORD103717"/>
    <s v="2025-12-22"/>
    <x v="7"/>
    <s v="South"/>
    <s v="Tamil Nadu"/>
    <s v="Chennai"/>
    <x v="0"/>
    <x v="0"/>
    <s v="CUST1559"/>
    <s v="SP_11"/>
    <n v="4"/>
    <n v="3282.26"/>
    <n v="13129.04"/>
    <n v="8458.25"/>
    <n v="4670.79"/>
    <s v="UPI"/>
  </r>
  <r>
    <s v="ORD103718"/>
    <s v="2025-06-20"/>
    <x v="2"/>
    <s v="North"/>
    <s v="Uttar Pradesh"/>
    <s v="Lucknow"/>
    <x v="2"/>
    <x v="10"/>
    <s v="CUST1775"/>
    <s v="SP_11"/>
    <n v="3"/>
    <n v="18916.8"/>
    <n v="56750.400000000001"/>
    <n v="40513.57"/>
    <n v="16236.83"/>
    <s v="Credit Card"/>
  </r>
  <r>
    <s v="ORD103719"/>
    <s v="2025-01-27"/>
    <x v="9"/>
    <s v="South"/>
    <s v="Karnataka"/>
    <s v="Bengaluru"/>
    <x v="0"/>
    <x v="9"/>
    <s v="CUST1766"/>
    <s v="SP_09"/>
    <n v="2"/>
    <n v="7611.1"/>
    <n v="15222.2"/>
    <n v="10062.69"/>
    <n v="5159.51"/>
    <s v="UPI"/>
  </r>
  <r>
    <s v="ORD103720"/>
    <s v="2025-07-17"/>
    <x v="6"/>
    <s v="South"/>
    <s v="Tamil Nadu"/>
    <s v="Chennai"/>
    <x v="1"/>
    <x v="5"/>
    <s v="CUST1811"/>
    <s v="SP_09"/>
    <n v="7"/>
    <n v="10070.1"/>
    <n v="70490.7"/>
    <n v="52882.01"/>
    <n v="17608.689999999999"/>
    <s v="UPI"/>
  </r>
  <r>
    <s v="ORD103721"/>
    <s v="2025-05-07"/>
    <x v="3"/>
    <s v="West"/>
    <s v="Maharashtra"/>
    <s v="Mumbai"/>
    <x v="3"/>
    <x v="11"/>
    <s v="CUST1564"/>
    <s v="SP_02"/>
    <n v="5"/>
    <n v="130.03"/>
    <n v="650.15"/>
    <n v="297.07"/>
    <n v="353.08"/>
    <s v="Cash"/>
  </r>
  <r>
    <s v="ORD103722"/>
    <s v="2025-10-10"/>
    <x v="1"/>
    <s v="North"/>
    <s v="Uttar Pradesh"/>
    <s v="Lucknow"/>
    <x v="1"/>
    <x v="6"/>
    <s v="CUST1283"/>
    <s v="SP_03"/>
    <n v="5"/>
    <n v="3503.17"/>
    <n v="17515.849999999999"/>
    <n v="12284.16"/>
    <n v="5231.6899999999996"/>
    <s v="Cash"/>
  </r>
  <r>
    <s v="ORD103723"/>
    <s v="2025-09-14"/>
    <x v="5"/>
    <s v="North"/>
    <s v="Uttar Pradesh"/>
    <s v="Lucknow"/>
    <x v="2"/>
    <x v="2"/>
    <s v="CUST1972"/>
    <s v="SP_12"/>
    <n v="4"/>
    <n v="43164.77"/>
    <n v="172659.08"/>
    <n v="144208.79"/>
    <n v="28450.29"/>
    <s v="Debit Card"/>
  </r>
  <r>
    <s v="ORD103724"/>
    <s v="2025-03-23"/>
    <x v="4"/>
    <s v="South"/>
    <s v="Karnataka"/>
    <s v="Bengaluru"/>
    <x v="0"/>
    <x v="8"/>
    <s v="CUST1296"/>
    <s v="SP_10"/>
    <n v="5"/>
    <n v="21450.71"/>
    <n v="107253.55"/>
    <n v="87234.3"/>
    <n v="20019.25"/>
    <s v="Net Banking"/>
  </r>
  <r>
    <s v="ORD103725"/>
    <s v="2025-06-16"/>
    <x v="2"/>
    <s v="East"/>
    <s v="Bihar"/>
    <s v="Patna"/>
    <x v="0"/>
    <x v="8"/>
    <s v="CUST1635"/>
    <s v="SP_12"/>
    <n v="3"/>
    <n v="20943.8"/>
    <n v="62831.4"/>
    <n v="49542.54"/>
    <n v="13288.86"/>
    <s v="Credit Card"/>
  </r>
  <r>
    <s v="ORD103726"/>
    <s v="2025-06-06"/>
    <x v="2"/>
    <s v="North"/>
    <s v="Uttar Pradesh"/>
    <s v="Lucknow"/>
    <x v="1"/>
    <x v="1"/>
    <s v="CUST1595"/>
    <s v="SP_15"/>
    <n v="2"/>
    <n v="2559.69"/>
    <n v="5119.38"/>
    <n v="3893.4"/>
    <n v="1225.98"/>
    <s v="Credit Card"/>
  </r>
  <r>
    <s v="ORD103727"/>
    <s v="2025-01-13"/>
    <x v="9"/>
    <s v="South"/>
    <s v="Telangana"/>
    <s v="Hyderabad"/>
    <x v="2"/>
    <x v="2"/>
    <s v="CUST1468"/>
    <s v="SP_11"/>
    <n v="7"/>
    <n v="45370.16"/>
    <n v="317591.12"/>
    <n v="248450.23"/>
    <n v="69140.89"/>
    <s v="Credit Card"/>
  </r>
  <r>
    <s v="ORD103728"/>
    <s v="2025-10-30"/>
    <x v="1"/>
    <s v="West"/>
    <s v="Rajasthan"/>
    <s v="Jaipur"/>
    <x v="0"/>
    <x v="0"/>
    <s v="CUST1042"/>
    <s v="SP_13"/>
    <n v="6"/>
    <n v="3505.62"/>
    <n v="21033.72"/>
    <n v="12674.81"/>
    <n v="8358.91"/>
    <s v="Net Banking"/>
  </r>
  <r>
    <s v="ORD103729"/>
    <s v="2025-11-23"/>
    <x v="10"/>
    <s v="South"/>
    <s v="Tamil Nadu"/>
    <s v="Chennai"/>
    <x v="2"/>
    <x v="4"/>
    <s v="CUST1825"/>
    <s v="SP_11"/>
    <n v="1"/>
    <n v="2583.19"/>
    <n v="2583.19"/>
    <n v="1580.52"/>
    <n v="1002.67"/>
    <s v="Credit Card"/>
  </r>
  <r>
    <s v="ORD103730"/>
    <s v="2025-08-30"/>
    <x v="11"/>
    <s v="South"/>
    <s v="Telangana"/>
    <s v="Hyderabad"/>
    <x v="1"/>
    <x v="5"/>
    <s v="CUST1938"/>
    <s v="SP_10"/>
    <n v="3"/>
    <n v="8769.75"/>
    <n v="26309.25"/>
    <n v="22040.28"/>
    <n v="4268.97"/>
    <s v="Credit Card"/>
  </r>
  <r>
    <s v="ORD103731"/>
    <s v="2025-03-14"/>
    <x v="4"/>
    <s v="North"/>
    <s v="Delhi"/>
    <s v="Delhi"/>
    <x v="3"/>
    <x v="11"/>
    <s v="CUST1390"/>
    <s v="SP_11"/>
    <n v="1"/>
    <n v="115.12"/>
    <n v="115.12"/>
    <n v="61.48"/>
    <n v="53.64"/>
    <s v="Cash"/>
  </r>
  <r>
    <s v="ORD103732"/>
    <s v="2025-08-23"/>
    <x v="11"/>
    <s v="South"/>
    <s v="Tamil Nadu"/>
    <s v="Chennai"/>
    <x v="1"/>
    <x v="6"/>
    <s v="CUST1771"/>
    <s v="SP_07"/>
    <n v="5"/>
    <n v="2982.24"/>
    <n v="14911.2"/>
    <n v="12053.59"/>
    <n v="2857.61"/>
    <s v="Debit Card"/>
  </r>
  <r>
    <s v="ORD103733"/>
    <s v="2025-09-07"/>
    <x v="5"/>
    <s v="South"/>
    <s v="Tamil Nadu"/>
    <s v="Chennai"/>
    <x v="3"/>
    <x v="3"/>
    <s v="CUST1781"/>
    <s v="SP_06"/>
    <n v="6"/>
    <n v="25.14"/>
    <n v="150.84"/>
    <n v="62.46"/>
    <n v="88.38"/>
    <s v="Net Banking"/>
  </r>
  <r>
    <s v="ORD103734"/>
    <s v="2025-07-14"/>
    <x v="6"/>
    <s v="South"/>
    <s v="Tamil Nadu"/>
    <s v="Chennai"/>
    <x v="1"/>
    <x v="5"/>
    <s v="CUST1535"/>
    <s v="SP_02"/>
    <n v="2"/>
    <n v="8729.4599999999991"/>
    <n v="17458.919999999998"/>
    <n v="15527.22"/>
    <n v="1931.7"/>
    <s v="UPI"/>
  </r>
  <r>
    <s v="ORD103735"/>
    <s v="2025-07-25"/>
    <x v="6"/>
    <s v="North"/>
    <s v="Punjab"/>
    <s v="Chandigarh"/>
    <x v="1"/>
    <x v="5"/>
    <s v="CUST1656"/>
    <s v="SP_15"/>
    <n v="5"/>
    <n v="9994.9699999999993"/>
    <n v="49974.85"/>
    <n v="37583.69"/>
    <n v="12391.16"/>
    <s v="Cash"/>
  </r>
  <r>
    <s v="ORD103736"/>
    <s v="2025-11-08"/>
    <x v="10"/>
    <s v="South"/>
    <s v="Tamil Nadu"/>
    <s v="Chennai"/>
    <x v="0"/>
    <x v="9"/>
    <s v="CUST1705"/>
    <s v="SP_06"/>
    <n v="6"/>
    <n v="7064.63"/>
    <n v="42387.78"/>
    <n v="31028.09"/>
    <n v="11359.69"/>
    <s v="Net Banking"/>
  </r>
  <r>
    <s v="ORD103737"/>
    <s v="2025-07-24"/>
    <x v="6"/>
    <s v="West"/>
    <s v="Rajasthan"/>
    <s v="Jaipur"/>
    <x v="1"/>
    <x v="1"/>
    <s v="CUST1956"/>
    <s v="SP_03"/>
    <n v="3"/>
    <n v="2748.18"/>
    <n v="8244.5400000000009"/>
    <n v="5616.42"/>
    <n v="2628.12"/>
    <s v="Debit Card"/>
  </r>
  <r>
    <s v="ORD103738"/>
    <s v="2025-06-19"/>
    <x v="2"/>
    <s v="North"/>
    <s v="Delhi"/>
    <s v="Delhi"/>
    <x v="1"/>
    <x v="6"/>
    <s v="CUST1305"/>
    <s v="SP_09"/>
    <n v="6"/>
    <n v="3025.02"/>
    <n v="18150.12"/>
    <n v="14202.37"/>
    <n v="3947.75"/>
    <s v="Net Banking"/>
  </r>
  <r>
    <s v="ORD103739"/>
    <s v="2025-08-19"/>
    <x v="11"/>
    <s v="North"/>
    <s v="Delhi"/>
    <s v="Delhi"/>
    <x v="2"/>
    <x v="2"/>
    <s v="CUST1217"/>
    <s v="SP_09"/>
    <n v="6"/>
    <n v="47945.02"/>
    <n v="287670.12"/>
    <n v="220214.15"/>
    <n v="67455.97"/>
    <s v="Cash"/>
  </r>
  <r>
    <s v="ORD103740"/>
    <s v="2025-02-21"/>
    <x v="8"/>
    <s v="North"/>
    <s v="Punjab"/>
    <s v="Chandigarh"/>
    <x v="3"/>
    <x v="7"/>
    <s v="CUST1311"/>
    <s v="SP_06"/>
    <n v="1"/>
    <n v="12034.07"/>
    <n v="12034.07"/>
    <n v="8980.8799999999992"/>
    <n v="3053.19"/>
    <s v="Cash"/>
  </r>
  <r>
    <s v="ORD103741"/>
    <s v="2025-02-13"/>
    <x v="8"/>
    <s v="West"/>
    <s v="Rajasthan"/>
    <s v="Jaipur"/>
    <x v="0"/>
    <x v="0"/>
    <s v="CUST1504"/>
    <s v="SP_10"/>
    <n v="4"/>
    <n v="3635.58"/>
    <n v="14542.32"/>
    <n v="8394.4599999999991"/>
    <n v="6147.86"/>
    <s v="Debit Card"/>
  </r>
  <r>
    <s v="ORD103742"/>
    <s v="2025-07-11"/>
    <x v="6"/>
    <s v="North"/>
    <s v="Punjab"/>
    <s v="Chandigarh"/>
    <x v="3"/>
    <x v="11"/>
    <s v="CUST1340"/>
    <s v="SP_07"/>
    <n v="2"/>
    <n v="130.03"/>
    <n v="260.06"/>
    <n v="122.38"/>
    <n v="137.68"/>
    <s v="Credit Card"/>
  </r>
  <r>
    <s v="ORD103743"/>
    <s v="2025-05-04"/>
    <x v="3"/>
    <s v="North"/>
    <s v="Punjab"/>
    <s v="Chandigarh"/>
    <x v="1"/>
    <x v="1"/>
    <s v="CUST1295"/>
    <s v="SP_03"/>
    <n v="4"/>
    <n v="2681.7"/>
    <n v="10726.8"/>
    <n v="7433.75"/>
    <n v="3293.05"/>
    <s v="Cash"/>
  </r>
  <r>
    <s v="ORD103744"/>
    <s v="2025-01-12"/>
    <x v="9"/>
    <s v="East"/>
    <s v="Bihar"/>
    <s v="Patna"/>
    <x v="3"/>
    <x v="11"/>
    <s v="CUST1159"/>
    <s v="SP_05"/>
    <n v="2"/>
    <n v="122.29"/>
    <n v="244.58"/>
    <n v="120.22"/>
    <n v="124.36"/>
    <s v="Debit Card"/>
  </r>
  <r>
    <s v="ORD103745"/>
    <s v="2025-08-05"/>
    <x v="11"/>
    <s v="West"/>
    <s v="Maharashtra"/>
    <s v="Mumbai"/>
    <x v="0"/>
    <x v="9"/>
    <s v="CUST1661"/>
    <s v="SP_13"/>
    <n v="2"/>
    <n v="7532.71"/>
    <n v="15065.42"/>
    <n v="9586.1299999999992"/>
    <n v="5479.29"/>
    <s v="UPI"/>
  </r>
  <r>
    <s v="ORD103746"/>
    <s v="2025-09-18"/>
    <x v="5"/>
    <s v="North"/>
    <s v="Punjab"/>
    <s v="Chandigarh"/>
    <x v="2"/>
    <x v="10"/>
    <s v="CUST1727"/>
    <s v="SP_09"/>
    <n v="4"/>
    <n v="16617.099999999999"/>
    <n v="66468.399999999994"/>
    <n v="55675.82"/>
    <n v="10792.58"/>
    <s v="UPI"/>
  </r>
  <r>
    <s v="ORD103747"/>
    <s v="2025-02-13"/>
    <x v="8"/>
    <s v="West"/>
    <s v="Gujarat"/>
    <s v="Ahmedabad"/>
    <x v="1"/>
    <x v="6"/>
    <s v="CUST1914"/>
    <s v="SP_06"/>
    <n v="3"/>
    <n v="3129.27"/>
    <n v="9387.81"/>
    <n v="7410.07"/>
    <n v="1977.74"/>
    <s v="Net Banking"/>
  </r>
  <r>
    <s v="ORD103748"/>
    <s v="2025-10-12"/>
    <x v="1"/>
    <s v="East"/>
    <s v="West Bengal"/>
    <s v="Kolkata"/>
    <x v="0"/>
    <x v="8"/>
    <s v="CUST1602"/>
    <s v="SP_04"/>
    <n v="5"/>
    <n v="23948.69"/>
    <n v="119743.45"/>
    <n v="83623.16"/>
    <n v="36120.29"/>
    <s v="Cash"/>
  </r>
  <r>
    <s v="ORD103749"/>
    <s v="2025-02-14"/>
    <x v="8"/>
    <s v="West"/>
    <s v="Rajasthan"/>
    <s v="Jaipur"/>
    <x v="0"/>
    <x v="8"/>
    <s v="CUST1127"/>
    <s v="SP_04"/>
    <n v="6"/>
    <n v="21177.599999999999"/>
    <n v="127065.60000000001"/>
    <n v="102260.93"/>
    <n v="24804.67"/>
    <s v="Net Banking"/>
  </r>
  <r>
    <s v="ORD103750"/>
    <s v="2025-01-04"/>
    <x v="9"/>
    <s v="North"/>
    <s v="Delhi"/>
    <s v="Delhi"/>
    <x v="0"/>
    <x v="8"/>
    <s v="CUST1971"/>
    <s v="SP_07"/>
    <n v="6"/>
    <n v="20555.03"/>
    <n v="123330.18"/>
    <n v="102670.19"/>
    <n v="20659.990000000002"/>
    <s v="Cash"/>
  </r>
  <r>
    <s v="ORD103751"/>
    <s v="2025-09-01"/>
    <x v="5"/>
    <s v="East"/>
    <s v="West Bengal"/>
    <s v="Kolkata"/>
    <x v="0"/>
    <x v="8"/>
    <s v="CUST1993"/>
    <s v="SP_15"/>
    <n v="4"/>
    <n v="20153.88"/>
    <n v="80615.520000000004"/>
    <n v="68805.17"/>
    <n v="11810.35"/>
    <s v="UPI"/>
  </r>
  <r>
    <s v="ORD103752"/>
    <s v="2025-09-21"/>
    <x v="5"/>
    <s v="South"/>
    <s v="Karnataka"/>
    <s v="Bengaluru"/>
    <x v="1"/>
    <x v="5"/>
    <s v="CUST1391"/>
    <s v="SP_09"/>
    <n v="1"/>
    <n v="10195.469999999999"/>
    <n v="10195.469999999999"/>
    <n v="7393.27"/>
    <n v="2802.2"/>
    <s v="UPI"/>
  </r>
  <r>
    <s v="ORD103753"/>
    <s v="2025-10-24"/>
    <x v="1"/>
    <s v="West"/>
    <s v="Maharashtra"/>
    <s v="Mumbai"/>
    <x v="1"/>
    <x v="6"/>
    <s v="CUST1798"/>
    <s v="SP_10"/>
    <n v="8"/>
    <n v="3048.28"/>
    <n v="24386.240000000002"/>
    <n v="19498.759999999998"/>
    <n v="4887.4799999999996"/>
    <s v="Debit Card"/>
  </r>
  <r>
    <s v="ORD103754"/>
    <s v="2025-08-11"/>
    <x v="11"/>
    <s v="East"/>
    <s v="Odisha"/>
    <s v="Bhubaneswar"/>
    <x v="0"/>
    <x v="9"/>
    <s v="CUST1954"/>
    <s v="SP_04"/>
    <n v="8"/>
    <n v="7597.26"/>
    <n v="60778.080000000002"/>
    <n v="41197.26"/>
    <n v="19580.82"/>
    <s v="Debit Card"/>
  </r>
  <r>
    <s v="ORD103755"/>
    <s v="2025-02-17"/>
    <x v="8"/>
    <s v="North"/>
    <s v="Uttar Pradesh"/>
    <s v="Lucknow"/>
    <x v="2"/>
    <x v="2"/>
    <s v="CUST1106"/>
    <s v="SP_11"/>
    <n v="3"/>
    <n v="43861.95"/>
    <n v="131585.85"/>
    <n v="103678.11"/>
    <n v="27907.74"/>
    <s v="Net Banking"/>
  </r>
  <r>
    <s v="ORD103756"/>
    <s v="2025-07-15"/>
    <x v="6"/>
    <s v="North"/>
    <s v="Delhi"/>
    <s v="Delhi"/>
    <x v="0"/>
    <x v="8"/>
    <s v="CUST1768"/>
    <s v="SP_05"/>
    <n v="6"/>
    <n v="21678.45"/>
    <n v="130070.7"/>
    <n v="100318.02"/>
    <n v="29752.68"/>
    <s v="Cash"/>
  </r>
  <r>
    <s v="ORD103757"/>
    <s v="2025-12-27"/>
    <x v="7"/>
    <s v="West"/>
    <s v="Maharashtra"/>
    <s v="Mumbai"/>
    <x v="0"/>
    <x v="9"/>
    <s v="CUST1913"/>
    <s v="SP_13"/>
    <n v="7"/>
    <n v="6822.29"/>
    <n v="47756.03"/>
    <n v="36375.32"/>
    <n v="11380.71"/>
    <s v="Credit Card"/>
  </r>
  <r>
    <s v="ORD103758"/>
    <s v="2025-06-20"/>
    <x v="2"/>
    <s v="North"/>
    <s v="Punjab"/>
    <s v="Chandigarh"/>
    <x v="3"/>
    <x v="11"/>
    <s v="CUST1520"/>
    <s v="SP_11"/>
    <n v="3"/>
    <n v="112.76"/>
    <n v="338.28"/>
    <n v="185.69"/>
    <n v="152.59"/>
    <s v="Cash"/>
  </r>
  <r>
    <s v="ORD103759"/>
    <s v="2025-05-23"/>
    <x v="3"/>
    <s v="West"/>
    <s v="Maharashtra"/>
    <s v="Mumbai"/>
    <x v="3"/>
    <x v="11"/>
    <s v="CUST1157"/>
    <s v="SP_06"/>
    <n v="3"/>
    <n v="117.86"/>
    <n v="353.58"/>
    <n v="179.28"/>
    <n v="174.3"/>
    <s v="Net Banking"/>
  </r>
  <r>
    <s v="ORD103760"/>
    <s v="2025-07-18"/>
    <x v="6"/>
    <s v="South"/>
    <s v="Karnataka"/>
    <s v="Bengaluru"/>
    <x v="1"/>
    <x v="5"/>
    <s v="CUST1510"/>
    <s v="SP_04"/>
    <n v="6"/>
    <n v="10086.91"/>
    <n v="60521.46"/>
    <n v="45468.83"/>
    <n v="15052.63"/>
    <s v="Net Banking"/>
  </r>
  <r>
    <s v="ORD103761"/>
    <s v="2025-07-18"/>
    <x v="6"/>
    <s v="East"/>
    <s v="Bihar"/>
    <s v="Patna"/>
    <x v="0"/>
    <x v="0"/>
    <s v="CUST1651"/>
    <s v="SP_03"/>
    <n v="3"/>
    <n v="3354.63"/>
    <n v="10063.89"/>
    <n v="6540.58"/>
    <n v="3523.31"/>
    <s v="Cash"/>
  </r>
  <r>
    <s v="ORD103762"/>
    <s v="2025-01-16"/>
    <x v="9"/>
    <s v="North"/>
    <s v="Delhi"/>
    <s v="Delhi"/>
    <x v="1"/>
    <x v="6"/>
    <s v="CUST1723"/>
    <s v="SP_10"/>
    <n v="8"/>
    <n v="3447.54"/>
    <n v="27580.32"/>
    <n v="19216.490000000002"/>
    <n v="8363.83"/>
    <s v="Credit Card"/>
  </r>
  <r>
    <s v="ORD103763"/>
    <s v="2025-09-13"/>
    <x v="5"/>
    <s v="East"/>
    <s v="West Bengal"/>
    <s v="Kolkata"/>
    <x v="3"/>
    <x v="3"/>
    <s v="CUST1683"/>
    <s v="SP_15"/>
    <n v="8"/>
    <n v="24.99"/>
    <n v="199.92"/>
    <n v="83.55"/>
    <n v="116.37"/>
    <s v="UPI"/>
  </r>
  <r>
    <s v="ORD103764"/>
    <s v="2025-05-22"/>
    <x v="3"/>
    <s v="West"/>
    <s v="Maharashtra"/>
    <s v="Mumbai"/>
    <x v="2"/>
    <x v="10"/>
    <s v="CUST1195"/>
    <s v="SP_01"/>
    <n v="4"/>
    <n v="17554.97"/>
    <n v="70219.88"/>
    <n v="57657.39"/>
    <n v="12562.49"/>
    <s v="Debit Card"/>
  </r>
  <r>
    <s v="ORD103765"/>
    <s v="2025-05-07"/>
    <x v="3"/>
    <s v="East"/>
    <s v="West Bengal"/>
    <s v="Kolkata"/>
    <x v="1"/>
    <x v="1"/>
    <s v="CUST1606"/>
    <s v="SP_14"/>
    <n v="5"/>
    <n v="2787.13"/>
    <n v="13935.65"/>
    <n v="9056.61"/>
    <n v="4879.04"/>
    <s v="Net Banking"/>
  </r>
  <r>
    <s v="ORD103766"/>
    <s v="2025-08-16"/>
    <x v="11"/>
    <s v="West"/>
    <s v="Rajasthan"/>
    <s v="Jaipur"/>
    <x v="2"/>
    <x v="4"/>
    <s v="CUST1278"/>
    <s v="SP_11"/>
    <n v="1"/>
    <n v="2661.43"/>
    <n v="2661.43"/>
    <n v="1610.55"/>
    <n v="1050.8800000000001"/>
    <s v="Credit Card"/>
  </r>
  <r>
    <s v="ORD103767"/>
    <s v="2025-11-19"/>
    <x v="10"/>
    <s v="North"/>
    <s v="Uttar Pradesh"/>
    <s v="Lucknow"/>
    <x v="3"/>
    <x v="11"/>
    <s v="CUST1137"/>
    <s v="SP_09"/>
    <n v="7"/>
    <n v="116.46"/>
    <n v="815.22"/>
    <n v="433.01"/>
    <n v="382.21"/>
    <s v="Debit Card"/>
  </r>
  <r>
    <s v="ORD103768"/>
    <s v="2025-04-10"/>
    <x v="0"/>
    <s v="South"/>
    <s v="Tamil Nadu"/>
    <s v="Chennai"/>
    <x v="3"/>
    <x v="7"/>
    <s v="CUST1408"/>
    <s v="SP_14"/>
    <n v="2"/>
    <n v="12619.86"/>
    <n v="25239.72"/>
    <n v="18104.150000000001"/>
    <n v="7135.57"/>
    <s v="UPI"/>
  </r>
  <r>
    <s v="ORD103769"/>
    <s v="2025-07-15"/>
    <x v="6"/>
    <s v="South"/>
    <s v="Karnataka"/>
    <s v="Bengaluru"/>
    <x v="0"/>
    <x v="0"/>
    <s v="CUST1670"/>
    <s v="SP_02"/>
    <n v="2"/>
    <n v="3492.02"/>
    <n v="6984.04"/>
    <n v="4503.21"/>
    <n v="2480.83"/>
    <s v="Cash"/>
  </r>
  <r>
    <s v="ORD103770"/>
    <s v="2025-07-29"/>
    <x v="6"/>
    <s v="North"/>
    <s v="Uttar Pradesh"/>
    <s v="Lucknow"/>
    <x v="2"/>
    <x v="4"/>
    <s v="CUST1571"/>
    <s v="SP_15"/>
    <n v="2"/>
    <n v="2390.33"/>
    <n v="4780.66"/>
    <n v="3287.55"/>
    <n v="1493.11"/>
    <s v="Debit Card"/>
  </r>
  <r>
    <s v="ORD103771"/>
    <s v="2025-05-30"/>
    <x v="3"/>
    <s v="North"/>
    <s v="Uttar Pradesh"/>
    <s v="Lucknow"/>
    <x v="0"/>
    <x v="9"/>
    <s v="CUST1717"/>
    <s v="SP_01"/>
    <n v="3"/>
    <n v="7093.83"/>
    <n v="21281.49"/>
    <n v="14619.78"/>
    <n v="6661.71"/>
    <s v="Net Banking"/>
  </r>
  <r>
    <s v="ORD103772"/>
    <s v="2025-05-23"/>
    <x v="3"/>
    <s v="North"/>
    <s v="Delhi"/>
    <s v="Delhi"/>
    <x v="3"/>
    <x v="11"/>
    <s v="CUST1261"/>
    <s v="SP_14"/>
    <n v="1"/>
    <n v="112.38"/>
    <n v="112.38"/>
    <n v="59.54"/>
    <n v="52.84"/>
    <s v="Net Banking"/>
  </r>
  <r>
    <s v="ORD103773"/>
    <s v="2025-08-10"/>
    <x v="11"/>
    <s v="South"/>
    <s v="Karnataka"/>
    <s v="Bengaluru"/>
    <x v="0"/>
    <x v="8"/>
    <s v="CUST1964"/>
    <s v="SP_07"/>
    <n v="8"/>
    <n v="20314.62"/>
    <n v="162516.96"/>
    <n v="137378.38"/>
    <n v="25138.58"/>
    <s v="Cash"/>
  </r>
  <r>
    <s v="ORD103774"/>
    <s v="2025-02-03"/>
    <x v="8"/>
    <s v="North"/>
    <s v="Uttar Pradesh"/>
    <s v="Lucknow"/>
    <x v="2"/>
    <x v="4"/>
    <s v="CUST1328"/>
    <s v="SP_10"/>
    <n v="6"/>
    <n v="2275.29"/>
    <n v="13651.74"/>
    <n v="9608.09"/>
    <n v="4043.65"/>
    <s v="Credit Card"/>
  </r>
  <r>
    <s v="ORD103775"/>
    <s v="2025-08-18"/>
    <x v="11"/>
    <s v="North"/>
    <s v="Delhi"/>
    <s v="Delhi"/>
    <x v="3"/>
    <x v="3"/>
    <s v="CUST1315"/>
    <s v="SP_09"/>
    <n v="4"/>
    <n v="24.58"/>
    <n v="98.32"/>
    <n v="39.200000000000003"/>
    <n v="59.12"/>
    <s v="Credit Card"/>
  </r>
  <r>
    <s v="ORD103776"/>
    <s v="2025-05-27"/>
    <x v="3"/>
    <s v="South"/>
    <s v="Tamil Nadu"/>
    <s v="Chennai"/>
    <x v="1"/>
    <x v="5"/>
    <s v="CUST1267"/>
    <s v="SP_12"/>
    <n v="1"/>
    <n v="9443.16"/>
    <n v="9443.16"/>
    <n v="7567.3"/>
    <n v="1875.86"/>
    <s v="Net Banking"/>
  </r>
  <r>
    <s v="ORD103777"/>
    <s v="2025-12-21"/>
    <x v="7"/>
    <s v="South"/>
    <s v="Tamil Nadu"/>
    <s v="Chennai"/>
    <x v="0"/>
    <x v="9"/>
    <s v="CUST1386"/>
    <s v="SP_14"/>
    <n v="6"/>
    <n v="7501.61"/>
    <n v="45009.66"/>
    <n v="31236.41"/>
    <n v="13773.25"/>
    <s v="UPI"/>
  </r>
  <r>
    <s v="ORD103778"/>
    <s v="2025-10-15"/>
    <x v="1"/>
    <s v="West"/>
    <s v="Rajasthan"/>
    <s v="Jaipur"/>
    <x v="3"/>
    <x v="3"/>
    <s v="CUST1400"/>
    <s v="SP_10"/>
    <n v="7"/>
    <n v="22.71"/>
    <n v="158.97"/>
    <n v="72.17"/>
    <n v="86.8"/>
    <s v="Cash"/>
  </r>
  <r>
    <s v="ORD103779"/>
    <s v="2025-07-12"/>
    <x v="6"/>
    <s v="North"/>
    <s v="Delhi"/>
    <s v="Delhi"/>
    <x v="2"/>
    <x v="2"/>
    <s v="CUST1681"/>
    <s v="SP_13"/>
    <n v="2"/>
    <n v="42906.720000000001"/>
    <n v="85813.440000000002"/>
    <n v="72982.17"/>
    <n v="12831.27"/>
    <s v="Cash"/>
  </r>
  <r>
    <s v="ORD103780"/>
    <s v="2025-01-25"/>
    <x v="9"/>
    <s v="West"/>
    <s v="Rajasthan"/>
    <s v="Jaipur"/>
    <x v="1"/>
    <x v="6"/>
    <s v="CUST1309"/>
    <s v="SP_02"/>
    <n v="8"/>
    <n v="3068.18"/>
    <n v="24545.439999999999"/>
    <n v="19814.78"/>
    <n v="4730.66"/>
    <s v="Cash"/>
  </r>
  <r>
    <s v="ORD103781"/>
    <s v="2025-10-27"/>
    <x v="1"/>
    <s v="West"/>
    <s v="Maharashtra"/>
    <s v="Mumbai"/>
    <x v="2"/>
    <x v="4"/>
    <s v="CUST1341"/>
    <s v="SP_11"/>
    <n v="2"/>
    <n v="2594.9699999999998"/>
    <n v="5189.9399999999996"/>
    <n v="3191.96"/>
    <n v="1997.98"/>
    <s v="Credit Card"/>
  </r>
  <r>
    <s v="ORD103782"/>
    <s v="2025-02-09"/>
    <x v="8"/>
    <s v="East"/>
    <s v="West Bengal"/>
    <s v="Kolkata"/>
    <x v="3"/>
    <x v="11"/>
    <s v="CUST1816"/>
    <s v="SP_04"/>
    <n v="7"/>
    <n v="116.43"/>
    <n v="815.01"/>
    <n v="435.08"/>
    <n v="379.93"/>
    <s v="Debit Card"/>
  </r>
  <r>
    <s v="ORD103783"/>
    <s v="2025-03-10"/>
    <x v="4"/>
    <s v="North"/>
    <s v="Punjab"/>
    <s v="Chandigarh"/>
    <x v="0"/>
    <x v="8"/>
    <s v="CUST1426"/>
    <s v="SP_04"/>
    <n v="4"/>
    <n v="20560.32"/>
    <n v="82241.279999999999"/>
    <n v="66405.649999999994"/>
    <n v="15835.63"/>
    <s v="Credit Card"/>
  </r>
  <r>
    <s v="ORD103784"/>
    <s v="2025-07-19"/>
    <x v="6"/>
    <s v="West"/>
    <s v="Gujarat"/>
    <s v="Ahmedabad"/>
    <x v="1"/>
    <x v="1"/>
    <s v="CUST1779"/>
    <s v="SP_10"/>
    <n v="3"/>
    <n v="3071.32"/>
    <n v="9213.9599999999991"/>
    <n v="5758.59"/>
    <n v="3455.37"/>
    <s v="Credit Card"/>
  </r>
  <r>
    <s v="ORD103785"/>
    <s v="2025-06-28"/>
    <x v="2"/>
    <s v="West"/>
    <s v="Rajasthan"/>
    <s v="Jaipur"/>
    <x v="3"/>
    <x v="3"/>
    <s v="CUST1330"/>
    <s v="SP_09"/>
    <n v="4"/>
    <n v="27.17"/>
    <n v="108.68"/>
    <n v="40.909999999999997"/>
    <n v="67.77"/>
    <s v="Debit Card"/>
  </r>
  <r>
    <s v="ORD103786"/>
    <s v="2025-08-29"/>
    <x v="11"/>
    <s v="East"/>
    <s v="Odisha"/>
    <s v="Bhubaneswar"/>
    <x v="1"/>
    <x v="1"/>
    <s v="CUST1563"/>
    <s v="SP_07"/>
    <n v="5"/>
    <n v="2889.04"/>
    <n v="14445.2"/>
    <n v="9394.2000000000007"/>
    <n v="5051"/>
    <s v="Credit Card"/>
  </r>
  <r>
    <s v="ORD103787"/>
    <s v="2025-04-27"/>
    <x v="0"/>
    <s v="North"/>
    <s v="Delhi"/>
    <s v="Delhi"/>
    <x v="3"/>
    <x v="3"/>
    <s v="CUST1965"/>
    <s v="SP_08"/>
    <n v="1"/>
    <n v="23.28"/>
    <n v="23.28"/>
    <n v="9.75"/>
    <n v="13.53"/>
    <s v="Cash"/>
  </r>
  <r>
    <s v="ORD103788"/>
    <s v="2025-10-12"/>
    <x v="1"/>
    <s v="North"/>
    <s v="Punjab"/>
    <s v="Chandigarh"/>
    <x v="3"/>
    <x v="3"/>
    <s v="CUST1717"/>
    <s v="SP_07"/>
    <n v="1"/>
    <n v="25.9"/>
    <n v="25.9"/>
    <n v="10.38"/>
    <n v="15.52"/>
    <s v="Cash"/>
  </r>
  <r>
    <s v="ORD103789"/>
    <s v="2025-07-10"/>
    <x v="6"/>
    <s v="East"/>
    <s v="Bihar"/>
    <s v="Patna"/>
    <x v="2"/>
    <x v="2"/>
    <s v="CUST1800"/>
    <s v="SP_02"/>
    <n v="5"/>
    <n v="45923.17"/>
    <n v="229615.85"/>
    <n v="177544.88"/>
    <n v="52070.97"/>
    <s v="Credit Card"/>
  </r>
  <r>
    <s v="ORD103790"/>
    <s v="2025-12-23"/>
    <x v="7"/>
    <s v="East"/>
    <s v="Bihar"/>
    <s v="Patna"/>
    <x v="1"/>
    <x v="1"/>
    <s v="CUST1519"/>
    <s v="SP_11"/>
    <n v="1"/>
    <n v="2784.98"/>
    <n v="2784.98"/>
    <n v="1980.4"/>
    <n v="804.58"/>
    <s v="Net Banking"/>
  </r>
  <r>
    <s v="ORD103791"/>
    <s v="2025-08-15"/>
    <x v="11"/>
    <s v="North"/>
    <s v="Uttar Pradesh"/>
    <s v="Lucknow"/>
    <x v="3"/>
    <x v="11"/>
    <s v="CUST1132"/>
    <s v="SP_04"/>
    <n v="3"/>
    <n v="117.42"/>
    <n v="352.26"/>
    <n v="188.33"/>
    <n v="163.93"/>
    <s v="Cash"/>
  </r>
  <r>
    <s v="ORD103792"/>
    <s v="2025-07-24"/>
    <x v="6"/>
    <s v="North"/>
    <s v="Uttar Pradesh"/>
    <s v="Lucknow"/>
    <x v="1"/>
    <x v="6"/>
    <s v="CUST1132"/>
    <s v="SP_05"/>
    <n v="8"/>
    <n v="3270.49"/>
    <n v="26163.919999999998"/>
    <n v="19023.66"/>
    <n v="7140.26"/>
    <s v="UPI"/>
  </r>
  <r>
    <s v="ORD103793"/>
    <s v="2025-12-13"/>
    <x v="7"/>
    <s v="West"/>
    <s v="Rajasthan"/>
    <s v="Jaipur"/>
    <x v="1"/>
    <x v="1"/>
    <s v="CUST1484"/>
    <s v="SP_01"/>
    <n v="7"/>
    <n v="2861.19"/>
    <n v="20028.330000000002"/>
    <n v="12772.28"/>
    <n v="7256.05"/>
    <s v="Credit Card"/>
  </r>
  <r>
    <s v="ORD103794"/>
    <s v="2025-11-08"/>
    <x v="10"/>
    <s v="East"/>
    <s v="Bihar"/>
    <s v="Patna"/>
    <x v="2"/>
    <x v="10"/>
    <s v="CUST1353"/>
    <s v="SP_11"/>
    <n v="1"/>
    <n v="19497.57"/>
    <n v="19497.57"/>
    <n v="13984.09"/>
    <n v="5513.48"/>
    <s v="Net Banking"/>
  </r>
  <r>
    <s v="ORD103795"/>
    <s v="2025-10-05"/>
    <x v="1"/>
    <s v="South"/>
    <s v="Tamil Nadu"/>
    <s v="Chennai"/>
    <x v="0"/>
    <x v="0"/>
    <s v="CUST1326"/>
    <s v="SP_10"/>
    <n v="8"/>
    <n v="3336.05"/>
    <n v="26688.400000000001"/>
    <n v="17107.61"/>
    <n v="9580.7900000000009"/>
    <s v="Net Banking"/>
  </r>
  <r>
    <s v="ORD103796"/>
    <s v="2025-01-17"/>
    <x v="9"/>
    <s v="South"/>
    <s v="Telangana"/>
    <s v="Hyderabad"/>
    <x v="0"/>
    <x v="9"/>
    <s v="CUST1116"/>
    <s v="SP_06"/>
    <n v="4"/>
    <n v="6412.1"/>
    <n v="25648.400000000001"/>
    <n v="19011.849999999999"/>
    <n v="6636.55"/>
    <s v="Net Banking"/>
  </r>
  <r>
    <s v="ORD103797"/>
    <s v="2025-10-02"/>
    <x v="1"/>
    <s v="North"/>
    <s v="Uttar Pradesh"/>
    <s v="Lucknow"/>
    <x v="3"/>
    <x v="7"/>
    <s v="CUST1858"/>
    <s v="SP_03"/>
    <n v="6"/>
    <n v="11072.52"/>
    <n v="66435.12"/>
    <n v="52443.68"/>
    <n v="13991.44"/>
    <s v="Debit Card"/>
  </r>
  <r>
    <s v="ORD103798"/>
    <s v="2025-03-04"/>
    <x v="4"/>
    <s v="North"/>
    <s v="Punjab"/>
    <s v="Chandigarh"/>
    <x v="3"/>
    <x v="7"/>
    <s v="CUST1309"/>
    <s v="SP_12"/>
    <n v="2"/>
    <n v="11858.75"/>
    <n v="23717.5"/>
    <n v="17954.14"/>
    <n v="5763.36"/>
    <s v="Cash"/>
  </r>
  <r>
    <s v="ORD103799"/>
    <s v="2025-04-08"/>
    <x v="0"/>
    <s v="East"/>
    <s v="Bihar"/>
    <s v="Patna"/>
    <x v="0"/>
    <x v="0"/>
    <s v="CUST1303"/>
    <s v="SP_02"/>
    <n v="6"/>
    <n v="3246.66"/>
    <n v="19479.96"/>
    <n v="13111.95"/>
    <n v="6368.01"/>
    <s v="Net Banking"/>
  </r>
  <r>
    <s v="ORD103800"/>
    <s v="2025-03-31"/>
    <x v="4"/>
    <s v="West"/>
    <s v="Gujarat"/>
    <s v="Ahmedabad"/>
    <x v="2"/>
    <x v="2"/>
    <s v="CUST1242"/>
    <s v="SP_07"/>
    <n v="7"/>
    <n v="47351.55"/>
    <n v="331460.84999999998"/>
    <n v="245384.02"/>
    <n v="86076.83"/>
    <s v="Credit Card"/>
  </r>
  <r>
    <s v="ORD103801"/>
    <s v="2025-03-21"/>
    <x v="4"/>
    <s v="West"/>
    <s v="Rajasthan"/>
    <s v="Jaipur"/>
    <x v="3"/>
    <x v="7"/>
    <s v="CUST1715"/>
    <s v="SP_14"/>
    <n v="5"/>
    <n v="12404.93"/>
    <n v="62024.65"/>
    <n v="45429.84"/>
    <n v="16594.810000000001"/>
    <s v="Debit Card"/>
  </r>
  <r>
    <s v="ORD103802"/>
    <s v="2025-01-12"/>
    <x v="9"/>
    <s v="North"/>
    <s v="Uttar Pradesh"/>
    <s v="Lucknow"/>
    <x v="2"/>
    <x v="4"/>
    <s v="CUST1418"/>
    <s v="SP_11"/>
    <n v="6"/>
    <n v="2612.84"/>
    <n v="15677.04"/>
    <n v="9620.0499999999993"/>
    <n v="6056.99"/>
    <s v="Cash"/>
  </r>
  <r>
    <s v="ORD103803"/>
    <s v="2025-06-03"/>
    <x v="2"/>
    <s v="West"/>
    <s v="Gujarat"/>
    <s v="Ahmedabad"/>
    <x v="3"/>
    <x v="7"/>
    <s v="CUST1719"/>
    <s v="SP_06"/>
    <n v="7"/>
    <n v="11704.46"/>
    <n v="81931.22"/>
    <n v="62943.11"/>
    <n v="18988.11"/>
    <s v="Credit Card"/>
  </r>
  <r>
    <s v="ORD103804"/>
    <s v="2025-08-22"/>
    <x v="11"/>
    <s v="South"/>
    <s v="Karnataka"/>
    <s v="Bengaluru"/>
    <x v="1"/>
    <x v="5"/>
    <s v="CUST1325"/>
    <s v="SP_15"/>
    <n v="8"/>
    <n v="9149.84"/>
    <n v="73198.720000000001"/>
    <n v="62675.37"/>
    <n v="10523.35"/>
    <s v="Credit Card"/>
  </r>
  <r>
    <s v="ORD103805"/>
    <s v="2025-05-13"/>
    <x v="3"/>
    <s v="North"/>
    <s v="Uttar Pradesh"/>
    <s v="Lucknow"/>
    <x v="2"/>
    <x v="10"/>
    <s v="CUST1852"/>
    <s v="SP_01"/>
    <n v="5"/>
    <n v="16379.95"/>
    <n v="81899.75"/>
    <n v="71016.69"/>
    <n v="10883.06"/>
    <s v="Credit Card"/>
  </r>
  <r>
    <s v="ORD103806"/>
    <s v="2025-11-10"/>
    <x v="10"/>
    <s v="East"/>
    <s v="Odisha"/>
    <s v="Bhubaneswar"/>
    <x v="0"/>
    <x v="0"/>
    <s v="CUST1125"/>
    <s v="SP_07"/>
    <n v="3"/>
    <n v="3676.14"/>
    <n v="11028.42"/>
    <n v="6403.42"/>
    <n v="4625"/>
    <s v="Net Banking"/>
  </r>
  <r>
    <s v="ORD103807"/>
    <s v="2025-09-14"/>
    <x v="5"/>
    <s v="North"/>
    <s v="Punjab"/>
    <s v="Chandigarh"/>
    <x v="1"/>
    <x v="5"/>
    <s v="CUST1385"/>
    <s v="SP_05"/>
    <n v="2"/>
    <n v="9732.8700000000008"/>
    <n v="19465.740000000002"/>
    <n v="15328.48"/>
    <n v="4137.26"/>
    <s v="Cash"/>
  </r>
  <r>
    <s v="ORD103808"/>
    <s v="2025-07-27"/>
    <x v="6"/>
    <s v="East"/>
    <s v="West Bengal"/>
    <s v="Kolkata"/>
    <x v="0"/>
    <x v="0"/>
    <s v="CUST1541"/>
    <s v="SP_10"/>
    <n v="7"/>
    <n v="3375.86"/>
    <n v="23631.02"/>
    <n v="15936.35"/>
    <n v="7694.67"/>
    <s v="Credit Card"/>
  </r>
  <r>
    <s v="ORD103809"/>
    <s v="2025-06-17"/>
    <x v="2"/>
    <s v="South"/>
    <s v="Tamil Nadu"/>
    <s v="Chennai"/>
    <x v="1"/>
    <x v="1"/>
    <s v="CUST1767"/>
    <s v="SP_02"/>
    <n v="7"/>
    <n v="2987.96"/>
    <n v="20915.72"/>
    <n v="12765.88"/>
    <n v="8149.84"/>
    <s v="UPI"/>
  </r>
  <r>
    <s v="ORD103810"/>
    <s v="2025-03-02"/>
    <x v="4"/>
    <s v="South"/>
    <s v="Telangana"/>
    <s v="Hyderabad"/>
    <x v="2"/>
    <x v="4"/>
    <s v="CUST1952"/>
    <s v="SP_06"/>
    <n v="7"/>
    <n v="2392.9299999999998"/>
    <n v="16750.509999999998"/>
    <n v="11551.73"/>
    <n v="5198.78"/>
    <s v="Debit Card"/>
  </r>
  <r>
    <s v="ORD103811"/>
    <s v="2025-12-27"/>
    <x v="7"/>
    <s v="East"/>
    <s v="Odisha"/>
    <s v="Bhubaneswar"/>
    <x v="0"/>
    <x v="8"/>
    <s v="CUST1489"/>
    <s v="SP_15"/>
    <n v="6"/>
    <n v="20814.07"/>
    <n v="124884.42"/>
    <n v="101079.61"/>
    <n v="23804.81"/>
    <s v="Debit Card"/>
  </r>
  <r>
    <s v="ORD103812"/>
    <s v="2025-11-16"/>
    <x v="10"/>
    <s v="West"/>
    <s v="Gujarat"/>
    <s v="Ahmedabad"/>
    <x v="0"/>
    <x v="0"/>
    <s v="CUST1959"/>
    <s v="SP_13"/>
    <n v="7"/>
    <n v="3705.72"/>
    <n v="25940.04"/>
    <n v="15603.68"/>
    <n v="10336.36"/>
    <s v="Cash"/>
  </r>
  <r>
    <s v="ORD103813"/>
    <s v="2025-06-02"/>
    <x v="2"/>
    <s v="East"/>
    <s v="Bihar"/>
    <s v="Patna"/>
    <x v="3"/>
    <x v="3"/>
    <s v="CUST1927"/>
    <s v="SP_07"/>
    <n v="7"/>
    <n v="23.45"/>
    <n v="164.15"/>
    <n v="72.849999999999994"/>
    <n v="91.3"/>
    <s v="UPI"/>
  </r>
  <r>
    <s v="ORD103814"/>
    <s v="2025-08-06"/>
    <x v="11"/>
    <s v="East"/>
    <s v="West Bengal"/>
    <s v="Kolkata"/>
    <x v="2"/>
    <x v="2"/>
    <s v="CUST1321"/>
    <s v="SP_15"/>
    <n v="7"/>
    <n v="48347.16"/>
    <n v="338430.12"/>
    <n v="234179.41"/>
    <n v="104250.71"/>
    <s v="Credit Card"/>
  </r>
  <r>
    <s v="ORD103815"/>
    <s v="2025-03-03"/>
    <x v="4"/>
    <s v="East"/>
    <s v="Bihar"/>
    <s v="Patna"/>
    <x v="2"/>
    <x v="2"/>
    <s v="CUST1166"/>
    <s v="SP_11"/>
    <n v="4"/>
    <n v="47675.72"/>
    <n v="190702.88"/>
    <n v="136652.54999999999"/>
    <n v="54050.33"/>
    <s v="Credit Card"/>
  </r>
  <r>
    <s v="ORD103816"/>
    <s v="2025-07-14"/>
    <x v="6"/>
    <s v="East"/>
    <s v="Bihar"/>
    <s v="Patna"/>
    <x v="2"/>
    <x v="10"/>
    <s v="CUST1685"/>
    <s v="SP_10"/>
    <n v="1"/>
    <n v="17722.41"/>
    <n v="17722.41"/>
    <n v="13519.54"/>
    <n v="4202.87"/>
    <s v="Debit Card"/>
  </r>
  <r>
    <s v="ORD103817"/>
    <s v="2025-01-17"/>
    <x v="9"/>
    <s v="North"/>
    <s v="Delhi"/>
    <s v="Delhi"/>
    <x v="2"/>
    <x v="4"/>
    <s v="CUST1776"/>
    <s v="SP_06"/>
    <n v="6"/>
    <n v="2455.0300000000002"/>
    <n v="14730.18"/>
    <n v="9174.7000000000007"/>
    <n v="5555.48"/>
    <s v="Debit Card"/>
  </r>
  <r>
    <s v="ORD103818"/>
    <s v="2025-05-21"/>
    <x v="3"/>
    <s v="South"/>
    <s v="Telangana"/>
    <s v="Hyderabad"/>
    <x v="1"/>
    <x v="5"/>
    <s v="CUST1039"/>
    <s v="SP_04"/>
    <n v="8"/>
    <n v="10221"/>
    <n v="81768"/>
    <n v="61119.43"/>
    <n v="20648.57"/>
    <s v="Net Banking"/>
  </r>
  <r>
    <s v="ORD103819"/>
    <s v="2025-11-18"/>
    <x v="10"/>
    <s v="South"/>
    <s v="Karnataka"/>
    <s v="Bengaluru"/>
    <x v="2"/>
    <x v="10"/>
    <s v="CUST1730"/>
    <s v="SP_01"/>
    <n v="8"/>
    <n v="19075.650000000001"/>
    <n v="152605.20000000001"/>
    <n v="117240.2"/>
    <n v="35365"/>
    <s v="Debit Card"/>
  </r>
  <r>
    <s v="ORD103820"/>
    <s v="2025-09-21"/>
    <x v="5"/>
    <s v="South"/>
    <s v="Telangana"/>
    <s v="Hyderabad"/>
    <x v="1"/>
    <x v="1"/>
    <s v="CUST1488"/>
    <s v="SP_15"/>
    <n v="4"/>
    <n v="2740.85"/>
    <n v="10963.4"/>
    <n v="7613.43"/>
    <n v="3349.97"/>
    <s v="Debit Card"/>
  </r>
  <r>
    <s v="ORD103821"/>
    <s v="2025-01-03"/>
    <x v="9"/>
    <s v="South"/>
    <s v="Telangana"/>
    <s v="Hyderabad"/>
    <x v="3"/>
    <x v="3"/>
    <s v="CUST1670"/>
    <s v="SP_15"/>
    <n v="8"/>
    <n v="25.58"/>
    <n v="204.64"/>
    <n v="81.760000000000005"/>
    <n v="122.88"/>
    <s v="Debit Card"/>
  </r>
  <r>
    <s v="ORD103822"/>
    <s v="2025-10-04"/>
    <x v="1"/>
    <s v="North"/>
    <s v="Uttar Pradesh"/>
    <s v="Lucknow"/>
    <x v="1"/>
    <x v="1"/>
    <s v="CUST1354"/>
    <s v="SP_14"/>
    <n v="7"/>
    <n v="2812.24"/>
    <n v="19685.68"/>
    <n v="13179.21"/>
    <n v="6506.47"/>
    <s v="Net Banking"/>
  </r>
  <r>
    <s v="ORD103823"/>
    <s v="2025-10-29"/>
    <x v="1"/>
    <s v="East"/>
    <s v="West Bengal"/>
    <s v="Kolkata"/>
    <x v="1"/>
    <x v="1"/>
    <s v="CUST1467"/>
    <s v="SP_12"/>
    <n v="7"/>
    <n v="2976.57"/>
    <n v="20835.990000000002"/>
    <n v="13523.99"/>
    <n v="7312"/>
    <s v="Debit Card"/>
  </r>
  <r>
    <s v="ORD103824"/>
    <s v="2025-07-09"/>
    <x v="6"/>
    <s v="East"/>
    <s v="Odisha"/>
    <s v="Bhubaneswar"/>
    <x v="0"/>
    <x v="9"/>
    <s v="CUST1166"/>
    <s v="SP_09"/>
    <n v="4"/>
    <n v="6611.68"/>
    <n v="26446.720000000001"/>
    <n v="20053.7"/>
    <n v="6393.02"/>
    <s v="Net Banking"/>
  </r>
  <r>
    <s v="ORD103825"/>
    <s v="2025-09-22"/>
    <x v="5"/>
    <s v="South"/>
    <s v="Karnataka"/>
    <s v="Bengaluru"/>
    <x v="3"/>
    <x v="7"/>
    <s v="CUST1643"/>
    <s v="SP_01"/>
    <n v="8"/>
    <n v="11474.64"/>
    <n v="91797.119999999995"/>
    <n v="70746.98"/>
    <n v="21050.14"/>
    <s v="Net Banking"/>
  </r>
  <r>
    <s v="ORD103826"/>
    <s v="2025-07-05"/>
    <x v="6"/>
    <s v="East"/>
    <s v="Odisha"/>
    <s v="Bhubaneswar"/>
    <x v="3"/>
    <x v="7"/>
    <s v="CUST1900"/>
    <s v="SP_11"/>
    <n v="3"/>
    <n v="11797.46"/>
    <n v="35392.379999999997"/>
    <n v="27149.56"/>
    <n v="8242.82"/>
    <s v="Debit Card"/>
  </r>
  <r>
    <s v="ORD103827"/>
    <s v="2025-10-05"/>
    <x v="1"/>
    <s v="South"/>
    <s v="Telangana"/>
    <s v="Hyderabad"/>
    <x v="3"/>
    <x v="11"/>
    <s v="CUST1824"/>
    <s v="SP_15"/>
    <n v="5"/>
    <n v="131.94999999999999"/>
    <n v="659.75"/>
    <n v="300.49"/>
    <n v="359.26"/>
    <s v="Cash"/>
  </r>
  <r>
    <s v="ORD103828"/>
    <s v="2025-11-28"/>
    <x v="10"/>
    <s v="West"/>
    <s v="Rajasthan"/>
    <s v="Jaipur"/>
    <x v="1"/>
    <x v="1"/>
    <s v="CUST1518"/>
    <s v="SP_03"/>
    <n v="2"/>
    <n v="2547.6999999999998"/>
    <n v="5095.3999999999996"/>
    <n v="3839.12"/>
    <n v="1256.28"/>
    <s v="Credit Card"/>
  </r>
  <r>
    <s v="ORD103829"/>
    <s v="2025-07-08"/>
    <x v="6"/>
    <s v="South"/>
    <s v="Tamil Nadu"/>
    <s v="Chennai"/>
    <x v="1"/>
    <x v="1"/>
    <s v="CUST1291"/>
    <s v="SP_05"/>
    <n v="8"/>
    <n v="2756.57"/>
    <n v="22052.560000000001"/>
    <n v="14602.71"/>
    <n v="7449.85"/>
    <s v="Credit Card"/>
  </r>
  <r>
    <s v="ORD103830"/>
    <s v="2025-12-12"/>
    <x v="7"/>
    <s v="East"/>
    <s v="Bihar"/>
    <s v="Patna"/>
    <x v="1"/>
    <x v="5"/>
    <s v="CUST1449"/>
    <s v="SP_06"/>
    <n v="2"/>
    <n v="9753.98"/>
    <n v="19507.96"/>
    <n v="14919.83"/>
    <n v="4588.13"/>
    <s v="Debit Card"/>
  </r>
  <r>
    <s v="ORD103831"/>
    <s v="2025-09-02"/>
    <x v="5"/>
    <s v="West"/>
    <s v="Maharashtra"/>
    <s v="Mumbai"/>
    <x v="1"/>
    <x v="1"/>
    <s v="CUST1724"/>
    <s v="SP_07"/>
    <n v="4"/>
    <n v="2701.29"/>
    <n v="10805.16"/>
    <n v="7278.83"/>
    <n v="3526.33"/>
    <s v="Cash"/>
  </r>
  <r>
    <s v="ORD103832"/>
    <s v="2025-09-15"/>
    <x v="5"/>
    <s v="South"/>
    <s v="Karnataka"/>
    <s v="Bengaluru"/>
    <x v="2"/>
    <x v="10"/>
    <s v="CUST1182"/>
    <s v="SP_13"/>
    <n v="3"/>
    <n v="16973.63"/>
    <n v="50920.89"/>
    <n v="43608.56"/>
    <n v="7312.33"/>
    <s v="Credit Card"/>
  </r>
  <r>
    <s v="ORD103833"/>
    <s v="2025-09-10"/>
    <x v="5"/>
    <s v="East"/>
    <s v="Bihar"/>
    <s v="Patna"/>
    <x v="3"/>
    <x v="7"/>
    <s v="CUST1249"/>
    <s v="SP_15"/>
    <n v="5"/>
    <n v="12521.54"/>
    <n v="62607.7"/>
    <n v="45598.53"/>
    <n v="17009.169999999998"/>
    <s v="Credit Card"/>
  </r>
  <r>
    <s v="ORD103834"/>
    <s v="2025-02-22"/>
    <x v="8"/>
    <s v="North"/>
    <s v="Delhi"/>
    <s v="Delhi"/>
    <x v="3"/>
    <x v="3"/>
    <s v="CUST1621"/>
    <s v="SP_15"/>
    <n v="8"/>
    <n v="25.49"/>
    <n v="203.92"/>
    <n v="78.81"/>
    <n v="125.11"/>
    <s v="Debit Card"/>
  </r>
  <r>
    <s v="ORD103835"/>
    <s v="2025-12-03"/>
    <x v="7"/>
    <s v="South"/>
    <s v="Telangana"/>
    <s v="Hyderabad"/>
    <x v="2"/>
    <x v="10"/>
    <s v="CUST1393"/>
    <s v="SP_02"/>
    <n v="6"/>
    <n v="18480.439999999999"/>
    <n v="110882.64"/>
    <n v="80658.679999999993"/>
    <n v="30223.96"/>
    <s v="Debit Card"/>
  </r>
  <r>
    <s v="ORD103836"/>
    <s v="2025-11-02"/>
    <x v="10"/>
    <s v="South"/>
    <s v="Karnataka"/>
    <s v="Bengaluru"/>
    <x v="0"/>
    <x v="0"/>
    <s v="CUST1619"/>
    <s v="SP_07"/>
    <n v="2"/>
    <n v="3415.77"/>
    <n v="6831.54"/>
    <n v="4380.04"/>
    <n v="2451.5"/>
    <s v="Credit Card"/>
  </r>
  <r>
    <s v="ORD103837"/>
    <s v="2025-04-03"/>
    <x v="0"/>
    <s v="South"/>
    <s v="Tamil Nadu"/>
    <s v="Chennai"/>
    <x v="2"/>
    <x v="2"/>
    <s v="CUST1896"/>
    <s v="SP_15"/>
    <n v="2"/>
    <n v="46442.8"/>
    <n v="92885.6"/>
    <n v="68205.13"/>
    <n v="24680.47"/>
    <s v="Debit Card"/>
  </r>
  <r>
    <s v="ORD103838"/>
    <s v="2025-07-01"/>
    <x v="6"/>
    <s v="South"/>
    <s v="Telangana"/>
    <s v="Hyderabad"/>
    <x v="3"/>
    <x v="3"/>
    <s v="CUST1738"/>
    <s v="SP_11"/>
    <n v="4"/>
    <n v="26.24"/>
    <n v="104.96"/>
    <n v="38.11"/>
    <n v="66.849999999999994"/>
    <s v="Net Banking"/>
  </r>
  <r>
    <s v="ORD103839"/>
    <s v="2025-07-04"/>
    <x v="6"/>
    <s v="West"/>
    <s v="Maharashtra"/>
    <s v="Mumbai"/>
    <x v="0"/>
    <x v="8"/>
    <s v="CUST1432"/>
    <s v="SP_15"/>
    <n v="2"/>
    <n v="19816.25"/>
    <n v="39632.5"/>
    <n v="34489.519999999997"/>
    <n v="5142.9799999999996"/>
    <s v="UPI"/>
  </r>
  <r>
    <s v="ORD103840"/>
    <s v="2025-01-31"/>
    <x v="9"/>
    <s v="South"/>
    <s v="Tamil Nadu"/>
    <s v="Chennai"/>
    <x v="3"/>
    <x v="7"/>
    <s v="CUST1159"/>
    <s v="SP_01"/>
    <n v="3"/>
    <n v="11071.88"/>
    <n v="33215.64"/>
    <n v="27909.94"/>
    <n v="5305.7"/>
    <s v="Cash"/>
  </r>
  <r>
    <s v="ORD103841"/>
    <s v="2025-08-06"/>
    <x v="11"/>
    <s v="West"/>
    <s v="Maharashtra"/>
    <s v="Mumbai"/>
    <x v="2"/>
    <x v="4"/>
    <s v="CUST1161"/>
    <s v="SP_11"/>
    <n v="1"/>
    <n v="2600.8200000000002"/>
    <n v="2600.8200000000002"/>
    <n v="1546.75"/>
    <n v="1054.07"/>
    <s v="UPI"/>
  </r>
  <r>
    <s v="ORD103842"/>
    <s v="2025-01-29"/>
    <x v="9"/>
    <s v="East"/>
    <s v="Bihar"/>
    <s v="Patna"/>
    <x v="0"/>
    <x v="8"/>
    <s v="CUST1704"/>
    <s v="SP_11"/>
    <n v="5"/>
    <n v="21964.240000000002"/>
    <n v="109821.2"/>
    <n v="84853.84"/>
    <n v="24967.360000000001"/>
    <s v="Credit Card"/>
  </r>
  <r>
    <s v="ORD103843"/>
    <s v="2025-03-12"/>
    <x v="4"/>
    <s v="North"/>
    <s v="Delhi"/>
    <s v="Delhi"/>
    <x v="3"/>
    <x v="3"/>
    <s v="CUST1832"/>
    <s v="SP_07"/>
    <n v="3"/>
    <n v="24.36"/>
    <n v="73.08"/>
    <n v="29.95"/>
    <n v="43.13"/>
    <s v="Debit Card"/>
  </r>
  <r>
    <s v="ORD103844"/>
    <s v="2025-11-26"/>
    <x v="10"/>
    <s v="North"/>
    <s v="Uttar Pradesh"/>
    <s v="Lucknow"/>
    <x v="1"/>
    <x v="5"/>
    <s v="CUST1729"/>
    <s v="SP_01"/>
    <n v="3"/>
    <n v="10078.459999999999"/>
    <n v="30235.38"/>
    <n v="22564.91"/>
    <n v="7670.47"/>
    <s v="Cash"/>
  </r>
  <r>
    <s v="ORD103845"/>
    <s v="2025-12-30"/>
    <x v="7"/>
    <s v="South"/>
    <s v="Karnataka"/>
    <s v="Bengaluru"/>
    <x v="0"/>
    <x v="9"/>
    <s v="CUST1910"/>
    <s v="SP_05"/>
    <n v="1"/>
    <n v="6958.84"/>
    <n v="6958.84"/>
    <n v="5119.8900000000003"/>
    <n v="1838.95"/>
    <s v="Credit Card"/>
  </r>
  <r>
    <s v="ORD103846"/>
    <s v="2025-08-09"/>
    <x v="11"/>
    <s v="North"/>
    <s v="Uttar Pradesh"/>
    <s v="Lucknow"/>
    <x v="1"/>
    <x v="5"/>
    <s v="CUST1627"/>
    <s v="SP_08"/>
    <n v="1"/>
    <n v="10333.84"/>
    <n v="10333.84"/>
    <n v="7814.88"/>
    <n v="2518.96"/>
    <s v="Net Banking"/>
  </r>
  <r>
    <s v="ORD103847"/>
    <s v="2025-07-27"/>
    <x v="6"/>
    <s v="East"/>
    <s v="Bihar"/>
    <s v="Patna"/>
    <x v="1"/>
    <x v="5"/>
    <s v="CUST1366"/>
    <s v="SP_10"/>
    <n v="7"/>
    <n v="9880.36"/>
    <n v="69162.52"/>
    <n v="51404.87"/>
    <n v="17757.650000000001"/>
    <s v="Cash"/>
  </r>
  <r>
    <s v="ORD103848"/>
    <s v="2025-04-19"/>
    <x v="0"/>
    <s v="East"/>
    <s v="Odisha"/>
    <s v="Bhubaneswar"/>
    <x v="2"/>
    <x v="2"/>
    <s v="CUST1095"/>
    <s v="SP_14"/>
    <n v="8"/>
    <n v="42336.82"/>
    <n v="338694.56"/>
    <n v="266174.09999999998"/>
    <n v="72520.460000000006"/>
    <s v="Credit Card"/>
  </r>
  <r>
    <s v="ORD103849"/>
    <s v="2025-06-12"/>
    <x v="2"/>
    <s v="South"/>
    <s v="Telangana"/>
    <s v="Hyderabad"/>
    <x v="3"/>
    <x v="7"/>
    <s v="CUST1460"/>
    <s v="SP_04"/>
    <n v="8"/>
    <n v="12496.02"/>
    <n v="99968.16"/>
    <n v="70735.88"/>
    <n v="29232.28"/>
    <s v="UPI"/>
  </r>
  <r>
    <s v="ORD103850"/>
    <s v="2025-05-01"/>
    <x v="3"/>
    <s v="East"/>
    <s v="West Bengal"/>
    <s v="Kolkata"/>
    <x v="3"/>
    <x v="7"/>
    <s v="CUST1342"/>
    <s v="SP_08"/>
    <n v="7"/>
    <n v="11640.82"/>
    <n v="81485.740000000005"/>
    <n v="60981.97"/>
    <n v="20503.77"/>
    <s v="Net Banking"/>
  </r>
  <r>
    <s v="ORD103851"/>
    <s v="2025-07-13"/>
    <x v="6"/>
    <s v="East"/>
    <s v="Bihar"/>
    <s v="Patna"/>
    <x v="0"/>
    <x v="9"/>
    <s v="CUST1492"/>
    <s v="SP_14"/>
    <n v="2"/>
    <n v="6481.35"/>
    <n v="12962.7"/>
    <n v="9618.3700000000008"/>
    <n v="3344.33"/>
    <s v="Cash"/>
  </r>
  <r>
    <s v="ORD103852"/>
    <s v="2025-04-28"/>
    <x v="0"/>
    <s v="West"/>
    <s v="Rajasthan"/>
    <s v="Jaipur"/>
    <x v="2"/>
    <x v="10"/>
    <s v="CUST1448"/>
    <s v="SP_02"/>
    <n v="3"/>
    <n v="18913.82"/>
    <n v="56741.46"/>
    <n v="40201.86"/>
    <n v="16539.599999999999"/>
    <s v="Cash"/>
  </r>
  <r>
    <s v="ORD103853"/>
    <s v="2025-12-13"/>
    <x v="7"/>
    <s v="South"/>
    <s v="Karnataka"/>
    <s v="Bengaluru"/>
    <x v="1"/>
    <x v="1"/>
    <s v="CUST1845"/>
    <s v="SP_12"/>
    <n v="6"/>
    <n v="2599.06"/>
    <n v="15594.36"/>
    <n v="11808.35"/>
    <n v="3786.01"/>
    <s v="UPI"/>
  </r>
  <r>
    <s v="ORD103854"/>
    <s v="2025-05-26"/>
    <x v="3"/>
    <s v="North"/>
    <s v="Uttar Pradesh"/>
    <s v="Lucknow"/>
    <x v="2"/>
    <x v="10"/>
    <s v="CUST1012"/>
    <s v="SP_03"/>
    <n v="8"/>
    <n v="19467.439999999999"/>
    <n v="155739.51999999999"/>
    <n v="111524.42"/>
    <n v="44215.1"/>
    <s v="Credit Card"/>
  </r>
  <r>
    <s v="ORD103855"/>
    <s v="2025-01-24"/>
    <x v="9"/>
    <s v="North"/>
    <s v="Punjab"/>
    <s v="Chandigarh"/>
    <x v="3"/>
    <x v="11"/>
    <s v="CUST1172"/>
    <s v="SP_05"/>
    <n v="8"/>
    <n v="113.2"/>
    <n v="905.6"/>
    <n v="487.59"/>
    <n v="418.01"/>
    <s v="Credit Card"/>
  </r>
  <r>
    <s v="ORD103856"/>
    <s v="2025-11-17"/>
    <x v="10"/>
    <s v="West"/>
    <s v="Gujarat"/>
    <s v="Ahmedabad"/>
    <x v="3"/>
    <x v="7"/>
    <s v="CUST1130"/>
    <s v="SP_07"/>
    <n v="1"/>
    <n v="10850.91"/>
    <n v="10850.91"/>
    <n v="9389.2000000000007"/>
    <n v="1461.71"/>
    <s v="Debit Card"/>
  </r>
  <r>
    <s v="ORD103857"/>
    <s v="2025-07-29"/>
    <x v="6"/>
    <s v="East"/>
    <s v="Bihar"/>
    <s v="Patna"/>
    <x v="0"/>
    <x v="0"/>
    <s v="CUST1500"/>
    <s v="SP_11"/>
    <n v="2"/>
    <n v="3841.05"/>
    <n v="7682.1"/>
    <n v="4351.96"/>
    <n v="3330.14"/>
    <s v="Cash"/>
  </r>
  <r>
    <s v="ORD103858"/>
    <s v="2025-10-18"/>
    <x v="1"/>
    <s v="North"/>
    <s v="Punjab"/>
    <s v="Chandigarh"/>
    <x v="3"/>
    <x v="11"/>
    <s v="CUST1602"/>
    <s v="SP_05"/>
    <n v="2"/>
    <n v="122.07"/>
    <n v="244.14"/>
    <n v="116.18"/>
    <n v="127.96"/>
    <s v="Debit Card"/>
  </r>
  <r>
    <s v="ORD103859"/>
    <s v="2025-11-19"/>
    <x v="10"/>
    <s v="North"/>
    <s v="Delhi"/>
    <s v="Delhi"/>
    <x v="1"/>
    <x v="5"/>
    <s v="CUST1025"/>
    <s v="SP_10"/>
    <n v="5"/>
    <n v="9632.65"/>
    <n v="48163.25"/>
    <n v="38115.03"/>
    <n v="10048.219999999999"/>
    <s v="Cash"/>
  </r>
  <r>
    <s v="ORD103860"/>
    <s v="2025-02-23"/>
    <x v="8"/>
    <s v="West"/>
    <s v="Rajasthan"/>
    <s v="Jaipur"/>
    <x v="0"/>
    <x v="9"/>
    <s v="CUST1192"/>
    <s v="SP_10"/>
    <n v="1"/>
    <n v="7489.86"/>
    <n v="7489.86"/>
    <n v="5057.63"/>
    <n v="2432.23"/>
    <s v="Debit Card"/>
  </r>
  <r>
    <s v="ORD103861"/>
    <s v="2025-04-09"/>
    <x v="0"/>
    <s v="North"/>
    <s v="Uttar Pradesh"/>
    <s v="Lucknow"/>
    <x v="3"/>
    <x v="3"/>
    <s v="CUST1423"/>
    <s v="SP_15"/>
    <n v="7"/>
    <n v="23.17"/>
    <n v="162.19"/>
    <n v="69.569999999999993"/>
    <n v="92.62"/>
    <s v="UPI"/>
  </r>
  <r>
    <s v="ORD103862"/>
    <s v="2025-05-14"/>
    <x v="3"/>
    <s v="West"/>
    <s v="Maharashtra"/>
    <s v="Mumbai"/>
    <x v="2"/>
    <x v="4"/>
    <s v="CUST1577"/>
    <s v="SP_03"/>
    <n v="2"/>
    <n v="2360.94"/>
    <n v="4721.88"/>
    <n v="3095.71"/>
    <n v="1626.17"/>
    <s v="Debit Card"/>
  </r>
  <r>
    <s v="ORD103863"/>
    <s v="2025-04-14"/>
    <x v="0"/>
    <s v="East"/>
    <s v="West Bengal"/>
    <s v="Kolkata"/>
    <x v="3"/>
    <x v="7"/>
    <s v="CUST1929"/>
    <s v="SP_13"/>
    <n v="4"/>
    <n v="10965.83"/>
    <n v="43863.32"/>
    <n v="35810.699999999997"/>
    <n v="8052.62"/>
    <s v="UPI"/>
  </r>
  <r>
    <s v="ORD103864"/>
    <s v="2025-04-24"/>
    <x v="0"/>
    <s v="East"/>
    <s v="Odisha"/>
    <s v="Bhubaneswar"/>
    <x v="3"/>
    <x v="11"/>
    <s v="CUST1861"/>
    <s v="SP_13"/>
    <n v="5"/>
    <n v="128.74"/>
    <n v="643.70000000000005"/>
    <n v="307.05"/>
    <n v="336.65"/>
    <s v="UPI"/>
  </r>
  <r>
    <s v="ORD103865"/>
    <s v="2025-02-05"/>
    <x v="8"/>
    <s v="North"/>
    <s v="Delhi"/>
    <s v="Delhi"/>
    <x v="0"/>
    <x v="8"/>
    <s v="CUST1836"/>
    <s v="SP_06"/>
    <n v="8"/>
    <n v="22772.16"/>
    <n v="182177.28"/>
    <n v="132036.17000000001"/>
    <n v="50141.11"/>
    <s v="UPI"/>
  </r>
  <r>
    <s v="ORD103866"/>
    <s v="2025-01-28"/>
    <x v="9"/>
    <s v="East"/>
    <s v="Odisha"/>
    <s v="Bhubaneswar"/>
    <x v="1"/>
    <x v="1"/>
    <s v="CUST1231"/>
    <s v="SP_10"/>
    <n v="8"/>
    <n v="2750.97"/>
    <n v="22007.759999999998"/>
    <n v="15936.27"/>
    <n v="6071.49"/>
    <s v="Cash"/>
  </r>
  <r>
    <s v="ORD103867"/>
    <s v="2025-12-20"/>
    <x v="7"/>
    <s v="North"/>
    <s v="Punjab"/>
    <s v="Chandigarh"/>
    <x v="2"/>
    <x v="4"/>
    <s v="CUST1924"/>
    <s v="SP_10"/>
    <n v="6"/>
    <n v="2338.46"/>
    <n v="14030.76"/>
    <n v="9722.57"/>
    <n v="4308.1899999999996"/>
    <s v="Net Banking"/>
  </r>
  <r>
    <s v="ORD103868"/>
    <s v="2025-05-15"/>
    <x v="3"/>
    <s v="East"/>
    <s v="Odisha"/>
    <s v="Bhubaneswar"/>
    <x v="0"/>
    <x v="0"/>
    <s v="CUST1691"/>
    <s v="SP_14"/>
    <n v="5"/>
    <n v="3511.78"/>
    <n v="17558.900000000001"/>
    <n v="11162.24"/>
    <n v="6396.66"/>
    <s v="Credit Card"/>
  </r>
  <r>
    <s v="ORD103869"/>
    <s v="2025-02-13"/>
    <x v="8"/>
    <s v="West"/>
    <s v="Maharashtra"/>
    <s v="Mumbai"/>
    <x v="0"/>
    <x v="9"/>
    <s v="CUST1249"/>
    <s v="SP_01"/>
    <n v="1"/>
    <n v="7232.96"/>
    <n v="7232.96"/>
    <n v="4766"/>
    <n v="2466.96"/>
    <s v="Debit Card"/>
  </r>
  <r>
    <s v="ORD103870"/>
    <s v="2025-07-07"/>
    <x v="6"/>
    <s v="West"/>
    <s v="Maharashtra"/>
    <s v="Mumbai"/>
    <x v="3"/>
    <x v="11"/>
    <s v="CUST1103"/>
    <s v="SP_09"/>
    <n v="3"/>
    <n v="114.94"/>
    <n v="344.82"/>
    <n v="188.32"/>
    <n v="156.5"/>
    <s v="UPI"/>
  </r>
  <r>
    <s v="ORD103871"/>
    <s v="2025-02-01"/>
    <x v="8"/>
    <s v="East"/>
    <s v="Bihar"/>
    <s v="Patna"/>
    <x v="1"/>
    <x v="5"/>
    <s v="CUST1005"/>
    <s v="SP_09"/>
    <n v="2"/>
    <n v="10383.459999999999"/>
    <n v="20766.919999999998"/>
    <n v="14604.98"/>
    <n v="6161.94"/>
    <s v="Credit Card"/>
  </r>
  <r>
    <s v="ORD103872"/>
    <s v="2025-06-23"/>
    <x v="2"/>
    <s v="East"/>
    <s v="Odisha"/>
    <s v="Bhubaneswar"/>
    <x v="1"/>
    <x v="1"/>
    <s v="CUST1207"/>
    <s v="SP_13"/>
    <n v="3"/>
    <n v="2599.67"/>
    <n v="7799.01"/>
    <n v="5930.83"/>
    <n v="1868.18"/>
    <s v="Credit Card"/>
  </r>
  <r>
    <s v="ORD103873"/>
    <s v="2025-10-26"/>
    <x v="1"/>
    <s v="South"/>
    <s v="Telangana"/>
    <s v="Hyderabad"/>
    <x v="3"/>
    <x v="3"/>
    <s v="CUST1110"/>
    <s v="SP_09"/>
    <n v="2"/>
    <n v="22.67"/>
    <n v="45.34"/>
    <n v="19.309999999999999"/>
    <n v="26.03"/>
    <s v="Cash"/>
  </r>
  <r>
    <s v="ORD103874"/>
    <s v="2025-07-16"/>
    <x v="6"/>
    <s v="North"/>
    <s v="Uttar Pradesh"/>
    <s v="Lucknow"/>
    <x v="1"/>
    <x v="6"/>
    <s v="CUST1354"/>
    <s v="SP_09"/>
    <n v="7"/>
    <n v="2944.96"/>
    <n v="20614.72"/>
    <n v="17145.28"/>
    <n v="3469.44"/>
    <s v="Net Banking"/>
  </r>
  <r>
    <s v="ORD103875"/>
    <s v="2025-07-23"/>
    <x v="6"/>
    <s v="South"/>
    <s v="Tamil Nadu"/>
    <s v="Chennai"/>
    <x v="0"/>
    <x v="9"/>
    <s v="CUST1271"/>
    <s v="SP_10"/>
    <n v="8"/>
    <n v="6936.98"/>
    <n v="55495.839999999997"/>
    <n v="40436.07"/>
    <n v="15059.77"/>
    <s v="UPI"/>
  </r>
  <r>
    <s v="ORD103876"/>
    <s v="2025-09-10"/>
    <x v="5"/>
    <s v="North"/>
    <s v="Delhi"/>
    <s v="Delhi"/>
    <x v="3"/>
    <x v="3"/>
    <s v="CUST1398"/>
    <s v="SP_06"/>
    <n v="5"/>
    <n v="26.82"/>
    <n v="134.1"/>
    <n v="47.67"/>
    <n v="86.43"/>
    <s v="Debit Card"/>
  </r>
  <r>
    <s v="ORD103877"/>
    <s v="2025-11-30"/>
    <x v="10"/>
    <s v="North"/>
    <s v="Uttar Pradesh"/>
    <s v="Lucknow"/>
    <x v="1"/>
    <x v="1"/>
    <s v="CUST1972"/>
    <s v="SP_05"/>
    <n v="5"/>
    <n v="2573.83"/>
    <n v="12869.15"/>
    <n v="9267.92"/>
    <n v="3601.23"/>
    <s v="Cash"/>
  </r>
  <r>
    <s v="ORD103878"/>
    <s v="2025-05-12"/>
    <x v="3"/>
    <s v="South"/>
    <s v="Karnataka"/>
    <s v="Bengaluru"/>
    <x v="3"/>
    <x v="3"/>
    <s v="CUST1669"/>
    <s v="SP_07"/>
    <n v="4"/>
    <n v="22.68"/>
    <n v="90.72"/>
    <n v="40.479999999999997"/>
    <n v="50.24"/>
    <s v="Cash"/>
  </r>
  <r>
    <s v="ORD103879"/>
    <s v="2025-01-24"/>
    <x v="9"/>
    <s v="East"/>
    <s v="Odisha"/>
    <s v="Bhubaneswar"/>
    <x v="2"/>
    <x v="4"/>
    <s v="CUST1729"/>
    <s v="SP_08"/>
    <n v="5"/>
    <n v="2319.27"/>
    <n v="11596.35"/>
    <n v="7624.6"/>
    <n v="3971.75"/>
    <s v="Net Banking"/>
  </r>
  <r>
    <s v="ORD103880"/>
    <s v="2025-12-17"/>
    <x v="7"/>
    <s v="West"/>
    <s v="Maharashtra"/>
    <s v="Mumbai"/>
    <x v="0"/>
    <x v="9"/>
    <s v="CUST1313"/>
    <s v="SP_13"/>
    <n v="3"/>
    <n v="7284.52"/>
    <n v="21853.56"/>
    <n v="14894.77"/>
    <n v="6958.79"/>
    <s v="Cash"/>
  </r>
  <r>
    <s v="ORD103881"/>
    <s v="2025-08-06"/>
    <x v="11"/>
    <s v="West"/>
    <s v="Rajasthan"/>
    <s v="Jaipur"/>
    <x v="3"/>
    <x v="11"/>
    <s v="CUST1019"/>
    <s v="SP_06"/>
    <n v="2"/>
    <n v="111.97"/>
    <n v="223.94"/>
    <n v="119.68"/>
    <n v="104.26"/>
    <s v="Cash"/>
  </r>
  <r>
    <s v="ORD103882"/>
    <s v="2025-05-21"/>
    <x v="3"/>
    <s v="West"/>
    <s v="Gujarat"/>
    <s v="Ahmedabad"/>
    <x v="0"/>
    <x v="0"/>
    <s v="CUST1497"/>
    <s v="SP_05"/>
    <n v="3"/>
    <n v="3483.18"/>
    <n v="10449.540000000001"/>
    <n v="6796.68"/>
    <n v="3652.86"/>
    <s v="Credit Card"/>
  </r>
  <r>
    <s v="ORD103883"/>
    <s v="2025-02-14"/>
    <x v="8"/>
    <s v="East"/>
    <s v="West Bengal"/>
    <s v="Kolkata"/>
    <x v="2"/>
    <x v="2"/>
    <s v="CUST1182"/>
    <s v="SP_07"/>
    <n v="1"/>
    <n v="49268.43"/>
    <n v="49268.43"/>
    <n v="34393.68"/>
    <n v="14874.75"/>
    <s v="Net Banking"/>
  </r>
  <r>
    <s v="ORD103884"/>
    <s v="2025-03-18"/>
    <x v="4"/>
    <s v="North"/>
    <s v="Delhi"/>
    <s v="Delhi"/>
    <x v="2"/>
    <x v="2"/>
    <s v="CUST1368"/>
    <s v="SP_02"/>
    <n v="2"/>
    <n v="43431.96"/>
    <n v="86863.92"/>
    <n v="71646.039999999994"/>
    <n v="15217.88"/>
    <s v="Cash"/>
  </r>
  <r>
    <s v="ORD103885"/>
    <s v="2025-11-19"/>
    <x v="10"/>
    <s v="East"/>
    <s v="Bihar"/>
    <s v="Patna"/>
    <x v="1"/>
    <x v="1"/>
    <s v="CUST1383"/>
    <s v="SP_07"/>
    <n v="8"/>
    <n v="2921.99"/>
    <n v="23375.919999999998"/>
    <n v="14845.01"/>
    <n v="8530.91"/>
    <s v="UPI"/>
  </r>
  <r>
    <s v="ORD103886"/>
    <s v="2025-03-14"/>
    <x v="4"/>
    <s v="West"/>
    <s v="Rajasthan"/>
    <s v="Jaipur"/>
    <x v="2"/>
    <x v="4"/>
    <s v="CUST1941"/>
    <s v="SP_05"/>
    <n v="4"/>
    <n v="2477.3200000000002"/>
    <n v="9909.2800000000007"/>
    <n v="6395.37"/>
    <n v="3513.91"/>
    <s v="UPI"/>
  </r>
  <r>
    <s v="ORD103887"/>
    <s v="2025-06-16"/>
    <x v="2"/>
    <s v="North"/>
    <s v="Delhi"/>
    <s v="Delhi"/>
    <x v="0"/>
    <x v="8"/>
    <s v="CUST1996"/>
    <s v="SP_15"/>
    <n v="3"/>
    <n v="22127.11"/>
    <n v="66381.33"/>
    <n v="53409.85"/>
    <n v="12971.48"/>
    <s v="Cash"/>
  </r>
  <r>
    <s v="ORD103888"/>
    <s v="2025-03-10"/>
    <x v="4"/>
    <s v="West"/>
    <s v="Rajasthan"/>
    <s v="Jaipur"/>
    <x v="1"/>
    <x v="1"/>
    <s v="CUST1692"/>
    <s v="SP_08"/>
    <n v="7"/>
    <n v="2547.3200000000002"/>
    <n v="17831.240000000002"/>
    <n v="12681.12"/>
    <n v="5150.12"/>
    <s v="Debit Card"/>
  </r>
  <r>
    <s v="ORD103889"/>
    <s v="2025-08-26"/>
    <x v="11"/>
    <s v="East"/>
    <s v="Odisha"/>
    <s v="Bhubaneswar"/>
    <x v="1"/>
    <x v="1"/>
    <s v="CUST1766"/>
    <s v="SP_13"/>
    <n v="8"/>
    <n v="2774.46"/>
    <n v="22195.68"/>
    <n v="14928.56"/>
    <n v="7267.12"/>
    <s v="Cash"/>
  </r>
  <r>
    <s v="ORD103890"/>
    <s v="2025-05-17"/>
    <x v="3"/>
    <s v="East"/>
    <s v="Odisha"/>
    <s v="Bhubaneswar"/>
    <x v="1"/>
    <x v="5"/>
    <s v="CUST1679"/>
    <s v="SP_13"/>
    <n v="2"/>
    <n v="10394.57"/>
    <n v="20789.14"/>
    <n v="14546.84"/>
    <n v="6242.3"/>
    <s v="Net Banking"/>
  </r>
  <r>
    <s v="ORD103891"/>
    <s v="2025-12-16"/>
    <x v="7"/>
    <s v="East"/>
    <s v="West Bengal"/>
    <s v="Kolkata"/>
    <x v="2"/>
    <x v="2"/>
    <s v="CUST1328"/>
    <s v="SP_04"/>
    <n v="8"/>
    <n v="46427.71"/>
    <n v="371421.68"/>
    <n v="267944.34999999998"/>
    <n v="103477.33"/>
    <s v="Cash"/>
  </r>
  <r>
    <s v="ORD103892"/>
    <s v="2025-08-05"/>
    <x v="11"/>
    <s v="West"/>
    <s v="Maharashtra"/>
    <s v="Mumbai"/>
    <x v="1"/>
    <x v="5"/>
    <s v="CUST1919"/>
    <s v="SP_13"/>
    <n v="5"/>
    <n v="9988.9699999999993"/>
    <n v="49944.85"/>
    <n v="37599.78"/>
    <n v="12345.07"/>
    <s v="UPI"/>
  </r>
  <r>
    <s v="ORD103893"/>
    <s v="2025-11-01"/>
    <x v="10"/>
    <s v="North"/>
    <s v="Uttar Pradesh"/>
    <s v="Lucknow"/>
    <x v="2"/>
    <x v="4"/>
    <s v="CUST1219"/>
    <s v="SP_14"/>
    <n v="4"/>
    <n v="2738.7"/>
    <n v="10954.8"/>
    <n v="6221.79"/>
    <n v="4733.01"/>
    <s v="UPI"/>
  </r>
  <r>
    <s v="ORD103894"/>
    <s v="2025-05-18"/>
    <x v="3"/>
    <s v="South"/>
    <s v="Karnataka"/>
    <s v="Bengaluru"/>
    <x v="1"/>
    <x v="6"/>
    <s v="CUST1235"/>
    <s v="SP_06"/>
    <n v="6"/>
    <n v="3216.05"/>
    <n v="19296.3"/>
    <n v="14899.11"/>
    <n v="4397.1899999999996"/>
    <s v="Net Banking"/>
  </r>
  <r>
    <s v="ORD103895"/>
    <s v="2025-03-01"/>
    <x v="4"/>
    <s v="West"/>
    <s v="Gujarat"/>
    <s v="Ahmedabad"/>
    <x v="3"/>
    <x v="7"/>
    <s v="CUST1053"/>
    <s v="SP_11"/>
    <n v="6"/>
    <n v="12631.68"/>
    <n v="75790.080000000002"/>
    <n v="54581.84"/>
    <n v="21208.240000000002"/>
    <s v="UPI"/>
  </r>
  <r>
    <s v="ORD103896"/>
    <s v="2025-11-05"/>
    <x v="10"/>
    <s v="North"/>
    <s v="Punjab"/>
    <s v="Chandigarh"/>
    <x v="2"/>
    <x v="2"/>
    <s v="CUST1072"/>
    <s v="SP_03"/>
    <n v="8"/>
    <n v="43125.02"/>
    <n v="345000.16"/>
    <n v="275122.65999999997"/>
    <n v="69877.5"/>
    <s v="Cash"/>
  </r>
  <r>
    <s v="ORD103897"/>
    <s v="2025-02-20"/>
    <x v="8"/>
    <s v="South"/>
    <s v="Karnataka"/>
    <s v="Bengaluru"/>
    <x v="3"/>
    <x v="7"/>
    <s v="CUST1754"/>
    <s v="SP_10"/>
    <n v="5"/>
    <n v="12000.08"/>
    <n v="60000.4"/>
    <n v="43036"/>
    <n v="16964.400000000001"/>
    <s v="Credit Card"/>
  </r>
  <r>
    <s v="ORD103898"/>
    <s v="2025-07-17"/>
    <x v="6"/>
    <s v="South"/>
    <s v="Telangana"/>
    <s v="Hyderabad"/>
    <x v="1"/>
    <x v="6"/>
    <s v="CUST1323"/>
    <s v="SP_13"/>
    <n v="8"/>
    <n v="3091.29"/>
    <n v="24730.32"/>
    <n v="19325.439999999999"/>
    <n v="5404.88"/>
    <s v="Debit Card"/>
  </r>
  <r>
    <s v="ORD103899"/>
    <s v="2025-12-26"/>
    <x v="7"/>
    <s v="West"/>
    <s v="Gujarat"/>
    <s v="Ahmedabad"/>
    <x v="1"/>
    <x v="6"/>
    <s v="CUST1701"/>
    <s v="SP_04"/>
    <n v="4"/>
    <n v="2927.66"/>
    <n v="11710.64"/>
    <n v="10079.39"/>
    <n v="1631.25"/>
    <s v="Cash"/>
  </r>
  <r>
    <s v="ORD103900"/>
    <s v="2025-04-01"/>
    <x v="0"/>
    <s v="East"/>
    <s v="Odisha"/>
    <s v="Bhubaneswar"/>
    <x v="3"/>
    <x v="11"/>
    <s v="CUST1226"/>
    <s v="SP_07"/>
    <n v="5"/>
    <n v="129.56"/>
    <n v="647.79999999999995"/>
    <n v="289.13"/>
    <n v="358.67"/>
    <s v="Cash"/>
  </r>
  <r>
    <s v="ORD103901"/>
    <s v="2025-01-26"/>
    <x v="9"/>
    <s v="West"/>
    <s v="Maharashtra"/>
    <s v="Mumbai"/>
    <x v="3"/>
    <x v="3"/>
    <s v="CUST1776"/>
    <s v="SP_08"/>
    <n v="2"/>
    <n v="24.01"/>
    <n v="48.02"/>
    <n v="20.99"/>
    <n v="27.03"/>
    <s v="Credit Card"/>
  </r>
  <r>
    <s v="ORD103902"/>
    <s v="2025-06-21"/>
    <x v="2"/>
    <s v="South"/>
    <s v="Tamil Nadu"/>
    <s v="Chennai"/>
    <x v="1"/>
    <x v="6"/>
    <s v="CUST1757"/>
    <s v="SP_05"/>
    <n v="2"/>
    <n v="3068.65"/>
    <n v="6137.3"/>
    <n v="4771.45"/>
    <n v="1365.85"/>
    <s v="Net Banking"/>
  </r>
  <r>
    <s v="ORD103903"/>
    <s v="2025-04-07"/>
    <x v="0"/>
    <s v="South"/>
    <s v="Telangana"/>
    <s v="Hyderabad"/>
    <x v="0"/>
    <x v="0"/>
    <s v="CUST1371"/>
    <s v="SP_15"/>
    <n v="7"/>
    <n v="3821.12"/>
    <n v="26747.84"/>
    <n v="15780"/>
    <n v="10967.84"/>
    <s v="Credit Card"/>
  </r>
  <r>
    <s v="ORD103904"/>
    <s v="2025-03-29"/>
    <x v="4"/>
    <s v="East"/>
    <s v="West Bengal"/>
    <s v="Kolkata"/>
    <x v="2"/>
    <x v="4"/>
    <s v="CUST1513"/>
    <s v="SP_13"/>
    <n v="6"/>
    <n v="2516.8200000000002"/>
    <n v="15100.92"/>
    <n v="9588.6"/>
    <n v="5512.32"/>
    <s v="Cash"/>
  </r>
  <r>
    <s v="ORD103905"/>
    <s v="2025-03-04"/>
    <x v="4"/>
    <s v="North"/>
    <s v="Delhi"/>
    <s v="Delhi"/>
    <x v="1"/>
    <x v="5"/>
    <s v="CUST1892"/>
    <s v="SP_03"/>
    <n v="6"/>
    <n v="9559.27"/>
    <n v="57355.62"/>
    <n v="45671.6"/>
    <n v="11684.02"/>
    <s v="UPI"/>
  </r>
  <r>
    <s v="ORD103906"/>
    <s v="2025-04-12"/>
    <x v="0"/>
    <s v="East"/>
    <s v="West Bengal"/>
    <s v="Kolkata"/>
    <x v="1"/>
    <x v="1"/>
    <s v="CUST1915"/>
    <s v="SP_05"/>
    <n v="7"/>
    <n v="3060.33"/>
    <n v="21422.31"/>
    <n v="12711.34"/>
    <n v="8710.9699999999993"/>
    <s v="Net Banking"/>
  </r>
  <r>
    <s v="ORD103907"/>
    <s v="2025-10-05"/>
    <x v="1"/>
    <s v="North"/>
    <s v="Delhi"/>
    <s v="Delhi"/>
    <x v="2"/>
    <x v="10"/>
    <s v="CUST1083"/>
    <s v="SP_07"/>
    <n v="2"/>
    <n v="16513.68"/>
    <n v="33027.360000000001"/>
    <n v="28393.11"/>
    <n v="4634.25"/>
    <s v="UPI"/>
  </r>
  <r>
    <s v="ORD103908"/>
    <s v="2025-10-14"/>
    <x v="1"/>
    <s v="East"/>
    <s v="Bihar"/>
    <s v="Patna"/>
    <x v="1"/>
    <x v="6"/>
    <s v="CUST1782"/>
    <s v="SP_04"/>
    <n v="1"/>
    <n v="3285.63"/>
    <n v="3285.63"/>
    <n v="2319.2800000000002"/>
    <n v="966.35"/>
    <s v="Credit Card"/>
  </r>
  <r>
    <s v="ORD103909"/>
    <s v="2025-09-11"/>
    <x v="5"/>
    <s v="South"/>
    <s v="Tamil Nadu"/>
    <s v="Chennai"/>
    <x v="1"/>
    <x v="5"/>
    <s v="CUST1318"/>
    <s v="SP_12"/>
    <n v="8"/>
    <n v="9878.5499999999993"/>
    <n v="79028.399999999994"/>
    <n v="58175.81"/>
    <n v="20852.59"/>
    <s v="Debit Card"/>
  </r>
  <r>
    <s v="ORD103910"/>
    <s v="2025-07-11"/>
    <x v="6"/>
    <s v="South"/>
    <s v="Tamil Nadu"/>
    <s v="Chennai"/>
    <x v="2"/>
    <x v="2"/>
    <s v="CUST1173"/>
    <s v="SP_07"/>
    <n v="1"/>
    <n v="45752.28"/>
    <n v="45752.28"/>
    <n v="33498.199999999997"/>
    <n v="12254.08"/>
    <s v="Credit Card"/>
  </r>
  <r>
    <s v="ORD103911"/>
    <s v="2025-01-05"/>
    <x v="9"/>
    <s v="North"/>
    <s v="Punjab"/>
    <s v="Chandigarh"/>
    <x v="3"/>
    <x v="3"/>
    <s v="CUST1148"/>
    <s v="SP_08"/>
    <n v="8"/>
    <n v="23.98"/>
    <n v="191.84"/>
    <n v="83.3"/>
    <n v="108.54"/>
    <s v="Credit Card"/>
  </r>
  <r>
    <s v="ORD103912"/>
    <s v="2025-05-03"/>
    <x v="3"/>
    <s v="West"/>
    <s v="Gujarat"/>
    <s v="Ahmedabad"/>
    <x v="2"/>
    <x v="10"/>
    <s v="CUST1629"/>
    <s v="SP_01"/>
    <n v="6"/>
    <n v="16568.400000000001"/>
    <n v="99410.4"/>
    <n v="82274.19"/>
    <n v="17136.21"/>
    <s v="Credit Card"/>
  </r>
  <r>
    <s v="ORD103913"/>
    <s v="2025-05-26"/>
    <x v="3"/>
    <s v="West"/>
    <s v="Rajasthan"/>
    <s v="Jaipur"/>
    <x v="2"/>
    <x v="4"/>
    <s v="CUST1888"/>
    <s v="SP_12"/>
    <n v="7"/>
    <n v="2332.1999999999998"/>
    <n v="16325.4"/>
    <n v="11026.04"/>
    <n v="5299.36"/>
    <s v="Cash"/>
  </r>
  <r>
    <s v="ORD103914"/>
    <s v="2025-07-08"/>
    <x v="6"/>
    <s v="East"/>
    <s v="West Bengal"/>
    <s v="Kolkata"/>
    <x v="3"/>
    <x v="3"/>
    <s v="CUST1033"/>
    <s v="SP_03"/>
    <n v="3"/>
    <n v="26.54"/>
    <n v="79.62"/>
    <n v="30.51"/>
    <n v="49.11"/>
    <s v="Cash"/>
  </r>
  <r>
    <s v="ORD103915"/>
    <s v="2025-03-16"/>
    <x v="4"/>
    <s v="North"/>
    <s v="Uttar Pradesh"/>
    <s v="Lucknow"/>
    <x v="3"/>
    <x v="7"/>
    <s v="CUST1586"/>
    <s v="SP_13"/>
    <n v="5"/>
    <n v="12106.63"/>
    <n v="60533.15"/>
    <n v="45816.34"/>
    <n v="14716.81"/>
    <s v="Net Banking"/>
  </r>
  <r>
    <s v="ORD103916"/>
    <s v="2025-05-04"/>
    <x v="3"/>
    <s v="West"/>
    <s v="Gujarat"/>
    <s v="Ahmedabad"/>
    <x v="3"/>
    <x v="11"/>
    <s v="CUST1390"/>
    <s v="SP_07"/>
    <n v="3"/>
    <n v="128.19999999999999"/>
    <n v="384.6"/>
    <n v="182.33"/>
    <n v="202.27"/>
    <s v="UPI"/>
  </r>
  <r>
    <s v="ORD103917"/>
    <s v="2025-03-12"/>
    <x v="4"/>
    <s v="West"/>
    <s v="Gujarat"/>
    <s v="Ahmedabad"/>
    <x v="2"/>
    <x v="10"/>
    <s v="CUST1509"/>
    <s v="SP_03"/>
    <n v="8"/>
    <n v="16211.13"/>
    <n v="129689.04"/>
    <n v="114500.71"/>
    <n v="15188.33"/>
    <s v="UPI"/>
  </r>
  <r>
    <s v="ORD103918"/>
    <s v="2025-05-17"/>
    <x v="3"/>
    <s v="East"/>
    <s v="Bihar"/>
    <s v="Patna"/>
    <x v="3"/>
    <x v="11"/>
    <s v="CUST1186"/>
    <s v="SP_07"/>
    <n v="7"/>
    <n v="112.74"/>
    <n v="789.18"/>
    <n v="438.65"/>
    <n v="350.53"/>
    <s v="Cash"/>
  </r>
  <r>
    <s v="ORD103919"/>
    <s v="2025-02-15"/>
    <x v="8"/>
    <s v="West"/>
    <s v="Gujarat"/>
    <s v="Ahmedabad"/>
    <x v="3"/>
    <x v="7"/>
    <s v="CUST1562"/>
    <s v="SP_01"/>
    <n v="3"/>
    <n v="11605.93"/>
    <n v="34817.79"/>
    <n v="26007.77"/>
    <n v="8810.02"/>
    <s v="Debit Card"/>
  </r>
  <r>
    <s v="ORD103920"/>
    <s v="2025-06-17"/>
    <x v="2"/>
    <s v="South"/>
    <s v="Tamil Nadu"/>
    <s v="Chennai"/>
    <x v="0"/>
    <x v="0"/>
    <s v="CUST1171"/>
    <s v="SP_11"/>
    <n v="2"/>
    <n v="3367.62"/>
    <n v="6735.24"/>
    <n v="4575.8"/>
    <n v="2159.44"/>
    <s v="Credit Card"/>
  </r>
  <r>
    <s v="ORD103921"/>
    <s v="2025-11-02"/>
    <x v="10"/>
    <s v="East"/>
    <s v="West Bengal"/>
    <s v="Kolkata"/>
    <x v="0"/>
    <x v="8"/>
    <s v="CUST1882"/>
    <s v="SP_02"/>
    <n v="7"/>
    <n v="21914.44"/>
    <n v="153401.07999999999"/>
    <n v="124210.31"/>
    <n v="29190.77"/>
    <s v="Net Banking"/>
  </r>
  <r>
    <s v="ORD103922"/>
    <s v="2025-06-03"/>
    <x v="2"/>
    <s v="East"/>
    <s v="West Bengal"/>
    <s v="Kolkata"/>
    <x v="2"/>
    <x v="10"/>
    <s v="CUST1705"/>
    <s v="SP_15"/>
    <n v="1"/>
    <n v="19505.5"/>
    <n v="19505.5"/>
    <n v="14400.11"/>
    <n v="5105.3900000000003"/>
    <s v="Debit Card"/>
  </r>
  <r>
    <s v="ORD103923"/>
    <s v="2025-01-08"/>
    <x v="9"/>
    <s v="South"/>
    <s v="Telangana"/>
    <s v="Hyderabad"/>
    <x v="2"/>
    <x v="10"/>
    <s v="CUST1605"/>
    <s v="SP_02"/>
    <n v="1"/>
    <n v="17080.669999999998"/>
    <n v="17080.669999999998"/>
    <n v="13313.64"/>
    <n v="3767.03"/>
    <s v="Credit Card"/>
  </r>
  <r>
    <s v="ORD103924"/>
    <s v="2025-03-09"/>
    <x v="4"/>
    <s v="North"/>
    <s v="Punjab"/>
    <s v="Chandigarh"/>
    <x v="2"/>
    <x v="4"/>
    <s v="CUST1244"/>
    <s v="SP_02"/>
    <n v="7"/>
    <n v="2727.47"/>
    <n v="19092.29"/>
    <n v="11281.03"/>
    <n v="7811.26"/>
    <s v="Debit Card"/>
  </r>
  <r>
    <s v="ORD103925"/>
    <s v="2025-05-14"/>
    <x v="3"/>
    <s v="South"/>
    <s v="Tamil Nadu"/>
    <s v="Chennai"/>
    <x v="0"/>
    <x v="9"/>
    <s v="CUST1162"/>
    <s v="SP_09"/>
    <n v="2"/>
    <n v="6683.77"/>
    <n v="13367.54"/>
    <n v="9848.8799999999992"/>
    <n v="3518.66"/>
    <s v="Credit Card"/>
  </r>
  <r>
    <s v="ORD103926"/>
    <s v="2025-10-12"/>
    <x v="1"/>
    <s v="South"/>
    <s v="Telangana"/>
    <s v="Hyderabad"/>
    <x v="0"/>
    <x v="8"/>
    <s v="CUST1015"/>
    <s v="SP_09"/>
    <n v="7"/>
    <n v="21851.52"/>
    <n v="152960.64000000001"/>
    <n v="124272.98"/>
    <n v="28687.66"/>
    <s v="Credit Card"/>
  </r>
  <r>
    <s v="ORD103927"/>
    <s v="2025-06-01"/>
    <x v="2"/>
    <s v="North"/>
    <s v="Punjab"/>
    <s v="Chandigarh"/>
    <x v="0"/>
    <x v="0"/>
    <s v="CUST1819"/>
    <s v="SP_13"/>
    <n v="5"/>
    <n v="3301.43"/>
    <n v="16507.150000000001"/>
    <n v="10864.52"/>
    <n v="5642.63"/>
    <s v="Cash"/>
  </r>
  <r>
    <s v="ORD103928"/>
    <s v="2025-03-07"/>
    <x v="4"/>
    <s v="North"/>
    <s v="Punjab"/>
    <s v="Chandigarh"/>
    <x v="1"/>
    <x v="1"/>
    <s v="CUST1931"/>
    <s v="SP_07"/>
    <n v="6"/>
    <n v="2895.16"/>
    <n v="17370.96"/>
    <n v="11673.26"/>
    <n v="5697.7"/>
    <s v="Credit Card"/>
  </r>
  <r>
    <s v="ORD103929"/>
    <s v="2025-07-27"/>
    <x v="6"/>
    <s v="North"/>
    <s v="Punjab"/>
    <s v="Chandigarh"/>
    <x v="2"/>
    <x v="10"/>
    <s v="CUST1013"/>
    <s v="SP_11"/>
    <n v="4"/>
    <n v="17872.09"/>
    <n v="71488.36"/>
    <n v="57149.79"/>
    <n v="14338.57"/>
    <s v="Credit Card"/>
  </r>
  <r>
    <s v="ORD103930"/>
    <s v="2025-01-15"/>
    <x v="9"/>
    <s v="North"/>
    <s v="Uttar Pradesh"/>
    <s v="Lucknow"/>
    <x v="1"/>
    <x v="5"/>
    <s v="CUST1836"/>
    <s v="SP_09"/>
    <n v="4"/>
    <n v="10040.89"/>
    <n v="40163.56"/>
    <n v="31055.69"/>
    <n v="9107.8700000000008"/>
    <s v="Cash"/>
  </r>
  <r>
    <s v="ORD103931"/>
    <s v="2025-11-21"/>
    <x v="10"/>
    <s v="East"/>
    <s v="Odisha"/>
    <s v="Bhubaneswar"/>
    <x v="3"/>
    <x v="11"/>
    <s v="CUST1420"/>
    <s v="SP_13"/>
    <n v="7"/>
    <n v="116.21"/>
    <n v="813.47"/>
    <n v="423.06"/>
    <n v="390.41"/>
    <s v="UPI"/>
  </r>
  <r>
    <s v="ORD103932"/>
    <s v="2025-02-14"/>
    <x v="8"/>
    <s v="South"/>
    <s v="Tamil Nadu"/>
    <s v="Chennai"/>
    <x v="2"/>
    <x v="10"/>
    <s v="CUST1419"/>
    <s v="SP_13"/>
    <n v="8"/>
    <n v="16423.740000000002"/>
    <n v="131389.92000000001"/>
    <n v="115687.14"/>
    <n v="15702.78"/>
    <s v="Cash"/>
  </r>
  <r>
    <s v="ORD103933"/>
    <s v="2025-08-06"/>
    <x v="11"/>
    <s v="South"/>
    <s v="Tamil Nadu"/>
    <s v="Chennai"/>
    <x v="3"/>
    <x v="11"/>
    <s v="CUST1331"/>
    <s v="SP_13"/>
    <n v="7"/>
    <n v="113.03"/>
    <n v="791.21"/>
    <n v="427.64"/>
    <n v="363.57"/>
    <s v="Cash"/>
  </r>
  <r>
    <s v="ORD103934"/>
    <s v="2025-05-13"/>
    <x v="3"/>
    <s v="East"/>
    <s v="West Bengal"/>
    <s v="Kolkata"/>
    <x v="2"/>
    <x v="2"/>
    <s v="CUST1370"/>
    <s v="SP_02"/>
    <n v="1"/>
    <n v="49019.48"/>
    <n v="49019.48"/>
    <n v="35810.76"/>
    <n v="13208.72"/>
    <s v="Debit Card"/>
  </r>
  <r>
    <s v="ORD103935"/>
    <s v="2025-03-19"/>
    <x v="4"/>
    <s v="West"/>
    <s v="Rajasthan"/>
    <s v="Jaipur"/>
    <x v="0"/>
    <x v="9"/>
    <s v="CUST1882"/>
    <s v="SP_05"/>
    <n v="4"/>
    <n v="6758.63"/>
    <n v="27034.52"/>
    <n v="19280.3"/>
    <n v="7754.22"/>
    <s v="Credit Card"/>
  </r>
  <r>
    <s v="ORD103936"/>
    <s v="2025-11-19"/>
    <x v="10"/>
    <s v="West"/>
    <s v="Maharashtra"/>
    <s v="Mumbai"/>
    <x v="1"/>
    <x v="5"/>
    <s v="CUST1773"/>
    <s v="SP_03"/>
    <n v="7"/>
    <n v="8941.57"/>
    <n v="62590.99"/>
    <n v="52917.26"/>
    <n v="9673.73"/>
    <s v="Cash"/>
  </r>
  <r>
    <s v="ORD103937"/>
    <s v="2025-08-21"/>
    <x v="11"/>
    <s v="North"/>
    <s v="Uttar Pradesh"/>
    <s v="Lucknow"/>
    <x v="2"/>
    <x v="10"/>
    <s v="CUST1108"/>
    <s v="SP_02"/>
    <n v="8"/>
    <n v="18811.7"/>
    <n v="150493.6"/>
    <n v="108284.55"/>
    <n v="42209.05"/>
    <s v="UPI"/>
  </r>
  <r>
    <s v="ORD103938"/>
    <s v="2025-05-03"/>
    <x v="3"/>
    <s v="West"/>
    <s v="Rajasthan"/>
    <s v="Jaipur"/>
    <x v="3"/>
    <x v="3"/>
    <s v="CUST1682"/>
    <s v="SP_02"/>
    <n v="2"/>
    <n v="25.71"/>
    <n v="51.42"/>
    <n v="19.22"/>
    <n v="32.200000000000003"/>
    <s v="UPI"/>
  </r>
  <r>
    <s v="ORD103939"/>
    <s v="2025-07-08"/>
    <x v="6"/>
    <s v="West"/>
    <s v="Gujarat"/>
    <s v="Ahmedabad"/>
    <x v="2"/>
    <x v="2"/>
    <s v="CUST1553"/>
    <s v="SP_06"/>
    <n v="3"/>
    <n v="49454.92"/>
    <n v="148364.76"/>
    <n v="100715.52"/>
    <n v="47649.24"/>
    <s v="Credit Card"/>
  </r>
  <r>
    <s v="ORD103940"/>
    <s v="2025-03-18"/>
    <x v="4"/>
    <s v="East"/>
    <s v="Odisha"/>
    <s v="Bhubaneswar"/>
    <x v="3"/>
    <x v="3"/>
    <s v="CUST1452"/>
    <s v="SP_10"/>
    <n v="1"/>
    <n v="26.72"/>
    <n v="26.72"/>
    <n v="9.76"/>
    <n v="16.96"/>
    <s v="Credit Card"/>
  </r>
  <r>
    <s v="ORD103941"/>
    <s v="2025-09-08"/>
    <x v="5"/>
    <s v="West"/>
    <s v="Gujarat"/>
    <s v="Ahmedabad"/>
    <x v="2"/>
    <x v="2"/>
    <s v="CUST1530"/>
    <s v="SP_05"/>
    <n v="6"/>
    <n v="42884.87"/>
    <n v="257309.22"/>
    <n v="209754.4"/>
    <n v="47554.82"/>
    <s v="Credit Card"/>
  </r>
  <r>
    <s v="ORD103942"/>
    <s v="2025-07-01"/>
    <x v="6"/>
    <s v="South"/>
    <s v="Telangana"/>
    <s v="Hyderabad"/>
    <x v="0"/>
    <x v="8"/>
    <s v="CUST1000"/>
    <s v="SP_14"/>
    <n v="8"/>
    <n v="22425.69"/>
    <n v="179405.52"/>
    <n v="140449.01"/>
    <n v="38956.51"/>
    <s v="UPI"/>
  </r>
  <r>
    <s v="ORD103943"/>
    <s v="2025-05-15"/>
    <x v="3"/>
    <s v="South"/>
    <s v="Karnataka"/>
    <s v="Bengaluru"/>
    <x v="1"/>
    <x v="5"/>
    <s v="CUST1125"/>
    <s v="SP_09"/>
    <n v="1"/>
    <n v="10179.969999999999"/>
    <n v="10179.969999999999"/>
    <n v="7864.74"/>
    <n v="2315.23"/>
    <s v="UPI"/>
  </r>
  <r>
    <s v="ORD103944"/>
    <s v="2025-08-29"/>
    <x v="11"/>
    <s v="West"/>
    <s v="Maharashtra"/>
    <s v="Mumbai"/>
    <x v="1"/>
    <x v="1"/>
    <s v="CUST1955"/>
    <s v="SP_03"/>
    <n v="5"/>
    <n v="2675.14"/>
    <n v="13375.7"/>
    <n v="9063.8799999999992"/>
    <n v="4311.82"/>
    <s v="Debit Card"/>
  </r>
  <r>
    <s v="ORD103945"/>
    <s v="2025-10-31"/>
    <x v="1"/>
    <s v="West"/>
    <s v="Maharashtra"/>
    <s v="Mumbai"/>
    <x v="1"/>
    <x v="5"/>
    <s v="CUST1971"/>
    <s v="SP_15"/>
    <n v="5"/>
    <n v="9142.61"/>
    <n v="45713.05"/>
    <n v="37011.31"/>
    <n v="8701.74"/>
    <s v="Cash"/>
  </r>
  <r>
    <s v="ORD103946"/>
    <s v="2025-08-19"/>
    <x v="11"/>
    <s v="West"/>
    <s v="Gujarat"/>
    <s v="Ahmedabad"/>
    <x v="2"/>
    <x v="4"/>
    <s v="CUST1845"/>
    <s v="SP_13"/>
    <n v="1"/>
    <n v="2294.64"/>
    <n v="2294.64"/>
    <n v="1529.35"/>
    <n v="765.29"/>
    <s v="UPI"/>
  </r>
  <r>
    <s v="ORD103947"/>
    <s v="2025-03-30"/>
    <x v="4"/>
    <s v="South"/>
    <s v="Karnataka"/>
    <s v="Bengaluru"/>
    <x v="1"/>
    <x v="6"/>
    <s v="CUST1333"/>
    <s v="SP_15"/>
    <n v="6"/>
    <n v="3135.59"/>
    <n v="18813.54"/>
    <n v="15083.95"/>
    <n v="3729.59"/>
    <s v="Net Banking"/>
  </r>
  <r>
    <s v="ORD103948"/>
    <s v="2025-02-06"/>
    <x v="8"/>
    <s v="South"/>
    <s v="Tamil Nadu"/>
    <s v="Chennai"/>
    <x v="2"/>
    <x v="10"/>
    <s v="CUST1503"/>
    <s v="SP_01"/>
    <n v="3"/>
    <n v="19329.060000000001"/>
    <n v="57987.18"/>
    <n v="42905.56"/>
    <n v="15081.62"/>
    <s v="UPI"/>
  </r>
  <r>
    <s v="ORD103949"/>
    <s v="2025-01-10"/>
    <x v="9"/>
    <s v="East"/>
    <s v="Bihar"/>
    <s v="Patna"/>
    <x v="0"/>
    <x v="0"/>
    <s v="CUST1945"/>
    <s v="SP_05"/>
    <n v="7"/>
    <n v="3191.45"/>
    <n v="22340.15"/>
    <n v="14669.5"/>
    <n v="7670.65"/>
    <s v="Cash"/>
  </r>
  <r>
    <s v="ORD103950"/>
    <s v="2025-06-20"/>
    <x v="2"/>
    <s v="West"/>
    <s v="Rajasthan"/>
    <s v="Jaipur"/>
    <x v="0"/>
    <x v="9"/>
    <s v="CUST1169"/>
    <s v="SP_07"/>
    <n v="3"/>
    <n v="7523.23"/>
    <n v="22569.69"/>
    <n v="15424.38"/>
    <n v="7145.31"/>
    <s v="Credit Card"/>
  </r>
  <r>
    <s v="ORD103951"/>
    <s v="2025-10-14"/>
    <x v="1"/>
    <s v="North"/>
    <s v="Uttar Pradesh"/>
    <s v="Lucknow"/>
    <x v="2"/>
    <x v="10"/>
    <s v="CUST1402"/>
    <s v="SP_13"/>
    <n v="1"/>
    <n v="17591.349999999999"/>
    <n v="17591.349999999999"/>
    <n v="14176.2"/>
    <n v="3415.15"/>
    <s v="Net Banking"/>
  </r>
  <r>
    <s v="ORD103952"/>
    <s v="2025-01-09"/>
    <x v="9"/>
    <s v="South"/>
    <s v="Telangana"/>
    <s v="Hyderabad"/>
    <x v="0"/>
    <x v="0"/>
    <s v="CUST1677"/>
    <s v="SP_07"/>
    <n v="3"/>
    <n v="3278.21"/>
    <n v="9834.6299999999992"/>
    <n v="6909.87"/>
    <n v="2924.76"/>
    <s v="UPI"/>
  </r>
  <r>
    <s v="ORD103953"/>
    <s v="2025-09-06"/>
    <x v="5"/>
    <s v="South"/>
    <s v="Telangana"/>
    <s v="Hyderabad"/>
    <x v="0"/>
    <x v="0"/>
    <s v="CUST1638"/>
    <s v="SP_11"/>
    <n v="7"/>
    <n v="3481.99"/>
    <n v="24373.93"/>
    <n v="14924.68"/>
    <n v="9449.25"/>
    <s v="Cash"/>
  </r>
  <r>
    <s v="ORD103954"/>
    <s v="2025-04-03"/>
    <x v="0"/>
    <s v="North"/>
    <s v="Delhi"/>
    <s v="Delhi"/>
    <x v="0"/>
    <x v="8"/>
    <s v="CUST1101"/>
    <s v="SP_06"/>
    <n v="1"/>
    <n v="23916.69"/>
    <n v="23916.69"/>
    <n v="17777.169999999998"/>
    <n v="6139.52"/>
    <s v="UPI"/>
  </r>
  <r>
    <s v="ORD103955"/>
    <s v="2025-11-23"/>
    <x v="10"/>
    <s v="West"/>
    <s v="Gujarat"/>
    <s v="Ahmedabad"/>
    <x v="1"/>
    <x v="6"/>
    <s v="CUST1118"/>
    <s v="SP_15"/>
    <n v="4"/>
    <n v="3295.6"/>
    <n v="13182.4"/>
    <n v="9882.11"/>
    <n v="3300.29"/>
    <s v="Credit Card"/>
  </r>
  <r>
    <s v="ORD103956"/>
    <s v="2025-03-18"/>
    <x v="4"/>
    <s v="South"/>
    <s v="Karnataka"/>
    <s v="Bengaluru"/>
    <x v="3"/>
    <x v="3"/>
    <s v="CUST1390"/>
    <s v="SP_05"/>
    <n v="3"/>
    <n v="22.52"/>
    <n v="67.56"/>
    <n v="30.21"/>
    <n v="37.35"/>
    <s v="Credit Card"/>
  </r>
  <r>
    <s v="ORD103957"/>
    <s v="2025-04-21"/>
    <x v="0"/>
    <s v="North"/>
    <s v="Delhi"/>
    <s v="Delhi"/>
    <x v="2"/>
    <x v="2"/>
    <s v="CUST1541"/>
    <s v="SP_03"/>
    <n v="6"/>
    <n v="40535.269999999997"/>
    <n v="243211.62"/>
    <n v="202959.22"/>
    <n v="40252.400000000001"/>
    <s v="Debit Card"/>
  </r>
  <r>
    <s v="ORD103958"/>
    <s v="2025-04-07"/>
    <x v="0"/>
    <s v="East"/>
    <s v="West Bengal"/>
    <s v="Kolkata"/>
    <x v="3"/>
    <x v="3"/>
    <s v="CUST1725"/>
    <s v="SP_04"/>
    <n v="2"/>
    <n v="24.58"/>
    <n v="49.16"/>
    <n v="19.37"/>
    <n v="29.79"/>
    <s v="Debit Card"/>
  </r>
  <r>
    <s v="ORD103959"/>
    <s v="2025-12-21"/>
    <x v="7"/>
    <s v="West"/>
    <s v="Rajasthan"/>
    <s v="Jaipur"/>
    <x v="3"/>
    <x v="3"/>
    <s v="CUST1756"/>
    <s v="SP_13"/>
    <n v="3"/>
    <n v="24.54"/>
    <n v="73.62"/>
    <n v="29.95"/>
    <n v="43.67"/>
    <s v="Cash"/>
  </r>
  <r>
    <s v="ORD103960"/>
    <s v="2025-12-17"/>
    <x v="7"/>
    <s v="West"/>
    <s v="Gujarat"/>
    <s v="Ahmedabad"/>
    <x v="3"/>
    <x v="7"/>
    <s v="CUST1946"/>
    <s v="SP_05"/>
    <n v="8"/>
    <n v="11714.37"/>
    <n v="93714.96"/>
    <n v="69397.649999999994"/>
    <n v="24317.31"/>
    <s v="Debit Card"/>
  </r>
  <r>
    <s v="ORD103961"/>
    <s v="2025-06-30"/>
    <x v="2"/>
    <s v="East"/>
    <s v="Odisha"/>
    <s v="Bhubaneswar"/>
    <x v="0"/>
    <x v="8"/>
    <s v="CUST1842"/>
    <s v="SP_09"/>
    <n v="3"/>
    <n v="22285.15"/>
    <n v="66855.45"/>
    <n v="51188.42"/>
    <n v="15667.03"/>
    <s v="Debit Card"/>
  </r>
  <r>
    <s v="ORD103962"/>
    <s v="2025-08-28"/>
    <x v="11"/>
    <s v="North"/>
    <s v="Punjab"/>
    <s v="Chandigarh"/>
    <x v="3"/>
    <x v="7"/>
    <s v="CUST1151"/>
    <s v="SP_04"/>
    <n v="4"/>
    <n v="12455.69"/>
    <n v="49822.76"/>
    <n v="34506.81"/>
    <n v="15315.95"/>
    <s v="Debit Card"/>
  </r>
  <r>
    <s v="ORD103963"/>
    <s v="2025-03-06"/>
    <x v="4"/>
    <s v="East"/>
    <s v="West Bengal"/>
    <s v="Kolkata"/>
    <x v="1"/>
    <x v="1"/>
    <s v="CUST1884"/>
    <s v="SP_08"/>
    <n v="4"/>
    <n v="2878.94"/>
    <n v="11515.76"/>
    <n v="7307.52"/>
    <n v="4208.24"/>
    <s v="Cash"/>
  </r>
  <r>
    <s v="ORD103964"/>
    <s v="2025-09-28"/>
    <x v="5"/>
    <s v="East"/>
    <s v="Odisha"/>
    <s v="Bhubaneswar"/>
    <x v="0"/>
    <x v="9"/>
    <s v="CUST1793"/>
    <s v="SP_03"/>
    <n v="6"/>
    <n v="7491.89"/>
    <n v="44951.34"/>
    <n v="29469.439999999999"/>
    <n v="15481.9"/>
    <s v="UPI"/>
  </r>
  <r>
    <s v="ORD103965"/>
    <s v="2025-04-05"/>
    <x v="0"/>
    <s v="West"/>
    <s v="Maharashtra"/>
    <s v="Mumbai"/>
    <x v="3"/>
    <x v="7"/>
    <s v="CUST1299"/>
    <s v="SP_07"/>
    <n v="7"/>
    <n v="12997.01"/>
    <n v="90979.07"/>
    <n v="64191.58"/>
    <n v="26787.49"/>
    <s v="Debit Card"/>
  </r>
  <r>
    <s v="ORD103966"/>
    <s v="2025-03-15"/>
    <x v="4"/>
    <s v="West"/>
    <s v="Rajasthan"/>
    <s v="Jaipur"/>
    <x v="3"/>
    <x v="7"/>
    <s v="CUST1252"/>
    <s v="SP_14"/>
    <n v="8"/>
    <n v="13098.77"/>
    <n v="104790.16"/>
    <n v="72532.38"/>
    <n v="32257.78"/>
    <s v="UPI"/>
  </r>
  <r>
    <s v="ORD103967"/>
    <s v="2025-11-27"/>
    <x v="10"/>
    <s v="North"/>
    <s v="Uttar Pradesh"/>
    <s v="Lucknow"/>
    <x v="3"/>
    <x v="7"/>
    <s v="CUST1693"/>
    <s v="SP_11"/>
    <n v="3"/>
    <n v="12917.51"/>
    <n v="38752.53"/>
    <n v="27481.14"/>
    <n v="11271.39"/>
    <s v="UPI"/>
  </r>
  <r>
    <s v="ORD103968"/>
    <s v="2025-01-25"/>
    <x v="9"/>
    <s v="West"/>
    <s v="Maharashtra"/>
    <s v="Mumbai"/>
    <x v="0"/>
    <x v="9"/>
    <s v="CUST1318"/>
    <s v="SP_01"/>
    <n v="7"/>
    <n v="6908.95"/>
    <n v="48362.65"/>
    <n v="34360.769999999997"/>
    <n v="14001.88"/>
    <s v="Credit Card"/>
  </r>
  <r>
    <s v="ORD103969"/>
    <s v="2025-09-06"/>
    <x v="5"/>
    <s v="North"/>
    <s v="Uttar Pradesh"/>
    <s v="Lucknow"/>
    <x v="1"/>
    <x v="5"/>
    <s v="CUST1152"/>
    <s v="SP_04"/>
    <n v="6"/>
    <n v="8688.81"/>
    <n v="52132.86"/>
    <n v="44561.86"/>
    <n v="7571"/>
    <s v="Credit Card"/>
  </r>
  <r>
    <s v="ORD103970"/>
    <s v="2025-08-21"/>
    <x v="11"/>
    <s v="South"/>
    <s v="Telangana"/>
    <s v="Hyderabad"/>
    <x v="0"/>
    <x v="0"/>
    <s v="CUST1946"/>
    <s v="SP_13"/>
    <n v="2"/>
    <n v="3829.48"/>
    <n v="7658.96"/>
    <n v="4479.46"/>
    <n v="3179.5"/>
    <s v="Debit Card"/>
  </r>
  <r>
    <s v="ORD103971"/>
    <s v="2025-06-30"/>
    <x v="2"/>
    <s v="West"/>
    <s v="Gujarat"/>
    <s v="Ahmedabad"/>
    <x v="3"/>
    <x v="11"/>
    <s v="CUST1340"/>
    <s v="SP_09"/>
    <n v="8"/>
    <n v="130.75"/>
    <n v="1046"/>
    <n v="465.92"/>
    <n v="580.08000000000004"/>
    <s v="Debit Card"/>
  </r>
  <r>
    <s v="ORD103972"/>
    <s v="2025-06-23"/>
    <x v="2"/>
    <s v="West"/>
    <s v="Maharashtra"/>
    <s v="Mumbai"/>
    <x v="3"/>
    <x v="3"/>
    <s v="CUST1152"/>
    <s v="SP_12"/>
    <n v="4"/>
    <n v="24.46"/>
    <n v="97.84"/>
    <n v="41.21"/>
    <n v="56.63"/>
    <s v="Cash"/>
  </r>
  <r>
    <s v="ORD103973"/>
    <s v="2025-01-24"/>
    <x v="9"/>
    <s v="East"/>
    <s v="Bihar"/>
    <s v="Patna"/>
    <x v="0"/>
    <x v="0"/>
    <s v="CUST1909"/>
    <s v="SP_03"/>
    <n v="1"/>
    <n v="3636.54"/>
    <n v="3636.54"/>
    <n v="2189.92"/>
    <n v="1446.62"/>
    <s v="Net Banking"/>
  </r>
  <r>
    <s v="ORD103974"/>
    <s v="2025-05-26"/>
    <x v="3"/>
    <s v="West"/>
    <s v="Maharashtra"/>
    <s v="Mumbai"/>
    <x v="3"/>
    <x v="3"/>
    <s v="CUST1055"/>
    <s v="SP_04"/>
    <n v="4"/>
    <n v="24.57"/>
    <n v="98.28"/>
    <n v="40.89"/>
    <n v="57.39"/>
    <s v="Debit Card"/>
  </r>
  <r>
    <s v="ORD103975"/>
    <s v="2025-10-04"/>
    <x v="1"/>
    <s v="East"/>
    <s v="Bihar"/>
    <s v="Patna"/>
    <x v="0"/>
    <x v="8"/>
    <s v="CUST1716"/>
    <s v="SP_05"/>
    <n v="1"/>
    <n v="21098.79"/>
    <n v="21098.79"/>
    <n v="16738.900000000001"/>
    <n v="4359.8900000000003"/>
    <s v="Net Banking"/>
  </r>
  <r>
    <s v="ORD103976"/>
    <s v="2025-03-31"/>
    <x v="4"/>
    <s v="East"/>
    <s v="Bihar"/>
    <s v="Patna"/>
    <x v="0"/>
    <x v="9"/>
    <s v="CUST1648"/>
    <s v="SP_07"/>
    <n v="1"/>
    <n v="6410.92"/>
    <n v="6410.92"/>
    <n v="4896.72"/>
    <n v="1514.2"/>
    <s v="UPI"/>
  </r>
  <r>
    <s v="ORD103977"/>
    <s v="2025-01-20"/>
    <x v="9"/>
    <s v="East"/>
    <s v="Bihar"/>
    <s v="Patna"/>
    <x v="1"/>
    <x v="1"/>
    <s v="CUST1838"/>
    <s v="SP_02"/>
    <n v="1"/>
    <n v="3029.71"/>
    <n v="3029.71"/>
    <n v="1975.73"/>
    <n v="1053.98"/>
    <s v="Net Banking"/>
  </r>
  <r>
    <s v="ORD103978"/>
    <s v="2025-08-19"/>
    <x v="11"/>
    <s v="South"/>
    <s v="Tamil Nadu"/>
    <s v="Chennai"/>
    <x v="3"/>
    <x v="11"/>
    <s v="CUST1627"/>
    <s v="SP_02"/>
    <n v="6"/>
    <n v="125.89"/>
    <n v="755.34"/>
    <n v="348.77"/>
    <n v="406.57"/>
    <s v="UPI"/>
  </r>
  <r>
    <s v="ORD103979"/>
    <s v="2025-05-23"/>
    <x v="3"/>
    <s v="East"/>
    <s v="Odisha"/>
    <s v="Bhubaneswar"/>
    <x v="0"/>
    <x v="8"/>
    <s v="CUST1465"/>
    <s v="SP_09"/>
    <n v="5"/>
    <n v="22763.62"/>
    <n v="113818.1"/>
    <n v="82875.8"/>
    <n v="30942.3"/>
    <s v="Cash"/>
  </r>
  <r>
    <s v="ORD103980"/>
    <s v="2025-05-12"/>
    <x v="3"/>
    <s v="North"/>
    <s v="Punjab"/>
    <s v="Chandigarh"/>
    <x v="3"/>
    <x v="11"/>
    <s v="CUST1912"/>
    <s v="SP_11"/>
    <n v="6"/>
    <n v="124.41"/>
    <n v="746.46"/>
    <n v="371.54"/>
    <n v="374.92"/>
    <s v="Cash"/>
  </r>
  <r>
    <s v="ORD103981"/>
    <s v="2025-01-12"/>
    <x v="9"/>
    <s v="West"/>
    <s v="Maharashtra"/>
    <s v="Mumbai"/>
    <x v="1"/>
    <x v="1"/>
    <s v="CUST1438"/>
    <s v="SP_10"/>
    <n v="7"/>
    <n v="2716.43"/>
    <n v="19015.009999999998"/>
    <n v="13434.22"/>
    <n v="5580.79"/>
    <s v="Credit Card"/>
  </r>
  <r>
    <s v="ORD103982"/>
    <s v="2025-08-18"/>
    <x v="11"/>
    <s v="North"/>
    <s v="Uttar Pradesh"/>
    <s v="Lucknow"/>
    <x v="1"/>
    <x v="1"/>
    <s v="CUST1749"/>
    <s v="SP_02"/>
    <n v="4"/>
    <n v="2647.08"/>
    <n v="10588.32"/>
    <n v="7311"/>
    <n v="3277.32"/>
    <s v="Cash"/>
  </r>
  <r>
    <s v="ORD103983"/>
    <s v="2025-06-06"/>
    <x v="2"/>
    <s v="North"/>
    <s v="Uttar Pradesh"/>
    <s v="Lucknow"/>
    <x v="2"/>
    <x v="4"/>
    <s v="CUST1127"/>
    <s v="SP_02"/>
    <n v="5"/>
    <n v="2729.79"/>
    <n v="13648.95"/>
    <n v="8122.64"/>
    <n v="5526.31"/>
    <s v="Debit Card"/>
  </r>
  <r>
    <s v="ORD103984"/>
    <s v="2025-07-08"/>
    <x v="6"/>
    <s v="West"/>
    <s v="Gujarat"/>
    <s v="Ahmedabad"/>
    <x v="3"/>
    <x v="7"/>
    <s v="CUST1831"/>
    <s v="SP_02"/>
    <n v="1"/>
    <n v="11024.6"/>
    <n v="11024.6"/>
    <n v="8983.5300000000007"/>
    <n v="2041.07"/>
    <s v="Credit Card"/>
  </r>
  <r>
    <s v="ORD103985"/>
    <s v="2025-10-19"/>
    <x v="1"/>
    <s v="East"/>
    <s v="Bihar"/>
    <s v="Patna"/>
    <x v="1"/>
    <x v="1"/>
    <s v="CUST1618"/>
    <s v="SP_07"/>
    <n v="5"/>
    <n v="2787.99"/>
    <n v="13939.95"/>
    <n v="9930.2199999999993"/>
    <n v="4009.73"/>
    <s v="Net Banking"/>
  </r>
  <r>
    <s v="ORD103986"/>
    <s v="2025-01-17"/>
    <x v="9"/>
    <s v="South"/>
    <s v="Telangana"/>
    <s v="Hyderabad"/>
    <x v="3"/>
    <x v="11"/>
    <s v="CUST1567"/>
    <s v="SP_13"/>
    <n v="5"/>
    <n v="130.18"/>
    <n v="650.9"/>
    <n v="302.02999999999997"/>
    <n v="348.87"/>
    <s v="Net Banking"/>
  </r>
  <r>
    <s v="ORD103987"/>
    <s v="2025-12-16"/>
    <x v="7"/>
    <s v="North"/>
    <s v="Uttar Pradesh"/>
    <s v="Lucknow"/>
    <x v="1"/>
    <x v="5"/>
    <s v="CUST1477"/>
    <s v="SP_09"/>
    <n v="5"/>
    <n v="10336.200000000001"/>
    <n v="51681"/>
    <n v="38647.370000000003"/>
    <n v="13033.63"/>
    <s v="Net Banking"/>
  </r>
  <r>
    <s v="ORD103988"/>
    <s v="2025-01-29"/>
    <x v="9"/>
    <s v="West"/>
    <s v="Maharashtra"/>
    <s v="Mumbai"/>
    <x v="2"/>
    <x v="10"/>
    <s v="CUST1016"/>
    <s v="SP_12"/>
    <n v="8"/>
    <n v="18922.25"/>
    <n v="151378"/>
    <n v="111332.39"/>
    <n v="40045.61"/>
    <s v="Cash"/>
  </r>
  <r>
    <s v="ORD103989"/>
    <s v="2025-12-17"/>
    <x v="7"/>
    <s v="East"/>
    <s v="Odisha"/>
    <s v="Bhubaneswar"/>
    <x v="2"/>
    <x v="4"/>
    <s v="CUST1913"/>
    <s v="SP_08"/>
    <n v="6"/>
    <n v="2745.97"/>
    <n v="16475.82"/>
    <n v="9186.2800000000007"/>
    <n v="7289.54"/>
    <s v="Cash"/>
  </r>
  <r>
    <s v="ORD103990"/>
    <s v="2025-12-28"/>
    <x v="7"/>
    <s v="North"/>
    <s v="Delhi"/>
    <s v="Delhi"/>
    <x v="2"/>
    <x v="10"/>
    <s v="CUST1743"/>
    <s v="SP_06"/>
    <n v="2"/>
    <n v="17455.22"/>
    <n v="34910.44"/>
    <n v="29134"/>
    <n v="5776.44"/>
    <s v="Cash"/>
  </r>
  <r>
    <s v="ORD103991"/>
    <s v="2025-06-30"/>
    <x v="2"/>
    <s v="West"/>
    <s v="Maharashtra"/>
    <s v="Mumbai"/>
    <x v="2"/>
    <x v="2"/>
    <s v="CUST1376"/>
    <s v="SP_14"/>
    <n v="3"/>
    <n v="41763.86"/>
    <n v="125291.58"/>
    <n v="108655.43"/>
    <n v="16636.150000000001"/>
    <s v="Cash"/>
  </r>
  <r>
    <s v="ORD103992"/>
    <s v="2025-08-16"/>
    <x v="11"/>
    <s v="South"/>
    <s v="Telangana"/>
    <s v="Hyderabad"/>
    <x v="1"/>
    <x v="1"/>
    <s v="CUST1499"/>
    <s v="SP_15"/>
    <n v="5"/>
    <n v="2692.15"/>
    <n v="13460.75"/>
    <n v="9058.73"/>
    <n v="4402.0200000000004"/>
    <s v="Debit Card"/>
  </r>
  <r>
    <s v="ORD103993"/>
    <s v="2025-06-27"/>
    <x v="2"/>
    <s v="West"/>
    <s v="Rajasthan"/>
    <s v="Jaipur"/>
    <x v="2"/>
    <x v="4"/>
    <s v="CUST1142"/>
    <s v="SP_08"/>
    <n v="7"/>
    <n v="2585.35"/>
    <n v="18097.45"/>
    <n v="11295.99"/>
    <n v="6801.46"/>
    <s v="UPI"/>
  </r>
  <r>
    <s v="ORD103994"/>
    <s v="2025-01-26"/>
    <x v="9"/>
    <s v="South"/>
    <s v="Tamil Nadu"/>
    <s v="Chennai"/>
    <x v="1"/>
    <x v="5"/>
    <s v="CUST1933"/>
    <s v="SP_07"/>
    <n v="5"/>
    <n v="9652.9"/>
    <n v="48264.5"/>
    <n v="39893.47"/>
    <n v="8371.0300000000007"/>
    <s v="UPI"/>
  </r>
  <r>
    <s v="ORD103995"/>
    <s v="2025-05-10"/>
    <x v="3"/>
    <s v="South"/>
    <s v="Telangana"/>
    <s v="Hyderabad"/>
    <x v="0"/>
    <x v="0"/>
    <s v="CUST1530"/>
    <s v="SP_14"/>
    <n v="6"/>
    <n v="3834.07"/>
    <n v="23004.42"/>
    <n v="12546.49"/>
    <n v="10457.93"/>
    <s v="UPI"/>
  </r>
  <r>
    <s v="ORD103996"/>
    <s v="2025-08-16"/>
    <x v="11"/>
    <s v="West"/>
    <s v="Maharashtra"/>
    <s v="Mumbai"/>
    <x v="1"/>
    <x v="1"/>
    <s v="CUST1011"/>
    <s v="SP_05"/>
    <n v="4"/>
    <n v="2682.99"/>
    <n v="10731.96"/>
    <n v="7390.69"/>
    <n v="3341.27"/>
    <s v="Cash"/>
  </r>
  <r>
    <s v="ORD103997"/>
    <s v="2025-04-13"/>
    <x v="0"/>
    <s v="East"/>
    <s v="West Bengal"/>
    <s v="Kolkata"/>
    <x v="0"/>
    <x v="9"/>
    <s v="CUST1791"/>
    <s v="SP_12"/>
    <n v="4"/>
    <n v="7537.23"/>
    <n v="30148.92"/>
    <n v="19173.900000000001"/>
    <n v="10975.02"/>
    <s v="Debit Card"/>
  </r>
  <r>
    <s v="ORD103998"/>
    <s v="2025-10-10"/>
    <x v="1"/>
    <s v="South"/>
    <s v="Karnataka"/>
    <s v="Bengaluru"/>
    <x v="2"/>
    <x v="2"/>
    <s v="CUST1101"/>
    <s v="SP_05"/>
    <n v="3"/>
    <n v="46271.61"/>
    <n v="138814.82999999999"/>
    <n v="103374.48"/>
    <n v="35440.35"/>
    <s v="Net Banking"/>
  </r>
  <r>
    <s v="ORD103999"/>
    <s v="2025-12-27"/>
    <x v="7"/>
    <s v="South"/>
    <s v="Tamil Nadu"/>
    <s v="Chennai"/>
    <x v="1"/>
    <x v="6"/>
    <s v="CUST1534"/>
    <s v="SP_13"/>
    <n v="7"/>
    <n v="3375.53"/>
    <n v="23628.71"/>
    <n v="16816.03"/>
    <n v="6812.68"/>
    <s v="Debit Card"/>
  </r>
  <r>
    <s v="ORD104000"/>
    <s v="2025-05-09"/>
    <x v="3"/>
    <s v="North"/>
    <s v="Uttar Pradesh"/>
    <s v="Lucknow"/>
    <x v="0"/>
    <x v="0"/>
    <s v="CUST1538"/>
    <s v="SP_09"/>
    <n v="2"/>
    <n v="3399.62"/>
    <n v="6799.24"/>
    <n v="4617.51"/>
    <n v="2181.73"/>
    <s v="Cash"/>
  </r>
  <r>
    <s v="ORD104001"/>
    <s v="2025-03-05"/>
    <x v="4"/>
    <s v="West"/>
    <s v="Maharashtra"/>
    <s v="Mumbai"/>
    <x v="0"/>
    <x v="8"/>
    <s v="CUST1102"/>
    <s v="SP_03"/>
    <n v="5"/>
    <n v="23051.68"/>
    <n v="115258.4"/>
    <n v="86199.03"/>
    <n v="29059.37"/>
    <s v="Net Banking"/>
  </r>
  <r>
    <s v="ORD104002"/>
    <s v="2025-09-20"/>
    <x v="5"/>
    <s v="North"/>
    <s v="Delhi"/>
    <s v="Delhi"/>
    <x v="1"/>
    <x v="6"/>
    <s v="CUST1480"/>
    <s v="SP_03"/>
    <n v="8"/>
    <n v="2935.3"/>
    <n v="23482.400000000001"/>
    <n v="18938.080000000002"/>
    <n v="4544.32"/>
    <s v="Cash"/>
  </r>
  <r>
    <s v="ORD104003"/>
    <s v="2025-10-10"/>
    <x v="1"/>
    <s v="South"/>
    <s v="Tamil Nadu"/>
    <s v="Chennai"/>
    <x v="1"/>
    <x v="6"/>
    <s v="CUST1362"/>
    <s v="SP_13"/>
    <n v="3"/>
    <n v="3246.77"/>
    <n v="9740.31"/>
    <n v="7213.31"/>
    <n v="2527"/>
    <s v="Credit Card"/>
  </r>
  <r>
    <s v="ORD104004"/>
    <s v="2025-05-23"/>
    <x v="3"/>
    <s v="West"/>
    <s v="Gujarat"/>
    <s v="Ahmedabad"/>
    <x v="0"/>
    <x v="9"/>
    <s v="CUST1983"/>
    <s v="SP_02"/>
    <n v="1"/>
    <n v="7443.88"/>
    <n v="7443.88"/>
    <n v="4805.29"/>
    <n v="2638.59"/>
    <s v="Cash"/>
  </r>
  <r>
    <s v="ORD104005"/>
    <s v="2025-05-04"/>
    <x v="3"/>
    <s v="East"/>
    <s v="West Bengal"/>
    <s v="Kolkata"/>
    <x v="2"/>
    <x v="4"/>
    <s v="CUST1721"/>
    <s v="SP_04"/>
    <n v="6"/>
    <n v="2346"/>
    <n v="14076"/>
    <n v="9594.18"/>
    <n v="4481.82"/>
    <s v="Cash"/>
  </r>
  <r>
    <s v="ORD104006"/>
    <s v="2025-08-18"/>
    <x v="11"/>
    <s v="West"/>
    <s v="Gujarat"/>
    <s v="Ahmedabad"/>
    <x v="1"/>
    <x v="5"/>
    <s v="CUST1392"/>
    <s v="SP_09"/>
    <n v="5"/>
    <n v="8840.66"/>
    <n v="44203.3"/>
    <n v="39547.39"/>
    <n v="4655.91"/>
    <s v="Credit Card"/>
  </r>
  <r>
    <s v="ORD104007"/>
    <s v="2025-03-23"/>
    <x v="4"/>
    <s v="South"/>
    <s v="Tamil Nadu"/>
    <s v="Chennai"/>
    <x v="2"/>
    <x v="10"/>
    <s v="CUST1770"/>
    <s v="SP_04"/>
    <n v="1"/>
    <n v="17091.87"/>
    <n v="17091.87"/>
    <n v="13986.62"/>
    <n v="3105.25"/>
    <s v="Net Banking"/>
  </r>
  <r>
    <s v="ORD104008"/>
    <s v="2025-06-05"/>
    <x v="2"/>
    <s v="West"/>
    <s v="Maharashtra"/>
    <s v="Mumbai"/>
    <x v="3"/>
    <x v="3"/>
    <s v="CUST1856"/>
    <s v="SP_14"/>
    <n v="7"/>
    <n v="23.15"/>
    <n v="162.05000000000001"/>
    <n v="70.19"/>
    <n v="91.86"/>
    <s v="Net Banking"/>
  </r>
  <r>
    <s v="ORD104009"/>
    <s v="2025-05-27"/>
    <x v="3"/>
    <s v="West"/>
    <s v="Rajasthan"/>
    <s v="Jaipur"/>
    <x v="0"/>
    <x v="9"/>
    <s v="CUST1798"/>
    <s v="SP_06"/>
    <n v="4"/>
    <n v="7339.72"/>
    <n v="29358.880000000001"/>
    <n v="19811.63"/>
    <n v="9547.25"/>
    <s v="Net Banking"/>
  </r>
  <r>
    <s v="ORD104010"/>
    <s v="2025-11-30"/>
    <x v="10"/>
    <s v="East"/>
    <s v="Odisha"/>
    <s v="Bhubaneswar"/>
    <x v="3"/>
    <x v="3"/>
    <s v="CUST1444"/>
    <s v="SP_02"/>
    <n v="6"/>
    <n v="27.46"/>
    <n v="164.76"/>
    <n v="57.26"/>
    <n v="107.5"/>
    <s v="Cash"/>
  </r>
  <r>
    <s v="ORD104011"/>
    <s v="2025-03-11"/>
    <x v="4"/>
    <s v="South"/>
    <s v="Karnataka"/>
    <s v="Bengaluru"/>
    <x v="0"/>
    <x v="8"/>
    <s v="CUST1579"/>
    <s v="SP_09"/>
    <n v="6"/>
    <n v="24119.48"/>
    <n v="144716.88"/>
    <n v="101328.53"/>
    <n v="43388.35"/>
    <s v="Cash"/>
  </r>
  <r>
    <s v="ORD104012"/>
    <s v="2025-09-01"/>
    <x v="5"/>
    <s v="South"/>
    <s v="Karnataka"/>
    <s v="Bengaluru"/>
    <x v="3"/>
    <x v="3"/>
    <s v="CUST1223"/>
    <s v="SP_11"/>
    <n v="2"/>
    <n v="24.2"/>
    <n v="48.4"/>
    <n v="19.7"/>
    <n v="28.7"/>
    <s v="Credit Card"/>
  </r>
  <r>
    <s v="ORD104013"/>
    <s v="2025-05-10"/>
    <x v="3"/>
    <s v="North"/>
    <s v="Delhi"/>
    <s v="Delhi"/>
    <x v="0"/>
    <x v="9"/>
    <s v="CUST1663"/>
    <s v="SP_08"/>
    <n v="7"/>
    <n v="7351.62"/>
    <n v="51461.34"/>
    <n v="34352.980000000003"/>
    <n v="17108.36"/>
    <s v="Debit Card"/>
  </r>
  <r>
    <s v="ORD104014"/>
    <s v="2025-11-06"/>
    <x v="10"/>
    <s v="East"/>
    <s v="West Bengal"/>
    <s v="Kolkata"/>
    <x v="1"/>
    <x v="6"/>
    <s v="CUST1492"/>
    <s v="SP_06"/>
    <n v="3"/>
    <n v="3401.61"/>
    <n v="10204.83"/>
    <n v="6956.7"/>
    <n v="3248.13"/>
    <s v="Credit Card"/>
  </r>
  <r>
    <s v="ORD104015"/>
    <s v="2025-11-29"/>
    <x v="10"/>
    <s v="East"/>
    <s v="Odisha"/>
    <s v="Bhubaneswar"/>
    <x v="2"/>
    <x v="2"/>
    <s v="CUST1149"/>
    <s v="SP_08"/>
    <n v="1"/>
    <n v="45108.35"/>
    <n v="45108.35"/>
    <n v="33940.28"/>
    <n v="11168.07"/>
    <s v="Net Banking"/>
  </r>
  <r>
    <s v="ORD104016"/>
    <s v="2025-10-13"/>
    <x v="1"/>
    <s v="East"/>
    <s v="Bihar"/>
    <s v="Patna"/>
    <x v="3"/>
    <x v="7"/>
    <s v="CUST1245"/>
    <s v="SP_11"/>
    <n v="8"/>
    <n v="12133.63"/>
    <n v="97069.04"/>
    <n v="74365.929999999993"/>
    <n v="22703.11"/>
    <s v="Net Banking"/>
  </r>
  <r>
    <s v="ORD104017"/>
    <s v="2025-11-25"/>
    <x v="10"/>
    <s v="South"/>
    <s v="Karnataka"/>
    <s v="Bengaluru"/>
    <x v="2"/>
    <x v="4"/>
    <s v="CUST1057"/>
    <s v="SP_07"/>
    <n v="6"/>
    <n v="2385.56"/>
    <n v="14313.36"/>
    <n v="10017.91"/>
    <n v="4295.45"/>
    <s v="Credit Card"/>
  </r>
  <r>
    <s v="ORD104018"/>
    <s v="2025-10-31"/>
    <x v="1"/>
    <s v="North"/>
    <s v="Uttar Pradesh"/>
    <s v="Lucknow"/>
    <x v="0"/>
    <x v="8"/>
    <s v="CUST1671"/>
    <s v="SP_05"/>
    <n v="1"/>
    <n v="21925.27"/>
    <n v="21925.27"/>
    <n v="16523.189999999999"/>
    <n v="5402.08"/>
    <s v="Debit Card"/>
  </r>
  <r>
    <s v="ORD104019"/>
    <s v="2025-08-12"/>
    <x v="11"/>
    <s v="North"/>
    <s v="Delhi"/>
    <s v="Delhi"/>
    <x v="1"/>
    <x v="1"/>
    <s v="CUST1334"/>
    <s v="SP_03"/>
    <n v="3"/>
    <n v="2813.07"/>
    <n v="8439.2099999999991"/>
    <n v="5477.29"/>
    <n v="2961.92"/>
    <s v="UPI"/>
  </r>
  <r>
    <s v="ORD104020"/>
    <s v="2025-01-16"/>
    <x v="9"/>
    <s v="East"/>
    <s v="Odisha"/>
    <s v="Bhubaneswar"/>
    <x v="0"/>
    <x v="9"/>
    <s v="CUST1519"/>
    <s v="SP_11"/>
    <n v="4"/>
    <n v="7303.23"/>
    <n v="29212.92"/>
    <n v="20748.580000000002"/>
    <n v="8464.34"/>
    <s v="Credit Card"/>
  </r>
  <r>
    <s v="ORD104021"/>
    <s v="2025-11-24"/>
    <x v="10"/>
    <s v="North"/>
    <s v="Punjab"/>
    <s v="Chandigarh"/>
    <x v="3"/>
    <x v="7"/>
    <s v="CUST1468"/>
    <s v="SP_06"/>
    <n v="7"/>
    <n v="12757.53"/>
    <n v="89302.71"/>
    <n v="62907.18"/>
    <n v="26395.53"/>
    <s v="Credit Card"/>
  </r>
  <r>
    <s v="ORD104022"/>
    <s v="2025-11-05"/>
    <x v="10"/>
    <s v="South"/>
    <s v="Telangana"/>
    <s v="Hyderabad"/>
    <x v="3"/>
    <x v="3"/>
    <s v="CUST1642"/>
    <s v="SP_04"/>
    <n v="2"/>
    <n v="24.5"/>
    <n v="49"/>
    <n v="20.65"/>
    <n v="28.35"/>
    <s v="Credit Card"/>
  </r>
  <r>
    <s v="ORD104023"/>
    <s v="2025-01-15"/>
    <x v="9"/>
    <s v="West"/>
    <s v="Rajasthan"/>
    <s v="Jaipur"/>
    <x v="0"/>
    <x v="0"/>
    <s v="CUST1618"/>
    <s v="SP_05"/>
    <n v="8"/>
    <n v="3581.57"/>
    <n v="28652.560000000001"/>
    <n v="17527.240000000002"/>
    <n v="11125.32"/>
    <s v="Credit Card"/>
  </r>
  <r>
    <s v="ORD104024"/>
    <s v="2025-05-21"/>
    <x v="3"/>
    <s v="West"/>
    <s v="Maharashtra"/>
    <s v="Mumbai"/>
    <x v="3"/>
    <x v="11"/>
    <s v="CUST1181"/>
    <s v="SP_10"/>
    <n v="2"/>
    <n v="126.05"/>
    <n v="252.1"/>
    <n v="124.97"/>
    <n v="127.13"/>
    <s v="Net Banking"/>
  </r>
  <r>
    <s v="ORD104025"/>
    <s v="2025-03-02"/>
    <x v="4"/>
    <s v="North"/>
    <s v="Punjab"/>
    <s v="Chandigarh"/>
    <x v="1"/>
    <x v="6"/>
    <s v="CUST1730"/>
    <s v="SP_09"/>
    <n v="7"/>
    <n v="2984.07"/>
    <n v="20888.490000000002"/>
    <n v="16234.69"/>
    <n v="4653.8"/>
    <s v="Cash"/>
  </r>
  <r>
    <s v="ORD104026"/>
    <s v="2025-05-25"/>
    <x v="3"/>
    <s v="South"/>
    <s v="Tamil Nadu"/>
    <s v="Chennai"/>
    <x v="3"/>
    <x v="3"/>
    <s v="CUST1622"/>
    <s v="SP_12"/>
    <n v="7"/>
    <n v="23.72"/>
    <n v="166.04"/>
    <n v="68.02"/>
    <n v="98.02"/>
    <s v="Debit Card"/>
  </r>
  <r>
    <s v="ORD104027"/>
    <s v="2025-09-25"/>
    <x v="5"/>
    <s v="West"/>
    <s v="Maharashtra"/>
    <s v="Mumbai"/>
    <x v="1"/>
    <x v="5"/>
    <s v="CUST1353"/>
    <s v="SP_04"/>
    <n v="6"/>
    <n v="9447.7099999999991"/>
    <n v="56686.26"/>
    <n v="43752.95"/>
    <n v="12933.31"/>
    <s v="UPI"/>
  </r>
  <r>
    <s v="ORD104028"/>
    <s v="2025-08-23"/>
    <x v="11"/>
    <s v="West"/>
    <s v="Maharashtra"/>
    <s v="Mumbai"/>
    <x v="2"/>
    <x v="2"/>
    <s v="CUST1531"/>
    <s v="SP_10"/>
    <n v="6"/>
    <n v="47010.13"/>
    <n v="282060.78000000003"/>
    <n v="218577.95"/>
    <n v="63482.83"/>
    <s v="Cash"/>
  </r>
  <r>
    <s v="ORD104029"/>
    <s v="2025-06-22"/>
    <x v="2"/>
    <s v="South"/>
    <s v="Karnataka"/>
    <s v="Bengaluru"/>
    <x v="2"/>
    <x v="2"/>
    <s v="CUST1034"/>
    <s v="SP_07"/>
    <n v="6"/>
    <n v="47791.54"/>
    <n v="286749.24"/>
    <n v="207905.76"/>
    <n v="78843.48"/>
    <s v="Credit Card"/>
  </r>
  <r>
    <s v="ORD104030"/>
    <s v="2025-03-09"/>
    <x v="4"/>
    <s v="West"/>
    <s v="Rajasthan"/>
    <s v="Jaipur"/>
    <x v="0"/>
    <x v="9"/>
    <s v="CUST1286"/>
    <s v="SP_05"/>
    <n v="7"/>
    <n v="7274.6"/>
    <n v="50922.2"/>
    <n v="35347.279999999999"/>
    <n v="15574.92"/>
    <s v="Debit Card"/>
  </r>
  <r>
    <s v="ORD104031"/>
    <s v="2025-08-25"/>
    <x v="11"/>
    <s v="South"/>
    <s v="Telangana"/>
    <s v="Hyderabad"/>
    <x v="3"/>
    <x v="7"/>
    <s v="CUST1237"/>
    <s v="SP_03"/>
    <n v="8"/>
    <n v="12157.49"/>
    <n v="97259.92"/>
    <n v="74047.17"/>
    <n v="23212.75"/>
    <s v="Net Banking"/>
  </r>
  <r>
    <s v="ORD104032"/>
    <s v="2025-08-20"/>
    <x v="11"/>
    <s v="East"/>
    <s v="Odisha"/>
    <s v="Bhubaneswar"/>
    <x v="1"/>
    <x v="6"/>
    <s v="CUST1723"/>
    <s v="SP_02"/>
    <n v="8"/>
    <n v="3160.8"/>
    <n v="25286.400000000001"/>
    <n v="19008.46"/>
    <n v="6277.94"/>
    <s v="UPI"/>
  </r>
  <r>
    <s v="ORD104033"/>
    <s v="2025-08-07"/>
    <x v="11"/>
    <s v="North"/>
    <s v="Uttar Pradesh"/>
    <s v="Lucknow"/>
    <x v="1"/>
    <x v="5"/>
    <s v="CUST1917"/>
    <s v="SP_08"/>
    <n v="3"/>
    <n v="9096.32"/>
    <n v="27288.959999999999"/>
    <n v="22896.959999999999"/>
    <n v="4392"/>
    <s v="Debit Card"/>
  </r>
  <r>
    <s v="ORD104034"/>
    <s v="2025-08-11"/>
    <x v="11"/>
    <s v="North"/>
    <s v="Punjab"/>
    <s v="Chandigarh"/>
    <x v="2"/>
    <x v="2"/>
    <s v="CUST1387"/>
    <s v="SP_02"/>
    <n v="1"/>
    <n v="43351.6"/>
    <n v="43351.6"/>
    <n v="34458.910000000003"/>
    <n v="8892.69"/>
    <s v="UPI"/>
  </r>
  <r>
    <s v="ORD104035"/>
    <s v="2025-01-25"/>
    <x v="9"/>
    <s v="West"/>
    <s v="Rajasthan"/>
    <s v="Jaipur"/>
    <x v="3"/>
    <x v="7"/>
    <s v="CUST1389"/>
    <s v="SP_14"/>
    <n v="5"/>
    <n v="11507.26"/>
    <n v="57536.3"/>
    <n v="44155.839999999997"/>
    <n v="13380.46"/>
    <s v="Cash"/>
  </r>
  <r>
    <s v="ORD104036"/>
    <s v="2025-01-22"/>
    <x v="9"/>
    <s v="East"/>
    <s v="West Bengal"/>
    <s v="Kolkata"/>
    <x v="1"/>
    <x v="1"/>
    <s v="CUST1364"/>
    <s v="SP_04"/>
    <n v="6"/>
    <n v="2985.99"/>
    <n v="17915.939999999999"/>
    <n v="11957.67"/>
    <n v="5958.27"/>
    <s v="Credit Card"/>
  </r>
  <r>
    <s v="ORD104037"/>
    <s v="2025-09-28"/>
    <x v="5"/>
    <s v="North"/>
    <s v="Uttar Pradesh"/>
    <s v="Lucknow"/>
    <x v="2"/>
    <x v="4"/>
    <s v="CUST1224"/>
    <s v="SP_08"/>
    <n v="1"/>
    <n v="2343.21"/>
    <n v="2343.21"/>
    <n v="1567.96"/>
    <n v="775.25"/>
    <s v="Net Banking"/>
  </r>
  <r>
    <s v="ORD104038"/>
    <s v="2025-04-11"/>
    <x v="0"/>
    <s v="North"/>
    <s v="Delhi"/>
    <s v="Delhi"/>
    <x v="2"/>
    <x v="10"/>
    <s v="CUST1994"/>
    <s v="SP_07"/>
    <n v="3"/>
    <n v="18176.060000000001"/>
    <n v="54528.18"/>
    <n v="43147.48"/>
    <n v="11380.7"/>
    <s v="Net Banking"/>
  </r>
  <r>
    <s v="ORD104039"/>
    <s v="2025-11-03"/>
    <x v="10"/>
    <s v="South"/>
    <s v="Telangana"/>
    <s v="Hyderabad"/>
    <x v="0"/>
    <x v="8"/>
    <s v="CUST1090"/>
    <s v="SP_15"/>
    <n v="1"/>
    <n v="22517.68"/>
    <n v="22517.68"/>
    <n v="16701.900000000001"/>
    <n v="5815.78"/>
    <s v="Cash"/>
  </r>
  <r>
    <s v="ORD104040"/>
    <s v="2025-05-17"/>
    <x v="3"/>
    <s v="South"/>
    <s v="Karnataka"/>
    <s v="Bengaluru"/>
    <x v="3"/>
    <x v="3"/>
    <s v="CUST1853"/>
    <s v="SP_01"/>
    <n v="2"/>
    <n v="23.17"/>
    <n v="46.34"/>
    <n v="19.23"/>
    <n v="27.11"/>
    <s v="Debit Card"/>
  </r>
  <r>
    <s v="ORD104041"/>
    <s v="2025-02-25"/>
    <x v="8"/>
    <s v="East"/>
    <s v="West Bengal"/>
    <s v="Kolkata"/>
    <x v="2"/>
    <x v="10"/>
    <s v="CUST1678"/>
    <s v="SP_15"/>
    <n v="5"/>
    <n v="16810.12"/>
    <n v="84050.6"/>
    <n v="66654.11"/>
    <n v="17396.490000000002"/>
    <s v="Net Banking"/>
  </r>
  <r>
    <s v="ORD104042"/>
    <s v="2025-01-11"/>
    <x v="9"/>
    <s v="West"/>
    <s v="Maharashtra"/>
    <s v="Mumbai"/>
    <x v="2"/>
    <x v="4"/>
    <s v="CUST1165"/>
    <s v="SP_14"/>
    <n v="4"/>
    <n v="2368.79"/>
    <n v="9475.16"/>
    <n v="6341.51"/>
    <n v="3133.65"/>
    <s v="Net Banking"/>
  </r>
  <r>
    <s v="ORD104043"/>
    <s v="2025-03-31"/>
    <x v="4"/>
    <s v="East"/>
    <s v="Bihar"/>
    <s v="Patna"/>
    <x v="3"/>
    <x v="3"/>
    <s v="CUST1701"/>
    <s v="SP_13"/>
    <n v="6"/>
    <n v="26.45"/>
    <n v="158.69999999999999"/>
    <n v="57.41"/>
    <n v="101.29"/>
    <s v="Credit Card"/>
  </r>
  <r>
    <s v="ORD104044"/>
    <s v="2025-07-08"/>
    <x v="6"/>
    <s v="North"/>
    <s v="Delhi"/>
    <s v="Delhi"/>
    <x v="0"/>
    <x v="8"/>
    <s v="CUST1751"/>
    <s v="SP_09"/>
    <n v="6"/>
    <n v="22238.560000000001"/>
    <n v="133431.35999999999"/>
    <n v="97147.96"/>
    <n v="36283.4"/>
    <s v="UPI"/>
  </r>
  <r>
    <s v="ORD104045"/>
    <s v="2025-12-17"/>
    <x v="7"/>
    <s v="South"/>
    <s v="Tamil Nadu"/>
    <s v="Chennai"/>
    <x v="1"/>
    <x v="5"/>
    <s v="CUST1641"/>
    <s v="SP_05"/>
    <n v="2"/>
    <n v="9878.4599999999991"/>
    <n v="19756.919999999998"/>
    <n v="15491.67"/>
    <n v="4265.25"/>
    <s v="Net Banking"/>
  </r>
  <r>
    <s v="ORD104046"/>
    <s v="2025-02-13"/>
    <x v="8"/>
    <s v="East"/>
    <s v="Odisha"/>
    <s v="Bhubaneswar"/>
    <x v="0"/>
    <x v="9"/>
    <s v="CUST1168"/>
    <s v="SP_07"/>
    <n v="1"/>
    <n v="7367.74"/>
    <n v="7367.74"/>
    <n v="4826.53"/>
    <n v="2541.21"/>
    <s v="Cash"/>
  </r>
  <r>
    <s v="ORD104047"/>
    <s v="2025-06-27"/>
    <x v="2"/>
    <s v="South"/>
    <s v="Karnataka"/>
    <s v="Bengaluru"/>
    <x v="0"/>
    <x v="9"/>
    <s v="CUST1199"/>
    <s v="SP_02"/>
    <n v="5"/>
    <n v="6833.56"/>
    <n v="34167.800000000003"/>
    <n v="25878.79"/>
    <n v="8289.01"/>
    <s v="Net Banking"/>
  </r>
  <r>
    <s v="ORD104048"/>
    <s v="2025-03-17"/>
    <x v="4"/>
    <s v="West"/>
    <s v="Rajasthan"/>
    <s v="Jaipur"/>
    <x v="0"/>
    <x v="9"/>
    <s v="CUST1110"/>
    <s v="SP_02"/>
    <n v="4"/>
    <n v="7284.54"/>
    <n v="29138.16"/>
    <n v="20064.82"/>
    <n v="9073.34"/>
    <s v="Credit Card"/>
  </r>
  <r>
    <s v="ORD104049"/>
    <s v="2025-12-09"/>
    <x v="7"/>
    <s v="North"/>
    <s v="Uttar Pradesh"/>
    <s v="Lucknow"/>
    <x v="0"/>
    <x v="8"/>
    <s v="CUST1909"/>
    <s v="SP_09"/>
    <n v="2"/>
    <n v="23904.13"/>
    <n v="47808.26"/>
    <n v="35670.42"/>
    <n v="12137.84"/>
    <s v="Debit Card"/>
  </r>
  <r>
    <s v="ORD104050"/>
    <s v="2025-09-15"/>
    <x v="5"/>
    <s v="North"/>
    <s v="Uttar Pradesh"/>
    <s v="Lucknow"/>
    <x v="1"/>
    <x v="5"/>
    <s v="CUST1607"/>
    <s v="SP_01"/>
    <n v="3"/>
    <n v="10129.57"/>
    <n v="30388.71"/>
    <n v="22686.93"/>
    <n v="7701.78"/>
    <s v="Cash"/>
  </r>
  <r>
    <s v="ORD104051"/>
    <s v="2025-11-28"/>
    <x v="10"/>
    <s v="East"/>
    <s v="Bihar"/>
    <s v="Patna"/>
    <x v="1"/>
    <x v="6"/>
    <s v="CUST1114"/>
    <s v="SP_03"/>
    <n v="1"/>
    <n v="3031.95"/>
    <n v="3031.95"/>
    <n v="2288.54"/>
    <n v="743.41"/>
    <s v="UPI"/>
  </r>
  <r>
    <s v="ORD104052"/>
    <s v="2025-01-09"/>
    <x v="9"/>
    <s v="North"/>
    <s v="Uttar Pradesh"/>
    <s v="Lucknow"/>
    <x v="0"/>
    <x v="9"/>
    <s v="CUST1566"/>
    <s v="SP_03"/>
    <n v="2"/>
    <n v="7420.93"/>
    <n v="14841.86"/>
    <n v="10203.34"/>
    <n v="4638.5200000000004"/>
    <s v="Cash"/>
  </r>
  <r>
    <s v="ORD104053"/>
    <s v="2025-12-17"/>
    <x v="7"/>
    <s v="South"/>
    <s v="Telangana"/>
    <s v="Hyderabad"/>
    <x v="0"/>
    <x v="8"/>
    <s v="CUST1154"/>
    <s v="SP_08"/>
    <n v="2"/>
    <n v="20212.93"/>
    <n v="40425.86"/>
    <n v="34139.11"/>
    <n v="6286.75"/>
    <s v="Credit Card"/>
  </r>
  <r>
    <s v="ORD104054"/>
    <s v="2025-08-19"/>
    <x v="11"/>
    <s v="West"/>
    <s v="Maharashtra"/>
    <s v="Mumbai"/>
    <x v="0"/>
    <x v="9"/>
    <s v="CUST1723"/>
    <s v="SP_13"/>
    <n v="6"/>
    <n v="7171.41"/>
    <n v="43028.46"/>
    <n v="31151.26"/>
    <n v="11877.2"/>
    <s v="Debit Card"/>
  </r>
  <r>
    <s v="ORD104055"/>
    <s v="2025-10-13"/>
    <x v="1"/>
    <s v="South"/>
    <s v="Karnataka"/>
    <s v="Bengaluru"/>
    <x v="1"/>
    <x v="1"/>
    <s v="CUST1836"/>
    <s v="SP_10"/>
    <n v="8"/>
    <n v="2611.34"/>
    <n v="20890.72"/>
    <n v="14632.87"/>
    <n v="6257.85"/>
    <s v="Cash"/>
  </r>
  <r>
    <s v="ORD104056"/>
    <s v="2025-03-29"/>
    <x v="4"/>
    <s v="East"/>
    <s v="Odisha"/>
    <s v="Bhubaneswar"/>
    <x v="1"/>
    <x v="1"/>
    <s v="CUST1435"/>
    <s v="SP_05"/>
    <n v="1"/>
    <n v="3046.59"/>
    <n v="3046.59"/>
    <n v="1818.97"/>
    <n v="1227.6199999999999"/>
    <s v="Debit Card"/>
  </r>
  <r>
    <s v="ORD104057"/>
    <s v="2025-08-30"/>
    <x v="11"/>
    <s v="North"/>
    <s v="Punjab"/>
    <s v="Chandigarh"/>
    <x v="0"/>
    <x v="9"/>
    <s v="CUST1448"/>
    <s v="SP_15"/>
    <n v="1"/>
    <n v="7247.91"/>
    <n v="7247.91"/>
    <n v="5147.51"/>
    <n v="2100.4"/>
    <s v="Cash"/>
  </r>
  <r>
    <s v="ORD104058"/>
    <s v="2025-06-17"/>
    <x v="2"/>
    <s v="East"/>
    <s v="Bihar"/>
    <s v="Patna"/>
    <x v="0"/>
    <x v="8"/>
    <s v="CUST1616"/>
    <s v="SP_10"/>
    <n v="7"/>
    <n v="20813.37"/>
    <n v="145693.59"/>
    <n v="113595.24"/>
    <n v="32098.35"/>
    <s v="Net Banking"/>
  </r>
  <r>
    <s v="ORD104059"/>
    <s v="2025-10-28"/>
    <x v="1"/>
    <s v="North"/>
    <s v="Uttar Pradesh"/>
    <s v="Lucknow"/>
    <x v="2"/>
    <x v="4"/>
    <s v="CUST1936"/>
    <s v="SP_01"/>
    <n v="4"/>
    <n v="2367.14"/>
    <n v="9468.56"/>
    <n v="6672.85"/>
    <n v="2795.71"/>
    <s v="Net Banking"/>
  </r>
  <r>
    <s v="ORD104060"/>
    <s v="2025-09-24"/>
    <x v="5"/>
    <s v="South"/>
    <s v="Telangana"/>
    <s v="Hyderabad"/>
    <x v="0"/>
    <x v="9"/>
    <s v="CUST1727"/>
    <s v="SP_05"/>
    <n v="1"/>
    <n v="6938.72"/>
    <n v="6938.72"/>
    <n v="5161"/>
    <n v="1777.72"/>
    <s v="Debit Card"/>
  </r>
  <r>
    <s v="ORD104061"/>
    <s v="2025-10-12"/>
    <x v="1"/>
    <s v="South"/>
    <s v="Karnataka"/>
    <s v="Bengaluru"/>
    <x v="0"/>
    <x v="8"/>
    <s v="CUST1436"/>
    <s v="SP_14"/>
    <n v="7"/>
    <n v="21067.46"/>
    <n v="147472.22"/>
    <n v="116230.94"/>
    <n v="31241.279999999999"/>
    <s v="Cash"/>
  </r>
  <r>
    <s v="ORD104062"/>
    <s v="2025-07-31"/>
    <x v="6"/>
    <s v="East"/>
    <s v="Odisha"/>
    <s v="Bhubaneswar"/>
    <x v="1"/>
    <x v="6"/>
    <s v="CUST1463"/>
    <s v="SP_10"/>
    <n v="6"/>
    <n v="3215.94"/>
    <n v="19295.64"/>
    <n v="14481.18"/>
    <n v="4814.46"/>
    <s v="Cash"/>
  </r>
  <r>
    <s v="ORD104063"/>
    <s v="2025-10-26"/>
    <x v="1"/>
    <s v="North"/>
    <s v="Uttar Pradesh"/>
    <s v="Lucknow"/>
    <x v="3"/>
    <x v="7"/>
    <s v="CUST1673"/>
    <s v="SP_04"/>
    <n v="2"/>
    <n v="11662.86"/>
    <n v="23325.72"/>
    <n v="18105.64"/>
    <n v="5220.08"/>
    <s v="Cash"/>
  </r>
  <r>
    <s v="ORD104064"/>
    <s v="2025-07-07"/>
    <x v="6"/>
    <s v="North"/>
    <s v="Uttar Pradesh"/>
    <s v="Lucknow"/>
    <x v="2"/>
    <x v="2"/>
    <s v="CUST1710"/>
    <s v="SP_09"/>
    <n v="5"/>
    <n v="42574.46"/>
    <n v="212872.3"/>
    <n v="169563.57"/>
    <n v="43308.73"/>
    <s v="Cash"/>
  </r>
  <r>
    <s v="ORD104065"/>
    <s v="2025-09-23"/>
    <x v="5"/>
    <s v="West"/>
    <s v="Rajasthan"/>
    <s v="Jaipur"/>
    <x v="2"/>
    <x v="2"/>
    <s v="CUST1793"/>
    <s v="SP_12"/>
    <n v="2"/>
    <n v="45491.66"/>
    <n v="90983.32"/>
    <n v="70315.27"/>
    <n v="20668.05"/>
    <s v="Net Banking"/>
  </r>
  <r>
    <s v="ORD104066"/>
    <s v="2025-01-30"/>
    <x v="9"/>
    <s v="West"/>
    <s v="Gujarat"/>
    <s v="Ahmedabad"/>
    <x v="3"/>
    <x v="3"/>
    <s v="CUST1899"/>
    <s v="SP_03"/>
    <n v="8"/>
    <n v="26.39"/>
    <n v="211.12"/>
    <n v="81.66"/>
    <n v="129.46"/>
    <s v="Credit Card"/>
  </r>
  <r>
    <s v="ORD104067"/>
    <s v="2025-01-13"/>
    <x v="9"/>
    <s v="South"/>
    <s v="Karnataka"/>
    <s v="Bengaluru"/>
    <x v="2"/>
    <x v="2"/>
    <s v="CUST1002"/>
    <s v="SP_09"/>
    <n v="8"/>
    <n v="47271.94"/>
    <n v="378175.52"/>
    <n v="274450.03000000003"/>
    <n v="103725.49"/>
    <s v="UPI"/>
  </r>
  <r>
    <s v="ORD104068"/>
    <s v="2025-09-21"/>
    <x v="5"/>
    <s v="West"/>
    <s v="Gujarat"/>
    <s v="Ahmedabad"/>
    <x v="3"/>
    <x v="7"/>
    <s v="CUST1947"/>
    <s v="SP_07"/>
    <n v="2"/>
    <n v="11731.45"/>
    <n v="23462.9"/>
    <n v="17234.22"/>
    <n v="6228.68"/>
    <s v="Debit Card"/>
  </r>
  <r>
    <s v="ORD104069"/>
    <s v="2025-08-22"/>
    <x v="11"/>
    <s v="North"/>
    <s v="Delhi"/>
    <s v="Delhi"/>
    <x v="1"/>
    <x v="5"/>
    <s v="CUST1749"/>
    <s v="SP_10"/>
    <n v="8"/>
    <n v="9584.64"/>
    <n v="76677.119999999995"/>
    <n v="60547.54"/>
    <n v="16129.58"/>
    <s v="UPI"/>
  </r>
  <r>
    <s v="ORD104070"/>
    <s v="2025-11-29"/>
    <x v="10"/>
    <s v="North"/>
    <s v="Punjab"/>
    <s v="Chandigarh"/>
    <x v="2"/>
    <x v="10"/>
    <s v="CUST1293"/>
    <s v="SP_14"/>
    <n v="2"/>
    <n v="19534.04"/>
    <n v="39068.080000000002"/>
    <n v="28454.32"/>
    <n v="10613.76"/>
    <s v="Net Banking"/>
  </r>
  <r>
    <s v="ORD104071"/>
    <s v="2025-07-01"/>
    <x v="6"/>
    <s v="North"/>
    <s v="Delhi"/>
    <s v="Delhi"/>
    <x v="2"/>
    <x v="2"/>
    <s v="CUST1145"/>
    <s v="SP_11"/>
    <n v="1"/>
    <n v="48419.64"/>
    <n v="48419.64"/>
    <n v="34372.82"/>
    <n v="14046.82"/>
    <s v="Debit Card"/>
  </r>
  <r>
    <s v="ORD104072"/>
    <s v="2025-04-03"/>
    <x v="0"/>
    <s v="South"/>
    <s v="Karnataka"/>
    <s v="Bengaluru"/>
    <x v="3"/>
    <x v="7"/>
    <s v="CUST1445"/>
    <s v="SP_01"/>
    <n v="6"/>
    <n v="12153.89"/>
    <n v="72923.34"/>
    <n v="53484.92"/>
    <n v="19438.419999999998"/>
    <s v="Credit Card"/>
  </r>
  <r>
    <s v="ORD104073"/>
    <s v="2025-05-18"/>
    <x v="3"/>
    <s v="West"/>
    <s v="Rajasthan"/>
    <s v="Jaipur"/>
    <x v="1"/>
    <x v="6"/>
    <s v="CUST1155"/>
    <s v="SP_12"/>
    <n v="7"/>
    <n v="2892.3"/>
    <n v="20246.099999999999"/>
    <n v="16562.169999999998"/>
    <n v="3683.93"/>
    <s v="UPI"/>
  </r>
  <r>
    <s v="ORD104074"/>
    <s v="2025-06-19"/>
    <x v="2"/>
    <s v="West"/>
    <s v="Maharashtra"/>
    <s v="Mumbai"/>
    <x v="2"/>
    <x v="10"/>
    <s v="CUST1598"/>
    <s v="SP_06"/>
    <n v="8"/>
    <n v="18351.28"/>
    <n v="146810.23999999999"/>
    <n v="115820.53"/>
    <n v="30989.71"/>
    <s v="Net Banking"/>
  </r>
  <r>
    <s v="ORD104075"/>
    <s v="2025-05-10"/>
    <x v="3"/>
    <s v="East"/>
    <s v="Odisha"/>
    <s v="Bhubaneswar"/>
    <x v="1"/>
    <x v="5"/>
    <s v="CUST1791"/>
    <s v="SP_12"/>
    <n v="6"/>
    <n v="9420.9500000000007"/>
    <n v="56525.7"/>
    <n v="46987.56"/>
    <n v="9538.14"/>
    <s v="Debit Card"/>
  </r>
  <r>
    <s v="ORD104076"/>
    <s v="2025-08-22"/>
    <x v="11"/>
    <s v="East"/>
    <s v="Bihar"/>
    <s v="Patna"/>
    <x v="1"/>
    <x v="1"/>
    <s v="CUST1197"/>
    <s v="SP_13"/>
    <n v="6"/>
    <n v="2971.37"/>
    <n v="17828.22"/>
    <n v="10837.83"/>
    <n v="6990.39"/>
    <s v="Debit Card"/>
  </r>
  <r>
    <s v="ORD104077"/>
    <s v="2025-12-05"/>
    <x v="7"/>
    <s v="East"/>
    <s v="West Bengal"/>
    <s v="Kolkata"/>
    <x v="3"/>
    <x v="7"/>
    <s v="CUST1299"/>
    <s v="SP_01"/>
    <n v="1"/>
    <n v="10873.81"/>
    <n v="10873.81"/>
    <n v="8756.8700000000008"/>
    <n v="2116.94"/>
    <s v="Net Banking"/>
  </r>
  <r>
    <s v="ORD104078"/>
    <s v="2025-02-16"/>
    <x v="8"/>
    <s v="North"/>
    <s v="Uttar Pradesh"/>
    <s v="Lucknow"/>
    <x v="1"/>
    <x v="5"/>
    <s v="CUST1442"/>
    <s v="SP_14"/>
    <n v="6"/>
    <n v="8972.4500000000007"/>
    <n v="53834.7"/>
    <n v="45311.14"/>
    <n v="8523.56"/>
    <s v="Cash"/>
  </r>
  <r>
    <s v="ORD104079"/>
    <s v="2025-10-05"/>
    <x v="1"/>
    <s v="South"/>
    <s v="Tamil Nadu"/>
    <s v="Chennai"/>
    <x v="2"/>
    <x v="10"/>
    <s v="CUST1110"/>
    <s v="SP_05"/>
    <n v="1"/>
    <n v="16795.39"/>
    <n v="16795.39"/>
    <n v="14542.18"/>
    <n v="2253.21"/>
    <s v="Net Banking"/>
  </r>
  <r>
    <s v="ORD104080"/>
    <s v="2025-06-21"/>
    <x v="2"/>
    <s v="East"/>
    <s v="Odisha"/>
    <s v="Bhubaneswar"/>
    <x v="0"/>
    <x v="9"/>
    <s v="CUST1609"/>
    <s v="SP_09"/>
    <n v="8"/>
    <n v="6346.88"/>
    <n v="50775.040000000001"/>
    <n v="38462.9"/>
    <n v="12312.14"/>
    <s v="Cash"/>
  </r>
  <r>
    <s v="ORD104081"/>
    <s v="2025-02-02"/>
    <x v="8"/>
    <s v="South"/>
    <s v="Karnataka"/>
    <s v="Bengaluru"/>
    <x v="2"/>
    <x v="10"/>
    <s v="CUST1755"/>
    <s v="SP_03"/>
    <n v="4"/>
    <n v="19581.54"/>
    <n v="78326.16"/>
    <n v="57936.63"/>
    <n v="20389.53"/>
    <s v="Credit Card"/>
  </r>
  <r>
    <s v="ORD104082"/>
    <s v="2025-01-16"/>
    <x v="9"/>
    <s v="East"/>
    <s v="West Bengal"/>
    <s v="Kolkata"/>
    <x v="0"/>
    <x v="0"/>
    <s v="CUST1990"/>
    <s v="SP_10"/>
    <n v="7"/>
    <n v="3361.94"/>
    <n v="23533.58"/>
    <n v="14733.69"/>
    <n v="8799.89"/>
    <s v="Credit Card"/>
  </r>
  <r>
    <s v="ORD104083"/>
    <s v="2025-04-02"/>
    <x v="0"/>
    <s v="South"/>
    <s v="Karnataka"/>
    <s v="Bengaluru"/>
    <x v="3"/>
    <x v="3"/>
    <s v="CUST1237"/>
    <s v="SP_07"/>
    <n v="8"/>
    <n v="27.05"/>
    <n v="216.4"/>
    <n v="83.68"/>
    <n v="132.72"/>
    <s v="Cash"/>
  </r>
  <r>
    <s v="ORD104084"/>
    <s v="2025-08-21"/>
    <x v="11"/>
    <s v="East"/>
    <s v="Odisha"/>
    <s v="Bhubaneswar"/>
    <x v="0"/>
    <x v="0"/>
    <s v="CUST1767"/>
    <s v="SP_09"/>
    <n v="5"/>
    <n v="3592.22"/>
    <n v="17961.099999999999"/>
    <n v="11522.27"/>
    <n v="6438.83"/>
    <s v="Cash"/>
  </r>
  <r>
    <s v="ORD104085"/>
    <s v="2025-05-04"/>
    <x v="3"/>
    <s v="West"/>
    <s v="Gujarat"/>
    <s v="Ahmedabad"/>
    <x v="0"/>
    <x v="0"/>
    <s v="CUST1159"/>
    <s v="SP_06"/>
    <n v="1"/>
    <n v="3617.67"/>
    <n v="3617.67"/>
    <n v="2134.4499999999998"/>
    <n v="1483.22"/>
    <s v="Debit Card"/>
  </r>
  <r>
    <s v="ORD104086"/>
    <s v="2025-12-11"/>
    <x v="7"/>
    <s v="North"/>
    <s v="Uttar Pradesh"/>
    <s v="Lucknow"/>
    <x v="2"/>
    <x v="10"/>
    <s v="CUST1760"/>
    <s v="SP_05"/>
    <n v="2"/>
    <n v="18299.830000000002"/>
    <n v="36599.660000000003"/>
    <n v="27989.53"/>
    <n v="8610.1299999999992"/>
    <s v="Cash"/>
  </r>
  <r>
    <s v="ORD104087"/>
    <s v="2025-03-11"/>
    <x v="4"/>
    <s v="East"/>
    <s v="West Bengal"/>
    <s v="Kolkata"/>
    <x v="3"/>
    <x v="11"/>
    <s v="CUST1927"/>
    <s v="SP_01"/>
    <n v="4"/>
    <n v="129.13"/>
    <n v="516.52"/>
    <n v="250.43"/>
    <n v="266.08999999999997"/>
    <s v="UPI"/>
  </r>
  <r>
    <s v="ORD104088"/>
    <s v="2025-01-21"/>
    <x v="9"/>
    <s v="West"/>
    <s v="Rajasthan"/>
    <s v="Jaipur"/>
    <x v="3"/>
    <x v="11"/>
    <s v="CUST1969"/>
    <s v="SP_15"/>
    <n v="2"/>
    <n v="112.64"/>
    <n v="225.28"/>
    <n v="121.69"/>
    <n v="103.59"/>
    <s v="Debit Card"/>
  </r>
  <r>
    <s v="ORD104089"/>
    <s v="2025-05-18"/>
    <x v="3"/>
    <s v="North"/>
    <s v="Punjab"/>
    <s v="Chandigarh"/>
    <x v="2"/>
    <x v="4"/>
    <s v="CUST1907"/>
    <s v="SP_06"/>
    <n v="3"/>
    <n v="2738.52"/>
    <n v="8215.56"/>
    <n v="4760"/>
    <n v="3455.56"/>
    <s v="Debit Card"/>
  </r>
  <r>
    <s v="ORD104090"/>
    <s v="2025-02-05"/>
    <x v="8"/>
    <s v="South"/>
    <s v="Tamil Nadu"/>
    <s v="Chennai"/>
    <x v="3"/>
    <x v="7"/>
    <s v="CUST1751"/>
    <s v="SP_10"/>
    <n v="8"/>
    <n v="13088.72"/>
    <n v="104709.75999999999"/>
    <n v="73355.62"/>
    <n v="31354.14"/>
    <s v="UPI"/>
  </r>
  <r>
    <s v="ORD104091"/>
    <s v="2025-03-29"/>
    <x v="4"/>
    <s v="West"/>
    <s v="Maharashtra"/>
    <s v="Mumbai"/>
    <x v="1"/>
    <x v="6"/>
    <s v="CUST1294"/>
    <s v="SP_12"/>
    <n v="6"/>
    <n v="2967.29"/>
    <n v="17803.740000000002"/>
    <n v="14663.06"/>
    <n v="3140.68"/>
    <s v="Cash"/>
  </r>
  <r>
    <s v="ORD104092"/>
    <s v="2025-09-28"/>
    <x v="5"/>
    <s v="West"/>
    <s v="Rajasthan"/>
    <s v="Jaipur"/>
    <x v="2"/>
    <x v="10"/>
    <s v="CUST1795"/>
    <s v="SP_04"/>
    <n v="8"/>
    <n v="18717.12"/>
    <n v="149736.95999999999"/>
    <n v="114213.03"/>
    <n v="35523.93"/>
    <s v="Cash"/>
  </r>
  <r>
    <s v="ORD104093"/>
    <s v="2025-09-30"/>
    <x v="5"/>
    <s v="North"/>
    <s v="Punjab"/>
    <s v="Chandigarh"/>
    <x v="2"/>
    <x v="2"/>
    <s v="CUST1333"/>
    <s v="SP_15"/>
    <n v="8"/>
    <n v="47576.78"/>
    <n v="380614.24"/>
    <n v="271117.37"/>
    <n v="109496.87"/>
    <s v="UPI"/>
  </r>
  <r>
    <s v="ORD104094"/>
    <s v="2025-05-22"/>
    <x v="3"/>
    <s v="North"/>
    <s v="Delhi"/>
    <s v="Delhi"/>
    <x v="3"/>
    <x v="3"/>
    <s v="CUST1291"/>
    <s v="SP_10"/>
    <n v="2"/>
    <n v="26.66"/>
    <n v="53.32"/>
    <n v="20.63"/>
    <n v="32.69"/>
    <s v="UPI"/>
  </r>
  <r>
    <s v="ORD104095"/>
    <s v="2025-06-20"/>
    <x v="2"/>
    <s v="South"/>
    <s v="Telangana"/>
    <s v="Hyderabad"/>
    <x v="3"/>
    <x v="11"/>
    <s v="CUST1684"/>
    <s v="SP_12"/>
    <n v="6"/>
    <n v="119.71"/>
    <n v="718.26"/>
    <n v="347.39"/>
    <n v="370.87"/>
    <s v="Debit Card"/>
  </r>
  <r>
    <s v="ORD104096"/>
    <s v="2025-07-09"/>
    <x v="6"/>
    <s v="East"/>
    <s v="West Bengal"/>
    <s v="Kolkata"/>
    <x v="3"/>
    <x v="3"/>
    <s v="CUST1418"/>
    <s v="SP_09"/>
    <n v="4"/>
    <n v="23.6"/>
    <n v="94.4"/>
    <n v="40.659999999999997"/>
    <n v="53.74"/>
    <s v="Net Banking"/>
  </r>
  <r>
    <s v="ORD104097"/>
    <s v="2025-09-22"/>
    <x v="5"/>
    <s v="East"/>
    <s v="West Bengal"/>
    <s v="Kolkata"/>
    <x v="2"/>
    <x v="10"/>
    <s v="CUST1251"/>
    <s v="SP_04"/>
    <n v="2"/>
    <n v="19332.96"/>
    <n v="38665.919999999998"/>
    <n v="28947.98"/>
    <n v="9717.94"/>
    <s v="Credit Card"/>
  </r>
  <r>
    <s v="ORD104098"/>
    <s v="2025-07-22"/>
    <x v="6"/>
    <s v="West"/>
    <s v="Gujarat"/>
    <s v="Ahmedabad"/>
    <x v="0"/>
    <x v="8"/>
    <s v="CUST1907"/>
    <s v="SP_15"/>
    <n v="2"/>
    <n v="22934.95"/>
    <n v="45869.9"/>
    <n v="34185.86"/>
    <n v="11684.04"/>
    <s v="Credit Card"/>
  </r>
  <r>
    <s v="ORD104099"/>
    <s v="2025-10-02"/>
    <x v="1"/>
    <s v="South"/>
    <s v="Tamil Nadu"/>
    <s v="Chennai"/>
    <x v="3"/>
    <x v="3"/>
    <s v="CUST1548"/>
    <s v="SP_01"/>
    <n v="8"/>
    <n v="25"/>
    <n v="200"/>
    <n v="76.23"/>
    <n v="123.77"/>
    <s v="Credit Card"/>
  </r>
  <r>
    <s v="ORD104100"/>
    <s v="2025-10-02"/>
    <x v="1"/>
    <s v="South"/>
    <s v="Karnataka"/>
    <s v="Bengaluru"/>
    <x v="2"/>
    <x v="4"/>
    <s v="CUST1720"/>
    <s v="SP_01"/>
    <n v="6"/>
    <n v="2266.0700000000002"/>
    <n v="13596.42"/>
    <n v="9462.42"/>
    <n v="4134"/>
    <s v="UPI"/>
  </r>
  <r>
    <s v="ORD104101"/>
    <s v="2025-09-24"/>
    <x v="5"/>
    <s v="East"/>
    <s v="Odisha"/>
    <s v="Bhubaneswar"/>
    <x v="2"/>
    <x v="10"/>
    <s v="CUST1295"/>
    <s v="SP_13"/>
    <n v="4"/>
    <n v="19450.439999999999"/>
    <n v="77801.759999999995"/>
    <n v="57697.73"/>
    <n v="20104.03"/>
    <s v="Debit Card"/>
  </r>
  <r>
    <s v="ORD104102"/>
    <s v="2025-02-11"/>
    <x v="8"/>
    <s v="East"/>
    <s v="Odisha"/>
    <s v="Bhubaneswar"/>
    <x v="2"/>
    <x v="4"/>
    <s v="CUST1624"/>
    <s v="SP_02"/>
    <n v="8"/>
    <n v="2335.13"/>
    <n v="18681.04"/>
    <n v="13318.31"/>
    <n v="5362.73"/>
    <s v="Credit Card"/>
  </r>
  <r>
    <s v="ORD104103"/>
    <s v="2025-06-05"/>
    <x v="2"/>
    <s v="West"/>
    <s v="Maharashtra"/>
    <s v="Mumbai"/>
    <x v="3"/>
    <x v="7"/>
    <s v="CUST1650"/>
    <s v="SP_05"/>
    <n v="2"/>
    <n v="10948.09"/>
    <n v="21896.18"/>
    <n v="17316.22"/>
    <n v="4579.96"/>
    <s v="UPI"/>
  </r>
  <r>
    <s v="ORD104104"/>
    <s v="2025-11-05"/>
    <x v="10"/>
    <s v="West"/>
    <s v="Rajasthan"/>
    <s v="Jaipur"/>
    <x v="3"/>
    <x v="7"/>
    <s v="CUST1625"/>
    <s v="SP_08"/>
    <n v="8"/>
    <n v="12029.17"/>
    <n v="96233.36"/>
    <n v="73313.17"/>
    <n v="22920.19"/>
    <s v="Cash"/>
  </r>
  <r>
    <s v="ORD104105"/>
    <s v="2025-07-12"/>
    <x v="6"/>
    <s v="South"/>
    <s v="Tamil Nadu"/>
    <s v="Chennai"/>
    <x v="3"/>
    <x v="7"/>
    <s v="CUST1183"/>
    <s v="SP_03"/>
    <n v="5"/>
    <n v="12929.89"/>
    <n v="64649.45"/>
    <n v="47190.07"/>
    <n v="17459.38"/>
    <s v="Debit Card"/>
  </r>
  <r>
    <s v="ORD104106"/>
    <s v="2025-07-19"/>
    <x v="6"/>
    <s v="North"/>
    <s v="Delhi"/>
    <s v="Delhi"/>
    <x v="1"/>
    <x v="1"/>
    <s v="CUST1037"/>
    <s v="SP_12"/>
    <n v="4"/>
    <n v="2950.82"/>
    <n v="11803.28"/>
    <n v="7682.43"/>
    <n v="4120.8500000000004"/>
    <s v="UPI"/>
  </r>
  <r>
    <s v="ORD104107"/>
    <s v="2025-10-03"/>
    <x v="1"/>
    <s v="North"/>
    <s v="Uttar Pradesh"/>
    <s v="Lucknow"/>
    <x v="2"/>
    <x v="10"/>
    <s v="CUST1508"/>
    <s v="SP_04"/>
    <n v="8"/>
    <n v="16882.36"/>
    <n v="135058.88"/>
    <n v="109170.26"/>
    <n v="25888.62"/>
    <s v="Debit Card"/>
  </r>
  <r>
    <s v="ORD104108"/>
    <s v="2025-08-21"/>
    <x v="11"/>
    <s v="North"/>
    <s v="Punjab"/>
    <s v="Chandigarh"/>
    <x v="3"/>
    <x v="7"/>
    <s v="CUST1113"/>
    <s v="SP_06"/>
    <n v="2"/>
    <n v="12753.26"/>
    <n v="25506.52"/>
    <n v="17425.400000000001"/>
    <n v="8081.12"/>
    <s v="UPI"/>
  </r>
  <r>
    <s v="ORD104109"/>
    <s v="2025-12-06"/>
    <x v="7"/>
    <s v="North"/>
    <s v="Delhi"/>
    <s v="Delhi"/>
    <x v="0"/>
    <x v="8"/>
    <s v="CUST1263"/>
    <s v="SP_05"/>
    <n v="2"/>
    <n v="23473.88"/>
    <n v="46947.76"/>
    <n v="34408.1"/>
    <n v="12539.66"/>
    <s v="Cash"/>
  </r>
  <r>
    <s v="ORD104110"/>
    <s v="2025-03-02"/>
    <x v="4"/>
    <s v="East"/>
    <s v="Odisha"/>
    <s v="Bhubaneswar"/>
    <x v="0"/>
    <x v="0"/>
    <s v="CUST1630"/>
    <s v="SP_13"/>
    <n v="7"/>
    <n v="3663.99"/>
    <n v="25647.93"/>
    <n v="15718.51"/>
    <n v="9929.42"/>
    <s v="Net Banking"/>
  </r>
  <r>
    <s v="ORD104111"/>
    <s v="2025-12-23"/>
    <x v="7"/>
    <s v="North"/>
    <s v="Delhi"/>
    <s v="Delhi"/>
    <x v="1"/>
    <x v="5"/>
    <s v="CUST1963"/>
    <s v="SP_09"/>
    <n v="1"/>
    <n v="8778.0400000000009"/>
    <n v="8778.0400000000009"/>
    <n v="7295.49"/>
    <n v="1482.55"/>
    <s v="Net Banking"/>
  </r>
  <r>
    <s v="ORD104112"/>
    <s v="2025-04-02"/>
    <x v="0"/>
    <s v="East"/>
    <s v="West Bengal"/>
    <s v="Kolkata"/>
    <x v="3"/>
    <x v="11"/>
    <s v="CUST1663"/>
    <s v="SP_01"/>
    <n v="8"/>
    <n v="109.18"/>
    <n v="873.44"/>
    <n v="499.21"/>
    <n v="374.23"/>
    <s v="Debit Card"/>
  </r>
  <r>
    <s v="ORD104113"/>
    <s v="2025-03-10"/>
    <x v="4"/>
    <s v="East"/>
    <s v="Bihar"/>
    <s v="Patna"/>
    <x v="2"/>
    <x v="2"/>
    <s v="CUST1733"/>
    <s v="SP_14"/>
    <n v="6"/>
    <n v="47615.87"/>
    <n v="285695.21999999997"/>
    <n v="216213.84"/>
    <n v="69481.38"/>
    <s v="Cash"/>
  </r>
  <r>
    <s v="ORD104114"/>
    <s v="2025-12-15"/>
    <x v="7"/>
    <s v="East"/>
    <s v="West Bengal"/>
    <s v="Kolkata"/>
    <x v="2"/>
    <x v="2"/>
    <s v="CUST1141"/>
    <s v="SP_07"/>
    <n v="8"/>
    <n v="47660.24"/>
    <n v="381281.92"/>
    <n v="287292.87"/>
    <n v="93989.05"/>
    <s v="Debit Card"/>
  </r>
  <r>
    <s v="ORD104115"/>
    <s v="2025-12-19"/>
    <x v="7"/>
    <s v="North"/>
    <s v="Uttar Pradesh"/>
    <s v="Lucknow"/>
    <x v="2"/>
    <x v="4"/>
    <s v="CUST1225"/>
    <s v="SP_02"/>
    <n v="2"/>
    <n v="2250.4499999999998"/>
    <n v="4500.8999999999996"/>
    <n v="3321"/>
    <n v="1179.9000000000001"/>
    <s v="Credit Card"/>
  </r>
  <r>
    <s v="ORD104116"/>
    <s v="2025-06-28"/>
    <x v="2"/>
    <s v="North"/>
    <s v="Delhi"/>
    <s v="Delhi"/>
    <x v="3"/>
    <x v="3"/>
    <s v="CUST1719"/>
    <s v="SP_14"/>
    <n v="2"/>
    <n v="25.8"/>
    <n v="51.6"/>
    <n v="19.079999999999998"/>
    <n v="32.520000000000003"/>
    <s v="UPI"/>
  </r>
  <r>
    <s v="ORD104117"/>
    <s v="2025-09-21"/>
    <x v="5"/>
    <s v="West"/>
    <s v="Rajasthan"/>
    <s v="Jaipur"/>
    <x v="0"/>
    <x v="8"/>
    <s v="CUST1975"/>
    <s v="SP_11"/>
    <n v="4"/>
    <n v="21621.55"/>
    <n v="86486.2"/>
    <n v="70375.12"/>
    <n v="16111.08"/>
    <s v="UPI"/>
  </r>
  <r>
    <s v="ORD104118"/>
    <s v="2025-02-01"/>
    <x v="8"/>
    <s v="East"/>
    <s v="Bihar"/>
    <s v="Patna"/>
    <x v="1"/>
    <x v="1"/>
    <s v="CUST1952"/>
    <s v="SP_07"/>
    <n v="1"/>
    <n v="2647.47"/>
    <n v="2647.47"/>
    <n v="1944.99"/>
    <n v="702.48"/>
    <s v="Net Banking"/>
  </r>
  <r>
    <s v="ORD104119"/>
    <s v="2025-01-06"/>
    <x v="9"/>
    <s v="East"/>
    <s v="Odisha"/>
    <s v="Bhubaneswar"/>
    <x v="1"/>
    <x v="5"/>
    <s v="CUST1835"/>
    <s v="SP_08"/>
    <n v="3"/>
    <n v="8680.41"/>
    <n v="26041.23"/>
    <n v="23643.79"/>
    <n v="2397.44"/>
    <s v="Debit Card"/>
  </r>
  <r>
    <s v="ORD104120"/>
    <s v="2025-10-16"/>
    <x v="1"/>
    <s v="South"/>
    <s v="Karnataka"/>
    <s v="Bengaluru"/>
    <x v="0"/>
    <x v="0"/>
    <s v="CUST1920"/>
    <s v="SP_02"/>
    <n v="7"/>
    <n v="3203.05"/>
    <n v="22421.35"/>
    <n v="16099.24"/>
    <n v="6322.11"/>
    <s v="Debit Card"/>
  </r>
  <r>
    <s v="ORD104121"/>
    <s v="2025-08-01"/>
    <x v="11"/>
    <s v="East"/>
    <s v="Bihar"/>
    <s v="Patna"/>
    <x v="1"/>
    <x v="5"/>
    <s v="CUST1913"/>
    <s v="SP_11"/>
    <n v="2"/>
    <n v="9254.14"/>
    <n v="18508.28"/>
    <n v="15138.44"/>
    <n v="3369.84"/>
    <s v="Cash"/>
  </r>
  <r>
    <s v="ORD104122"/>
    <s v="2025-05-11"/>
    <x v="3"/>
    <s v="South"/>
    <s v="Telangana"/>
    <s v="Hyderabad"/>
    <x v="3"/>
    <x v="3"/>
    <s v="CUST1966"/>
    <s v="SP_03"/>
    <n v="6"/>
    <n v="23.6"/>
    <n v="141.6"/>
    <n v="57.11"/>
    <n v="84.49"/>
    <s v="UPI"/>
  </r>
  <r>
    <s v="ORD104123"/>
    <s v="2025-08-01"/>
    <x v="11"/>
    <s v="West"/>
    <s v="Gujarat"/>
    <s v="Ahmedabad"/>
    <x v="2"/>
    <x v="4"/>
    <s v="CUST1177"/>
    <s v="SP_08"/>
    <n v="3"/>
    <n v="2368.84"/>
    <n v="7106.52"/>
    <n v="4816.2"/>
    <n v="2290.3200000000002"/>
    <s v="Net Banking"/>
  </r>
  <r>
    <s v="ORD104124"/>
    <s v="2025-09-12"/>
    <x v="5"/>
    <s v="North"/>
    <s v="Delhi"/>
    <s v="Delhi"/>
    <x v="2"/>
    <x v="10"/>
    <s v="CUST1657"/>
    <s v="SP_06"/>
    <n v="3"/>
    <n v="17125.79"/>
    <n v="51377.37"/>
    <n v="40329.870000000003"/>
    <n v="11047.5"/>
    <s v="UPI"/>
  </r>
  <r>
    <s v="ORD104125"/>
    <s v="2025-04-16"/>
    <x v="0"/>
    <s v="North"/>
    <s v="Delhi"/>
    <s v="Delhi"/>
    <x v="1"/>
    <x v="6"/>
    <s v="CUST1839"/>
    <s v="SP_02"/>
    <n v="1"/>
    <n v="2990.49"/>
    <n v="2990.49"/>
    <n v="2288.48"/>
    <n v="702.01"/>
    <s v="Debit Card"/>
  </r>
  <r>
    <s v="ORD104126"/>
    <s v="2025-02-16"/>
    <x v="8"/>
    <s v="East"/>
    <s v="Bihar"/>
    <s v="Patna"/>
    <x v="1"/>
    <x v="5"/>
    <s v="CUST1227"/>
    <s v="SP_14"/>
    <n v="8"/>
    <n v="10226.09"/>
    <n v="81808.72"/>
    <n v="63724.66"/>
    <n v="18084.060000000001"/>
    <s v="Credit Card"/>
  </r>
  <r>
    <s v="ORD104127"/>
    <s v="2025-05-22"/>
    <x v="3"/>
    <s v="East"/>
    <s v="West Bengal"/>
    <s v="Kolkata"/>
    <x v="3"/>
    <x v="7"/>
    <s v="CUST1606"/>
    <s v="SP_01"/>
    <n v="2"/>
    <n v="11807.35"/>
    <n v="23614.7"/>
    <n v="17955.02"/>
    <n v="5659.68"/>
    <s v="Cash"/>
  </r>
  <r>
    <s v="ORD104128"/>
    <s v="2025-07-17"/>
    <x v="6"/>
    <s v="North"/>
    <s v="Punjab"/>
    <s v="Chandigarh"/>
    <x v="3"/>
    <x v="7"/>
    <s v="CUST1915"/>
    <s v="SP_15"/>
    <n v="7"/>
    <n v="12129.61"/>
    <n v="84907.27"/>
    <n v="62391.15"/>
    <n v="22516.12"/>
    <s v="UPI"/>
  </r>
  <r>
    <s v="ORD104129"/>
    <s v="2025-09-02"/>
    <x v="5"/>
    <s v="West"/>
    <s v="Maharashtra"/>
    <s v="Mumbai"/>
    <x v="2"/>
    <x v="10"/>
    <s v="CUST1634"/>
    <s v="SP_08"/>
    <n v="7"/>
    <n v="19260.38"/>
    <n v="134822.66"/>
    <n v="98629.68"/>
    <n v="36192.980000000003"/>
    <s v="UPI"/>
  </r>
  <r>
    <s v="ORD104130"/>
    <s v="2025-08-31"/>
    <x v="11"/>
    <s v="North"/>
    <s v="Uttar Pradesh"/>
    <s v="Lucknow"/>
    <x v="2"/>
    <x v="2"/>
    <s v="CUST1793"/>
    <s v="SP_03"/>
    <n v="8"/>
    <n v="48426.22"/>
    <n v="387409.76"/>
    <n v="280042.37"/>
    <n v="107367.39"/>
    <s v="Cash"/>
  </r>
  <r>
    <s v="ORD104131"/>
    <s v="2025-01-30"/>
    <x v="9"/>
    <s v="West"/>
    <s v="Gujarat"/>
    <s v="Ahmedabad"/>
    <x v="1"/>
    <x v="1"/>
    <s v="CUST1514"/>
    <s v="SP_05"/>
    <n v="4"/>
    <n v="2855.38"/>
    <n v="11421.52"/>
    <n v="7551.28"/>
    <n v="3870.24"/>
    <s v="Net Banking"/>
  </r>
  <r>
    <s v="ORD104132"/>
    <s v="2025-07-06"/>
    <x v="6"/>
    <s v="East"/>
    <s v="Bihar"/>
    <s v="Patna"/>
    <x v="3"/>
    <x v="7"/>
    <s v="CUST1757"/>
    <s v="SP_04"/>
    <n v="1"/>
    <n v="11225.52"/>
    <n v="11225.52"/>
    <n v="8904.9"/>
    <n v="2320.62"/>
    <s v="UPI"/>
  </r>
  <r>
    <s v="ORD104133"/>
    <s v="2025-12-03"/>
    <x v="7"/>
    <s v="South"/>
    <s v="Telangana"/>
    <s v="Hyderabad"/>
    <x v="2"/>
    <x v="2"/>
    <s v="CUST1875"/>
    <s v="SP_07"/>
    <n v="3"/>
    <n v="43925.3"/>
    <n v="131775.9"/>
    <n v="108279.41"/>
    <n v="23496.49"/>
    <s v="Cash"/>
  </r>
  <r>
    <s v="ORD104134"/>
    <s v="2025-10-01"/>
    <x v="1"/>
    <s v="East"/>
    <s v="Odisha"/>
    <s v="Bhubaneswar"/>
    <x v="0"/>
    <x v="9"/>
    <s v="CUST1986"/>
    <s v="SP_14"/>
    <n v="6"/>
    <n v="6717.96"/>
    <n v="40307.760000000002"/>
    <n v="29228.62"/>
    <n v="11079.14"/>
    <s v="Credit Card"/>
  </r>
  <r>
    <s v="ORD104135"/>
    <s v="2025-03-04"/>
    <x v="4"/>
    <s v="East"/>
    <s v="Bihar"/>
    <s v="Patna"/>
    <x v="0"/>
    <x v="0"/>
    <s v="CUST1045"/>
    <s v="SP_05"/>
    <n v="5"/>
    <n v="3716.5"/>
    <n v="18582.5"/>
    <n v="11466.48"/>
    <n v="7116.02"/>
    <s v="Credit Card"/>
  </r>
  <r>
    <s v="ORD104136"/>
    <s v="2025-11-28"/>
    <x v="10"/>
    <s v="South"/>
    <s v="Telangana"/>
    <s v="Hyderabad"/>
    <x v="3"/>
    <x v="11"/>
    <s v="CUST1851"/>
    <s v="SP_01"/>
    <n v="4"/>
    <n v="122.1"/>
    <n v="488.4"/>
    <n v="229.19"/>
    <n v="259.20999999999998"/>
    <s v="Cash"/>
  </r>
  <r>
    <s v="ORD104137"/>
    <s v="2025-11-04"/>
    <x v="10"/>
    <s v="West"/>
    <s v="Maharashtra"/>
    <s v="Mumbai"/>
    <x v="3"/>
    <x v="7"/>
    <s v="CUST1512"/>
    <s v="SP_12"/>
    <n v="6"/>
    <n v="11151.95"/>
    <n v="66911.7"/>
    <n v="54939.35"/>
    <n v="11972.35"/>
    <s v="Credit Card"/>
  </r>
  <r>
    <s v="ORD104138"/>
    <s v="2025-06-21"/>
    <x v="2"/>
    <s v="South"/>
    <s v="Tamil Nadu"/>
    <s v="Chennai"/>
    <x v="3"/>
    <x v="3"/>
    <s v="CUST1654"/>
    <s v="SP_05"/>
    <n v="7"/>
    <n v="26.92"/>
    <n v="188.44"/>
    <n v="69.040000000000006"/>
    <n v="119.4"/>
    <s v="Credit Card"/>
  </r>
  <r>
    <s v="ORD104139"/>
    <s v="2025-04-11"/>
    <x v="0"/>
    <s v="East"/>
    <s v="Bihar"/>
    <s v="Patna"/>
    <x v="2"/>
    <x v="4"/>
    <s v="CUST1372"/>
    <s v="SP_05"/>
    <n v="5"/>
    <n v="2529.33"/>
    <n v="12646.65"/>
    <n v="8371.23"/>
    <n v="4275.42"/>
    <s v="UPI"/>
  </r>
  <r>
    <s v="ORD104140"/>
    <s v="2025-06-18"/>
    <x v="2"/>
    <s v="West"/>
    <s v="Rajasthan"/>
    <s v="Jaipur"/>
    <x v="3"/>
    <x v="3"/>
    <s v="CUST1316"/>
    <s v="SP_02"/>
    <n v="3"/>
    <n v="24.47"/>
    <n v="73.41"/>
    <n v="30.23"/>
    <n v="43.18"/>
    <s v="Credit Card"/>
  </r>
  <r>
    <s v="ORD104141"/>
    <s v="2025-03-02"/>
    <x v="4"/>
    <s v="North"/>
    <s v="Uttar Pradesh"/>
    <s v="Lucknow"/>
    <x v="1"/>
    <x v="6"/>
    <s v="CUST1726"/>
    <s v="SP_06"/>
    <n v="6"/>
    <n v="2961.18"/>
    <n v="17767.080000000002"/>
    <n v="15087.49"/>
    <n v="2679.59"/>
    <s v="Net Banking"/>
  </r>
  <r>
    <s v="ORD104142"/>
    <s v="2025-06-09"/>
    <x v="2"/>
    <s v="North"/>
    <s v="Delhi"/>
    <s v="Delhi"/>
    <x v="2"/>
    <x v="2"/>
    <s v="CUST1757"/>
    <s v="SP_15"/>
    <n v="8"/>
    <n v="43530.5"/>
    <n v="348244"/>
    <n v="291381.39"/>
    <n v="56862.61"/>
    <s v="Credit Card"/>
  </r>
  <r>
    <s v="ORD104143"/>
    <s v="2025-03-20"/>
    <x v="4"/>
    <s v="North"/>
    <s v="Delhi"/>
    <s v="Delhi"/>
    <x v="0"/>
    <x v="0"/>
    <s v="CUST1081"/>
    <s v="SP_07"/>
    <n v="6"/>
    <n v="3731.37"/>
    <n v="22388.22"/>
    <n v="12631.39"/>
    <n v="9756.83"/>
    <s v="Net Banking"/>
  </r>
  <r>
    <s v="ORD104144"/>
    <s v="2025-10-04"/>
    <x v="1"/>
    <s v="South"/>
    <s v="Tamil Nadu"/>
    <s v="Chennai"/>
    <x v="1"/>
    <x v="6"/>
    <s v="CUST1813"/>
    <s v="SP_14"/>
    <n v="4"/>
    <n v="2978.04"/>
    <n v="11912.16"/>
    <n v="9195.7800000000007"/>
    <n v="2716.38"/>
    <s v="Credit Card"/>
  </r>
  <r>
    <s v="ORD104145"/>
    <s v="2025-07-10"/>
    <x v="6"/>
    <s v="North"/>
    <s v="Delhi"/>
    <s v="Delhi"/>
    <x v="1"/>
    <x v="1"/>
    <s v="CUST1939"/>
    <s v="SP_06"/>
    <n v="3"/>
    <n v="2700.77"/>
    <n v="8102.31"/>
    <n v="5555.21"/>
    <n v="2547.1"/>
    <s v="UPI"/>
  </r>
  <r>
    <s v="ORD104146"/>
    <s v="2025-01-03"/>
    <x v="9"/>
    <s v="West"/>
    <s v="Rajasthan"/>
    <s v="Jaipur"/>
    <x v="1"/>
    <x v="1"/>
    <s v="CUST1864"/>
    <s v="SP_07"/>
    <n v="2"/>
    <n v="2803.43"/>
    <n v="5606.86"/>
    <n v="3611"/>
    <n v="1995.86"/>
    <s v="Credit Card"/>
  </r>
  <r>
    <s v="ORD104147"/>
    <s v="2025-03-04"/>
    <x v="4"/>
    <s v="West"/>
    <s v="Gujarat"/>
    <s v="Ahmedabad"/>
    <x v="3"/>
    <x v="11"/>
    <s v="CUST1084"/>
    <s v="SP_04"/>
    <n v="4"/>
    <n v="120.76"/>
    <n v="483.04"/>
    <n v="244.93"/>
    <n v="238.11"/>
    <s v="Net Banking"/>
  </r>
  <r>
    <s v="ORD104148"/>
    <s v="2025-07-13"/>
    <x v="6"/>
    <s v="West"/>
    <s v="Maharashtra"/>
    <s v="Mumbai"/>
    <x v="0"/>
    <x v="9"/>
    <s v="CUST1453"/>
    <s v="SP_10"/>
    <n v="4"/>
    <n v="6319.72"/>
    <n v="25278.880000000001"/>
    <n v="20625.29"/>
    <n v="4653.59"/>
    <s v="Net Banking"/>
  </r>
  <r>
    <s v="ORD104149"/>
    <s v="2025-12-10"/>
    <x v="7"/>
    <s v="South"/>
    <s v="Telangana"/>
    <s v="Hyderabad"/>
    <x v="3"/>
    <x v="3"/>
    <s v="CUST1559"/>
    <s v="SP_12"/>
    <n v="5"/>
    <n v="23.27"/>
    <n v="116.35"/>
    <n v="51.85"/>
    <n v="64.5"/>
    <s v="UPI"/>
  </r>
  <r>
    <s v="ORD104150"/>
    <s v="2025-04-22"/>
    <x v="0"/>
    <s v="South"/>
    <s v="Telangana"/>
    <s v="Hyderabad"/>
    <x v="1"/>
    <x v="5"/>
    <s v="CUST1182"/>
    <s v="SP_05"/>
    <n v="6"/>
    <n v="9907.61"/>
    <n v="59445.66"/>
    <n v="46520.02"/>
    <n v="12925.64"/>
    <s v="UPI"/>
  </r>
  <r>
    <s v="ORD104151"/>
    <s v="2025-08-21"/>
    <x v="11"/>
    <s v="North"/>
    <s v="Punjab"/>
    <s v="Chandigarh"/>
    <x v="0"/>
    <x v="9"/>
    <s v="CUST1666"/>
    <s v="SP_01"/>
    <n v="3"/>
    <n v="6927.9"/>
    <n v="20783.7"/>
    <n v="15451.14"/>
    <n v="5332.56"/>
    <s v="Debit Card"/>
  </r>
  <r>
    <s v="ORD104152"/>
    <s v="2025-05-15"/>
    <x v="3"/>
    <s v="West"/>
    <s v="Gujarat"/>
    <s v="Ahmedabad"/>
    <x v="3"/>
    <x v="11"/>
    <s v="CUST1303"/>
    <s v="SP_08"/>
    <n v="6"/>
    <n v="108.19"/>
    <n v="649.14"/>
    <n v="344.41"/>
    <n v="304.73"/>
    <s v="UPI"/>
  </r>
  <r>
    <s v="ORD104153"/>
    <s v="2025-03-03"/>
    <x v="4"/>
    <s v="North"/>
    <s v="Uttar Pradesh"/>
    <s v="Lucknow"/>
    <x v="3"/>
    <x v="7"/>
    <s v="CUST1813"/>
    <s v="SP_10"/>
    <n v="7"/>
    <n v="11093.73"/>
    <n v="77656.11"/>
    <n v="65648.710000000006"/>
    <n v="12007.4"/>
    <s v="UPI"/>
  </r>
  <r>
    <s v="ORD104154"/>
    <s v="2025-03-29"/>
    <x v="4"/>
    <s v="West"/>
    <s v="Rajasthan"/>
    <s v="Jaipur"/>
    <x v="1"/>
    <x v="6"/>
    <s v="CUST1218"/>
    <s v="SP_07"/>
    <n v="3"/>
    <n v="3114.11"/>
    <n v="9342.33"/>
    <n v="7256.74"/>
    <n v="2085.59"/>
    <s v="Cash"/>
  </r>
  <r>
    <s v="ORD104155"/>
    <s v="2025-06-30"/>
    <x v="2"/>
    <s v="North"/>
    <s v="Delhi"/>
    <s v="Delhi"/>
    <x v="2"/>
    <x v="2"/>
    <s v="CUST1570"/>
    <s v="SP_07"/>
    <n v="1"/>
    <n v="47707.46"/>
    <n v="47707.46"/>
    <n v="34114.769999999997"/>
    <n v="13592.69"/>
    <s v="Debit Card"/>
  </r>
  <r>
    <s v="ORD104156"/>
    <s v="2025-05-10"/>
    <x v="3"/>
    <s v="North"/>
    <s v="Punjab"/>
    <s v="Chandigarh"/>
    <x v="0"/>
    <x v="9"/>
    <s v="CUST1914"/>
    <s v="SP_01"/>
    <n v="5"/>
    <n v="6328.05"/>
    <n v="31640.25"/>
    <n v="24430.65"/>
    <n v="7209.6"/>
    <s v="Net Banking"/>
  </r>
  <r>
    <s v="ORD104157"/>
    <s v="2025-08-08"/>
    <x v="11"/>
    <s v="South"/>
    <s v="Telangana"/>
    <s v="Hyderabad"/>
    <x v="0"/>
    <x v="9"/>
    <s v="CUST1926"/>
    <s v="SP_12"/>
    <n v="8"/>
    <n v="6515.27"/>
    <n v="52122.16"/>
    <n v="38650.61"/>
    <n v="13471.55"/>
    <s v="Credit Card"/>
  </r>
  <r>
    <s v="ORD104158"/>
    <s v="2025-06-02"/>
    <x v="2"/>
    <s v="South"/>
    <s v="Karnataka"/>
    <s v="Bengaluru"/>
    <x v="0"/>
    <x v="0"/>
    <s v="CUST1450"/>
    <s v="SP_13"/>
    <n v="4"/>
    <n v="3515.39"/>
    <n v="14061.56"/>
    <n v="8443.5300000000007"/>
    <n v="5618.03"/>
    <s v="UPI"/>
  </r>
  <r>
    <s v="ORD104159"/>
    <s v="2025-11-11"/>
    <x v="10"/>
    <s v="South"/>
    <s v="Karnataka"/>
    <s v="Bengaluru"/>
    <x v="0"/>
    <x v="9"/>
    <s v="CUST1449"/>
    <s v="SP_09"/>
    <n v="7"/>
    <n v="7381.01"/>
    <n v="51667.07"/>
    <n v="33344.480000000003"/>
    <n v="18322.59"/>
    <s v="Debit Card"/>
  </r>
  <r>
    <s v="ORD104160"/>
    <s v="2025-08-11"/>
    <x v="11"/>
    <s v="South"/>
    <s v="Karnataka"/>
    <s v="Bengaluru"/>
    <x v="0"/>
    <x v="0"/>
    <s v="CUST1353"/>
    <s v="SP_01"/>
    <n v="5"/>
    <n v="3458.69"/>
    <n v="17293.45"/>
    <n v="10962.96"/>
    <n v="6330.49"/>
    <s v="Credit Card"/>
  </r>
  <r>
    <s v="ORD104161"/>
    <s v="2025-07-13"/>
    <x v="6"/>
    <s v="South"/>
    <s v="Tamil Nadu"/>
    <s v="Chennai"/>
    <x v="2"/>
    <x v="4"/>
    <s v="CUST1660"/>
    <s v="SP_05"/>
    <n v="4"/>
    <n v="2493.37"/>
    <n v="9973.48"/>
    <n v="6436.86"/>
    <n v="3536.62"/>
    <s v="UPI"/>
  </r>
  <r>
    <s v="ORD104162"/>
    <s v="2025-11-07"/>
    <x v="10"/>
    <s v="South"/>
    <s v="Telangana"/>
    <s v="Hyderabad"/>
    <x v="0"/>
    <x v="9"/>
    <s v="CUST1724"/>
    <s v="SP_04"/>
    <n v="8"/>
    <n v="6802.48"/>
    <n v="54419.839999999997"/>
    <n v="41012.44"/>
    <n v="13407.4"/>
    <s v="Credit Card"/>
  </r>
  <r>
    <s v="ORD104163"/>
    <s v="2025-05-11"/>
    <x v="3"/>
    <s v="West"/>
    <s v="Maharashtra"/>
    <s v="Mumbai"/>
    <x v="2"/>
    <x v="2"/>
    <s v="CUST1161"/>
    <s v="SP_13"/>
    <n v="5"/>
    <n v="49480.33"/>
    <n v="247401.65"/>
    <n v="167697.41"/>
    <n v="79704.240000000005"/>
    <s v="UPI"/>
  </r>
  <r>
    <s v="ORD104164"/>
    <s v="2025-11-14"/>
    <x v="10"/>
    <s v="East"/>
    <s v="West Bengal"/>
    <s v="Kolkata"/>
    <x v="1"/>
    <x v="6"/>
    <s v="CUST1688"/>
    <s v="SP_01"/>
    <n v="1"/>
    <n v="3209.54"/>
    <n v="3209.54"/>
    <n v="2294.56"/>
    <n v="914.98"/>
    <s v="Debit Card"/>
  </r>
  <r>
    <s v="ORD104165"/>
    <s v="2025-08-07"/>
    <x v="11"/>
    <s v="North"/>
    <s v="Punjab"/>
    <s v="Chandigarh"/>
    <x v="3"/>
    <x v="11"/>
    <s v="CUST1313"/>
    <s v="SP_08"/>
    <n v="5"/>
    <n v="110.01"/>
    <n v="550.04999999999995"/>
    <n v="313.89"/>
    <n v="236.16"/>
    <s v="Net Banking"/>
  </r>
  <r>
    <s v="ORD104166"/>
    <s v="2025-12-21"/>
    <x v="7"/>
    <s v="East"/>
    <s v="Odisha"/>
    <s v="Bhubaneswar"/>
    <x v="3"/>
    <x v="3"/>
    <s v="CUST1267"/>
    <s v="SP_14"/>
    <n v="5"/>
    <n v="26.95"/>
    <n v="134.75"/>
    <n v="49.51"/>
    <n v="85.24"/>
    <s v="Net Banking"/>
  </r>
  <r>
    <s v="ORD104167"/>
    <s v="2025-12-16"/>
    <x v="7"/>
    <s v="North"/>
    <s v="Uttar Pradesh"/>
    <s v="Lucknow"/>
    <x v="0"/>
    <x v="0"/>
    <s v="CUST1175"/>
    <s v="SP_12"/>
    <n v="8"/>
    <n v="3518.1"/>
    <n v="28144.799999999999"/>
    <n v="16919.93"/>
    <n v="11224.87"/>
    <s v="UPI"/>
  </r>
  <r>
    <s v="ORD104168"/>
    <s v="2025-08-17"/>
    <x v="11"/>
    <s v="West"/>
    <s v="Gujarat"/>
    <s v="Ahmedabad"/>
    <x v="3"/>
    <x v="11"/>
    <s v="CUST1172"/>
    <s v="SP_08"/>
    <n v="6"/>
    <n v="116.88"/>
    <n v="701.28"/>
    <n v="372.52"/>
    <n v="328.76"/>
    <s v="Cash"/>
  </r>
  <r>
    <s v="ORD104169"/>
    <s v="2025-02-15"/>
    <x v="8"/>
    <s v="North"/>
    <s v="Punjab"/>
    <s v="Chandigarh"/>
    <x v="1"/>
    <x v="6"/>
    <s v="CUST1168"/>
    <s v="SP_05"/>
    <n v="8"/>
    <n v="3478.76"/>
    <n v="27830.080000000002"/>
    <n v="18776.849999999999"/>
    <n v="9053.23"/>
    <s v="Net Banking"/>
  </r>
  <r>
    <s v="ORD104170"/>
    <s v="2025-07-19"/>
    <x v="6"/>
    <s v="South"/>
    <s v="Tamil Nadu"/>
    <s v="Chennai"/>
    <x v="3"/>
    <x v="11"/>
    <s v="CUST1806"/>
    <s v="SP_10"/>
    <n v="5"/>
    <n v="127.28"/>
    <n v="636.4"/>
    <n v="310.64999999999998"/>
    <n v="325.75"/>
    <s v="UPI"/>
  </r>
  <r>
    <s v="ORD104171"/>
    <s v="2025-05-30"/>
    <x v="3"/>
    <s v="East"/>
    <s v="West Bengal"/>
    <s v="Kolkata"/>
    <x v="2"/>
    <x v="2"/>
    <s v="CUST1523"/>
    <s v="SP_07"/>
    <n v="5"/>
    <n v="44535.49"/>
    <n v="222677.45"/>
    <n v="172224.68"/>
    <n v="50452.77"/>
    <s v="Debit Card"/>
  </r>
  <r>
    <s v="ORD104172"/>
    <s v="2025-07-14"/>
    <x v="6"/>
    <s v="South"/>
    <s v="Tamil Nadu"/>
    <s v="Chennai"/>
    <x v="1"/>
    <x v="5"/>
    <s v="CUST1051"/>
    <s v="SP_10"/>
    <n v="8"/>
    <n v="9119.16"/>
    <n v="72953.279999999999"/>
    <n v="57911.65"/>
    <n v="15041.63"/>
    <s v="Credit Card"/>
  </r>
  <r>
    <s v="ORD104173"/>
    <s v="2025-11-02"/>
    <x v="10"/>
    <s v="North"/>
    <s v="Delhi"/>
    <s v="Delhi"/>
    <x v="2"/>
    <x v="2"/>
    <s v="CUST1313"/>
    <s v="SP_07"/>
    <n v="2"/>
    <n v="46299.14"/>
    <n v="92598.28"/>
    <n v="68949.36"/>
    <n v="23648.92"/>
    <s v="Cash"/>
  </r>
  <r>
    <s v="ORD104174"/>
    <s v="2025-05-17"/>
    <x v="3"/>
    <s v="East"/>
    <s v="West Bengal"/>
    <s v="Kolkata"/>
    <x v="3"/>
    <x v="11"/>
    <s v="CUST1376"/>
    <s v="SP_02"/>
    <n v="3"/>
    <n v="114.72"/>
    <n v="344.16"/>
    <n v="182.25"/>
    <n v="161.91"/>
    <s v="Net Banking"/>
  </r>
  <r>
    <s v="ORD104175"/>
    <s v="2025-11-24"/>
    <x v="10"/>
    <s v="South"/>
    <s v="Tamil Nadu"/>
    <s v="Chennai"/>
    <x v="2"/>
    <x v="4"/>
    <s v="CUST1153"/>
    <s v="SP_13"/>
    <n v="1"/>
    <n v="2337.98"/>
    <n v="2337.98"/>
    <n v="1520.63"/>
    <n v="817.35"/>
    <s v="Credit Card"/>
  </r>
  <r>
    <s v="ORD104176"/>
    <s v="2025-01-08"/>
    <x v="9"/>
    <s v="West"/>
    <s v="Maharashtra"/>
    <s v="Mumbai"/>
    <x v="2"/>
    <x v="2"/>
    <s v="CUST1809"/>
    <s v="SP_05"/>
    <n v="2"/>
    <n v="49499.59"/>
    <n v="98999.18"/>
    <n v="73406.73"/>
    <n v="25592.45"/>
    <s v="Debit Card"/>
  </r>
  <r>
    <s v="ORD104177"/>
    <s v="2025-07-04"/>
    <x v="6"/>
    <s v="East"/>
    <s v="Odisha"/>
    <s v="Bhubaneswar"/>
    <x v="1"/>
    <x v="1"/>
    <s v="CUST1284"/>
    <s v="SP_08"/>
    <n v="4"/>
    <n v="2881.17"/>
    <n v="11524.68"/>
    <n v="7519.67"/>
    <n v="4005.01"/>
    <s v="Credit Card"/>
  </r>
  <r>
    <s v="ORD104178"/>
    <s v="2025-12-29"/>
    <x v="7"/>
    <s v="South"/>
    <s v="Karnataka"/>
    <s v="Bengaluru"/>
    <x v="3"/>
    <x v="3"/>
    <s v="CUST1674"/>
    <s v="SP_06"/>
    <n v="4"/>
    <n v="26.38"/>
    <n v="105.52"/>
    <n v="41.84"/>
    <n v="63.68"/>
    <s v="Debit Card"/>
  </r>
  <r>
    <s v="ORD104179"/>
    <s v="2025-11-13"/>
    <x v="10"/>
    <s v="North"/>
    <s v="Delhi"/>
    <s v="Delhi"/>
    <x v="1"/>
    <x v="6"/>
    <s v="CUST1948"/>
    <s v="SP_08"/>
    <n v="8"/>
    <n v="3447.22"/>
    <n v="27577.759999999998"/>
    <n v="18526.32"/>
    <n v="9051.44"/>
    <s v="Debit Card"/>
  </r>
  <r>
    <s v="ORD104180"/>
    <s v="2025-02-21"/>
    <x v="8"/>
    <s v="East"/>
    <s v="Bihar"/>
    <s v="Patna"/>
    <x v="0"/>
    <x v="9"/>
    <s v="CUST1193"/>
    <s v="SP_14"/>
    <n v="5"/>
    <n v="7356.84"/>
    <n v="36784.199999999997"/>
    <n v="25895.35"/>
    <n v="10888.85"/>
    <s v="Credit Card"/>
  </r>
  <r>
    <s v="ORD104181"/>
    <s v="2025-04-13"/>
    <x v="0"/>
    <s v="West"/>
    <s v="Gujarat"/>
    <s v="Ahmedabad"/>
    <x v="0"/>
    <x v="9"/>
    <s v="CUST1261"/>
    <s v="SP_09"/>
    <n v="5"/>
    <n v="6936.43"/>
    <n v="34682.15"/>
    <n v="23909.59"/>
    <n v="10772.56"/>
    <s v="Cash"/>
  </r>
  <r>
    <s v="ORD104182"/>
    <s v="2025-12-17"/>
    <x v="7"/>
    <s v="South"/>
    <s v="Karnataka"/>
    <s v="Bengaluru"/>
    <x v="1"/>
    <x v="6"/>
    <s v="CUST1304"/>
    <s v="SP_13"/>
    <n v="2"/>
    <n v="2967.25"/>
    <n v="5934.5"/>
    <n v="4851.0600000000004"/>
    <n v="1083.44"/>
    <s v="UPI"/>
  </r>
  <r>
    <s v="ORD104183"/>
    <s v="2025-03-17"/>
    <x v="4"/>
    <s v="South"/>
    <s v="Tamil Nadu"/>
    <s v="Chennai"/>
    <x v="2"/>
    <x v="2"/>
    <s v="CUST1232"/>
    <s v="SP_10"/>
    <n v="4"/>
    <n v="47715.25"/>
    <n v="190861"/>
    <n v="139569.38"/>
    <n v="51291.62"/>
    <s v="Net Banking"/>
  </r>
  <r>
    <s v="ORD104184"/>
    <s v="2025-04-07"/>
    <x v="0"/>
    <s v="East"/>
    <s v="West Bengal"/>
    <s v="Kolkata"/>
    <x v="2"/>
    <x v="2"/>
    <s v="CUST1162"/>
    <s v="SP_15"/>
    <n v="3"/>
    <n v="43839.71"/>
    <n v="131519.13"/>
    <n v="109472.11"/>
    <n v="22047.02"/>
    <s v="Debit Card"/>
  </r>
  <r>
    <s v="ORD104185"/>
    <s v="2025-05-01"/>
    <x v="3"/>
    <s v="West"/>
    <s v="Gujarat"/>
    <s v="Ahmedabad"/>
    <x v="2"/>
    <x v="4"/>
    <s v="CUST1213"/>
    <s v="SP_13"/>
    <n v="2"/>
    <n v="2483.58"/>
    <n v="4967.16"/>
    <n v="3066.35"/>
    <n v="1900.81"/>
    <s v="UPI"/>
  </r>
  <r>
    <s v="ORD104186"/>
    <s v="2025-11-27"/>
    <x v="10"/>
    <s v="South"/>
    <s v="Tamil Nadu"/>
    <s v="Chennai"/>
    <x v="3"/>
    <x v="3"/>
    <s v="CUST1515"/>
    <s v="SP_07"/>
    <n v="2"/>
    <n v="27.08"/>
    <n v="54.16"/>
    <n v="20.190000000000001"/>
    <n v="33.97"/>
    <s v="UPI"/>
  </r>
  <r>
    <s v="ORD104187"/>
    <s v="2025-07-04"/>
    <x v="6"/>
    <s v="South"/>
    <s v="Karnataka"/>
    <s v="Bengaluru"/>
    <x v="2"/>
    <x v="4"/>
    <s v="CUST1750"/>
    <s v="SP_13"/>
    <n v="6"/>
    <n v="2356.2800000000002"/>
    <n v="14137.68"/>
    <n v="9647.23"/>
    <n v="4490.45"/>
    <s v="Debit Card"/>
  </r>
  <r>
    <s v="ORD104188"/>
    <s v="2025-01-31"/>
    <x v="9"/>
    <s v="East"/>
    <s v="Odisha"/>
    <s v="Bhubaneswar"/>
    <x v="1"/>
    <x v="1"/>
    <s v="CUST1791"/>
    <s v="SP_09"/>
    <n v="4"/>
    <n v="3074.04"/>
    <n v="12296.16"/>
    <n v="7381.83"/>
    <n v="4914.33"/>
    <s v="Credit Card"/>
  </r>
  <r>
    <s v="ORD104189"/>
    <s v="2025-03-16"/>
    <x v="4"/>
    <s v="North"/>
    <s v="Delhi"/>
    <s v="Delhi"/>
    <x v="0"/>
    <x v="9"/>
    <s v="CUST1468"/>
    <s v="SP_12"/>
    <n v="1"/>
    <n v="7046.25"/>
    <n v="7046.25"/>
    <n v="5063.4399999999996"/>
    <n v="1982.81"/>
    <s v="Net Banking"/>
  </r>
  <r>
    <s v="ORD104190"/>
    <s v="2025-11-28"/>
    <x v="10"/>
    <s v="North"/>
    <s v="Uttar Pradesh"/>
    <s v="Lucknow"/>
    <x v="1"/>
    <x v="1"/>
    <s v="CUST1818"/>
    <s v="SP_08"/>
    <n v="1"/>
    <n v="2901.07"/>
    <n v="2901.07"/>
    <n v="1944.49"/>
    <n v="956.58"/>
    <s v="Debit Card"/>
  </r>
  <r>
    <s v="ORD104191"/>
    <s v="2025-03-21"/>
    <x v="4"/>
    <s v="East"/>
    <s v="West Bengal"/>
    <s v="Kolkata"/>
    <x v="2"/>
    <x v="4"/>
    <s v="CUST1409"/>
    <s v="SP_11"/>
    <n v="5"/>
    <n v="2664.6"/>
    <n v="13323"/>
    <n v="7882.04"/>
    <n v="5440.96"/>
    <s v="Net Banking"/>
  </r>
  <r>
    <s v="ORD104192"/>
    <s v="2025-02-17"/>
    <x v="8"/>
    <s v="West"/>
    <s v="Gujarat"/>
    <s v="Ahmedabad"/>
    <x v="3"/>
    <x v="11"/>
    <s v="CUST1729"/>
    <s v="SP_06"/>
    <n v="2"/>
    <n v="128.49"/>
    <n v="256.98"/>
    <n v="114.43"/>
    <n v="142.55000000000001"/>
    <s v="Credit Card"/>
  </r>
  <r>
    <s v="ORD104193"/>
    <s v="2025-04-09"/>
    <x v="0"/>
    <s v="South"/>
    <s v="Telangana"/>
    <s v="Hyderabad"/>
    <x v="3"/>
    <x v="3"/>
    <s v="CUST1988"/>
    <s v="SP_01"/>
    <n v="4"/>
    <n v="25.39"/>
    <n v="101.56"/>
    <n v="39.299999999999997"/>
    <n v="62.26"/>
    <s v="Debit Card"/>
  </r>
  <r>
    <s v="ORD104194"/>
    <s v="2025-09-19"/>
    <x v="5"/>
    <s v="North"/>
    <s v="Punjab"/>
    <s v="Chandigarh"/>
    <x v="2"/>
    <x v="4"/>
    <s v="CUST1633"/>
    <s v="SP_14"/>
    <n v="7"/>
    <n v="2482.1"/>
    <n v="17374.7"/>
    <n v="11478.58"/>
    <n v="5896.12"/>
    <s v="Credit Card"/>
  </r>
  <r>
    <s v="ORD104195"/>
    <s v="2025-08-07"/>
    <x v="11"/>
    <s v="South"/>
    <s v="Telangana"/>
    <s v="Hyderabad"/>
    <x v="3"/>
    <x v="3"/>
    <s v="CUST1543"/>
    <s v="SP_04"/>
    <n v="7"/>
    <n v="25.19"/>
    <n v="176.33"/>
    <n v="66.53"/>
    <n v="109.8"/>
    <s v="Debit Card"/>
  </r>
  <r>
    <s v="ORD104196"/>
    <s v="2025-07-24"/>
    <x v="6"/>
    <s v="West"/>
    <s v="Maharashtra"/>
    <s v="Mumbai"/>
    <x v="0"/>
    <x v="9"/>
    <s v="CUST1968"/>
    <s v="SP_01"/>
    <n v="3"/>
    <n v="7141.56"/>
    <n v="21424.68"/>
    <n v="14613.02"/>
    <n v="6811.66"/>
    <s v="Debit Card"/>
  </r>
  <r>
    <s v="ORD104197"/>
    <s v="2025-08-25"/>
    <x v="11"/>
    <s v="East"/>
    <s v="Odisha"/>
    <s v="Bhubaneswar"/>
    <x v="2"/>
    <x v="2"/>
    <s v="CUST1145"/>
    <s v="SP_04"/>
    <n v="1"/>
    <n v="41008.32"/>
    <n v="41008.32"/>
    <n v="33674.019999999997"/>
    <n v="7334.3"/>
    <s v="Net Banking"/>
  </r>
  <r>
    <s v="ORD104198"/>
    <s v="2025-02-19"/>
    <x v="8"/>
    <s v="West"/>
    <s v="Gujarat"/>
    <s v="Ahmedabad"/>
    <x v="3"/>
    <x v="3"/>
    <s v="CUST1858"/>
    <s v="SP_14"/>
    <n v="7"/>
    <n v="24.54"/>
    <n v="171.78"/>
    <n v="70.45"/>
    <n v="101.33"/>
    <s v="Net Banking"/>
  </r>
  <r>
    <s v="ORD104199"/>
    <s v="2025-04-27"/>
    <x v="0"/>
    <s v="East"/>
    <s v="West Bengal"/>
    <s v="Kolkata"/>
    <x v="0"/>
    <x v="8"/>
    <s v="CUST1904"/>
    <s v="SP_06"/>
    <n v="1"/>
    <n v="23187.82"/>
    <n v="23187.82"/>
    <n v="17668.25"/>
    <n v="5519.57"/>
    <s v="Debit Card"/>
  </r>
  <r>
    <s v="ORD104200"/>
    <s v="2025-07-21"/>
    <x v="6"/>
    <s v="East"/>
    <s v="Odisha"/>
    <s v="Bhubaneswar"/>
    <x v="0"/>
    <x v="8"/>
    <s v="CUST1941"/>
    <s v="SP_13"/>
    <n v="5"/>
    <n v="23250.35"/>
    <n v="116251.75"/>
    <n v="87044.2"/>
    <n v="29207.55"/>
    <s v="Cash"/>
  </r>
  <r>
    <s v="ORD104201"/>
    <s v="2025-06-29"/>
    <x v="2"/>
    <s v="West"/>
    <s v="Rajasthan"/>
    <s v="Jaipur"/>
    <x v="3"/>
    <x v="11"/>
    <s v="CUST1548"/>
    <s v="SP_02"/>
    <n v="1"/>
    <n v="115.62"/>
    <n v="115.62"/>
    <n v="62.61"/>
    <n v="53.01"/>
    <s v="UPI"/>
  </r>
  <r>
    <s v="ORD104202"/>
    <s v="2025-06-18"/>
    <x v="2"/>
    <s v="East"/>
    <s v="Bihar"/>
    <s v="Patna"/>
    <x v="2"/>
    <x v="4"/>
    <s v="CUST1336"/>
    <s v="SP_11"/>
    <n v="3"/>
    <n v="2250.06"/>
    <n v="6750.18"/>
    <n v="4855.8900000000003"/>
    <n v="1894.29"/>
    <s v="Cash"/>
  </r>
  <r>
    <s v="ORD104203"/>
    <s v="2025-03-26"/>
    <x v="4"/>
    <s v="South"/>
    <s v="Telangana"/>
    <s v="Hyderabad"/>
    <x v="2"/>
    <x v="2"/>
    <s v="CUST1894"/>
    <s v="SP_05"/>
    <n v="4"/>
    <n v="48603.68"/>
    <n v="194414.72"/>
    <n v="141496.69"/>
    <n v="52918.03"/>
    <s v="UPI"/>
  </r>
  <r>
    <s v="ORD104204"/>
    <s v="2025-02-23"/>
    <x v="8"/>
    <s v="West"/>
    <s v="Gujarat"/>
    <s v="Ahmedabad"/>
    <x v="2"/>
    <x v="2"/>
    <s v="CUST1405"/>
    <s v="SP_09"/>
    <n v="8"/>
    <n v="46968.61"/>
    <n v="375748.88"/>
    <n v="291285.39"/>
    <n v="84463.49"/>
    <s v="Debit Card"/>
  </r>
  <r>
    <s v="ORD104205"/>
    <s v="2025-10-11"/>
    <x v="1"/>
    <s v="West"/>
    <s v="Gujarat"/>
    <s v="Ahmedabad"/>
    <x v="2"/>
    <x v="4"/>
    <s v="CUST1054"/>
    <s v="SP_08"/>
    <n v="6"/>
    <n v="2645.62"/>
    <n v="15873.72"/>
    <n v="9849.9599999999991"/>
    <n v="6023.76"/>
    <s v="Net Banking"/>
  </r>
  <r>
    <s v="ORD104206"/>
    <s v="2025-04-30"/>
    <x v="0"/>
    <s v="West"/>
    <s v="Gujarat"/>
    <s v="Ahmedabad"/>
    <x v="1"/>
    <x v="1"/>
    <s v="CUST1051"/>
    <s v="SP_01"/>
    <n v="5"/>
    <n v="2901.9"/>
    <n v="14509.5"/>
    <n v="9409.4"/>
    <n v="5100.1000000000004"/>
    <s v="Credit Card"/>
  </r>
  <r>
    <s v="ORD104207"/>
    <s v="2025-06-04"/>
    <x v="2"/>
    <s v="South"/>
    <s v="Telangana"/>
    <s v="Hyderabad"/>
    <x v="3"/>
    <x v="7"/>
    <s v="CUST1002"/>
    <s v="SP_11"/>
    <n v="5"/>
    <n v="12543.11"/>
    <n v="62715.55"/>
    <n v="43077.48"/>
    <n v="19638.07"/>
    <s v="Debit Card"/>
  </r>
  <r>
    <s v="ORD104208"/>
    <s v="2025-05-12"/>
    <x v="3"/>
    <s v="North"/>
    <s v="Delhi"/>
    <s v="Delhi"/>
    <x v="2"/>
    <x v="2"/>
    <s v="CUST1179"/>
    <s v="SP_11"/>
    <n v="2"/>
    <n v="48391.86"/>
    <n v="96783.72"/>
    <n v="68737.100000000006"/>
    <n v="28046.62"/>
    <s v="Credit Card"/>
  </r>
  <r>
    <s v="ORD104209"/>
    <s v="2025-12-25"/>
    <x v="7"/>
    <s v="West"/>
    <s v="Maharashtra"/>
    <s v="Mumbai"/>
    <x v="2"/>
    <x v="10"/>
    <s v="CUST1105"/>
    <s v="SP_11"/>
    <n v="7"/>
    <n v="18915.21"/>
    <n v="132406.47"/>
    <n v="99663.55"/>
    <n v="32742.92"/>
    <s v="Net Banking"/>
  </r>
  <r>
    <s v="ORD104210"/>
    <s v="2025-04-12"/>
    <x v="0"/>
    <s v="South"/>
    <s v="Tamil Nadu"/>
    <s v="Chennai"/>
    <x v="2"/>
    <x v="10"/>
    <s v="CUST1334"/>
    <s v="SP_06"/>
    <n v="6"/>
    <n v="18412.919999999998"/>
    <n v="110477.52"/>
    <n v="82955.72"/>
    <n v="27521.8"/>
    <s v="Debit Card"/>
  </r>
  <r>
    <s v="ORD104211"/>
    <s v="2025-08-05"/>
    <x v="11"/>
    <s v="South"/>
    <s v="Telangana"/>
    <s v="Hyderabad"/>
    <x v="2"/>
    <x v="10"/>
    <s v="CUST1218"/>
    <s v="SP_08"/>
    <n v="4"/>
    <n v="18177.2"/>
    <n v="72708.800000000003"/>
    <n v="53270.85"/>
    <n v="19437.95"/>
    <s v="Debit Card"/>
  </r>
  <r>
    <s v="ORD104212"/>
    <s v="2025-02-15"/>
    <x v="8"/>
    <s v="West"/>
    <s v="Rajasthan"/>
    <s v="Jaipur"/>
    <x v="3"/>
    <x v="3"/>
    <s v="CUST1321"/>
    <s v="SP_04"/>
    <n v="3"/>
    <n v="23.87"/>
    <n v="71.61"/>
    <n v="29.57"/>
    <n v="42.04"/>
    <s v="Credit Card"/>
  </r>
  <r>
    <s v="ORD104213"/>
    <s v="2025-02-02"/>
    <x v="8"/>
    <s v="South"/>
    <s v="Telangana"/>
    <s v="Hyderabad"/>
    <x v="2"/>
    <x v="10"/>
    <s v="CUST1169"/>
    <s v="SP_09"/>
    <n v="1"/>
    <n v="18461.97"/>
    <n v="18461.97"/>
    <n v="13854.82"/>
    <n v="4607.1499999999996"/>
    <s v="Debit Card"/>
  </r>
  <r>
    <s v="ORD104214"/>
    <s v="2025-03-19"/>
    <x v="4"/>
    <s v="South"/>
    <s v="Tamil Nadu"/>
    <s v="Chennai"/>
    <x v="2"/>
    <x v="2"/>
    <s v="CUST1974"/>
    <s v="SP_14"/>
    <n v="7"/>
    <n v="44322.53"/>
    <n v="310257.71000000002"/>
    <n v="233265.64"/>
    <n v="76992.070000000007"/>
    <s v="Net Banking"/>
  </r>
  <r>
    <s v="ORD104215"/>
    <s v="2025-04-26"/>
    <x v="0"/>
    <s v="West"/>
    <s v="Rajasthan"/>
    <s v="Jaipur"/>
    <x v="1"/>
    <x v="1"/>
    <s v="CUST1553"/>
    <s v="SP_14"/>
    <n v="5"/>
    <n v="2567.4699999999998"/>
    <n v="12837.35"/>
    <n v="9705.69"/>
    <n v="3131.66"/>
    <s v="Net Banking"/>
  </r>
  <r>
    <s v="ORD104216"/>
    <s v="2025-11-21"/>
    <x v="10"/>
    <s v="West"/>
    <s v="Gujarat"/>
    <s v="Ahmedabad"/>
    <x v="0"/>
    <x v="0"/>
    <s v="CUST1727"/>
    <s v="SP_12"/>
    <n v="4"/>
    <n v="3635.43"/>
    <n v="14541.72"/>
    <n v="8506.52"/>
    <n v="6035.2"/>
    <s v="Net Banking"/>
  </r>
  <r>
    <s v="ORD104217"/>
    <s v="2025-01-09"/>
    <x v="9"/>
    <s v="South"/>
    <s v="Tamil Nadu"/>
    <s v="Chennai"/>
    <x v="3"/>
    <x v="7"/>
    <s v="CUST1597"/>
    <s v="SP_14"/>
    <n v="3"/>
    <n v="11045.99"/>
    <n v="33137.97"/>
    <n v="27997.01"/>
    <n v="5140.96"/>
    <s v="Credit Card"/>
  </r>
  <r>
    <s v="ORD104218"/>
    <s v="2025-12-12"/>
    <x v="7"/>
    <s v="South"/>
    <s v="Telangana"/>
    <s v="Hyderabad"/>
    <x v="3"/>
    <x v="3"/>
    <s v="CUST1374"/>
    <s v="SP_07"/>
    <n v="7"/>
    <n v="24.12"/>
    <n v="168.84"/>
    <n v="67.83"/>
    <n v="101.01"/>
    <s v="Net Banking"/>
  </r>
  <r>
    <s v="ORD104219"/>
    <s v="2025-04-11"/>
    <x v="0"/>
    <s v="West"/>
    <s v="Gujarat"/>
    <s v="Ahmedabad"/>
    <x v="2"/>
    <x v="10"/>
    <s v="CUST1804"/>
    <s v="SP_03"/>
    <n v="5"/>
    <n v="18661.740000000002"/>
    <n v="93308.7"/>
    <n v="67794.12"/>
    <n v="25514.58"/>
    <s v="Credit Card"/>
  </r>
  <r>
    <s v="ORD104220"/>
    <s v="2025-11-23"/>
    <x v="10"/>
    <s v="West"/>
    <s v="Gujarat"/>
    <s v="Ahmedabad"/>
    <x v="3"/>
    <x v="11"/>
    <s v="CUST1402"/>
    <s v="SP_15"/>
    <n v="1"/>
    <n v="130.09"/>
    <n v="130.09"/>
    <n v="58.83"/>
    <n v="71.260000000000005"/>
    <s v="Credit Card"/>
  </r>
  <r>
    <s v="ORD104221"/>
    <s v="2025-10-25"/>
    <x v="1"/>
    <s v="South"/>
    <s v="Karnataka"/>
    <s v="Bengaluru"/>
    <x v="0"/>
    <x v="8"/>
    <s v="CUST1331"/>
    <s v="SP_09"/>
    <n v="5"/>
    <n v="22842.99"/>
    <n v="114214.95"/>
    <n v="83002.2"/>
    <n v="31212.75"/>
    <s v="UPI"/>
  </r>
  <r>
    <s v="ORD104222"/>
    <s v="2025-06-13"/>
    <x v="2"/>
    <s v="North"/>
    <s v="Punjab"/>
    <s v="Chandigarh"/>
    <x v="2"/>
    <x v="2"/>
    <s v="CUST1525"/>
    <s v="SP_11"/>
    <n v="1"/>
    <n v="46311.46"/>
    <n v="46311.46"/>
    <n v="34830.35"/>
    <n v="11481.11"/>
    <s v="Net Banking"/>
  </r>
  <r>
    <s v="ORD104223"/>
    <s v="2025-05-19"/>
    <x v="3"/>
    <s v="East"/>
    <s v="Bihar"/>
    <s v="Patna"/>
    <x v="0"/>
    <x v="9"/>
    <s v="CUST1358"/>
    <s v="SP_15"/>
    <n v="1"/>
    <n v="6466.45"/>
    <n v="6466.45"/>
    <n v="5171.12"/>
    <n v="1295.33"/>
    <s v="Debit Card"/>
  </r>
  <r>
    <s v="ORD104224"/>
    <s v="2025-10-11"/>
    <x v="1"/>
    <s v="South"/>
    <s v="Telangana"/>
    <s v="Hyderabad"/>
    <x v="2"/>
    <x v="4"/>
    <s v="CUST1160"/>
    <s v="SP_03"/>
    <n v="8"/>
    <n v="2445.8000000000002"/>
    <n v="19566.400000000001"/>
    <n v="12805.3"/>
    <n v="6761.1"/>
    <s v="Credit Card"/>
  </r>
  <r>
    <s v="ORD104225"/>
    <s v="2025-11-19"/>
    <x v="10"/>
    <s v="East"/>
    <s v="Odisha"/>
    <s v="Bhubaneswar"/>
    <x v="3"/>
    <x v="3"/>
    <s v="CUST1086"/>
    <s v="SP_02"/>
    <n v="1"/>
    <n v="23.02"/>
    <n v="23.02"/>
    <n v="9.84"/>
    <n v="13.18"/>
    <s v="UPI"/>
  </r>
  <r>
    <s v="ORD104226"/>
    <s v="2025-01-03"/>
    <x v="9"/>
    <s v="West"/>
    <s v="Maharashtra"/>
    <s v="Mumbai"/>
    <x v="0"/>
    <x v="8"/>
    <s v="CUST1753"/>
    <s v="SP_09"/>
    <n v="5"/>
    <n v="21835.4"/>
    <n v="109177"/>
    <n v="86334.02"/>
    <n v="22842.98"/>
    <s v="Net Banking"/>
  </r>
  <r>
    <s v="ORD104227"/>
    <s v="2025-02-25"/>
    <x v="8"/>
    <s v="West"/>
    <s v="Maharashtra"/>
    <s v="Mumbai"/>
    <x v="2"/>
    <x v="10"/>
    <s v="CUST1278"/>
    <s v="SP_11"/>
    <n v="6"/>
    <n v="17437.099999999999"/>
    <n v="104622.6"/>
    <n v="83618.740000000005"/>
    <n v="21003.86"/>
    <s v="Debit Card"/>
  </r>
  <r>
    <s v="ORD104228"/>
    <s v="2025-09-11"/>
    <x v="5"/>
    <s v="West"/>
    <s v="Maharashtra"/>
    <s v="Mumbai"/>
    <x v="2"/>
    <x v="4"/>
    <s v="CUST1215"/>
    <s v="SP_14"/>
    <n v="1"/>
    <n v="2317.61"/>
    <n v="2317.61"/>
    <n v="1649.19"/>
    <n v="668.42"/>
    <s v="Cash"/>
  </r>
  <r>
    <s v="ORD104229"/>
    <s v="2025-09-30"/>
    <x v="5"/>
    <s v="North"/>
    <s v="Punjab"/>
    <s v="Chandigarh"/>
    <x v="0"/>
    <x v="0"/>
    <s v="CUST1603"/>
    <s v="SP_11"/>
    <n v="5"/>
    <n v="3420.39"/>
    <n v="17101.95"/>
    <n v="11453.8"/>
    <n v="5648.15"/>
    <s v="UPI"/>
  </r>
  <r>
    <s v="ORD104230"/>
    <s v="2025-05-28"/>
    <x v="3"/>
    <s v="West"/>
    <s v="Gujarat"/>
    <s v="Ahmedabad"/>
    <x v="2"/>
    <x v="10"/>
    <s v="CUST1737"/>
    <s v="SP_03"/>
    <n v="7"/>
    <n v="19037.669999999998"/>
    <n v="133263.69"/>
    <n v="102241.66"/>
    <n v="31022.03"/>
    <s v="UPI"/>
  </r>
  <r>
    <s v="ORD104231"/>
    <s v="2025-12-14"/>
    <x v="7"/>
    <s v="North"/>
    <s v="Uttar Pradesh"/>
    <s v="Lucknow"/>
    <x v="2"/>
    <x v="4"/>
    <s v="CUST1362"/>
    <s v="SP_15"/>
    <n v="8"/>
    <n v="2475.34"/>
    <n v="19802.72"/>
    <n v="13388.54"/>
    <n v="6414.18"/>
    <s v="Net Banking"/>
  </r>
  <r>
    <s v="ORD104232"/>
    <s v="2025-08-26"/>
    <x v="11"/>
    <s v="North"/>
    <s v="Punjab"/>
    <s v="Chandigarh"/>
    <x v="0"/>
    <x v="9"/>
    <s v="CUST1052"/>
    <s v="SP_08"/>
    <n v="8"/>
    <n v="6538.2"/>
    <n v="52305.599999999999"/>
    <n v="39087.230000000003"/>
    <n v="13218.37"/>
    <s v="Debit Card"/>
  </r>
  <r>
    <s v="ORD104233"/>
    <s v="2025-07-29"/>
    <x v="6"/>
    <s v="East"/>
    <s v="West Bengal"/>
    <s v="Kolkata"/>
    <x v="2"/>
    <x v="10"/>
    <s v="CUST1363"/>
    <s v="SP_13"/>
    <n v="1"/>
    <n v="18930.63"/>
    <n v="18930.63"/>
    <n v="14113.02"/>
    <n v="4817.6099999999997"/>
    <s v="Credit Card"/>
  </r>
  <r>
    <s v="ORD104234"/>
    <s v="2025-12-31"/>
    <x v="7"/>
    <s v="South"/>
    <s v="Karnataka"/>
    <s v="Bengaluru"/>
    <x v="2"/>
    <x v="4"/>
    <s v="CUST1547"/>
    <s v="SP_14"/>
    <n v="5"/>
    <n v="2455.84"/>
    <n v="12279.2"/>
    <n v="8222.5400000000009"/>
    <n v="4056.66"/>
    <s v="Net Banking"/>
  </r>
  <r>
    <s v="ORD104235"/>
    <s v="2025-07-26"/>
    <x v="6"/>
    <s v="East"/>
    <s v="Bihar"/>
    <s v="Patna"/>
    <x v="3"/>
    <x v="11"/>
    <s v="CUST1914"/>
    <s v="SP_09"/>
    <n v="5"/>
    <n v="130.66999999999999"/>
    <n v="653.35"/>
    <n v="308.51"/>
    <n v="344.84"/>
    <s v="Net Banking"/>
  </r>
  <r>
    <s v="ORD104236"/>
    <s v="2025-08-25"/>
    <x v="11"/>
    <s v="West"/>
    <s v="Rajasthan"/>
    <s v="Jaipur"/>
    <x v="2"/>
    <x v="4"/>
    <s v="CUST1950"/>
    <s v="SP_14"/>
    <n v="1"/>
    <n v="2648.73"/>
    <n v="2648.73"/>
    <n v="1561.56"/>
    <n v="1087.17"/>
    <s v="UPI"/>
  </r>
  <r>
    <s v="ORD104237"/>
    <s v="2025-08-03"/>
    <x v="11"/>
    <s v="East"/>
    <s v="Bihar"/>
    <s v="Patna"/>
    <x v="1"/>
    <x v="6"/>
    <s v="CUST1243"/>
    <s v="SP_14"/>
    <n v="3"/>
    <n v="3205.77"/>
    <n v="9617.31"/>
    <n v="7159.6"/>
    <n v="2457.71"/>
    <s v="Cash"/>
  </r>
  <r>
    <s v="ORD104238"/>
    <s v="2025-06-15"/>
    <x v="2"/>
    <s v="North"/>
    <s v="Uttar Pradesh"/>
    <s v="Lucknow"/>
    <x v="2"/>
    <x v="4"/>
    <s v="CUST1657"/>
    <s v="SP_06"/>
    <n v="2"/>
    <n v="2476.81"/>
    <n v="4953.62"/>
    <n v="3138.95"/>
    <n v="1814.67"/>
    <s v="UPI"/>
  </r>
  <r>
    <s v="ORD104239"/>
    <s v="2025-10-27"/>
    <x v="1"/>
    <s v="West"/>
    <s v="Maharashtra"/>
    <s v="Mumbai"/>
    <x v="0"/>
    <x v="9"/>
    <s v="CUST1794"/>
    <s v="SP_08"/>
    <n v="4"/>
    <n v="7305.88"/>
    <n v="29223.52"/>
    <n v="20599.41"/>
    <n v="8624.11"/>
    <s v="Credit Card"/>
  </r>
  <r>
    <s v="ORD104240"/>
    <s v="2025-02-14"/>
    <x v="8"/>
    <s v="North"/>
    <s v="Delhi"/>
    <s v="Delhi"/>
    <x v="3"/>
    <x v="3"/>
    <s v="CUST1825"/>
    <s v="SP_01"/>
    <n v="3"/>
    <n v="27.01"/>
    <n v="81.03"/>
    <n v="29.92"/>
    <n v="51.11"/>
    <s v="UPI"/>
  </r>
  <r>
    <s v="ORD104241"/>
    <s v="2025-05-14"/>
    <x v="3"/>
    <s v="North"/>
    <s v="Punjab"/>
    <s v="Chandigarh"/>
    <x v="0"/>
    <x v="0"/>
    <s v="CUST1211"/>
    <s v="SP_15"/>
    <n v="2"/>
    <n v="3253.12"/>
    <n v="6506.24"/>
    <n v="4241.51"/>
    <n v="2264.73"/>
    <s v="Cash"/>
  </r>
  <r>
    <s v="ORD104242"/>
    <s v="2025-06-23"/>
    <x v="2"/>
    <s v="South"/>
    <s v="Telangana"/>
    <s v="Hyderabad"/>
    <x v="3"/>
    <x v="7"/>
    <s v="CUST1252"/>
    <s v="SP_15"/>
    <n v="7"/>
    <n v="11331.94"/>
    <n v="79323.58"/>
    <n v="60481.65"/>
    <n v="18841.93"/>
    <s v="Credit Card"/>
  </r>
  <r>
    <s v="ORD104243"/>
    <s v="2025-12-22"/>
    <x v="7"/>
    <s v="East"/>
    <s v="Bihar"/>
    <s v="Patna"/>
    <x v="3"/>
    <x v="3"/>
    <s v="CUST1553"/>
    <s v="SP_15"/>
    <n v="4"/>
    <n v="24.13"/>
    <n v="96.52"/>
    <n v="39.14"/>
    <n v="57.38"/>
    <s v="Debit Card"/>
  </r>
  <r>
    <s v="ORD104244"/>
    <s v="2025-09-26"/>
    <x v="5"/>
    <s v="East"/>
    <s v="West Bengal"/>
    <s v="Kolkata"/>
    <x v="2"/>
    <x v="4"/>
    <s v="CUST1843"/>
    <s v="SP_04"/>
    <n v="4"/>
    <n v="2407.29"/>
    <n v="9629.16"/>
    <n v="6473.4"/>
    <n v="3155.76"/>
    <s v="UPI"/>
  </r>
  <r>
    <s v="ORD104245"/>
    <s v="2025-12-09"/>
    <x v="7"/>
    <s v="South"/>
    <s v="Karnataka"/>
    <s v="Bengaluru"/>
    <x v="0"/>
    <x v="9"/>
    <s v="CUST1611"/>
    <s v="SP_13"/>
    <n v="2"/>
    <n v="6524.88"/>
    <n v="13049.76"/>
    <n v="10427.81"/>
    <n v="2621.95"/>
    <s v="Debit Card"/>
  </r>
  <r>
    <s v="ORD104246"/>
    <s v="2025-05-09"/>
    <x v="3"/>
    <s v="West"/>
    <s v="Rajasthan"/>
    <s v="Jaipur"/>
    <x v="1"/>
    <x v="5"/>
    <s v="CUST1648"/>
    <s v="SP_08"/>
    <n v="7"/>
    <n v="10199.41"/>
    <n v="71395.87"/>
    <n v="52023.72"/>
    <n v="19372.150000000001"/>
    <s v="Debit Card"/>
  </r>
  <r>
    <s v="ORD104247"/>
    <s v="2025-01-01"/>
    <x v="9"/>
    <s v="West"/>
    <s v="Gujarat"/>
    <s v="Ahmedabad"/>
    <x v="3"/>
    <x v="7"/>
    <s v="CUST1156"/>
    <s v="SP_03"/>
    <n v="7"/>
    <n v="12326.57"/>
    <n v="86285.99"/>
    <n v="64620.81"/>
    <n v="21665.18"/>
    <s v="Net Banking"/>
  </r>
  <r>
    <s v="ORD104248"/>
    <s v="2025-10-20"/>
    <x v="1"/>
    <s v="East"/>
    <s v="West Bengal"/>
    <s v="Kolkata"/>
    <x v="1"/>
    <x v="5"/>
    <s v="CUST1276"/>
    <s v="SP_07"/>
    <n v="5"/>
    <n v="9347.14"/>
    <n v="46735.7"/>
    <n v="38400.89"/>
    <n v="8334.81"/>
    <s v="UPI"/>
  </r>
  <r>
    <s v="ORD104249"/>
    <s v="2025-08-22"/>
    <x v="11"/>
    <s v="West"/>
    <s v="Gujarat"/>
    <s v="Ahmedabad"/>
    <x v="2"/>
    <x v="4"/>
    <s v="CUST1850"/>
    <s v="SP_10"/>
    <n v="8"/>
    <n v="2661.1"/>
    <n v="21288.799999999999"/>
    <n v="12590.01"/>
    <n v="8698.7900000000009"/>
    <s v="Net Banking"/>
  </r>
  <r>
    <s v="ORD104250"/>
    <s v="2025-10-19"/>
    <x v="1"/>
    <s v="North"/>
    <s v="Punjab"/>
    <s v="Chandigarh"/>
    <x v="3"/>
    <x v="11"/>
    <s v="CUST1871"/>
    <s v="SP_11"/>
    <n v="6"/>
    <n v="125.96"/>
    <n v="755.76"/>
    <n v="348.5"/>
    <n v="407.26"/>
    <s v="Credit Card"/>
  </r>
  <r>
    <s v="ORD104251"/>
    <s v="2025-11-07"/>
    <x v="10"/>
    <s v="South"/>
    <s v="Tamil Nadu"/>
    <s v="Chennai"/>
    <x v="1"/>
    <x v="1"/>
    <s v="CUST1759"/>
    <s v="SP_04"/>
    <n v="3"/>
    <n v="2829.62"/>
    <n v="8488.86"/>
    <n v="5527.27"/>
    <n v="2961.59"/>
    <s v="Cash"/>
  </r>
  <r>
    <s v="ORD104252"/>
    <s v="2025-04-12"/>
    <x v="0"/>
    <s v="East"/>
    <s v="Bihar"/>
    <s v="Patna"/>
    <x v="3"/>
    <x v="3"/>
    <s v="CUST1865"/>
    <s v="SP_09"/>
    <n v="7"/>
    <n v="24.61"/>
    <n v="172.27"/>
    <n v="69.64"/>
    <n v="102.63"/>
    <s v="Credit Card"/>
  </r>
  <r>
    <s v="ORD104253"/>
    <s v="2025-09-19"/>
    <x v="5"/>
    <s v="South"/>
    <s v="Karnataka"/>
    <s v="Bengaluru"/>
    <x v="2"/>
    <x v="10"/>
    <s v="CUST1871"/>
    <s v="SP_08"/>
    <n v="1"/>
    <n v="18401.509999999998"/>
    <n v="18401.509999999998"/>
    <n v="13635.6"/>
    <n v="4765.91"/>
    <s v="Net Banking"/>
  </r>
  <r>
    <s v="ORD104254"/>
    <s v="2025-03-28"/>
    <x v="4"/>
    <s v="North"/>
    <s v="Delhi"/>
    <s v="Delhi"/>
    <x v="2"/>
    <x v="4"/>
    <s v="CUST1689"/>
    <s v="SP_01"/>
    <n v="5"/>
    <n v="2587.7800000000002"/>
    <n v="12938.9"/>
    <n v="8191.89"/>
    <n v="4747.01"/>
    <s v="UPI"/>
  </r>
  <r>
    <s v="ORD104255"/>
    <s v="2025-07-26"/>
    <x v="6"/>
    <s v="East"/>
    <s v="Bihar"/>
    <s v="Patna"/>
    <x v="1"/>
    <x v="5"/>
    <s v="CUST1199"/>
    <s v="SP_08"/>
    <n v="8"/>
    <n v="10147.99"/>
    <n v="81183.92"/>
    <n v="58297.37"/>
    <n v="22886.55"/>
    <s v="Debit Card"/>
  </r>
  <r>
    <s v="ORD104256"/>
    <s v="2025-03-26"/>
    <x v="4"/>
    <s v="West"/>
    <s v="Rajasthan"/>
    <s v="Jaipur"/>
    <x v="2"/>
    <x v="2"/>
    <s v="CUST1716"/>
    <s v="SP_14"/>
    <n v="5"/>
    <n v="47135.39"/>
    <n v="235676.95"/>
    <n v="181030.49"/>
    <n v="54646.46"/>
    <s v="UPI"/>
  </r>
  <r>
    <s v="ORD104257"/>
    <s v="2025-02-11"/>
    <x v="8"/>
    <s v="East"/>
    <s v="Bihar"/>
    <s v="Patna"/>
    <x v="3"/>
    <x v="7"/>
    <s v="CUST1399"/>
    <s v="SP_11"/>
    <n v="7"/>
    <n v="11410.46"/>
    <n v="79873.22"/>
    <n v="62430.91"/>
    <n v="17442.310000000001"/>
    <s v="Net Banking"/>
  </r>
  <r>
    <s v="ORD104258"/>
    <s v="2025-02-22"/>
    <x v="8"/>
    <s v="West"/>
    <s v="Gujarat"/>
    <s v="Ahmedabad"/>
    <x v="0"/>
    <x v="9"/>
    <s v="CUST1599"/>
    <s v="SP_04"/>
    <n v="3"/>
    <n v="6981.54"/>
    <n v="20944.62"/>
    <n v="15664"/>
    <n v="5280.62"/>
    <s v="Cash"/>
  </r>
  <r>
    <s v="ORD104259"/>
    <s v="2025-01-22"/>
    <x v="9"/>
    <s v="South"/>
    <s v="Karnataka"/>
    <s v="Bengaluru"/>
    <x v="0"/>
    <x v="8"/>
    <s v="CUST1955"/>
    <s v="SP_14"/>
    <n v="3"/>
    <n v="19827.93"/>
    <n v="59483.79"/>
    <n v="50791.62"/>
    <n v="8692.17"/>
    <s v="UPI"/>
  </r>
  <r>
    <s v="ORD104260"/>
    <s v="2025-10-28"/>
    <x v="1"/>
    <s v="East"/>
    <s v="West Bengal"/>
    <s v="Kolkata"/>
    <x v="0"/>
    <x v="8"/>
    <s v="CUST1165"/>
    <s v="SP_02"/>
    <n v="3"/>
    <n v="23362.09"/>
    <n v="70086.27"/>
    <n v="51804.56"/>
    <n v="18281.71"/>
    <s v="Cash"/>
  </r>
  <r>
    <s v="ORD104261"/>
    <s v="2025-06-17"/>
    <x v="2"/>
    <s v="West"/>
    <s v="Maharashtra"/>
    <s v="Mumbai"/>
    <x v="2"/>
    <x v="10"/>
    <s v="CUST1901"/>
    <s v="SP_06"/>
    <n v="4"/>
    <n v="16899.939999999999"/>
    <n v="67599.759999999995"/>
    <n v="57659.06"/>
    <n v="9940.7000000000007"/>
    <s v="Debit Card"/>
  </r>
  <r>
    <s v="ORD104262"/>
    <s v="2025-05-30"/>
    <x v="3"/>
    <s v="North"/>
    <s v="Delhi"/>
    <s v="Delhi"/>
    <x v="1"/>
    <x v="6"/>
    <s v="CUST1508"/>
    <s v="SP_04"/>
    <n v="3"/>
    <n v="2981"/>
    <n v="8943"/>
    <n v="7106.98"/>
    <n v="1836.02"/>
    <s v="Debit Card"/>
  </r>
  <r>
    <s v="ORD104263"/>
    <s v="2025-01-16"/>
    <x v="9"/>
    <s v="South"/>
    <s v="Tamil Nadu"/>
    <s v="Chennai"/>
    <x v="0"/>
    <x v="9"/>
    <s v="CUST1713"/>
    <s v="SP_02"/>
    <n v="5"/>
    <n v="6700.88"/>
    <n v="33504.400000000001"/>
    <n v="25167.39"/>
    <n v="8337.01"/>
    <s v="UPI"/>
  </r>
  <r>
    <s v="ORD104264"/>
    <s v="2025-05-29"/>
    <x v="3"/>
    <s v="East"/>
    <s v="West Bengal"/>
    <s v="Kolkata"/>
    <x v="1"/>
    <x v="1"/>
    <s v="CUST1238"/>
    <s v="SP_07"/>
    <n v="8"/>
    <n v="2551.4"/>
    <n v="20411.2"/>
    <n v="15294.56"/>
    <n v="5116.6400000000003"/>
    <s v="Cash"/>
  </r>
  <r>
    <s v="ORD104265"/>
    <s v="2025-12-20"/>
    <x v="7"/>
    <s v="West"/>
    <s v="Gujarat"/>
    <s v="Ahmedabad"/>
    <x v="2"/>
    <x v="4"/>
    <s v="CUST1085"/>
    <s v="SP_14"/>
    <n v="5"/>
    <n v="2589.5500000000002"/>
    <n v="12947.75"/>
    <n v="7936.83"/>
    <n v="5010.92"/>
    <s v="Debit Card"/>
  </r>
  <r>
    <s v="ORD104266"/>
    <s v="2025-09-27"/>
    <x v="5"/>
    <s v="West"/>
    <s v="Maharashtra"/>
    <s v="Mumbai"/>
    <x v="3"/>
    <x v="3"/>
    <s v="CUST1563"/>
    <s v="SP_11"/>
    <n v="3"/>
    <n v="25.69"/>
    <n v="77.069999999999993"/>
    <n v="31.08"/>
    <n v="45.99"/>
    <s v="Debit Card"/>
  </r>
  <r>
    <s v="ORD104267"/>
    <s v="2025-08-27"/>
    <x v="11"/>
    <s v="South"/>
    <s v="Tamil Nadu"/>
    <s v="Chennai"/>
    <x v="2"/>
    <x v="4"/>
    <s v="CUST1826"/>
    <s v="SP_14"/>
    <n v="4"/>
    <n v="2529.5"/>
    <n v="10118"/>
    <n v="6518.21"/>
    <n v="3599.79"/>
    <s v="UPI"/>
  </r>
  <r>
    <s v="ORD104268"/>
    <s v="2025-04-28"/>
    <x v="0"/>
    <s v="East"/>
    <s v="Odisha"/>
    <s v="Bhubaneswar"/>
    <x v="2"/>
    <x v="4"/>
    <s v="CUST1722"/>
    <s v="SP_04"/>
    <n v="4"/>
    <n v="2342.77"/>
    <n v="9371.08"/>
    <n v="6415.15"/>
    <n v="2955.93"/>
    <s v="Credit Card"/>
  </r>
  <r>
    <s v="ORD104269"/>
    <s v="2025-11-12"/>
    <x v="10"/>
    <s v="South"/>
    <s v="Tamil Nadu"/>
    <s v="Chennai"/>
    <x v="3"/>
    <x v="7"/>
    <s v="CUST1460"/>
    <s v="SP_13"/>
    <n v="3"/>
    <n v="12233.58"/>
    <n v="36700.74"/>
    <n v="25698.7"/>
    <n v="11002.04"/>
    <s v="Credit Card"/>
  </r>
  <r>
    <s v="ORD104270"/>
    <s v="2025-05-01"/>
    <x v="3"/>
    <s v="South"/>
    <s v="Telangana"/>
    <s v="Hyderabad"/>
    <x v="1"/>
    <x v="5"/>
    <s v="CUST1257"/>
    <s v="SP_04"/>
    <n v="2"/>
    <n v="9700.0400000000009"/>
    <n v="19400.080000000002"/>
    <n v="15097.32"/>
    <n v="4302.76"/>
    <s v="Cash"/>
  </r>
  <r>
    <s v="ORD104271"/>
    <s v="2025-04-19"/>
    <x v="0"/>
    <s v="South"/>
    <s v="Telangana"/>
    <s v="Hyderabad"/>
    <x v="0"/>
    <x v="8"/>
    <s v="CUST1766"/>
    <s v="SP_01"/>
    <n v="7"/>
    <n v="20847.46"/>
    <n v="145932.22"/>
    <n v="120191.81"/>
    <n v="25740.41"/>
    <s v="UPI"/>
  </r>
  <r>
    <s v="ORD104272"/>
    <s v="2025-10-25"/>
    <x v="1"/>
    <s v="North"/>
    <s v="Delhi"/>
    <s v="Delhi"/>
    <x v="2"/>
    <x v="10"/>
    <s v="CUST1055"/>
    <s v="SP_04"/>
    <n v="4"/>
    <n v="18332.900000000001"/>
    <n v="73331.600000000006"/>
    <n v="53320.25"/>
    <n v="20011.349999999999"/>
    <s v="Net Banking"/>
  </r>
  <r>
    <s v="ORD104273"/>
    <s v="2025-12-12"/>
    <x v="7"/>
    <s v="West"/>
    <s v="Maharashtra"/>
    <s v="Mumbai"/>
    <x v="1"/>
    <x v="1"/>
    <s v="CUST1477"/>
    <s v="SP_12"/>
    <n v="8"/>
    <n v="3047.67"/>
    <n v="24381.360000000001"/>
    <n v="14670.13"/>
    <n v="9711.23"/>
    <s v="Credit Card"/>
  </r>
  <r>
    <s v="ORD104274"/>
    <s v="2025-03-25"/>
    <x v="4"/>
    <s v="North"/>
    <s v="Uttar Pradesh"/>
    <s v="Lucknow"/>
    <x v="0"/>
    <x v="0"/>
    <s v="CUST1915"/>
    <s v="SP_11"/>
    <n v="1"/>
    <n v="3759.08"/>
    <n v="3759.08"/>
    <n v="2122.7800000000002"/>
    <n v="1636.3"/>
    <s v="UPI"/>
  </r>
  <r>
    <s v="ORD104275"/>
    <s v="2025-07-21"/>
    <x v="6"/>
    <s v="South"/>
    <s v="Karnataka"/>
    <s v="Bengaluru"/>
    <x v="3"/>
    <x v="11"/>
    <s v="CUST1723"/>
    <s v="SP_01"/>
    <n v="8"/>
    <n v="124.63"/>
    <n v="997.04"/>
    <n v="486"/>
    <n v="511.04"/>
    <s v="Cash"/>
  </r>
  <r>
    <s v="ORD104276"/>
    <s v="2025-02-17"/>
    <x v="8"/>
    <s v="North"/>
    <s v="Punjab"/>
    <s v="Chandigarh"/>
    <x v="3"/>
    <x v="11"/>
    <s v="CUST1387"/>
    <s v="SP_10"/>
    <n v="7"/>
    <n v="114.32"/>
    <n v="800.24"/>
    <n v="410.73"/>
    <n v="389.51"/>
    <s v="Net Banking"/>
  </r>
  <r>
    <s v="ORD104277"/>
    <s v="2025-08-06"/>
    <x v="11"/>
    <s v="South"/>
    <s v="Karnataka"/>
    <s v="Bengaluru"/>
    <x v="1"/>
    <x v="6"/>
    <s v="CUST1191"/>
    <s v="SP_05"/>
    <n v="2"/>
    <n v="3348.68"/>
    <n v="6697.36"/>
    <n v="5030.05"/>
    <n v="1667.31"/>
    <s v="UPI"/>
  </r>
  <r>
    <s v="ORD104278"/>
    <s v="2025-12-18"/>
    <x v="7"/>
    <s v="South"/>
    <s v="Tamil Nadu"/>
    <s v="Chennai"/>
    <x v="1"/>
    <x v="1"/>
    <s v="CUST1192"/>
    <s v="SP_15"/>
    <n v="2"/>
    <n v="2550.2199999999998"/>
    <n v="5100.4399999999996"/>
    <n v="3826.21"/>
    <n v="1274.23"/>
    <s v="Net Banking"/>
  </r>
  <r>
    <s v="ORD104279"/>
    <s v="2025-01-25"/>
    <x v="9"/>
    <s v="North"/>
    <s v="Delhi"/>
    <s v="Delhi"/>
    <x v="0"/>
    <x v="9"/>
    <s v="CUST1676"/>
    <s v="SP_03"/>
    <n v="3"/>
    <n v="6711.28"/>
    <n v="20133.84"/>
    <n v="14347.94"/>
    <n v="5785.9"/>
    <s v="UPI"/>
  </r>
  <r>
    <s v="ORD104280"/>
    <s v="2025-10-07"/>
    <x v="1"/>
    <s v="South"/>
    <s v="Karnataka"/>
    <s v="Bengaluru"/>
    <x v="1"/>
    <x v="5"/>
    <s v="CUST1385"/>
    <s v="SP_12"/>
    <n v="8"/>
    <n v="9956.65"/>
    <n v="79653.2"/>
    <n v="62147.28"/>
    <n v="17505.919999999998"/>
    <s v="UPI"/>
  </r>
  <r>
    <s v="ORD104281"/>
    <s v="2025-02-06"/>
    <x v="8"/>
    <s v="West"/>
    <s v="Maharashtra"/>
    <s v="Mumbai"/>
    <x v="3"/>
    <x v="3"/>
    <s v="CUST1504"/>
    <s v="SP_11"/>
    <n v="8"/>
    <n v="27.26"/>
    <n v="218.08"/>
    <n v="82.87"/>
    <n v="135.21"/>
    <s v="Net Banking"/>
  </r>
  <r>
    <s v="ORD104282"/>
    <s v="2025-10-16"/>
    <x v="1"/>
    <s v="East"/>
    <s v="Odisha"/>
    <s v="Bhubaneswar"/>
    <x v="2"/>
    <x v="4"/>
    <s v="CUST1019"/>
    <s v="SP_14"/>
    <n v="6"/>
    <n v="2336.75"/>
    <n v="14020.5"/>
    <n v="9317.18"/>
    <n v="4703.32"/>
    <s v="Debit Card"/>
  </r>
  <r>
    <s v="ORD104283"/>
    <s v="2025-10-18"/>
    <x v="1"/>
    <s v="North"/>
    <s v="Punjab"/>
    <s v="Chandigarh"/>
    <x v="0"/>
    <x v="0"/>
    <s v="CUST1201"/>
    <s v="SP_07"/>
    <n v="1"/>
    <n v="3436.22"/>
    <n v="3436.22"/>
    <n v="2201.33"/>
    <n v="1234.8900000000001"/>
    <s v="Credit Card"/>
  </r>
  <r>
    <s v="ORD104284"/>
    <s v="2025-03-11"/>
    <x v="4"/>
    <s v="West"/>
    <s v="Gujarat"/>
    <s v="Ahmedabad"/>
    <x v="0"/>
    <x v="0"/>
    <s v="CUST1641"/>
    <s v="SP_03"/>
    <n v="1"/>
    <n v="3265.13"/>
    <n v="3265.13"/>
    <n v="2242.81"/>
    <n v="1022.32"/>
    <s v="Cash"/>
  </r>
  <r>
    <s v="ORD104285"/>
    <s v="2025-04-28"/>
    <x v="0"/>
    <s v="North"/>
    <s v="Delhi"/>
    <s v="Delhi"/>
    <x v="3"/>
    <x v="3"/>
    <s v="CUST1885"/>
    <s v="SP_14"/>
    <n v="8"/>
    <n v="24.92"/>
    <n v="199.36"/>
    <n v="76.180000000000007"/>
    <n v="123.18"/>
    <s v="Credit Card"/>
  </r>
  <r>
    <s v="ORD104286"/>
    <s v="2025-05-13"/>
    <x v="3"/>
    <s v="East"/>
    <s v="Bihar"/>
    <s v="Patna"/>
    <x v="1"/>
    <x v="5"/>
    <s v="CUST1596"/>
    <s v="SP_08"/>
    <n v="6"/>
    <n v="8843.01"/>
    <n v="53058.06"/>
    <n v="43924.87"/>
    <n v="9133.19"/>
    <s v="Debit Card"/>
  </r>
  <r>
    <s v="ORD104287"/>
    <s v="2025-11-15"/>
    <x v="10"/>
    <s v="West"/>
    <s v="Maharashtra"/>
    <s v="Mumbai"/>
    <x v="3"/>
    <x v="11"/>
    <s v="CUST1700"/>
    <s v="SP_13"/>
    <n v="2"/>
    <n v="110.86"/>
    <n v="221.72"/>
    <n v="123.15"/>
    <n v="98.57"/>
    <s v="UPI"/>
  </r>
  <r>
    <s v="ORD104288"/>
    <s v="2025-11-01"/>
    <x v="10"/>
    <s v="North"/>
    <s v="Uttar Pradesh"/>
    <s v="Lucknow"/>
    <x v="1"/>
    <x v="6"/>
    <s v="CUST1833"/>
    <s v="SP_04"/>
    <n v="1"/>
    <n v="3245.54"/>
    <n v="3245.54"/>
    <n v="2296.65"/>
    <n v="948.89"/>
    <s v="Cash"/>
  </r>
  <r>
    <s v="ORD104289"/>
    <s v="2025-02-02"/>
    <x v="8"/>
    <s v="South"/>
    <s v="Telangana"/>
    <s v="Hyderabad"/>
    <x v="3"/>
    <x v="11"/>
    <s v="CUST1944"/>
    <s v="SP_15"/>
    <n v="2"/>
    <n v="123.46"/>
    <n v="246.92"/>
    <n v="125.74"/>
    <n v="121.18"/>
    <s v="Net Banking"/>
  </r>
  <r>
    <s v="ORD104290"/>
    <s v="2025-07-17"/>
    <x v="6"/>
    <s v="East"/>
    <s v="Bihar"/>
    <s v="Patna"/>
    <x v="1"/>
    <x v="5"/>
    <s v="CUST1461"/>
    <s v="SP_05"/>
    <n v="5"/>
    <n v="10271.76"/>
    <n v="51358.8"/>
    <n v="37373.980000000003"/>
    <n v="13984.82"/>
    <s v="Net Banking"/>
  </r>
  <r>
    <s v="ORD104291"/>
    <s v="2025-12-18"/>
    <x v="7"/>
    <s v="South"/>
    <s v="Telangana"/>
    <s v="Hyderabad"/>
    <x v="3"/>
    <x v="7"/>
    <s v="CUST1233"/>
    <s v="SP_14"/>
    <n v="5"/>
    <n v="12710.7"/>
    <n v="63553.5"/>
    <n v="43032.08"/>
    <n v="20521.419999999998"/>
    <s v="Debit Card"/>
  </r>
  <r>
    <s v="ORD104292"/>
    <s v="2025-12-31"/>
    <x v="7"/>
    <s v="West"/>
    <s v="Maharashtra"/>
    <s v="Mumbai"/>
    <x v="1"/>
    <x v="6"/>
    <s v="CUST1848"/>
    <s v="SP_09"/>
    <n v="7"/>
    <n v="3438.58"/>
    <n v="24070.06"/>
    <n v="16383.73"/>
    <n v="7686.33"/>
    <s v="Debit Card"/>
  </r>
  <r>
    <s v="ORD104293"/>
    <s v="2025-04-27"/>
    <x v="0"/>
    <s v="East"/>
    <s v="Odisha"/>
    <s v="Bhubaneswar"/>
    <x v="2"/>
    <x v="10"/>
    <s v="CUST1138"/>
    <s v="SP_03"/>
    <n v="6"/>
    <n v="18278.490000000002"/>
    <n v="109670.94"/>
    <n v="87482.67"/>
    <n v="22188.27"/>
    <s v="UPI"/>
  </r>
  <r>
    <s v="ORD104294"/>
    <s v="2025-05-06"/>
    <x v="3"/>
    <s v="East"/>
    <s v="Odisha"/>
    <s v="Bhubaneswar"/>
    <x v="0"/>
    <x v="9"/>
    <s v="CUST1994"/>
    <s v="SP_06"/>
    <n v="6"/>
    <n v="7241.16"/>
    <n v="43446.96"/>
    <n v="28807.79"/>
    <n v="14639.17"/>
    <s v="Credit Card"/>
  </r>
  <r>
    <s v="ORD104295"/>
    <s v="2025-07-18"/>
    <x v="6"/>
    <s v="West"/>
    <s v="Maharashtra"/>
    <s v="Mumbai"/>
    <x v="3"/>
    <x v="7"/>
    <s v="CUST1423"/>
    <s v="SP_03"/>
    <n v="5"/>
    <n v="13182.15"/>
    <n v="65910.75"/>
    <n v="46207.24"/>
    <n v="19703.509999999998"/>
    <s v="Credit Card"/>
  </r>
  <r>
    <s v="ORD104296"/>
    <s v="2025-04-05"/>
    <x v="0"/>
    <s v="North"/>
    <s v="Uttar Pradesh"/>
    <s v="Lucknow"/>
    <x v="0"/>
    <x v="0"/>
    <s v="CUST1417"/>
    <s v="SP_05"/>
    <n v="3"/>
    <n v="3584.55"/>
    <n v="10753.65"/>
    <n v="6305.19"/>
    <n v="4448.46"/>
    <s v="Net Banking"/>
  </r>
  <r>
    <s v="ORD104297"/>
    <s v="2025-04-21"/>
    <x v="0"/>
    <s v="West"/>
    <s v="Rajasthan"/>
    <s v="Jaipur"/>
    <x v="1"/>
    <x v="6"/>
    <s v="CUST1066"/>
    <s v="SP_14"/>
    <n v="1"/>
    <n v="3091.29"/>
    <n v="3091.29"/>
    <n v="2420.2600000000002"/>
    <n v="671.03"/>
    <s v="Credit Card"/>
  </r>
  <r>
    <s v="ORD104298"/>
    <s v="2025-10-25"/>
    <x v="1"/>
    <s v="North"/>
    <s v="Uttar Pradesh"/>
    <s v="Lucknow"/>
    <x v="3"/>
    <x v="11"/>
    <s v="CUST1967"/>
    <s v="SP_11"/>
    <n v="3"/>
    <n v="112.34"/>
    <n v="337.02"/>
    <n v="185.07"/>
    <n v="151.94999999999999"/>
    <s v="Debit Card"/>
  </r>
  <r>
    <s v="ORD104299"/>
    <s v="2025-07-02"/>
    <x v="6"/>
    <s v="South"/>
    <s v="Telangana"/>
    <s v="Hyderabad"/>
    <x v="0"/>
    <x v="0"/>
    <s v="CUST1244"/>
    <s v="SP_09"/>
    <n v="2"/>
    <n v="3807.9"/>
    <n v="7615.8"/>
    <n v="4185.17"/>
    <n v="3430.63"/>
    <s v="UPI"/>
  </r>
  <r>
    <s v="ORD104300"/>
    <s v="2025-02-28"/>
    <x v="8"/>
    <s v="East"/>
    <s v="Odisha"/>
    <s v="Bhubaneswar"/>
    <x v="1"/>
    <x v="6"/>
    <s v="CUST1194"/>
    <s v="SP_07"/>
    <n v="6"/>
    <n v="3473.1"/>
    <n v="20838.599999999999"/>
    <n v="14713.97"/>
    <n v="6124.63"/>
    <s v="Debit Card"/>
  </r>
  <r>
    <s v="ORD104301"/>
    <s v="2025-04-03"/>
    <x v="0"/>
    <s v="South"/>
    <s v="Telangana"/>
    <s v="Hyderabad"/>
    <x v="2"/>
    <x v="2"/>
    <s v="CUST1678"/>
    <s v="SP_04"/>
    <n v="5"/>
    <n v="47897.42"/>
    <n v="239487.1"/>
    <n v="177745.34"/>
    <n v="61741.760000000002"/>
    <s v="Credit Card"/>
  </r>
  <r>
    <s v="ORD104302"/>
    <s v="2025-05-06"/>
    <x v="3"/>
    <s v="East"/>
    <s v="Odisha"/>
    <s v="Bhubaneswar"/>
    <x v="1"/>
    <x v="6"/>
    <s v="CUST1676"/>
    <s v="SP_05"/>
    <n v="2"/>
    <n v="3019.73"/>
    <n v="6039.46"/>
    <n v="4671.3"/>
    <n v="1368.16"/>
    <s v="Cash"/>
  </r>
  <r>
    <s v="ORD104303"/>
    <s v="2025-01-04"/>
    <x v="9"/>
    <s v="South"/>
    <s v="Karnataka"/>
    <s v="Bengaluru"/>
    <x v="2"/>
    <x v="2"/>
    <s v="CUST1652"/>
    <s v="SP_15"/>
    <n v="8"/>
    <n v="42743.24"/>
    <n v="341945.92"/>
    <n v="276002.09000000003"/>
    <n v="65943.83"/>
    <s v="UPI"/>
  </r>
  <r>
    <s v="ORD104304"/>
    <s v="2025-04-15"/>
    <x v="0"/>
    <s v="East"/>
    <s v="West Bengal"/>
    <s v="Kolkata"/>
    <x v="0"/>
    <x v="8"/>
    <s v="CUST1971"/>
    <s v="SP_14"/>
    <n v="5"/>
    <n v="23628.84"/>
    <n v="118144.2"/>
    <n v="82433.69"/>
    <n v="35710.51"/>
    <s v="UPI"/>
  </r>
  <r>
    <s v="ORD104305"/>
    <s v="2025-08-25"/>
    <x v="11"/>
    <s v="West"/>
    <s v="Gujarat"/>
    <s v="Ahmedabad"/>
    <x v="0"/>
    <x v="0"/>
    <s v="CUST1716"/>
    <s v="SP_09"/>
    <n v="6"/>
    <n v="3643.81"/>
    <n v="21862.86"/>
    <n v="13705.94"/>
    <n v="8156.92"/>
    <s v="Cash"/>
  </r>
  <r>
    <s v="ORD104306"/>
    <s v="2025-10-04"/>
    <x v="1"/>
    <s v="North"/>
    <s v="Delhi"/>
    <s v="Delhi"/>
    <x v="3"/>
    <x v="11"/>
    <s v="CUST1963"/>
    <s v="SP_01"/>
    <n v="8"/>
    <n v="113.35"/>
    <n v="906.8"/>
    <n v="468.6"/>
    <n v="438.2"/>
    <s v="Cash"/>
  </r>
  <r>
    <s v="ORD104307"/>
    <s v="2025-07-25"/>
    <x v="6"/>
    <s v="West"/>
    <s v="Maharashtra"/>
    <s v="Mumbai"/>
    <x v="2"/>
    <x v="10"/>
    <s v="CUST1556"/>
    <s v="SP_06"/>
    <n v="7"/>
    <n v="18667.89"/>
    <n v="130675.23"/>
    <n v="94639.12"/>
    <n v="36036.11"/>
    <s v="Net Banking"/>
  </r>
  <r>
    <s v="ORD104308"/>
    <s v="2025-10-27"/>
    <x v="1"/>
    <s v="North"/>
    <s v="Delhi"/>
    <s v="Delhi"/>
    <x v="0"/>
    <x v="9"/>
    <s v="CUST1299"/>
    <s v="SP_12"/>
    <n v="7"/>
    <n v="6400.94"/>
    <n v="44806.58"/>
    <n v="34024.86"/>
    <n v="10781.72"/>
    <s v="UPI"/>
  </r>
  <r>
    <s v="ORD104309"/>
    <s v="2025-10-18"/>
    <x v="1"/>
    <s v="South"/>
    <s v="Telangana"/>
    <s v="Hyderabad"/>
    <x v="3"/>
    <x v="7"/>
    <s v="CUST1877"/>
    <s v="SP_12"/>
    <n v="7"/>
    <n v="13098.35"/>
    <n v="91688.45"/>
    <n v="62256.97"/>
    <n v="29431.48"/>
    <s v="Cash"/>
  </r>
  <r>
    <s v="ORD104310"/>
    <s v="2025-04-21"/>
    <x v="0"/>
    <s v="East"/>
    <s v="West Bengal"/>
    <s v="Kolkata"/>
    <x v="3"/>
    <x v="7"/>
    <s v="CUST1006"/>
    <s v="SP_11"/>
    <n v="6"/>
    <n v="13045.64"/>
    <n v="78273.84"/>
    <n v="52000.29"/>
    <n v="26273.55"/>
    <s v="Debit Card"/>
  </r>
  <r>
    <s v="ORD104311"/>
    <s v="2025-12-29"/>
    <x v="7"/>
    <s v="North"/>
    <s v="Delhi"/>
    <s v="Delhi"/>
    <x v="3"/>
    <x v="11"/>
    <s v="CUST1211"/>
    <s v="SP_12"/>
    <n v="8"/>
    <n v="120.49"/>
    <n v="963.92"/>
    <n v="462.65"/>
    <n v="501.27"/>
    <s v="Net Banking"/>
  </r>
  <r>
    <s v="ORD104312"/>
    <s v="2025-07-22"/>
    <x v="6"/>
    <s v="West"/>
    <s v="Gujarat"/>
    <s v="Ahmedabad"/>
    <x v="3"/>
    <x v="11"/>
    <s v="CUST1017"/>
    <s v="SP_05"/>
    <n v="6"/>
    <n v="109.09"/>
    <n v="654.54"/>
    <n v="348.16"/>
    <n v="306.38"/>
    <s v="Debit Card"/>
  </r>
  <r>
    <s v="ORD104313"/>
    <s v="2025-07-15"/>
    <x v="6"/>
    <s v="South"/>
    <s v="Tamil Nadu"/>
    <s v="Chennai"/>
    <x v="3"/>
    <x v="3"/>
    <s v="CUST1104"/>
    <s v="SP_12"/>
    <n v="3"/>
    <n v="25.08"/>
    <n v="75.239999999999995"/>
    <n v="30.29"/>
    <n v="44.95"/>
    <s v="Credit Card"/>
  </r>
  <r>
    <s v="ORD104314"/>
    <s v="2025-07-21"/>
    <x v="6"/>
    <s v="East"/>
    <s v="West Bengal"/>
    <s v="Kolkata"/>
    <x v="3"/>
    <x v="11"/>
    <s v="CUST1826"/>
    <s v="SP_13"/>
    <n v="7"/>
    <n v="125.82"/>
    <n v="880.74"/>
    <n v="430.83"/>
    <n v="449.91"/>
    <s v="Debit Card"/>
  </r>
  <r>
    <s v="ORD104315"/>
    <s v="2025-12-14"/>
    <x v="7"/>
    <s v="South"/>
    <s v="Telangana"/>
    <s v="Hyderabad"/>
    <x v="3"/>
    <x v="7"/>
    <s v="CUST1572"/>
    <s v="SP_06"/>
    <n v="7"/>
    <n v="13195"/>
    <n v="92365"/>
    <n v="60250.37"/>
    <n v="32114.63"/>
    <s v="Debit Card"/>
  </r>
  <r>
    <s v="ORD104316"/>
    <s v="2025-11-07"/>
    <x v="10"/>
    <s v="South"/>
    <s v="Telangana"/>
    <s v="Hyderabad"/>
    <x v="2"/>
    <x v="10"/>
    <s v="CUST1853"/>
    <s v="SP_14"/>
    <n v="5"/>
    <n v="18137.47"/>
    <n v="90687.35"/>
    <n v="68341.02"/>
    <n v="22346.33"/>
    <s v="Credit Card"/>
  </r>
  <r>
    <s v="ORD104317"/>
    <s v="2025-07-31"/>
    <x v="6"/>
    <s v="West"/>
    <s v="Rajasthan"/>
    <s v="Jaipur"/>
    <x v="3"/>
    <x v="11"/>
    <s v="CUST1030"/>
    <s v="SP_15"/>
    <n v="5"/>
    <n v="117.63"/>
    <n v="588.15"/>
    <n v="285.29000000000002"/>
    <n v="302.86"/>
    <s v="UPI"/>
  </r>
  <r>
    <s v="ORD104318"/>
    <s v="2025-01-31"/>
    <x v="9"/>
    <s v="North"/>
    <s v="Delhi"/>
    <s v="Delhi"/>
    <x v="0"/>
    <x v="9"/>
    <s v="CUST1746"/>
    <s v="SP_07"/>
    <n v="7"/>
    <n v="6428.8"/>
    <n v="45001.599999999999"/>
    <n v="34672.25"/>
    <n v="10329.35"/>
    <s v="Cash"/>
  </r>
  <r>
    <s v="ORD104319"/>
    <s v="2025-08-19"/>
    <x v="11"/>
    <s v="West"/>
    <s v="Maharashtra"/>
    <s v="Mumbai"/>
    <x v="2"/>
    <x v="4"/>
    <s v="CUST1583"/>
    <s v="SP_11"/>
    <n v="6"/>
    <n v="2590.4699999999998"/>
    <n v="15542.82"/>
    <n v="9123.91"/>
    <n v="6418.91"/>
    <s v="Net Banking"/>
  </r>
  <r>
    <s v="ORD104320"/>
    <s v="2025-06-03"/>
    <x v="2"/>
    <s v="West"/>
    <s v="Rajasthan"/>
    <s v="Jaipur"/>
    <x v="2"/>
    <x v="4"/>
    <s v="CUST1771"/>
    <s v="SP_15"/>
    <n v="1"/>
    <n v="2664.84"/>
    <n v="2664.84"/>
    <n v="1557.3"/>
    <n v="1107.54"/>
    <s v="Credit Card"/>
  </r>
  <r>
    <s v="ORD104321"/>
    <s v="2025-08-19"/>
    <x v="11"/>
    <s v="East"/>
    <s v="Bihar"/>
    <s v="Patna"/>
    <x v="3"/>
    <x v="7"/>
    <s v="CUST1929"/>
    <s v="SP_07"/>
    <n v="6"/>
    <n v="11101.37"/>
    <n v="66608.22"/>
    <n v="56534.97"/>
    <n v="10073.25"/>
    <s v="Net Banking"/>
  </r>
  <r>
    <s v="ORD104322"/>
    <s v="2025-10-19"/>
    <x v="1"/>
    <s v="South"/>
    <s v="Tamil Nadu"/>
    <s v="Chennai"/>
    <x v="2"/>
    <x v="4"/>
    <s v="CUST1448"/>
    <s v="SP_08"/>
    <n v="4"/>
    <n v="2729.21"/>
    <n v="10916.84"/>
    <n v="6563.56"/>
    <n v="4353.28"/>
    <s v="UPI"/>
  </r>
  <r>
    <s v="ORD104323"/>
    <s v="2025-06-16"/>
    <x v="2"/>
    <s v="West"/>
    <s v="Maharashtra"/>
    <s v="Mumbai"/>
    <x v="3"/>
    <x v="11"/>
    <s v="CUST1568"/>
    <s v="SP_08"/>
    <n v="5"/>
    <n v="131.05000000000001"/>
    <n v="655.25"/>
    <n v="306.88"/>
    <n v="348.37"/>
    <s v="Net Banking"/>
  </r>
  <r>
    <s v="ORD104324"/>
    <s v="2025-01-19"/>
    <x v="9"/>
    <s v="West"/>
    <s v="Gujarat"/>
    <s v="Ahmedabad"/>
    <x v="1"/>
    <x v="6"/>
    <s v="CUST1632"/>
    <s v="SP_11"/>
    <n v="5"/>
    <n v="2964.78"/>
    <n v="14823.9"/>
    <n v="12503.65"/>
    <n v="2320.25"/>
    <s v="Net Banking"/>
  </r>
  <r>
    <s v="ORD104325"/>
    <s v="2025-04-03"/>
    <x v="0"/>
    <s v="South"/>
    <s v="Telangana"/>
    <s v="Hyderabad"/>
    <x v="3"/>
    <x v="3"/>
    <s v="CUST1308"/>
    <s v="SP_07"/>
    <n v="1"/>
    <n v="23.99"/>
    <n v="23.99"/>
    <n v="9.91"/>
    <n v="14.08"/>
    <s v="Cash"/>
  </r>
  <r>
    <s v="ORD104326"/>
    <s v="2025-09-26"/>
    <x v="5"/>
    <s v="East"/>
    <s v="West Bengal"/>
    <s v="Kolkata"/>
    <x v="1"/>
    <x v="5"/>
    <s v="CUST1110"/>
    <s v="SP_05"/>
    <n v="6"/>
    <n v="9309.73"/>
    <n v="55858.38"/>
    <n v="46365.5"/>
    <n v="9492.8799999999992"/>
    <s v="UPI"/>
  </r>
  <r>
    <s v="ORD104327"/>
    <s v="2025-11-16"/>
    <x v="10"/>
    <s v="South"/>
    <s v="Tamil Nadu"/>
    <s v="Chennai"/>
    <x v="2"/>
    <x v="10"/>
    <s v="CUST1703"/>
    <s v="SP_15"/>
    <n v="7"/>
    <n v="17816.599999999999"/>
    <n v="124716.2"/>
    <n v="97485.41"/>
    <n v="27230.79"/>
    <s v="Cash"/>
  </r>
  <r>
    <s v="ORD104328"/>
    <s v="2025-11-01"/>
    <x v="10"/>
    <s v="East"/>
    <s v="Odisha"/>
    <s v="Bhubaneswar"/>
    <x v="0"/>
    <x v="0"/>
    <s v="CUST1692"/>
    <s v="SP_03"/>
    <n v="3"/>
    <n v="3370.73"/>
    <n v="10112.19"/>
    <n v="6514.66"/>
    <n v="3597.53"/>
    <s v="Cash"/>
  </r>
  <r>
    <s v="ORD104329"/>
    <s v="2025-01-16"/>
    <x v="9"/>
    <s v="South"/>
    <s v="Tamil Nadu"/>
    <s v="Chennai"/>
    <x v="3"/>
    <x v="11"/>
    <s v="CUST1924"/>
    <s v="SP_09"/>
    <n v="7"/>
    <n v="116.72"/>
    <n v="817.04"/>
    <n v="424.13"/>
    <n v="392.91"/>
    <s v="Credit Card"/>
  </r>
  <r>
    <s v="ORD104330"/>
    <s v="2025-10-08"/>
    <x v="1"/>
    <s v="West"/>
    <s v="Gujarat"/>
    <s v="Ahmedabad"/>
    <x v="2"/>
    <x v="4"/>
    <s v="CUST1002"/>
    <s v="SP_08"/>
    <n v="4"/>
    <n v="2320.71"/>
    <n v="9282.84"/>
    <n v="6528.08"/>
    <n v="2754.76"/>
    <s v="UPI"/>
  </r>
  <r>
    <s v="ORD104331"/>
    <s v="2025-04-04"/>
    <x v="0"/>
    <s v="North"/>
    <s v="Delhi"/>
    <s v="Delhi"/>
    <x v="0"/>
    <x v="0"/>
    <s v="CUST1730"/>
    <s v="SP_04"/>
    <n v="6"/>
    <n v="3391.6"/>
    <n v="20349.599999999999"/>
    <n v="13648.69"/>
    <n v="6700.91"/>
    <s v="Debit Card"/>
  </r>
  <r>
    <s v="ORD104332"/>
    <s v="2025-07-26"/>
    <x v="6"/>
    <s v="South"/>
    <s v="Tamil Nadu"/>
    <s v="Chennai"/>
    <x v="0"/>
    <x v="0"/>
    <s v="CUST1826"/>
    <s v="SP_13"/>
    <n v="6"/>
    <n v="3413.11"/>
    <n v="20478.66"/>
    <n v="13852.79"/>
    <n v="6625.87"/>
    <s v="Credit Card"/>
  </r>
  <r>
    <s v="ORD104333"/>
    <s v="2025-10-25"/>
    <x v="1"/>
    <s v="South"/>
    <s v="Tamil Nadu"/>
    <s v="Chennai"/>
    <x v="3"/>
    <x v="11"/>
    <s v="CUST1496"/>
    <s v="SP_01"/>
    <n v="7"/>
    <n v="125.29"/>
    <n v="877.03"/>
    <n v="408.35"/>
    <n v="468.68"/>
    <s v="Credit Card"/>
  </r>
  <r>
    <s v="ORD104334"/>
    <s v="2025-12-28"/>
    <x v="7"/>
    <s v="East"/>
    <s v="Bihar"/>
    <s v="Patna"/>
    <x v="3"/>
    <x v="3"/>
    <s v="CUST1042"/>
    <s v="SP_14"/>
    <n v="3"/>
    <n v="25.64"/>
    <n v="76.92"/>
    <n v="31.06"/>
    <n v="45.86"/>
    <s v="Cash"/>
  </r>
  <r>
    <s v="ORD104335"/>
    <s v="2025-03-24"/>
    <x v="4"/>
    <s v="West"/>
    <s v="Gujarat"/>
    <s v="Ahmedabad"/>
    <x v="3"/>
    <x v="7"/>
    <s v="CUST1625"/>
    <s v="SP_10"/>
    <n v="8"/>
    <n v="12989.32"/>
    <n v="103914.56"/>
    <n v="69924.639999999999"/>
    <n v="33989.919999999998"/>
    <s v="Cash"/>
  </r>
  <r>
    <s v="ORD104336"/>
    <s v="2025-03-24"/>
    <x v="4"/>
    <s v="West"/>
    <s v="Maharashtra"/>
    <s v="Mumbai"/>
    <x v="2"/>
    <x v="10"/>
    <s v="CUST1366"/>
    <s v="SP_13"/>
    <n v="6"/>
    <n v="17035.5"/>
    <n v="102213"/>
    <n v="87854.33"/>
    <n v="14358.67"/>
    <s v="Net Banking"/>
  </r>
  <r>
    <s v="ORD104337"/>
    <s v="2025-08-25"/>
    <x v="11"/>
    <s v="North"/>
    <s v="Uttar Pradesh"/>
    <s v="Lucknow"/>
    <x v="0"/>
    <x v="0"/>
    <s v="CUST1026"/>
    <s v="SP_07"/>
    <n v="6"/>
    <n v="3836.86"/>
    <n v="23021.16"/>
    <n v="12933.76"/>
    <n v="10087.4"/>
    <s v="Cash"/>
  </r>
  <r>
    <s v="ORD104338"/>
    <s v="2025-10-15"/>
    <x v="1"/>
    <s v="East"/>
    <s v="Odisha"/>
    <s v="Bhubaneswar"/>
    <x v="2"/>
    <x v="10"/>
    <s v="CUST1704"/>
    <s v="SP_02"/>
    <n v="8"/>
    <n v="19557.990000000002"/>
    <n v="156463.92000000001"/>
    <n v="112501.26"/>
    <n v="43962.66"/>
    <s v="Credit Card"/>
  </r>
  <r>
    <s v="ORD104339"/>
    <s v="2025-08-25"/>
    <x v="11"/>
    <s v="West"/>
    <s v="Rajasthan"/>
    <s v="Jaipur"/>
    <x v="1"/>
    <x v="1"/>
    <s v="CUST1590"/>
    <s v="SP_14"/>
    <n v="7"/>
    <n v="2852.97"/>
    <n v="19970.79"/>
    <n v="12668.71"/>
    <n v="7302.08"/>
    <s v="Credit Card"/>
  </r>
  <r>
    <s v="ORD104340"/>
    <s v="2025-08-07"/>
    <x v="11"/>
    <s v="West"/>
    <s v="Rajasthan"/>
    <s v="Jaipur"/>
    <x v="2"/>
    <x v="4"/>
    <s v="CUST1368"/>
    <s v="SP_12"/>
    <n v="7"/>
    <n v="2384.6"/>
    <n v="16692.2"/>
    <n v="11009.39"/>
    <n v="5682.81"/>
    <s v="UPI"/>
  </r>
  <r>
    <s v="ORD104341"/>
    <s v="2025-08-29"/>
    <x v="11"/>
    <s v="South"/>
    <s v="Tamil Nadu"/>
    <s v="Chennai"/>
    <x v="3"/>
    <x v="3"/>
    <s v="CUST1413"/>
    <s v="SP_01"/>
    <n v="1"/>
    <n v="27.08"/>
    <n v="27.08"/>
    <n v="9.84"/>
    <n v="17.239999999999998"/>
    <s v="Debit Card"/>
  </r>
  <r>
    <s v="ORD104342"/>
    <s v="2025-10-22"/>
    <x v="1"/>
    <s v="West"/>
    <s v="Gujarat"/>
    <s v="Ahmedabad"/>
    <x v="2"/>
    <x v="2"/>
    <s v="CUST1495"/>
    <s v="SP_15"/>
    <n v="3"/>
    <n v="47036.36"/>
    <n v="141109.07999999999"/>
    <n v="100663.9"/>
    <n v="40445.18"/>
    <s v="Cash"/>
  </r>
  <r>
    <s v="ORD104343"/>
    <s v="2025-01-26"/>
    <x v="9"/>
    <s v="East"/>
    <s v="Bihar"/>
    <s v="Patna"/>
    <x v="3"/>
    <x v="3"/>
    <s v="CUST1061"/>
    <s v="SP_03"/>
    <n v="5"/>
    <n v="23.67"/>
    <n v="118.35"/>
    <n v="47.61"/>
    <n v="70.739999999999995"/>
    <s v="Debit Card"/>
  </r>
  <r>
    <s v="ORD104344"/>
    <s v="2025-07-20"/>
    <x v="6"/>
    <s v="East"/>
    <s v="Odisha"/>
    <s v="Bhubaneswar"/>
    <x v="0"/>
    <x v="8"/>
    <s v="CUST1320"/>
    <s v="SP_06"/>
    <n v="6"/>
    <n v="22331.13"/>
    <n v="133986.78"/>
    <n v="102498.14"/>
    <n v="31488.639999999999"/>
    <s v="Net Banking"/>
  </r>
  <r>
    <s v="ORD104345"/>
    <s v="2025-02-03"/>
    <x v="8"/>
    <s v="North"/>
    <s v="Uttar Pradesh"/>
    <s v="Lucknow"/>
    <x v="1"/>
    <x v="5"/>
    <s v="CUST1095"/>
    <s v="SP_07"/>
    <n v="2"/>
    <n v="8828.7900000000009"/>
    <n v="17657.580000000002"/>
    <n v="15163.41"/>
    <n v="2494.17"/>
    <s v="Debit Card"/>
  </r>
  <r>
    <s v="ORD104346"/>
    <s v="2025-11-06"/>
    <x v="10"/>
    <s v="South"/>
    <s v="Karnataka"/>
    <s v="Bengaluru"/>
    <x v="1"/>
    <x v="5"/>
    <s v="CUST1172"/>
    <s v="SP_11"/>
    <n v="8"/>
    <n v="9162.61"/>
    <n v="73300.88"/>
    <n v="62852.82"/>
    <n v="10448.06"/>
    <s v="UPI"/>
  </r>
  <r>
    <s v="ORD104347"/>
    <s v="2025-12-02"/>
    <x v="7"/>
    <s v="North"/>
    <s v="Uttar Pradesh"/>
    <s v="Lucknow"/>
    <x v="2"/>
    <x v="4"/>
    <s v="CUST1797"/>
    <s v="SP_04"/>
    <n v="7"/>
    <n v="2393.61"/>
    <n v="16755.27"/>
    <n v="11542.36"/>
    <n v="5212.91"/>
    <s v="Debit Card"/>
  </r>
  <r>
    <s v="ORD104348"/>
    <s v="2025-11-17"/>
    <x v="10"/>
    <s v="West"/>
    <s v="Rajasthan"/>
    <s v="Jaipur"/>
    <x v="3"/>
    <x v="7"/>
    <s v="CUST1460"/>
    <s v="SP_08"/>
    <n v="6"/>
    <n v="12917.89"/>
    <n v="77507.34"/>
    <n v="55096.52"/>
    <n v="22410.82"/>
    <s v="Net Banking"/>
  </r>
  <r>
    <s v="ORD104349"/>
    <s v="2025-09-10"/>
    <x v="5"/>
    <s v="South"/>
    <s v="Telangana"/>
    <s v="Hyderabad"/>
    <x v="1"/>
    <x v="5"/>
    <s v="CUST1386"/>
    <s v="SP_11"/>
    <n v="4"/>
    <n v="9073.11"/>
    <n v="36292.44"/>
    <n v="31238.29"/>
    <n v="5054.1499999999996"/>
    <s v="Cash"/>
  </r>
  <r>
    <s v="ORD104350"/>
    <s v="2025-06-14"/>
    <x v="2"/>
    <s v="North"/>
    <s v="Uttar Pradesh"/>
    <s v="Lucknow"/>
    <x v="0"/>
    <x v="8"/>
    <s v="CUST1803"/>
    <s v="SP_13"/>
    <n v="5"/>
    <n v="20313.57"/>
    <n v="101567.85"/>
    <n v="88211.98"/>
    <n v="13355.87"/>
    <s v="Net Banking"/>
  </r>
  <r>
    <s v="ORD104351"/>
    <s v="2025-02-13"/>
    <x v="8"/>
    <s v="South"/>
    <s v="Karnataka"/>
    <s v="Bengaluru"/>
    <x v="2"/>
    <x v="4"/>
    <s v="CUST1670"/>
    <s v="SP_03"/>
    <n v="3"/>
    <n v="2426.88"/>
    <n v="7280.64"/>
    <n v="4712.08"/>
    <n v="2568.56"/>
    <s v="Net Banking"/>
  </r>
  <r>
    <s v="ORD104352"/>
    <s v="2025-05-03"/>
    <x v="3"/>
    <s v="North"/>
    <s v="Delhi"/>
    <s v="Delhi"/>
    <x v="3"/>
    <x v="7"/>
    <s v="CUST1223"/>
    <s v="SP_05"/>
    <n v="1"/>
    <n v="12986.42"/>
    <n v="12986.42"/>
    <n v="8957.5"/>
    <n v="4028.92"/>
    <s v="Credit Card"/>
  </r>
  <r>
    <s v="ORD104353"/>
    <s v="2025-12-21"/>
    <x v="7"/>
    <s v="West"/>
    <s v="Rajasthan"/>
    <s v="Jaipur"/>
    <x v="3"/>
    <x v="7"/>
    <s v="CUST1729"/>
    <s v="SP_09"/>
    <n v="2"/>
    <n v="11983.25"/>
    <n v="23966.5"/>
    <n v="17319.72"/>
    <n v="6646.78"/>
    <s v="Credit Card"/>
  </r>
  <r>
    <s v="ORD104354"/>
    <s v="2025-11-16"/>
    <x v="10"/>
    <s v="South"/>
    <s v="Telangana"/>
    <s v="Hyderabad"/>
    <x v="1"/>
    <x v="5"/>
    <s v="CUST1462"/>
    <s v="SP_06"/>
    <n v="4"/>
    <n v="9733.01"/>
    <n v="38932.04"/>
    <n v="29212.66"/>
    <n v="9719.3799999999992"/>
    <s v="Net Banking"/>
  </r>
  <r>
    <s v="ORD104355"/>
    <s v="2025-07-04"/>
    <x v="6"/>
    <s v="West"/>
    <s v="Maharashtra"/>
    <s v="Mumbai"/>
    <x v="3"/>
    <x v="7"/>
    <s v="CUST1535"/>
    <s v="SP_14"/>
    <n v="4"/>
    <n v="11182.28"/>
    <n v="44729.120000000003"/>
    <n v="37709.83"/>
    <n v="7019.29"/>
    <s v="UPI"/>
  </r>
  <r>
    <s v="ORD104356"/>
    <s v="2025-06-10"/>
    <x v="2"/>
    <s v="East"/>
    <s v="Odisha"/>
    <s v="Bhubaneswar"/>
    <x v="1"/>
    <x v="5"/>
    <s v="CUST1360"/>
    <s v="SP_15"/>
    <n v="2"/>
    <n v="9011.73"/>
    <n v="18023.46"/>
    <n v="15626.92"/>
    <n v="2396.54"/>
    <s v="Debit Card"/>
  </r>
  <r>
    <s v="ORD104357"/>
    <s v="2025-12-24"/>
    <x v="7"/>
    <s v="East"/>
    <s v="Odisha"/>
    <s v="Bhubaneswar"/>
    <x v="3"/>
    <x v="7"/>
    <s v="CUST1141"/>
    <s v="SP_14"/>
    <n v="1"/>
    <n v="11811.72"/>
    <n v="11811.72"/>
    <n v="9181.6200000000008"/>
    <n v="2630.1"/>
    <s v="Credit Card"/>
  </r>
  <r>
    <s v="ORD104358"/>
    <s v="2025-03-26"/>
    <x v="4"/>
    <s v="West"/>
    <s v="Gujarat"/>
    <s v="Ahmedabad"/>
    <x v="0"/>
    <x v="8"/>
    <s v="CUST1511"/>
    <s v="SP_08"/>
    <n v="6"/>
    <n v="22155.06"/>
    <n v="132930.35999999999"/>
    <n v="97770.71"/>
    <n v="35159.65"/>
    <s v="Cash"/>
  </r>
  <r>
    <s v="ORD104359"/>
    <s v="2025-04-12"/>
    <x v="0"/>
    <s v="West"/>
    <s v="Gujarat"/>
    <s v="Ahmedabad"/>
    <x v="1"/>
    <x v="1"/>
    <s v="CUST1635"/>
    <s v="SP_01"/>
    <n v="3"/>
    <n v="3035.47"/>
    <n v="9106.41"/>
    <n v="5951.48"/>
    <n v="3154.93"/>
    <s v="UPI"/>
  </r>
  <r>
    <s v="ORD104360"/>
    <s v="2025-11-22"/>
    <x v="10"/>
    <s v="North"/>
    <s v="Uttar Pradesh"/>
    <s v="Lucknow"/>
    <x v="1"/>
    <x v="5"/>
    <s v="CUST1558"/>
    <s v="SP_12"/>
    <n v="6"/>
    <n v="9104.69"/>
    <n v="54628.14"/>
    <n v="45930.05"/>
    <n v="8698.09"/>
    <s v="Debit Card"/>
  </r>
  <r>
    <s v="ORD104361"/>
    <s v="2025-11-08"/>
    <x v="10"/>
    <s v="East"/>
    <s v="West Bengal"/>
    <s v="Kolkata"/>
    <x v="1"/>
    <x v="6"/>
    <s v="CUST1541"/>
    <s v="SP_07"/>
    <n v="3"/>
    <n v="2908.27"/>
    <n v="8724.81"/>
    <n v="7305.72"/>
    <n v="1419.09"/>
    <s v="Cash"/>
  </r>
  <r>
    <s v="ORD104362"/>
    <s v="2025-05-31"/>
    <x v="3"/>
    <s v="South"/>
    <s v="Telangana"/>
    <s v="Hyderabad"/>
    <x v="1"/>
    <x v="1"/>
    <s v="CUST1481"/>
    <s v="SP_09"/>
    <n v="6"/>
    <n v="2620.98"/>
    <n v="15725.88"/>
    <n v="11353.23"/>
    <n v="4372.6499999999996"/>
    <s v="Net Banking"/>
  </r>
  <r>
    <s v="ORD104363"/>
    <s v="2025-11-25"/>
    <x v="10"/>
    <s v="East"/>
    <s v="Bihar"/>
    <s v="Patna"/>
    <x v="0"/>
    <x v="9"/>
    <s v="CUST1442"/>
    <s v="SP_08"/>
    <n v="2"/>
    <n v="7403.7"/>
    <n v="14807.4"/>
    <n v="9520.2900000000009"/>
    <n v="5287.11"/>
    <s v="UPI"/>
  </r>
  <r>
    <s v="ORD104364"/>
    <s v="2025-11-19"/>
    <x v="10"/>
    <s v="South"/>
    <s v="Telangana"/>
    <s v="Hyderabad"/>
    <x v="0"/>
    <x v="8"/>
    <s v="CUST1407"/>
    <s v="SP_14"/>
    <n v="5"/>
    <n v="21299.73"/>
    <n v="106498.65"/>
    <n v="83447.03"/>
    <n v="23051.62"/>
    <s v="Cash"/>
  </r>
  <r>
    <s v="ORD104365"/>
    <s v="2025-10-13"/>
    <x v="1"/>
    <s v="North"/>
    <s v="Punjab"/>
    <s v="Chandigarh"/>
    <x v="1"/>
    <x v="1"/>
    <s v="CUST1149"/>
    <s v="SP_09"/>
    <n v="7"/>
    <n v="3065.79"/>
    <n v="21460.53"/>
    <n v="12668.05"/>
    <n v="8792.48"/>
    <s v="UPI"/>
  </r>
  <r>
    <s v="ORD104366"/>
    <s v="2025-03-28"/>
    <x v="4"/>
    <s v="West"/>
    <s v="Gujarat"/>
    <s v="Ahmedabad"/>
    <x v="0"/>
    <x v="8"/>
    <s v="CUST1646"/>
    <s v="SP_13"/>
    <n v="5"/>
    <n v="23951.94"/>
    <n v="119759.7"/>
    <n v="84738.74"/>
    <n v="35020.959999999999"/>
    <s v="Debit Card"/>
  </r>
  <r>
    <s v="ORD104367"/>
    <s v="2025-06-12"/>
    <x v="2"/>
    <s v="South"/>
    <s v="Tamil Nadu"/>
    <s v="Chennai"/>
    <x v="0"/>
    <x v="9"/>
    <s v="CUST1091"/>
    <s v="SP_04"/>
    <n v="3"/>
    <n v="6444.51"/>
    <n v="19333.53"/>
    <n v="14914.46"/>
    <n v="4419.07"/>
    <s v="Net Banking"/>
  </r>
  <r>
    <s v="ORD104368"/>
    <s v="2025-04-08"/>
    <x v="0"/>
    <s v="East"/>
    <s v="Odisha"/>
    <s v="Bhubaneswar"/>
    <x v="2"/>
    <x v="2"/>
    <s v="CUST1276"/>
    <s v="SP_03"/>
    <n v="3"/>
    <n v="45558.39"/>
    <n v="136675.17000000001"/>
    <n v="105313.23"/>
    <n v="31361.94"/>
    <s v="UPI"/>
  </r>
  <r>
    <s v="ORD104369"/>
    <s v="2025-12-10"/>
    <x v="7"/>
    <s v="North"/>
    <s v="Punjab"/>
    <s v="Chandigarh"/>
    <x v="0"/>
    <x v="8"/>
    <s v="CUST1994"/>
    <s v="SP_04"/>
    <n v="4"/>
    <n v="23424.62"/>
    <n v="93698.48"/>
    <n v="66245.399999999994"/>
    <n v="27453.08"/>
    <s v="UPI"/>
  </r>
  <r>
    <s v="ORD104370"/>
    <s v="2025-11-23"/>
    <x v="10"/>
    <s v="West"/>
    <s v="Maharashtra"/>
    <s v="Mumbai"/>
    <x v="1"/>
    <x v="5"/>
    <s v="CUST1337"/>
    <s v="SP_13"/>
    <n v="6"/>
    <n v="9945.25"/>
    <n v="59671.5"/>
    <n v="43965.85"/>
    <n v="15705.65"/>
    <s v="Cash"/>
  </r>
  <r>
    <s v="ORD104371"/>
    <s v="2025-04-26"/>
    <x v="0"/>
    <s v="West"/>
    <s v="Maharashtra"/>
    <s v="Mumbai"/>
    <x v="3"/>
    <x v="11"/>
    <s v="CUST1404"/>
    <s v="SP_07"/>
    <n v="8"/>
    <n v="119.89"/>
    <n v="959.12"/>
    <n v="477.67"/>
    <n v="481.45"/>
    <s v="Credit Card"/>
  </r>
  <r>
    <s v="ORD104372"/>
    <s v="2025-12-13"/>
    <x v="7"/>
    <s v="East"/>
    <s v="Odisha"/>
    <s v="Bhubaneswar"/>
    <x v="2"/>
    <x v="10"/>
    <s v="CUST1913"/>
    <s v="SP_01"/>
    <n v="4"/>
    <n v="18946.150000000001"/>
    <n v="75784.600000000006"/>
    <n v="54896.99"/>
    <n v="20887.61"/>
    <s v="Net Banking"/>
  </r>
  <r>
    <s v="ORD104373"/>
    <s v="2025-03-03"/>
    <x v="4"/>
    <s v="North"/>
    <s v="Uttar Pradesh"/>
    <s v="Lucknow"/>
    <x v="1"/>
    <x v="6"/>
    <s v="CUST1401"/>
    <s v="SP_08"/>
    <n v="3"/>
    <n v="2886.05"/>
    <n v="8658.15"/>
    <n v="7018.59"/>
    <n v="1639.56"/>
    <s v="Cash"/>
  </r>
  <r>
    <s v="ORD104374"/>
    <s v="2025-09-02"/>
    <x v="5"/>
    <s v="West"/>
    <s v="Rajasthan"/>
    <s v="Jaipur"/>
    <x v="1"/>
    <x v="6"/>
    <s v="CUST1997"/>
    <s v="SP_11"/>
    <n v="2"/>
    <n v="3366"/>
    <n v="6732"/>
    <n v="4989.97"/>
    <n v="1742.03"/>
    <s v="Credit Card"/>
  </r>
  <r>
    <s v="ORD104375"/>
    <s v="2025-01-16"/>
    <x v="9"/>
    <s v="West"/>
    <s v="Gujarat"/>
    <s v="Ahmedabad"/>
    <x v="3"/>
    <x v="7"/>
    <s v="CUST1882"/>
    <s v="SP_01"/>
    <n v="2"/>
    <n v="12622.19"/>
    <n v="25244.38"/>
    <n v="17218.18"/>
    <n v="8026.2"/>
    <s v="UPI"/>
  </r>
  <r>
    <s v="ORD104376"/>
    <s v="2025-12-21"/>
    <x v="7"/>
    <s v="North"/>
    <s v="Punjab"/>
    <s v="Chandigarh"/>
    <x v="3"/>
    <x v="7"/>
    <s v="CUST1548"/>
    <s v="SP_08"/>
    <n v="8"/>
    <n v="11845.6"/>
    <n v="94764.800000000003"/>
    <n v="74923.44"/>
    <n v="19841.36"/>
    <s v="Cash"/>
  </r>
  <r>
    <s v="ORD104377"/>
    <s v="2025-08-02"/>
    <x v="11"/>
    <s v="West"/>
    <s v="Maharashtra"/>
    <s v="Mumbai"/>
    <x v="0"/>
    <x v="8"/>
    <s v="CUST1918"/>
    <s v="SP_08"/>
    <n v="1"/>
    <n v="21634.23"/>
    <n v="21634.23"/>
    <n v="17235.5"/>
    <n v="4398.7299999999996"/>
    <s v="UPI"/>
  </r>
  <r>
    <s v="ORD104378"/>
    <s v="2025-05-14"/>
    <x v="3"/>
    <s v="West"/>
    <s v="Gujarat"/>
    <s v="Ahmedabad"/>
    <x v="3"/>
    <x v="7"/>
    <s v="CUST1322"/>
    <s v="SP_05"/>
    <n v="6"/>
    <n v="11240.01"/>
    <n v="67440.06"/>
    <n v="52642.879999999997"/>
    <n v="14797.18"/>
    <s v="Credit Card"/>
  </r>
  <r>
    <s v="ORD104379"/>
    <s v="2025-05-30"/>
    <x v="3"/>
    <s v="East"/>
    <s v="West Bengal"/>
    <s v="Kolkata"/>
    <x v="1"/>
    <x v="6"/>
    <s v="CUST1982"/>
    <s v="SP_05"/>
    <n v="2"/>
    <n v="3382.53"/>
    <n v="6765.06"/>
    <n v="4974.28"/>
    <n v="1790.78"/>
    <s v="Credit Card"/>
  </r>
  <r>
    <s v="ORD104380"/>
    <s v="2025-06-22"/>
    <x v="2"/>
    <s v="South"/>
    <s v="Tamil Nadu"/>
    <s v="Chennai"/>
    <x v="3"/>
    <x v="3"/>
    <s v="CUST1654"/>
    <s v="SP_08"/>
    <n v="5"/>
    <n v="23.82"/>
    <n v="119.1"/>
    <n v="48.39"/>
    <n v="70.709999999999994"/>
    <s v="Credit Card"/>
  </r>
  <r>
    <s v="ORD104381"/>
    <s v="2025-01-19"/>
    <x v="9"/>
    <s v="East"/>
    <s v="Bihar"/>
    <s v="Patna"/>
    <x v="0"/>
    <x v="9"/>
    <s v="CUST1740"/>
    <s v="SP_11"/>
    <n v="2"/>
    <n v="6371.6"/>
    <n v="12743.2"/>
    <n v="9723.4599999999991"/>
    <n v="3019.74"/>
    <s v="Net Banking"/>
  </r>
  <r>
    <s v="ORD104382"/>
    <s v="2025-12-24"/>
    <x v="7"/>
    <s v="South"/>
    <s v="Karnataka"/>
    <s v="Bengaluru"/>
    <x v="1"/>
    <x v="6"/>
    <s v="CUST1954"/>
    <s v="SP_10"/>
    <n v="3"/>
    <n v="3183.84"/>
    <n v="9551.52"/>
    <n v="7231.96"/>
    <n v="2319.56"/>
    <s v="Cash"/>
  </r>
  <r>
    <s v="ORD104383"/>
    <s v="2025-05-28"/>
    <x v="3"/>
    <s v="West"/>
    <s v="Gujarat"/>
    <s v="Ahmedabad"/>
    <x v="0"/>
    <x v="8"/>
    <s v="CUST1333"/>
    <s v="SP_08"/>
    <n v="8"/>
    <n v="21278.97"/>
    <n v="170231.76"/>
    <n v="142291.06"/>
    <n v="27940.7"/>
    <s v="Net Banking"/>
  </r>
  <r>
    <s v="ORD104384"/>
    <s v="2025-10-21"/>
    <x v="1"/>
    <s v="West"/>
    <s v="Maharashtra"/>
    <s v="Mumbai"/>
    <x v="3"/>
    <x v="7"/>
    <s v="CUST1140"/>
    <s v="SP_13"/>
    <n v="6"/>
    <n v="12707.63"/>
    <n v="76245.78"/>
    <n v="56621.47"/>
    <n v="19624.310000000001"/>
    <s v="Credit Card"/>
  </r>
  <r>
    <s v="ORD104385"/>
    <s v="2025-07-24"/>
    <x v="6"/>
    <s v="East"/>
    <s v="Odisha"/>
    <s v="Bhubaneswar"/>
    <x v="1"/>
    <x v="5"/>
    <s v="CUST1607"/>
    <s v="SP_12"/>
    <n v="2"/>
    <n v="8955.25"/>
    <n v="17910.5"/>
    <n v="14957.54"/>
    <n v="2952.96"/>
    <s v="Debit Card"/>
  </r>
  <r>
    <s v="ORD104386"/>
    <s v="2025-05-07"/>
    <x v="3"/>
    <s v="East"/>
    <s v="Odisha"/>
    <s v="Bhubaneswar"/>
    <x v="2"/>
    <x v="4"/>
    <s v="CUST1943"/>
    <s v="SP_01"/>
    <n v="4"/>
    <n v="2334.09"/>
    <n v="9336.36"/>
    <n v="6534.81"/>
    <n v="2801.55"/>
    <s v="Debit Card"/>
  </r>
  <r>
    <s v="ORD104387"/>
    <s v="2025-08-15"/>
    <x v="11"/>
    <s v="West"/>
    <s v="Rajasthan"/>
    <s v="Jaipur"/>
    <x v="0"/>
    <x v="0"/>
    <s v="CUST1892"/>
    <s v="SP_08"/>
    <n v="3"/>
    <n v="3827.63"/>
    <n v="11482.89"/>
    <n v="6645.29"/>
    <n v="4837.6000000000004"/>
    <s v="Net Banking"/>
  </r>
  <r>
    <s v="ORD104388"/>
    <s v="2025-11-30"/>
    <x v="10"/>
    <s v="South"/>
    <s v="Karnataka"/>
    <s v="Bengaluru"/>
    <x v="2"/>
    <x v="4"/>
    <s v="CUST1135"/>
    <s v="SP_02"/>
    <n v="1"/>
    <n v="2317.71"/>
    <n v="2317.71"/>
    <n v="1539.35"/>
    <n v="778.36"/>
    <s v="Net Banking"/>
  </r>
  <r>
    <s v="ORD104389"/>
    <s v="2025-02-01"/>
    <x v="8"/>
    <s v="East"/>
    <s v="West Bengal"/>
    <s v="Kolkata"/>
    <x v="3"/>
    <x v="3"/>
    <s v="CUST1437"/>
    <s v="SP_01"/>
    <n v="8"/>
    <n v="23.5"/>
    <n v="188"/>
    <n v="79.790000000000006"/>
    <n v="108.21"/>
    <s v="Cash"/>
  </r>
  <r>
    <s v="ORD104390"/>
    <s v="2025-08-14"/>
    <x v="11"/>
    <s v="West"/>
    <s v="Gujarat"/>
    <s v="Ahmedabad"/>
    <x v="3"/>
    <x v="7"/>
    <s v="CUST1102"/>
    <s v="SP_13"/>
    <n v="6"/>
    <n v="12879.09"/>
    <n v="77274.539999999994"/>
    <n v="55680.4"/>
    <n v="21594.14"/>
    <s v="UPI"/>
  </r>
  <r>
    <s v="ORD104391"/>
    <s v="2025-06-26"/>
    <x v="2"/>
    <s v="East"/>
    <s v="Odisha"/>
    <s v="Bhubaneswar"/>
    <x v="1"/>
    <x v="1"/>
    <s v="CUST1568"/>
    <s v="SP_11"/>
    <n v="3"/>
    <n v="2900.36"/>
    <n v="8701.08"/>
    <n v="5536.72"/>
    <n v="3164.36"/>
    <s v="Cash"/>
  </r>
  <r>
    <s v="ORD104392"/>
    <s v="2025-12-23"/>
    <x v="7"/>
    <s v="West"/>
    <s v="Rajasthan"/>
    <s v="Jaipur"/>
    <x v="0"/>
    <x v="8"/>
    <s v="CUST1712"/>
    <s v="SP_15"/>
    <n v="3"/>
    <n v="20094.28"/>
    <n v="60282.84"/>
    <n v="50593.38"/>
    <n v="9689.4599999999991"/>
    <s v="Cash"/>
  </r>
  <r>
    <s v="ORD104393"/>
    <s v="2025-06-16"/>
    <x v="2"/>
    <s v="South"/>
    <s v="Karnataka"/>
    <s v="Bengaluru"/>
    <x v="3"/>
    <x v="11"/>
    <s v="CUST1145"/>
    <s v="SP_02"/>
    <n v="3"/>
    <n v="109.59"/>
    <n v="328.77"/>
    <n v="172.87"/>
    <n v="155.9"/>
    <s v="Debit Card"/>
  </r>
  <r>
    <s v="ORD104394"/>
    <s v="2025-12-06"/>
    <x v="7"/>
    <s v="South"/>
    <s v="Telangana"/>
    <s v="Hyderabad"/>
    <x v="3"/>
    <x v="7"/>
    <s v="CUST1602"/>
    <s v="SP_07"/>
    <n v="4"/>
    <n v="12161.32"/>
    <n v="48645.279999999999"/>
    <n v="35253.24"/>
    <n v="13392.04"/>
    <s v="Net Banking"/>
  </r>
  <r>
    <s v="ORD104395"/>
    <s v="2025-07-10"/>
    <x v="6"/>
    <s v="South"/>
    <s v="Telangana"/>
    <s v="Hyderabad"/>
    <x v="1"/>
    <x v="6"/>
    <s v="CUST1181"/>
    <s v="SP_13"/>
    <n v="1"/>
    <n v="3246.63"/>
    <n v="3246.63"/>
    <n v="2310.69"/>
    <n v="935.94"/>
    <s v="Cash"/>
  </r>
  <r>
    <s v="ORD104396"/>
    <s v="2025-12-13"/>
    <x v="7"/>
    <s v="West"/>
    <s v="Gujarat"/>
    <s v="Ahmedabad"/>
    <x v="3"/>
    <x v="7"/>
    <s v="CUST1444"/>
    <s v="SP_15"/>
    <n v="2"/>
    <n v="12068.87"/>
    <n v="24137.74"/>
    <n v="18726.78"/>
    <n v="5410.96"/>
    <s v="Debit Card"/>
  </r>
  <r>
    <s v="ORD104397"/>
    <s v="2025-07-14"/>
    <x v="6"/>
    <s v="South"/>
    <s v="Telangana"/>
    <s v="Hyderabad"/>
    <x v="0"/>
    <x v="8"/>
    <s v="CUST1821"/>
    <s v="SP_15"/>
    <n v="4"/>
    <n v="23251.64"/>
    <n v="93006.56"/>
    <n v="67811.91"/>
    <n v="25194.65"/>
    <s v="Credit Card"/>
  </r>
  <r>
    <s v="ORD104398"/>
    <s v="2025-12-13"/>
    <x v="7"/>
    <s v="South"/>
    <s v="Telangana"/>
    <s v="Hyderabad"/>
    <x v="2"/>
    <x v="4"/>
    <s v="CUST1128"/>
    <s v="SP_05"/>
    <n v="6"/>
    <n v="2652.04"/>
    <n v="15912.24"/>
    <n v="9738.59"/>
    <n v="6173.65"/>
    <s v="UPI"/>
  </r>
  <r>
    <s v="ORD104399"/>
    <s v="2025-09-02"/>
    <x v="5"/>
    <s v="East"/>
    <s v="Odisha"/>
    <s v="Bhubaneswar"/>
    <x v="1"/>
    <x v="6"/>
    <s v="CUST1335"/>
    <s v="SP_01"/>
    <n v="6"/>
    <n v="3439.54"/>
    <n v="20637.240000000002"/>
    <n v="14458.17"/>
    <n v="6179.07"/>
    <s v="UPI"/>
  </r>
  <r>
    <s v="ORD104400"/>
    <s v="2025-09-17"/>
    <x v="5"/>
    <s v="South"/>
    <s v="Tamil Nadu"/>
    <s v="Chennai"/>
    <x v="0"/>
    <x v="9"/>
    <s v="CUST1341"/>
    <s v="SP_10"/>
    <n v="5"/>
    <n v="7616.07"/>
    <n v="38080.35"/>
    <n v="24793.89"/>
    <n v="13286.46"/>
    <s v="Cash"/>
  </r>
  <r>
    <s v="ORD104401"/>
    <s v="2025-02-06"/>
    <x v="8"/>
    <s v="South"/>
    <s v="Karnataka"/>
    <s v="Bengaluru"/>
    <x v="3"/>
    <x v="11"/>
    <s v="CUST1340"/>
    <s v="SP_06"/>
    <n v="6"/>
    <n v="115.53"/>
    <n v="693.18"/>
    <n v="371.02"/>
    <n v="322.16000000000003"/>
    <s v="Cash"/>
  </r>
  <r>
    <s v="ORD104402"/>
    <s v="2025-09-05"/>
    <x v="5"/>
    <s v="West"/>
    <s v="Maharashtra"/>
    <s v="Mumbai"/>
    <x v="2"/>
    <x v="2"/>
    <s v="CUST1421"/>
    <s v="SP_02"/>
    <n v="6"/>
    <n v="47248.42"/>
    <n v="283490.52"/>
    <n v="215705.99"/>
    <n v="67784.53"/>
    <s v="Debit Card"/>
  </r>
  <r>
    <s v="ORD104403"/>
    <s v="2025-11-13"/>
    <x v="10"/>
    <s v="West"/>
    <s v="Rajasthan"/>
    <s v="Jaipur"/>
    <x v="0"/>
    <x v="9"/>
    <s v="CUST1329"/>
    <s v="SP_09"/>
    <n v="3"/>
    <n v="6642.21"/>
    <n v="19926.63"/>
    <n v="15680.62"/>
    <n v="4246.01"/>
    <s v="Credit Card"/>
  </r>
  <r>
    <s v="ORD104404"/>
    <s v="2025-04-29"/>
    <x v="0"/>
    <s v="East"/>
    <s v="Odisha"/>
    <s v="Bhubaneswar"/>
    <x v="1"/>
    <x v="6"/>
    <s v="CUST1833"/>
    <s v="SP_10"/>
    <n v="5"/>
    <n v="3397.63"/>
    <n v="16988.150000000001"/>
    <n v="11978.29"/>
    <n v="5009.8599999999997"/>
    <s v="Credit Card"/>
  </r>
  <r>
    <s v="ORD104405"/>
    <s v="2025-05-21"/>
    <x v="3"/>
    <s v="West"/>
    <s v="Gujarat"/>
    <s v="Ahmedabad"/>
    <x v="3"/>
    <x v="11"/>
    <s v="CUST1105"/>
    <s v="SP_02"/>
    <n v="2"/>
    <n v="113.61"/>
    <n v="227.22"/>
    <n v="115.1"/>
    <n v="112.12"/>
    <s v="UPI"/>
  </r>
  <r>
    <s v="ORD104406"/>
    <s v="2025-01-21"/>
    <x v="9"/>
    <s v="North"/>
    <s v="Uttar Pradesh"/>
    <s v="Lucknow"/>
    <x v="2"/>
    <x v="10"/>
    <s v="CUST1785"/>
    <s v="SP_14"/>
    <n v="3"/>
    <n v="18759.12"/>
    <n v="56277.36"/>
    <n v="41432.21"/>
    <n v="14845.15"/>
    <s v="Net Banking"/>
  </r>
  <r>
    <s v="ORD104407"/>
    <s v="2025-01-22"/>
    <x v="9"/>
    <s v="North"/>
    <s v="Delhi"/>
    <s v="Delhi"/>
    <x v="0"/>
    <x v="9"/>
    <s v="CUST1501"/>
    <s v="SP_01"/>
    <n v="7"/>
    <n v="6501.15"/>
    <n v="45508.05"/>
    <n v="33298.89"/>
    <n v="12209.16"/>
    <s v="Cash"/>
  </r>
  <r>
    <s v="ORD104408"/>
    <s v="2025-06-23"/>
    <x v="2"/>
    <s v="East"/>
    <s v="Odisha"/>
    <s v="Bhubaneswar"/>
    <x v="2"/>
    <x v="10"/>
    <s v="CUST1836"/>
    <s v="SP_10"/>
    <n v="8"/>
    <n v="19226.72"/>
    <n v="153813.76000000001"/>
    <n v="107116.96"/>
    <n v="46696.800000000003"/>
    <s v="Cash"/>
  </r>
  <r>
    <s v="ORD104409"/>
    <s v="2025-01-14"/>
    <x v="9"/>
    <s v="South"/>
    <s v="Telangana"/>
    <s v="Hyderabad"/>
    <x v="2"/>
    <x v="2"/>
    <s v="CUST1429"/>
    <s v="SP_05"/>
    <n v="2"/>
    <n v="43427.97"/>
    <n v="86855.94"/>
    <n v="70305.320000000007"/>
    <n v="16550.62"/>
    <s v="Credit Card"/>
  </r>
  <r>
    <s v="ORD104410"/>
    <s v="2025-04-21"/>
    <x v="0"/>
    <s v="North"/>
    <s v="Uttar Pradesh"/>
    <s v="Lucknow"/>
    <x v="3"/>
    <x v="3"/>
    <s v="CUST1668"/>
    <s v="SP_06"/>
    <n v="2"/>
    <n v="24.79"/>
    <n v="49.58"/>
    <n v="20.74"/>
    <n v="28.84"/>
    <s v="Credit Card"/>
  </r>
  <r>
    <s v="ORD104411"/>
    <s v="2025-02-18"/>
    <x v="8"/>
    <s v="East"/>
    <s v="West Bengal"/>
    <s v="Kolkata"/>
    <x v="2"/>
    <x v="2"/>
    <s v="CUST1221"/>
    <s v="SP_06"/>
    <n v="2"/>
    <n v="44301.760000000002"/>
    <n v="88603.520000000004"/>
    <n v="71012.95"/>
    <n v="17590.57"/>
    <s v="Net Banking"/>
  </r>
  <r>
    <s v="ORD104412"/>
    <s v="2025-06-11"/>
    <x v="2"/>
    <s v="West"/>
    <s v="Gujarat"/>
    <s v="Ahmedabad"/>
    <x v="0"/>
    <x v="8"/>
    <s v="CUST1548"/>
    <s v="SP_09"/>
    <n v="6"/>
    <n v="22975.06"/>
    <n v="137850.35999999999"/>
    <n v="104210.1"/>
    <n v="33640.26"/>
    <s v="UPI"/>
  </r>
  <r>
    <s v="ORD104413"/>
    <s v="2025-08-07"/>
    <x v="11"/>
    <s v="South"/>
    <s v="Telangana"/>
    <s v="Hyderabad"/>
    <x v="3"/>
    <x v="11"/>
    <s v="CUST1693"/>
    <s v="SP_01"/>
    <n v="6"/>
    <n v="130.41999999999999"/>
    <n v="782.52"/>
    <n v="371.47"/>
    <n v="411.05"/>
    <s v="Debit Card"/>
  </r>
  <r>
    <s v="ORD104414"/>
    <s v="2025-10-19"/>
    <x v="1"/>
    <s v="South"/>
    <s v="Karnataka"/>
    <s v="Bengaluru"/>
    <x v="1"/>
    <x v="6"/>
    <s v="CUST1467"/>
    <s v="SP_04"/>
    <n v="5"/>
    <n v="3065.11"/>
    <n v="15325.55"/>
    <n v="12540.22"/>
    <n v="2785.33"/>
    <s v="Debit Card"/>
  </r>
  <r>
    <s v="ORD104415"/>
    <s v="2025-12-07"/>
    <x v="7"/>
    <s v="South"/>
    <s v="Karnataka"/>
    <s v="Bengaluru"/>
    <x v="2"/>
    <x v="10"/>
    <s v="CUST1469"/>
    <s v="SP_15"/>
    <n v="1"/>
    <n v="19225.21"/>
    <n v="19225.21"/>
    <n v="14559.88"/>
    <n v="4665.33"/>
    <s v="Net Banking"/>
  </r>
  <r>
    <s v="ORD104416"/>
    <s v="2025-08-21"/>
    <x v="11"/>
    <s v="South"/>
    <s v="Telangana"/>
    <s v="Hyderabad"/>
    <x v="0"/>
    <x v="8"/>
    <s v="CUST1497"/>
    <s v="SP_08"/>
    <n v="4"/>
    <n v="19905.61"/>
    <n v="79622.44"/>
    <n v="70911.8"/>
    <n v="8710.64"/>
    <s v="Net Banking"/>
  </r>
  <r>
    <s v="ORD104417"/>
    <s v="2025-09-20"/>
    <x v="5"/>
    <s v="North"/>
    <s v="Delhi"/>
    <s v="Delhi"/>
    <x v="3"/>
    <x v="3"/>
    <s v="CUST1835"/>
    <s v="SP_01"/>
    <n v="7"/>
    <n v="23.53"/>
    <n v="164.71"/>
    <n v="69.14"/>
    <n v="95.57"/>
    <s v="Net Banking"/>
  </r>
  <r>
    <s v="ORD104418"/>
    <s v="2025-09-08"/>
    <x v="5"/>
    <s v="North"/>
    <s v="Delhi"/>
    <s v="Delhi"/>
    <x v="2"/>
    <x v="4"/>
    <s v="CUST1998"/>
    <s v="SP_13"/>
    <n v="4"/>
    <n v="2360.52"/>
    <n v="9442.08"/>
    <n v="6367.38"/>
    <n v="3074.7"/>
    <s v="Debit Card"/>
  </r>
  <r>
    <s v="ORD104419"/>
    <s v="2025-04-22"/>
    <x v="0"/>
    <s v="South"/>
    <s v="Telangana"/>
    <s v="Hyderabad"/>
    <x v="3"/>
    <x v="3"/>
    <s v="CUST1733"/>
    <s v="SP_07"/>
    <n v="8"/>
    <n v="25.62"/>
    <n v="204.96"/>
    <n v="78.47"/>
    <n v="126.49"/>
    <s v="Net Banking"/>
  </r>
  <r>
    <s v="ORD104420"/>
    <s v="2025-01-05"/>
    <x v="9"/>
    <s v="East"/>
    <s v="West Bengal"/>
    <s v="Kolkata"/>
    <x v="3"/>
    <x v="3"/>
    <s v="CUST1310"/>
    <s v="SP_09"/>
    <n v="3"/>
    <n v="27"/>
    <n v="81"/>
    <n v="31.05"/>
    <n v="49.95"/>
    <s v="UPI"/>
  </r>
  <r>
    <s v="ORD104421"/>
    <s v="2025-02-05"/>
    <x v="8"/>
    <s v="West"/>
    <s v="Maharashtra"/>
    <s v="Mumbai"/>
    <x v="2"/>
    <x v="2"/>
    <s v="CUST1139"/>
    <s v="SP_12"/>
    <n v="6"/>
    <n v="41886.660000000003"/>
    <n v="251319.96"/>
    <n v="212676.45"/>
    <n v="38643.51"/>
    <s v="Debit Card"/>
  </r>
  <r>
    <s v="ORD104422"/>
    <s v="2025-11-24"/>
    <x v="10"/>
    <s v="East"/>
    <s v="West Bengal"/>
    <s v="Kolkata"/>
    <x v="0"/>
    <x v="9"/>
    <s v="CUST1142"/>
    <s v="SP_01"/>
    <n v="3"/>
    <n v="6531.28"/>
    <n v="19593.84"/>
    <n v="14995.57"/>
    <n v="4598.2700000000004"/>
    <s v="Credit Card"/>
  </r>
  <r>
    <s v="ORD104423"/>
    <s v="2025-10-23"/>
    <x v="1"/>
    <s v="West"/>
    <s v="Maharashtra"/>
    <s v="Mumbai"/>
    <x v="0"/>
    <x v="9"/>
    <s v="CUST1736"/>
    <s v="SP_09"/>
    <n v="1"/>
    <n v="6806.48"/>
    <n v="6806.48"/>
    <n v="4891.3"/>
    <n v="1915.18"/>
    <s v="UPI"/>
  </r>
  <r>
    <s v="ORD104424"/>
    <s v="2025-04-17"/>
    <x v="0"/>
    <s v="West"/>
    <s v="Rajasthan"/>
    <s v="Jaipur"/>
    <x v="2"/>
    <x v="10"/>
    <s v="CUST1217"/>
    <s v="SP_12"/>
    <n v="5"/>
    <n v="17958.099999999999"/>
    <n v="89790.5"/>
    <n v="72300.5"/>
    <n v="17490"/>
    <s v="Cash"/>
  </r>
  <r>
    <s v="ORD104425"/>
    <s v="2025-03-12"/>
    <x v="4"/>
    <s v="South"/>
    <s v="Tamil Nadu"/>
    <s v="Chennai"/>
    <x v="1"/>
    <x v="6"/>
    <s v="CUST1984"/>
    <s v="SP_05"/>
    <n v="6"/>
    <n v="3264.38"/>
    <n v="19586.28"/>
    <n v="14274.78"/>
    <n v="5311.5"/>
    <s v="Credit Card"/>
  </r>
  <r>
    <s v="ORD104426"/>
    <s v="2025-04-09"/>
    <x v="0"/>
    <s v="West"/>
    <s v="Maharashtra"/>
    <s v="Mumbai"/>
    <x v="3"/>
    <x v="3"/>
    <s v="CUST1518"/>
    <s v="SP_02"/>
    <n v="2"/>
    <n v="22.83"/>
    <n v="45.66"/>
    <n v="19.46"/>
    <n v="26.2"/>
    <s v="Net Banking"/>
  </r>
  <r>
    <s v="ORD104427"/>
    <s v="2025-08-24"/>
    <x v="11"/>
    <s v="North"/>
    <s v="Uttar Pradesh"/>
    <s v="Lucknow"/>
    <x v="2"/>
    <x v="2"/>
    <s v="CUST1658"/>
    <s v="SP_13"/>
    <n v="7"/>
    <n v="45694.54"/>
    <n v="319861.78000000003"/>
    <n v="233350.45"/>
    <n v="86511.33"/>
    <s v="Credit Card"/>
  </r>
  <r>
    <s v="ORD104428"/>
    <s v="2025-01-16"/>
    <x v="9"/>
    <s v="North"/>
    <s v="Punjab"/>
    <s v="Chandigarh"/>
    <x v="2"/>
    <x v="2"/>
    <s v="CUST1305"/>
    <s v="SP_14"/>
    <n v="2"/>
    <n v="48190.94"/>
    <n v="96381.88"/>
    <n v="69495.98"/>
    <n v="26885.9"/>
    <s v="Cash"/>
  </r>
  <r>
    <s v="ORD104429"/>
    <s v="2025-10-05"/>
    <x v="1"/>
    <s v="West"/>
    <s v="Rajasthan"/>
    <s v="Jaipur"/>
    <x v="1"/>
    <x v="1"/>
    <s v="CUST1564"/>
    <s v="SP_01"/>
    <n v="6"/>
    <n v="2849.56"/>
    <n v="17097.36"/>
    <n v="11056.62"/>
    <n v="6040.74"/>
    <s v="UPI"/>
  </r>
  <r>
    <s v="ORD104430"/>
    <s v="2025-09-06"/>
    <x v="5"/>
    <s v="North"/>
    <s v="Punjab"/>
    <s v="Chandigarh"/>
    <x v="3"/>
    <x v="11"/>
    <s v="CUST1963"/>
    <s v="SP_14"/>
    <n v="5"/>
    <n v="115.08"/>
    <n v="575.4"/>
    <n v="302.27"/>
    <n v="273.13"/>
    <s v="Debit Card"/>
  </r>
  <r>
    <s v="ORD104431"/>
    <s v="2025-02-08"/>
    <x v="8"/>
    <s v="West"/>
    <s v="Maharashtra"/>
    <s v="Mumbai"/>
    <x v="0"/>
    <x v="0"/>
    <s v="CUST1340"/>
    <s v="SP_13"/>
    <n v="1"/>
    <n v="3487.67"/>
    <n v="3487.67"/>
    <n v="2197.4"/>
    <n v="1290.27"/>
    <s v="Net Banking"/>
  </r>
  <r>
    <s v="ORD104432"/>
    <s v="2025-03-20"/>
    <x v="4"/>
    <s v="West"/>
    <s v="Rajasthan"/>
    <s v="Jaipur"/>
    <x v="3"/>
    <x v="11"/>
    <s v="CUST1472"/>
    <s v="SP_04"/>
    <n v="3"/>
    <n v="112.45"/>
    <n v="337.35"/>
    <n v="184.01"/>
    <n v="153.34"/>
    <s v="Cash"/>
  </r>
  <r>
    <s v="ORD104433"/>
    <s v="2025-10-23"/>
    <x v="1"/>
    <s v="East"/>
    <s v="Odisha"/>
    <s v="Bhubaneswar"/>
    <x v="2"/>
    <x v="4"/>
    <s v="CUST1308"/>
    <s v="SP_08"/>
    <n v="2"/>
    <n v="2573.09"/>
    <n v="5146.18"/>
    <n v="3111.25"/>
    <n v="2034.93"/>
    <s v="Debit Card"/>
  </r>
  <r>
    <s v="ORD104434"/>
    <s v="2025-09-30"/>
    <x v="5"/>
    <s v="North"/>
    <s v="Punjab"/>
    <s v="Chandigarh"/>
    <x v="0"/>
    <x v="8"/>
    <s v="CUST1730"/>
    <s v="SP_02"/>
    <n v="3"/>
    <n v="21196.28"/>
    <n v="63588.84"/>
    <n v="53533.23"/>
    <n v="10055.61"/>
    <s v="Credit Card"/>
  </r>
  <r>
    <s v="ORD104435"/>
    <s v="2025-04-15"/>
    <x v="0"/>
    <s v="South"/>
    <s v="Tamil Nadu"/>
    <s v="Chennai"/>
    <x v="1"/>
    <x v="5"/>
    <s v="CUST1370"/>
    <s v="SP_05"/>
    <n v="5"/>
    <n v="9479.18"/>
    <n v="47395.9"/>
    <n v="37698.129999999997"/>
    <n v="9697.77"/>
    <s v="Credit Card"/>
  </r>
  <r>
    <s v="ORD104436"/>
    <s v="2025-08-25"/>
    <x v="11"/>
    <s v="South"/>
    <s v="Karnataka"/>
    <s v="Bengaluru"/>
    <x v="0"/>
    <x v="8"/>
    <s v="CUST1552"/>
    <s v="SP_12"/>
    <n v="4"/>
    <n v="23032.27"/>
    <n v="92129.08"/>
    <n v="67090.94"/>
    <n v="25038.14"/>
    <s v="UPI"/>
  </r>
  <r>
    <s v="ORD104437"/>
    <s v="2025-07-03"/>
    <x v="6"/>
    <s v="West"/>
    <s v="Rajasthan"/>
    <s v="Jaipur"/>
    <x v="0"/>
    <x v="8"/>
    <s v="CUST1041"/>
    <s v="SP_11"/>
    <n v="5"/>
    <n v="22619.74"/>
    <n v="113098.7"/>
    <n v="85882.86"/>
    <n v="27215.84"/>
    <s v="Net Banking"/>
  </r>
  <r>
    <s v="ORD104438"/>
    <s v="2025-04-30"/>
    <x v="0"/>
    <s v="East"/>
    <s v="Odisha"/>
    <s v="Bhubaneswar"/>
    <x v="0"/>
    <x v="0"/>
    <s v="CUST1774"/>
    <s v="SP_03"/>
    <n v="7"/>
    <n v="3227.67"/>
    <n v="22593.69"/>
    <n v="15764.81"/>
    <n v="6828.88"/>
    <s v="Debit Card"/>
  </r>
  <r>
    <s v="ORD104439"/>
    <s v="2025-05-09"/>
    <x v="3"/>
    <s v="South"/>
    <s v="Karnataka"/>
    <s v="Bengaluru"/>
    <x v="0"/>
    <x v="0"/>
    <s v="CUST1478"/>
    <s v="SP_12"/>
    <n v="8"/>
    <n v="3796.48"/>
    <n v="30371.84"/>
    <n v="17635.87"/>
    <n v="12735.97"/>
    <s v="Credit Card"/>
  </r>
  <r>
    <s v="ORD104440"/>
    <s v="2025-04-25"/>
    <x v="0"/>
    <s v="West"/>
    <s v="Gujarat"/>
    <s v="Ahmedabad"/>
    <x v="1"/>
    <x v="5"/>
    <s v="CUST1710"/>
    <s v="SP_02"/>
    <n v="8"/>
    <n v="9887.3700000000008"/>
    <n v="79098.960000000006"/>
    <n v="63655.43"/>
    <n v="15443.53"/>
    <s v="Credit Card"/>
  </r>
  <r>
    <s v="ORD104441"/>
    <s v="2025-01-02"/>
    <x v="9"/>
    <s v="South"/>
    <s v="Karnataka"/>
    <s v="Bengaluru"/>
    <x v="0"/>
    <x v="0"/>
    <s v="CUST1537"/>
    <s v="SP_13"/>
    <n v="4"/>
    <n v="3663.29"/>
    <n v="14653.16"/>
    <n v="9219.7199999999993"/>
    <n v="5433.44"/>
    <s v="Cash"/>
  </r>
  <r>
    <s v="ORD104442"/>
    <s v="2025-02-26"/>
    <x v="8"/>
    <s v="East"/>
    <s v="Bihar"/>
    <s v="Patna"/>
    <x v="3"/>
    <x v="11"/>
    <s v="CUST1590"/>
    <s v="SP_01"/>
    <n v="6"/>
    <n v="118.85"/>
    <n v="713.1"/>
    <n v="349.49"/>
    <n v="363.61"/>
    <s v="Net Banking"/>
  </r>
  <r>
    <s v="ORD104443"/>
    <s v="2025-01-25"/>
    <x v="9"/>
    <s v="East"/>
    <s v="West Bengal"/>
    <s v="Kolkata"/>
    <x v="3"/>
    <x v="3"/>
    <s v="CUST1332"/>
    <s v="SP_06"/>
    <n v="4"/>
    <n v="24.22"/>
    <n v="96.88"/>
    <n v="38.76"/>
    <n v="58.12"/>
    <s v="UPI"/>
  </r>
  <r>
    <s v="ORD104444"/>
    <s v="2025-04-06"/>
    <x v="0"/>
    <s v="East"/>
    <s v="Bihar"/>
    <s v="Patna"/>
    <x v="2"/>
    <x v="10"/>
    <s v="CUST1619"/>
    <s v="SP_08"/>
    <n v="7"/>
    <n v="19295.490000000002"/>
    <n v="135068.43"/>
    <n v="94319.57"/>
    <n v="40748.86"/>
    <s v="UPI"/>
  </r>
  <r>
    <s v="ORD104445"/>
    <s v="2025-06-19"/>
    <x v="2"/>
    <s v="West"/>
    <s v="Maharashtra"/>
    <s v="Mumbai"/>
    <x v="2"/>
    <x v="10"/>
    <s v="CUST1523"/>
    <s v="SP_03"/>
    <n v="6"/>
    <n v="17565.59"/>
    <n v="105393.54"/>
    <n v="83634.44"/>
    <n v="21759.1"/>
    <s v="Debit Card"/>
  </r>
  <r>
    <s v="ORD104446"/>
    <s v="2025-08-11"/>
    <x v="11"/>
    <s v="East"/>
    <s v="West Bengal"/>
    <s v="Kolkata"/>
    <x v="0"/>
    <x v="8"/>
    <s v="CUST1740"/>
    <s v="SP_15"/>
    <n v="4"/>
    <n v="22617.11"/>
    <n v="90468.44"/>
    <n v="71304.259999999995"/>
    <n v="19164.18"/>
    <s v="UPI"/>
  </r>
  <r>
    <s v="ORD104447"/>
    <s v="2025-07-09"/>
    <x v="6"/>
    <s v="North"/>
    <s v="Delhi"/>
    <s v="Delhi"/>
    <x v="2"/>
    <x v="10"/>
    <s v="CUST1141"/>
    <s v="SP_13"/>
    <n v="8"/>
    <n v="16667.009999999998"/>
    <n v="133336.07999999999"/>
    <n v="109607.18"/>
    <n v="23728.9"/>
    <s v="Cash"/>
  </r>
  <r>
    <s v="ORD104448"/>
    <s v="2025-05-02"/>
    <x v="3"/>
    <s v="North"/>
    <s v="Punjab"/>
    <s v="Chandigarh"/>
    <x v="2"/>
    <x v="4"/>
    <s v="CUST1070"/>
    <s v="SP_12"/>
    <n v="5"/>
    <n v="2256.41"/>
    <n v="11282.05"/>
    <n v="8272.16"/>
    <n v="3009.89"/>
    <s v="UPI"/>
  </r>
  <r>
    <s v="ORD104449"/>
    <s v="2025-08-06"/>
    <x v="11"/>
    <s v="East"/>
    <s v="West Bengal"/>
    <s v="Kolkata"/>
    <x v="1"/>
    <x v="1"/>
    <s v="CUST1801"/>
    <s v="SP_04"/>
    <n v="7"/>
    <n v="2985.81"/>
    <n v="20900.669999999998"/>
    <n v="13852.3"/>
    <n v="7048.37"/>
    <s v="Credit Card"/>
  </r>
  <r>
    <s v="ORD104450"/>
    <s v="2025-04-11"/>
    <x v="0"/>
    <s v="South"/>
    <s v="Karnataka"/>
    <s v="Bengaluru"/>
    <x v="2"/>
    <x v="4"/>
    <s v="CUST1963"/>
    <s v="SP_07"/>
    <n v="3"/>
    <n v="2266.2199999999998"/>
    <n v="6798.66"/>
    <n v="4966.84"/>
    <n v="1831.82"/>
    <s v="Debit Card"/>
  </r>
  <r>
    <s v="ORD104451"/>
    <s v="2025-04-15"/>
    <x v="0"/>
    <s v="East"/>
    <s v="West Bengal"/>
    <s v="Kolkata"/>
    <x v="1"/>
    <x v="5"/>
    <s v="CUST1008"/>
    <s v="SP_09"/>
    <n v="7"/>
    <n v="9882.09"/>
    <n v="69174.63"/>
    <n v="55055.839999999997"/>
    <n v="14118.79"/>
    <s v="UPI"/>
  </r>
  <r>
    <s v="ORD104452"/>
    <s v="2025-12-10"/>
    <x v="7"/>
    <s v="North"/>
    <s v="Punjab"/>
    <s v="Chandigarh"/>
    <x v="2"/>
    <x v="10"/>
    <s v="CUST1228"/>
    <s v="SP_05"/>
    <n v="1"/>
    <n v="18310.75"/>
    <n v="18310.75"/>
    <n v="13994.43"/>
    <n v="4316.32"/>
    <s v="Credit Card"/>
  </r>
  <r>
    <s v="ORD104453"/>
    <s v="2025-02-05"/>
    <x v="8"/>
    <s v="South"/>
    <s v="Telangana"/>
    <s v="Hyderabad"/>
    <x v="3"/>
    <x v="3"/>
    <s v="CUST1961"/>
    <s v="SP_08"/>
    <n v="2"/>
    <n v="27.23"/>
    <n v="54.46"/>
    <n v="20.3"/>
    <n v="34.159999999999997"/>
    <s v="Cash"/>
  </r>
  <r>
    <s v="ORD104454"/>
    <s v="2025-03-10"/>
    <x v="4"/>
    <s v="North"/>
    <s v="Uttar Pradesh"/>
    <s v="Lucknow"/>
    <x v="2"/>
    <x v="4"/>
    <s v="CUST1777"/>
    <s v="SP_10"/>
    <n v="3"/>
    <n v="2526.88"/>
    <n v="7580.64"/>
    <n v="4783.66"/>
    <n v="2796.98"/>
    <s v="UPI"/>
  </r>
  <r>
    <s v="ORD104455"/>
    <s v="2025-01-10"/>
    <x v="9"/>
    <s v="East"/>
    <s v="Odisha"/>
    <s v="Bhubaneswar"/>
    <x v="0"/>
    <x v="9"/>
    <s v="CUST1987"/>
    <s v="SP_14"/>
    <n v="1"/>
    <n v="6350.33"/>
    <n v="6350.33"/>
    <n v="4820.09"/>
    <n v="1530.24"/>
    <s v="UPI"/>
  </r>
  <r>
    <s v="ORD104456"/>
    <s v="2025-05-20"/>
    <x v="3"/>
    <s v="South"/>
    <s v="Karnataka"/>
    <s v="Bengaluru"/>
    <x v="2"/>
    <x v="10"/>
    <s v="CUST1922"/>
    <s v="SP_12"/>
    <n v="6"/>
    <n v="17752.88"/>
    <n v="106517.28"/>
    <n v="86659.02"/>
    <n v="19858.259999999998"/>
    <s v="Credit Card"/>
  </r>
  <r>
    <s v="ORD104457"/>
    <s v="2025-03-02"/>
    <x v="4"/>
    <s v="North"/>
    <s v="Delhi"/>
    <s v="Delhi"/>
    <x v="3"/>
    <x v="11"/>
    <s v="CUST1202"/>
    <s v="SP_12"/>
    <n v="2"/>
    <n v="128.6"/>
    <n v="257.2"/>
    <n v="119.63"/>
    <n v="137.57"/>
    <s v="Net Banking"/>
  </r>
  <r>
    <s v="ORD104458"/>
    <s v="2025-10-10"/>
    <x v="1"/>
    <s v="East"/>
    <s v="Odisha"/>
    <s v="Bhubaneswar"/>
    <x v="1"/>
    <x v="6"/>
    <s v="CUST1438"/>
    <s v="SP_13"/>
    <n v="7"/>
    <n v="3439.42"/>
    <n v="24075.94"/>
    <n v="17045.29"/>
    <n v="7030.65"/>
    <s v="UPI"/>
  </r>
  <r>
    <s v="ORD104459"/>
    <s v="2025-11-10"/>
    <x v="10"/>
    <s v="West"/>
    <s v="Rajasthan"/>
    <s v="Jaipur"/>
    <x v="3"/>
    <x v="7"/>
    <s v="CUST1096"/>
    <s v="SP_11"/>
    <n v="3"/>
    <n v="12530.58"/>
    <n v="37591.74"/>
    <n v="27918"/>
    <n v="9673.74"/>
    <s v="Net Banking"/>
  </r>
  <r>
    <s v="ORD104460"/>
    <s v="2025-01-04"/>
    <x v="9"/>
    <s v="North"/>
    <s v="Uttar Pradesh"/>
    <s v="Lucknow"/>
    <x v="3"/>
    <x v="11"/>
    <s v="CUST1326"/>
    <s v="SP_14"/>
    <n v="6"/>
    <n v="127.38"/>
    <n v="764.28"/>
    <n v="366.69"/>
    <n v="397.59"/>
    <s v="Net Banking"/>
  </r>
  <r>
    <s v="ORD104461"/>
    <s v="2025-12-21"/>
    <x v="7"/>
    <s v="West"/>
    <s v="Rajasthan"/>
    <s v="Jaipur"/>
    <x v="3"/>
    <x v="11"/>
    <s v="CUST1017"/>
    <s v="SP_09"/>
    <n v="2"/>
    <n v="125.59"/>
    <n v="251.18"/>
    <n v="122.29"/>
    <n v="128.88999999999999"/>
    <s v="Debit Card"/>
  </r>
  <r>
    <s v="ORD104462"/>
    <s v="2025-12-29"/>
    <x v="7"/>
    <s v="North"/>
    <s v="Uttar Pradesh"/>
    <s v="Lucknow"/>
    <x v="2"/>
    <x v="10"/>
    <s v="CUST1479"/>
    <s v="SP_10"/>
    <n v="8"/>
    <n v="17591.78"/>
    <n v="140734.24"/>
    <n v="114618.37"/>
    <n v="26115.87"/>
    <s v="Credit Card"/>
  </r>
  <r>
    <s v="ORD104463"/>
    <s v="2025-12-29"/>
    <x v="7"/>
    <s v="North"/>
    <s v="Delhi"/>
    <s v="Delhi"/>
    <x v="3"/>
    <x v="11"/>
    <s v="CUST1224"/>
    <s v="SP_10"/>
    <n v="5"/>
    <n v="119.24"/>
    <n v="596.20000000000005"/>
    <n v="305.11"/>
    <n v="291.08999999999997"/>
    <s v="Cash"/>
  </r>
  <r>
    <s v="ORD104464"/>
    <s v="2025-11-23"/>
    <x v="10"/>
    <s v="South"/>
    <s v="Karnataka"/>
    <s v="Bengaluru"/>
    <x v="1"/>
    <x v="6"/>
    <s v="CUST1023"/>
    <s v="SP_02"/>
    <n v="3"/>
    <n v="3210.84"/>
    <n v="9632.52"/>
    <n v="6851.59"/>
    <n v="2780.93"/>
    <s v="UPI"/>
  </r>
  <r>
    <s v="ORD104465"/>
    <s v="2025-08-26"/>
    <x v="11"/>
    <s v="South"/>
    <s v="Karnataka"/>
    <s v="Bengaluru"/>
    <x v="1"/>
    <x v="5"/>
    <s v="CUST1538"/>
    <s v="SP_11"/>
    <n v="2"/>
    <n v="8662.44"/>
    <n v="17324.88"/>
    <n v="14604.16"/>
    <n v="2720.72"/>
    <s v="UPI"/>
  </r>
  <r>
    <s v="ORD104466"/>
    <s v="2025-11-21"/>
    <x v="10"/>
    <s v="West"/>
    <s v="Maharashtra"/>
    <s v="Mumbai"/>
    <x v="3"/>
    <x v="7"/>
    <s v="CUST1723"/>
    <s v="SP_01"/>
    <n v="4"/>
    <n v="10934.3"/>
    <n v="43737.2"/>
    <n v="35699.839999999997"/>
    <n v="8037.36"/>
    <s v="UPI"/>
  </r>
  <r>
    <s v="ORD104467"/>
    <s v="2025-10-12"/>
    <x v="1"/>
    <s v="East"/>
    <s v="Odisha"/>
    <s v="Bhubaneswar"/>
    <x v="2"/>
    <x v="2"/>
    <s v="CUST1276"/>
    <s v="SP_03"/>
    <n v="2"/>
    <n v="45002.14"/>
    <n v="90004.28"/>
    <n v="69656.14"/>
    <n v="20348.14"/>
    <s v="Debit Card"/>
  </r>
  <r>
    <s v="ORD104468"/>
    <s v="2025-08-19"/>
    <x v="11"/>
    <s v="North"/>
    <s v="Punjab"/>
    <s v="Chandigarh"/>
    <x v="0"/>
    <x v="0"/>
    <s v="CUST1933"/>
    <s v="SP_06"/>
    <n v="5"/>
    <n v="3774.39"/>
    <n v="18871.95"/>
    <n v="10637.24"/>
    <n v="8234.7099999999991"/>
    <s v="Net Banking"/>
  </r>
  <r>
    <s v="ORD104469"/>
    <s v="2025-09-14"/>
    <x v="5"/>
    <s v="North"/>
    <s v="Punjab"/>
    <s v="Chandigarh"/>
    <x v="0"/>
    <x v="8"/>
    <s v="CUST1143"/>
    <s v="SP_10"/>
    <n v="2"/>
    <n v="23901.63"/>
    <n v="47803.26"/>
    <n v="33790.69"/>
    <n v="14012.57"/>
    <s v="Net Banking"/>
  </r>
  <r>
    <s v="ORD104470"/>
    <s v="2025-06-11"/>
    <x v="2"/>
    <s v="South"/>
    <s v="Karnataka"/>
    <s v="Bengaluru"/>
    <x v="2"/>
    <x v="4"/>
    <s v="CUST1524"/>
    <s v="SP_11"/>
    <n v="5"/>
    <n v="2450.5700000000002"/>
    <n v="12252.85"/>
    <n v="8176.93"/>
    <n v="4075.92"/>
    <s v="Credit Card"/>
  </r>
  <r>
    <s v="ORD104471"/>
    <s v="2025-01-17"/>
    <x v="9"/>
    <s v="South"/>
    <s v="Tamil Nadu"/>
    <s v="Chennai"/>
    <x v="1"/>
    <x v="1"/>
    <s v="CUST1396"/>
    <s v="SP_07"/>
    <n v="3"/>
    <n v="2916.5"/>
    <n v="8749.5"/>
    <n v="5561.25"/>
    <n v="3188.25"/>
    <s v="Net Banking"/>
  </r>
  <r>
    <s v="ORD104472"/>
    <s v="2025-01-26"/>
    <x v="9"/>
    <s v="North"/>
    <s v="Delhi"/>
    <s v="Delhi"/>
    <x v="2"/>
    <x v="2"/>
    <s v="CUST1045"/>
    <s v="SP_06"/>
    <n v="7"/>
    <n v="43346.19"/>
    <n v="303423.33"/>
    <n v="251055.03"/>
    <n v="52368.3"/>
    <s v="UPI"/>
  </r>
  <r>
    <s v="ORD104473"/>
    <s v="2025-05-24"/>
    <x v="3"/>
    <s v="West"/>
    <s v="Rajasthan"/>
    <s v="Jaipur"/>
    <x v="2"/>
    <x v="4"/>
    <s v="CUST1114"/>
    <s v="SP_03"/>
    <n v="6"/>
    <n v="2259.1799999999998"/>
    <n v="13555.08"/>
    <n v="9129.06"/>
    <n v="4426.0200000000004"/>
    <s v="Cash"/>
  </r>
  <r>
    <s v="ORD104474"/>
    <s v="2025-03-14"/>
    <x v="4"/>
    <s v="West"/>
    <s v="Gujarat"/>
    <s v="Ahmedabad"/>
    <x v="1"/>
    <x v="6"/>
    <s v="CUST1839"/>
    <s v="SP_07"/>
    <n v="5"/>
    <n v="3096.6"/>
    <n v="15483"/>
    <n v="11622.63"/>
    <n v="3860.37"/>
    <s v="Credit Card"/>
  </r>
  <r>
    <s v="ORD104475"/>
    <s v="2025-11-05"/>
    <x v="10"/>
    <s v="East"/>
    <s v="West Bengal"/>
    <s v="Kolkata"/>
    <x v="0"/>
    <x v="8"/>
    <s v="CUST1559"/>
    <s v="SP_07"/>
    <n v="7"/>
    <n v="20698.8"/>
    <n v="144891.6"/>
    <n v="113803.88"/>
    <n v="31087.72"/>
    <s v="UPI"/>
  </r>
  <r>
    <s v="ORD104476"/>
    <s v="2025-08-29"/>
    <x v="11"/>
    <s v="North"/>
    <s v="Punjab"/>
    <s v="Chandigarh"/>
    <x v="2"/>
    <x v="10"/>
    <s v="CUST1654"/>
    <s v="SP_13"/>
    <n v="2"/>
    <n v="19666.12"/>
    <n v="39332.239999999998"/>
    <n v="29281.24"/>
    <n v="10051"/>
    <s v="Cash"/>
  </r>
  <r>
    <s v="ORD104477"/>
    <s v="2025-12-28"/>
    <x v="7"/>
    <s v="East"/>
    <s v="Bihar"/>
    <s v="Patna"/>
    <x v="2"/>
    <x v="10"/>
    <s v="CUST1207"/>
    <s v="SP_04"/>
    <n v="5"/>
    <n v="17557.400000000001"/>
    <n v="87787"/>
    <n v="71645.649999999994"/>
    <n v="16141.35"/>
    <s v="Cash"/>
  </r>
  <r>
    <s v="ORD104478"/>
    <s v="2025-05-11"/>
    <x v="3"/>
    <s v="North"/>
    <s v="Uttar Pradesh"/>
    <s v="Lucknow"/>
    <x v="0"/>
    <x v="0"/>
    <s v="CUST1909"/>
    <s v="SP_09"/>
    <n v="3"/>
    <n v="3163.22"/>
    <n v="9489.66"/>
    <n v="6484.58"/>
    <n v="3005.08"/>
    <s v="Net Banking"/>
  </r>
  <r>
    <s v="ORD104479"/>
    <s v="2025-01-09"/>
    <x v="9"/>
    <s v="East"/>
    <s v="Odisha"/>
    <s v="Bhubaneswar"/>
    <x v="3"/>
    <x v="11"/>
    <s v="CUST1134"/>
    <s v="SP_12"/>
    <n v="6"/>
    <n v="128.26"/>
    <n v="769.56"/>
    <n v="356.31"/>
    <n v="413.25"/>
    <s v="Debit Card"/>
  </r>
  <r>
    <s v="ORD104480"/>
    <s v="2025-08-31"/>
    <x v="11"/>
    <s v="West"/>
    <s v="Rajasthan"/>
    <s v="Jaipur"/>
    <x v="2"/>
    <x v="2"/>
    <s v="CUST1895"/>
    <s v="SP_07"/>
    <n v="3"/>
    <n v="44263.27"/>
    <n v="132789.81"/>
    <n v="101588.7"/>
    <n v="31201.11"/>
    <s v="Cash"/>
  </r>
  <r>
    <s v="ORD104481"/>
    <s v="2025-05-16"/>
    <x v="3"/>
    <s v="East"/>
    <s v="West Bengal"/>
    <s v="Kolkata"/>
    <x v="1"/>
    <x v="5"/>
    <s v="CUST1966"/>
    <s v="SP_14"/>
    <n v="6"/>
    <n v="10333.98"/>
    <n v="62003.88"/>
    <n v="46275.42"/>
    <n v="15728.46"/>
    <s v="Debit Card"/>
  </r>
  <r>
    <s v="ORD104482"/>
    <s v="2025-12-17"/>
    <x v="7"/>
    <s v="North"/>
    <s v="Delhi"/>
    <s v="Delhi"/>
    <x v="2"/>
    <x v="10"/>
    <s v="CUST1602"/>
    <s v="SP_04"/>
    <n v="7"/>
    <n v="19639.39"/>
    <n v="137475.73000000001"/>
    <n v="97471.95"/>
    <n v="40003.78"/>
    <s v="Cash"/>
  </r>
  <r>
    <s v="ORD104483"/>
    <s v="2025-03-09"/>
    <x v="4"/>
    <s v="East"/>
    <s v="Bihar"/>
    <s v="Patna"/>
    <x v="2"/>
    <x v="2"/>
    <s v="CUST1800"/>
    <s v="SP_06"/>
    <n v="2"/>
    <n v="48904.59"/>
    <n v="97809.18"/>
    <n v="69561.89"/>
    <n v="28247.29"/>
    <s v="Credit Card"/>
  </r>
  <r>
    <s v="ORD104484"/>
    <s v="2025-04-05"/>
    <x v="0"/>
    <s v="East"/>
    <s v="West Bengal"/>
    <s v="Kolkata"/>
    <x v="2"/>
    <x v="2"/>
    <s v="CUST1388"/>
    <s v="SP_15"/>
    <n v="8"/>
    <n v="43937.79"/>
    <n v="351502.32"/>
    <n v="270272.94"/>
    <n v="81229.38"/>
    <s v="Cash"/>
  </r>
  <r>
    <s v="ORD104485"/>
    <s v="2025-10-19"/>
    <x v="1"/>
    <s v="North"/>
    <s v="Punjab"/>
    <s v="Chandigarh"/>
    <x v="0"/>
    <x v="8"/>
    <s v="CUST1550"/>
    <s v="SP_10"/>
    <n v="3"/>
    <n v="21076.37"/>
    <n v="63229.11"/>
    <n v="48666.76"/>
    <n v="14562.35"/>
    <s v="Cash"/>
  </r>
  <r>
    <s v="ORD104486"/>
    <s v="2025-05-05"/>
    <x v="3"/>
    <s v="East"/>
    <s v="West Bengal"/>
    <s v="Kolkata"/>
    <x v="2"/>
    <x v="4"/>
    <s v="CUST1567"/>
    <s v="SP_05"/>
    <n v="6"/>
    <n v="2355.4499999999998"/>
    <n v="14132.7"/>
    <n v="9649.19"/>
    <n v="4483.51"/>
    <s v="Cash"/>
  </r>
  <r>
    <s v="ORD104487"/>
    <s v="2025-04-09"/>
    <x v="0"/>
    <s v="South"/>
    <s v="Telangana"/>
    <s v="Hyderabad"/>
    <x v="0"/>
    <x v="0"/>
    <s v="CUST1252"/>
    <s v="SP_05"/>
    <n v="5"/>
    <n v="3848.36"/>
    <n v="19241.8"/>
    <n v="11533.89"/>
    <n v="7707.91"/>
    <s v="UPI"/>
  </r>
  <r>
    <s v="ORD104488"/>
    <s v="2025-05-06"/>
    <x v="3"/>
    <s v="North"/>
    <s v="Delhi"/>
    <s v="Delhi"/>
    <x v="0"/>
    <x v="0"/>
    <s v="CUST1385"/>
    <s v="SP_15"/>
    <n v="5"/>
    <n v="3226.79"/>
    <n v="16133.95"/>
    <n v="10591.12"/>
    <n v="5542.83"/>
    <s v="Debit Card"/>
  </r>
  <r>
    <s v="ORD104489"/>
    <s v="2025-08-07"/>
    <x v="11"/>
    <s v="West"/>
    <s v="Gujarat"/>
    <s v="Ahmedabad"/>
    <x v="1"/>
    <x v="1"/>
    <s v="CUST1688"/>
    <s v="SP_03"/>
    <n v="5"/>
    <n v="2572.2600000000002"/>
    <n v="12861.3"/>
    <n v="9058.49"/>
    <n v="3802.81"/>
    <s v="Debit Card"/>
  </r>
  <r>
    <s v="ORD104490"/>
    <s v="2025-05-19"/>
    <x v="3"/>
    <s v="South"/>
    <s v="Telangana"/>
    <s v="Hyderabad"/>
    <x v="0"/>
    <x v="0"/>
    <s v="CUST1217"/>
    <s v="SP_07"/>
    <n v="2"/>
    <n v="3775.8"/>
    <n v="7551.6"/>
    <n v="4453.99"/>
    <n v="3097.61"/>
    <s v="Cash"/>
  </r>
  <r>
    <s v="ORD104491"/>
    <s v="2025-11-06"/>
    <x v="10"/>
    <s v="South"/>
    <s v="Tamil Nadu"/>
    <s v="Chennai"/>
    <x v="0"/>
    <x v="8"/>
    <s v="CUST1100"/>
    <s v="SP_10"/>
    <n v="5"/>
    <n v="22145.11"/>
    <n v="110725.55"/>
    <n v="84553.43"/>
    <n v="26172.12"/>
    <s v="UPI"/>
  </r>
  <r>
    <s v="ORD104492"/>
    <s v="2025-03-28"/>
    <x v="4"/>
    <s v="West"/>
    <s v="Gujarat"/>
    <s v="Ahmedabad"/>
    <x v="1"/>
    <x v="5"/>
    <s v="CUST1152"/>
    <s v="SP_11"/>
    <n v="4"/>
    <n v="9852.6"/>
    <n v="39410.400000000001"/>
    <n v="30075.91"/>
    <n v="9334.49"/>
    <s v="Net Banking"/>
  </r>
  <r>
    <s v="ORD104493"/>
    <s v="2025-04-09"/>
    <x v="0"/>
    <s v="East"/>
    <s v="Odisha"/>
    <s v="Bhubaneswar"/>
    <x v="2"/>
    <x v="10"/>
    <s v="CUST1571"/>
    <s v="SP_11"/>
    <n v="5"/>
    <n v="18550.75"/>
    <n v="92753.75"/>
    <n v="70407.12"/>
    <n v="22346.63"/>
    <s v="Net Banking"/>
  </r>
  <r>
    <s v="ORD104494"/>
    <s v="2025-05-23"/>
    <x v="3"/>
    <s v="South"/>
    <s v="Karnataka"/>
    <s v="Bengaluru"/>
    <x v="0"/>
    <x v="8"/>
    <s v="CUST1034"/>
    <s v="SP_10"/>
    <n v="4"/>
    <n v="21396.799999999999"/>
    <n v="85587.199999999997"/>
    <n v="66959.75"/>
    <n v="18627.45"/>
    <s v="Cash"/>
  </r>
  <r>
    <s v="ORD104495"/>
    <s v="2025-02-15"/>
    <x v="8"/>
    <s v="South"/>
    <s v="Tamil Nadu"/>
    <s v="Chennai"/>
    <x v="0"/>
    <x v="8"/>
    <s v="CUST1960"/>
    <s v="SP_05"/>
    <n v="7"/>
    <n v="20777.330000000002"/>
    <n v="145441.31"/>
    <n v="117035.48"/>
    <n v="28405.83"/>
    <s v="Cash"/>
  </r>
  <r>
    <s v="ORD104496"/>
    <s v="2025-07-03"/>
    <x v="6"/>
    <s v="East"/>
    <s v="West Bengal"/>
    <s v="Kolkata"/>
    <x v="3"/>
    <x v="3"/>
    <s v="CUST1065"/>
    <s v="SP_07"/>
    <n v="8"/>
    <n v="22.52"/>
    <n v="180.16"/>
    <n v="77.63"/>
    <n v="102.53"/>
    <s v="Debit Card"/>
  </r>
  <r>
    <s v="ORD104497"/>
    <s v="2025-06-25"/>
    <x v="2"/>
    <s v="West"/>
    <s v="Gujarat"/>
    <s v="Ahmedabad"/>
    <x v="2"/>
    <x v="2"/>
    <s v="CUST1079"/>
    <s v="SP_06"/>
    <n v="4"/>
    <n v="44689.94"/>
    <n v="178759.76"/>
    <n v="142151.78"/>
    <n v="36607.980000000003"/>
    <s v="UPI"/>
  </r>
  <r>
    <s v="ORD104498"/>
    <s v="2025-05-02"/>
    <x v="3"/>
    <s v="North"/>
    <s v="Punjab"/>
    <s v="Chandigarh"/>
    <x v="2"/>
    <x v="2"/>
    <s v="CUST1094"/>
    <s v="SP_12"/>
    <n v="6"/>
    <n v="41675.480000000003"/>
    <n v="250052.88"/>
    <n v="199519.15"/>
    <n v="50533.73"/>
    <s v="Cash"/>
  </r>
  <r>
    <s v="ORD104499"/>
    <s v="2025-01-08"/>
    <x v="9"/>
    <s v="West"/>
    <s v="Maharashtra"/>
    <s v="Mumbai"/>
    <x v="0"/>
    <x v="0"/>
    <s v="CUST1934"/>
    <s v="SP_09"/>
    <n v="2"/>
    <n v="3668.29"/>
    <n v="7336.58"/>
    <n v="4440.3"/>
    <n v="2896.28"/>
    <s v="Cash"/>
  </r>
  <r>
    <s v="ORD104500"/>
    <s v="2025-04-18"/>
    <x v="0"/>
    <s v="South"/>
    <s v="Tamil Nadu"/>
    <s v="Chennai"/>
    <x v="3"/>
    <x v="11"/>
    <s v="CUST1081"/>
    <s v="SP_02"/>
    <n v="7"/>
    <n v="115.05"/>
    <n v="805.35"/>
    <n v="412.32"/>
    <n v="393.03"/>
    <s v="Cash"/>
  </r>
  <r>
    <s v="ORD104501"/>
    <s v="2025-04-09"/>
    <x v="0"/>
    <s v="South"/>
    <s v="Karnataka"/>
    <s v="Bengaluru"/>
    <x v="3"/>
    <x v="11"/>
    <s v="CUST1296"/>
    <s v="SP_07"/>
    <n v="7"/>
    <n v="112.24"/>
    <n v="785.68"/>
    <n v="415.5"/>
    <n v="370.18"/>
    <s v="UPI"/>
  </r>
  <r>
    <s v="ORD104502"/>
    <s v="2025-10-28"/>
    <x v="1"/>
    <s v="North"/>
    <s v="Punjab"/>
    <s v="Chandigarh"/>
    <x v="2"/>
    <x v="2"/>
    <s v="CUST1561"/>
    <s v="SP_14"/>
    <n v="6"/>
    <n v="41031.800000000003"/>
    <n v="246190.8"/>
    <n v="206877.78"/>
    <n v="39313.019999999997"/>
    <s v="UPI"/>
  </r>
  <r>
    <s v="ORD104503"/>
    <s v="2025-01-05"/>
    <x v="9"/>
    <s v="South"/>
    <s v="Karnataka"/>
    <s v="Bengaluru"/>
    <x v="1"/>
    <x v="6"/>
    <s v="CUST1469"/>
    <s v="SP_09"/>
    <n v="8"/>
    <n v="3292.46"/>
    <n v="26339.68"/>
    <n v="18884.400000000001"/>
    <n v="7455.28"/>
    <s v="Net Banking"/>
  </r>
  <r>
    <s v="ORD104504"/>
    <s v="2025-05-12"/>
    <x v="3"/>
    <s v="South"/>
    <s v="Karnataka"/>
    <s v="Bengaluru"/>
    <x v="0"/>
    <x v="9"/>
    <s v="CUST1216"/>
    <s v="SP_15"/>
    <n v="2"/>
    <n v="7401.68"/>
    <n v="14803.36"/>
    <n v="9603.6200000000008"/>
    <n v="5199.74"/>
    <s v="UPI"/>
  </r>
  <r>
    <s v="ORD104505"/>
    <s v="2025-09-09"/>
    <x v="5"/>
    <s v="South"/>
    <s v="Telangana"/>
    <s v="Hyderabad"/>
    <x v="0"/>
    <x v="8"/>
    <s v="CUST1395"/>
    <s v="SP_09"/>
    <n v="8"/>
    <n v="20028.43"/>
    <n v="160227.44"/>
    <n v="136208.70000000001"/>
    <n v="24018.74"/>
    <s v="Net Banking"/>
  </r>
  <r>
    <s v="ORD104506"/>
    <s v="2025-03-06"/>
    <x v="4"/>
    <s v="North"/>
    <s v="Delhi"/>
    <s v="Delhi"/>
    <x v="0"/>
    <x v="8"/>
    <s v="CUST1216"/>
    <s v="SP_03"/>
    <n v="8"/>
    <n v="20583.2"/>
    <n v="164665.60000000001"/>
    <n v="141336.87"/>
    <n v="23328.73"/>
    <s v="Cash"/>
  </r>
  <r>
    <s v="ORD104507"/>
    <s v="2025-01-06"/>
    <x v="9"/>
    <s v="South"/>
    <s v="Telangana"/>
    <s v="Hyderabad"/>
    <x v="0"/>
    <x v="0"/>
    <s v="CUST1657"/>
    <s v="SP_15"/>
    <n v="2"/>
    <n v="3636.9"/>
    <n v="7273.8"/>
    <n v="4284.8599999999997"/>
    <n v="2988.94"/>
    <s v="UPI"/>
  </r>
  <r>
    <s v="ORD104508"/>
    <s v="2025-05-18"/>
    <x v="3"/>
    <s v="East"/>
    <s v="Odisha"/>
    <s v="Bhubaneswar"/>
    <x v="0"/>
    <x v="8"/>
    <s v="CUST1237"/>
    <s v="SP_03"/>
    <n v="6"/>
    <n v="22658.5"/>
    <n v="135951"/>
    <n v="102503.07"/>
    <n v="33447.93"/>
    <s v="Cash"/>
  </r>
  <r>
    <s v="ORD104509"/>
    <s v="2025-07-26"/>
    <x v="6"/>
    <s v="South"/>
    <s v="Tamil Nadu"/>
    <s v="Chennai"/>
    <x v="3"/>
    <x v="3"/>
    <s v="CUST1510"/>
    <s v="SP_04"/>
    <n v="2"/>
    <n v="22.76"/>
    <n v="45.52"/>
    <n v="20.57"/>
    <n v="24.95"/>
    <s v="Debit Card"/>
  </r>
  <r>
    <s v="ORD104510"/>
    <s v="2025-10-29"/>
    <x v="1"/>
    <s v="West"/>
    <s v="Maharashtra"/>
    <s v="Mumbai"/>
    <x v="2"/>
    <x v="10"/>
    <s v="CUST1977"/>
    <s v="SP_15"/>
    <n v="5"/>
    <n v="18608.95"/>
    <n v="93044.75"/>
    <n v="68417.759999999995"/>
    <n v="24626.99"/>
    <s v="Cash"/>
  </r>
  <r>
    <s v="ORD104511"/>
    <s v="2025-02-23"/>
    <x v="8"/>
    <s v="North"/>
    <s v="Uttar Pradesh"/>
    <s v="Lucknow"/>
    <x v="1"/>
    <x v="5"/>
    <s v="CUST1839"/>
    <s v="SP_05"/>
    <n v="2"/>
    <n v="9056.65"/>
    <n v="18113.3"/>
    <n v="14959.34"/>
    <n v="3153.96"/>
    <s v="Net Banking"/>
  </r>
  <r>
    <s v="ORD104512"/>
    <s v="2025-09-15"/>
    <x v="5"/>
    <s v="South"/>
    <s v="Telangana"/>
    <s v="Hyderabad"/>
    <x v="3"/>
    <x v="3"/>
    <s v="CUST1104"/>
    <s v="SP_01"/>
    <n v="3"/>
    <n v="25.19"/>
    <n v="75.569999999999993"/>
    <n v="29.89"/>
    <n v="45.68"/>
    <s v="Cash"/>
  </r>
  <r>
    <s v="ORD104513"/>
    <s v="2025-12-14"/>
    <x v="7"/>
    <s v="South"/>
    <s v="Tamil Nadu"/>
    <s v="Chennai"/>
    <x v="2"/>
    <x v="4"/>
    <s v="CUST1594"/>
    <s v="SP_05"/>
    <n v="7"/>
    <n v="2307.39"/>
    <n v="16151.73"/>
    <n v="10661.2"/>
    <n v="5490.53"/>
    <s v="Debit Card"/>
  </r>
  <r>
    <s v="ORD104514"/>
    <s v="2025-11-23"/>
    <x v="10"/>
    <s v="East"/>
    <s v="Bihar"/>
    <s v="Patna"/>
    <x v="0"/>
    <x v="9"/>
    <s v="CUST1384"/>
    <s v="SP_11"/>
    <n v="2"/>
    <n v="7249.61"/>
    <n v="14499.22"/>
    <n v="9576.14"/>
    <n v="4923.08"/>
    <s v="Cash"/>
  </r>
  <r>
    <s v="ORD104515"/>
    <s v="2025-12-19"/>
    <x v="7"/>
    <s v="West"/>
    <s v="Gujarat"/>
    <s v="Ahmedabad"/>
    <x v="1"/>
    <x v="5"/>
    <s v="CUST1317"/>
    <s v="SP_13"/>
    <n v="1"/>
    <n v="10336"/>
    <n v="10336"/>
    <n v="7390.86"/>
    <n v="2945.14"/>
    <s v="UPI"/>
  </r>
  <r>
    <s v="ORD104516"/>
    <s v="2025-09-28"/>
    <x v="5"/>
    <s v="North"/>
    <s v="Uttar Pradesh"/>
    <s v="Lucknow"/>
    <x v="0"/>
    <x v="0"/>
    <s v="CUST1689"/>
    <s v="SP_10"/>
    <n v="8"/>
    <n v="3192.74"/>
    <n v="25541.919999999998"/>
    <n v="16721.189999999999"/>
    <n v="8820.73"/>
    <s v="UPI"/>
  </r>
  <r>
    <s v="ORD104517"/>
    <s v="2025-11-05"/>
    <x v="10"/>
    <s v="North"/>
    <s v="Uttar Pradesh"/>
    <s v="Lucknow"/>
    <x v="0"/>
    <x v="8"/>
    <s v="CUST1770"/>
    <s v="SP_03"/>
    <n v="4"/>
    <n v="20482.91"/>
    <n v="81931.64"/>
    <n v="67033.789999999994"/>
    <n v="14897.85"/>
    <s v="UPI"/>
  </r>
  <r>
    <s v="ORD104518"/>
    <s v="2025-01-03"/>
    <x v="9"/>
    <s v="East"/>
    <s v="Odisha"/>
    <s v="Bhubaneswar"/>
    <x v="2"/>
    <x v="10"/>
    <s v="CUST1351"/>
    <s v="SP_10"/>
    <n v="6"/>
    <n v="18433.150000000001"/>
    <n v="110598.9"/>
    <n v="85486.31"/>
    <n v="25112.59"/>
    <s v="Credit Card"/>
  </r>
  <r>
    <s v="ORD104519"/>
    <s v="2025-06-09"/>
    <x v="2"/>
    <s v="West"/>
    <s v="Rajasthan"/>
    <s v="Jaipur"/>
    <x v="1"/>
    <x v="5"/>
    <s v="CUST1257"/>
    <s v="SP_01"/>
    <n v="2"/>
    <n v="8932.44"/>
    <n v="17864.88"/>
    <n v="14512.65"/>
    <n v="3352.23"/>
    <s v="UPI"/>
  </r>
  <r>
    <s v="ORD104520"/>
    <s v="2025-08-04"/>
    <x v="11"/>
    <s v="North"/>
    <s v="Delhi"/>
    <s v="Delhi"/>
    <x v="0"/>
    <x v="9"/>
    <s v="CUST1200"/>
    <s v="SP_09"/>
    <n v="7"/>
    <n v="7062.52"/>
    <n v="49437.64"/>
    <n v="36423.97"/>
    <n v="13013.67"/>
    <s v="Credit Card"/>
  </r>
  <r>
    <s v="ORD104521"/>
    <s v="2025-01-07"/>
    <x v="9"/>
    <s v="East"/>
    <s v="West Bengal"/>
    <s v="Kolkata"/>
    <x v="1"/>
    <x v="6"/>
    <s v="CUST1919"/>
    <s v="SP_05"/>
    <n v="3"/>
    <n v="3338.98"/>
    <n v="10016.94"/>
    <n v="7254.11"/>
    <n v="2762.83"/>
    <s v="Net Banking"/>
  </r>
  <r>
    <s v="ORD104522"/>
    <s v="2025-12-09"/>
    <x v="7"/>
    <s v="North"/>
    <s v="Punjab"/>
    <s v="Chandigarh"/>
    <x v="1"/>
    <x v="5"/>
    <s v="CUST1818"/>
    <s v="SP_15"/>
    <n v="5"/>
    <n v="10380"/>
    <n v="51900"/>
    <n v="37283.68"/>
    <n v="14616.32"/>
    <s v="Net Banking"/>
  </r>
  <r>
    <s v="ORD104523"/>
    <s v="2025-08-16"/>
    <x v="11"/>
    <s v="West"/>
    <s v="Rajasthan"/>
    <s v="Jaipur"/>
    <x v="3"/>
    <x v="7"/>
    <s v="CUST1558"/>
    <s v="SP_03"/>
    <n v="8"/>
    <n v="12617.78"/>
    <n v="100942.24"/>
    <n v="73598.559999999998"/>
    <n v="27343.68"/>
    <s v="Debit Card"/>
  </r>
  <r>
    <s v="ORD104524"/>
    <s v="2025-09-30"/>
    <x v="5"/>
    <s v="South"/>
    <s v="Tamil Nadu"/>
    <s v="Chennai"/>
    <x v="1"/>
    <x v="5"/>
    <s v="CUST1610"/>
    <s v="SP_08"/>
    <n v="6"/>
    <n v="8831.17"/>
    <n v="52987.02"/>
    <n v="47793.68"/>
    <n v="5193.34"/>
    <s v="Cash"/>
  </r>
  <r>
    <s v="ORD104525"/>
    <s v="2025-04-22"/>
    <x v="0"/>
    <s v="West"/>
    <s v="Rajasthan"/>
    <s v="Jaipur"/>
    <x v="2"/>
    <x v="10"/>
    <s v="CUST1902"/>
    <s v="SP_09"/>
    <n v="5"/>
    <n v="17321.38"/>
    <n v="86606.9"/>
    <n v="67024.259999999995"/>
    <n v="19582.64"/>
    <s v="Debit Card"/>
  </r>
  <r>
    <s v="ORD104526"/>
    <s v="2025-06-14"/>
    <x v="2"/>
    <s v="West"/>
    <s v="Gujarat"/>
    <s v="Ahmedabad"/>
    <x v="0"/>
    <x v="8"/>
    <s v="CUST1885"/>
    <s v="SP_05"/>
    <n v="4"/>
    <n v="23018.59"/>
    <n v="92074.36"/>
    <n v="70788.490000000005"/>
    <n v="21285.87"/>
    <s v="Credit Card"/>
  </r>
  <r>
    <s v="ORD104527"/>
    <s v="2025-02-02"/>
    <x v="8"/>
    <s v="North"/>
    <s v="Punjab"/>
    <s v="Chandigarh"/>
    <x v="2"/>
    <x v="10"/>
    <s v="CUST1711"/>
    <s v="SP_13"/>
    <n v="8"/>
    <n v="17190.41"/>
    <n v="137523.28"/>
    <n v="108351.97"/>
    <n v="29171.31"/>
    <s v="UPI"/>
  </r>
  <r>
    <s v="ORD104528"/>
    <s v="2025-08-22"/>
    <x v="11"/>
    <s v="East"/>
    <s v="West Bengal"/>
    <s v="Kolkata"/>
    <x v="1"/>
    <x v="5"/>
    <s v="CUST1340"/>
    <s v="SP_07"/>
    <n v="1"/>
    <n v="9070.3799999999992"/>
    <n v="9070.3799999999992"/>
    <n v="7487.44"/>
    <n v="1582.94"/>
    <s v="Cash"/>
  </r>
  <r>
    <s v="ORD104529"/>
    <s v="2025-09-29"/>
    <x v="5"/>
    <s v="East"/>
    <s v="West Bengal"/>
    <s v="Kolkata"/>
    <x v="1"/>
    <x v="5"/>
    <s v="CUST1816"/>
    <s v="SP_10"/>
    <n v="7"/>
    <n v="10284.99"/>
    <n v="71994.929999999993"/>
    <n v="50585.24"/>
    <n v="21409.69"/>
    <s v="Debit Card"/>
  </r>
  <r>
    <s v="ORD104530"/>
    <s v="2025-09-10"/>
    <x v="5"/>
    <s v="West"/>
    <s v="Gujarat"/>
    <s v="Ahmedabad"/>
    <x v="3"/>
    <x v="7"/>
    <s v="CUST1562"/>
    <s v="SP_08"/>
    <n v="3"/>
    <n v="11661.97"/>
    <n v="34985.910000000003"/>
    <n v="27919.75"/>
    <n v="7066.16"/>
    <s v="Cash"/>
  </r>
  <r>
    <s v="ORD104531"/>
    <s v="2025-11-21"/>
    <x v="10"/>
    <s v="East"/>
    <s v="Odisha"/>
    <s v="Bhubaneswar"/>
    <x v="0"/>
    <x v="0"/>
    <s v="CUST1222"/>
    <s v="SP_05"/>
    <n v="7"/>
    <n v="3452.96"/>
    <n v="24170.720000000001"/>
    <n v="15488.91"/>
    <n v="8681.81"/>
    <s v="UPI"/>
  </r>
  <r>
    <s v="ORD104532"/>
    <s v="2025-03-05"/>
    <x v="4"/>
    <s v="North"/>
    <s v="Punjab"/>
    <s v="Chandigarh"/>
    <x v="3"/>
    <x v="7"/>
    <s v="CUST1196"/>
    <s v="SP_10"/>
    <n v="5"/>
    <n v="10908.47"/>
    <n v="54542.35"/>
    <n v="44408.75"/>
    <n v="10133.6"/>
    <s v="Net Banking"/>
  </r>
  <r>
    <s v="ORD104533"/>
    <s v="2025-02-07"/>
    <x v="8"/>
    <s v="North"/>
    <s v="Delhi"/>
    <s v="Delhi"/>
    <x v="1"/>
    <x v="1"/>
    <s v="CUST1732"/>
    <s v="SP_08"/>
    <n v="4"/>
    <n v="3032.03"/>
    <n v="12128.12"/>
    <n v="7458.16"/>
    <n v="4669.96"/>
    <s v="Credit Card"/>
  </r>
  <r>
    <s v="ORD104534"/>
    <s v="2025-12-09"/>
    <x v="7"/>
    <s v="South"/>
    <s v="Tamil Nadu"/>
    <s v="Chennai"/>
    <x v="2"/>
    <x v="2"/>
    <s v="CUST1518"/>
    <s v="SP_03"/>
    <n v="4"/>
    <n v="41751.78"/>
    <n v="167007.12"/>
    <n v="144659.98000000001"/>
    <n v="22347.14"/>
    <s v="Credit Card"/>
  </r>
  <r>
    <s v="ORD104535"/>
    <s v="2025-05-28"/>
    <x v="3"/>
    <s v="South"/>
    <s v="Telangana"/>
    <s v="Hyderabad"/>
    <x v="0"/>
    <x v="9"/>
    <s v="CUST1151"/>
    <s v="SP_03"/>
    <n v="4"/>
    <n v="6900.09"/>
    <n v="27600.36"/>
    <n v="19008.59"/>
    <n v="8591.77"/>
    <s v="UPI"/>
  </r>
  <r>
    <s v="ORD104536"/>
    <s v="2025-09-18"/>
    <x v="5"/>
    <s v="South"/>
    <s v="Tamil Nadu"/>
    <s v="Chennai"/>
    <x v="1"/>
    <x v="6"/>
    <s v="CUST1976"/>
    <s v="SP_12"/>
    <n v="7"/>
    <n v="3363.76"/>
    <n v="23546.32"/>
    <n v="16513.599999999999"/>
    <n v="7032.72"/>
    <s v="UPI"/>
  </r>
  <r>
    <s v="ORD104537"/>
    <s v="2025-12-06"/>
    <x v="7"/>
    <s v="South"/>
    <s v="Tamil Nadu"/>
    <s v="Chennai"/>
    <x v="1"/>
    <x v="1"/>
    <s v="CUST1159"/>
    <s v="SP_03"/>
    <n v="3"/>
    <n v="2754.34"/>
    <n v="8263.02"/>
    <n v="5584.58"/>
    <n v="2678.44"/>
    <s v="Cash"/>
  </r>
  <r>
    <s v="ORD104538"/>
    <s v="2025-04-19"/>
    <x v="0"/>
    <s v="East"/>
    <s v="Odisha"/>
    <s v="Bhubaneswar"/>
    <x v="0"/>
    <x v="9"/>
    <s v="CUST1748"/>
    <s v="SP_10"/>
    <n v="5"/>
    <n v="7050.24"/>
    <n v="35251.199999999997"/>
    <n v="25825.26"/>
    <n v="9425.94"/>
    <s v="Cash"/>
  </r>
  <r>
    <s v="ORD104539"/>
    <s v="2025-03-10"/>
    <x v="4"/>
    <s v="East"/>
    <s v="Odisha"/>
    <s v="Bhubaneswar"/>
    <x v="3"/>
    <x v="11"/>
    <s v="CUST1838"/>
    <s v="SP_07"/>
    <n v="1"/>
    <n v="114.85"/>
    <n v="114.85"/>
    <n v="59.52"/>
    <n v="55.33"/>
    <s v="UPI"/>
  </r>
  <r>
    <s v="ORD104540"/>
    <s v="2025-11-19"/>
    <x v="10"/>
    <s v="West"/>
    <s v="Rajasthan"/>
    <s v="Jaipur"/>
    <x v="0"/>
    <x v="0"/>
    <s v="CUST1864"/>
    <s v="SP_07"/>
    <n v="6"/>
    <n v="3846.9"/>
    <n v="23081.4"/>
    <n v="13706.68"/>
    <n v="9374.7199999999993"/>
    <s v="Cash"/>
  </r>
  <r>
    <s v="ORD104541"/>
    <s v="2025-07-16"/>
    <x v="6"/>
    <s v="East"/>
    <s v="Bihar"/>
    <s v="Patna"/>
    <x v="0"/>
    <x v="0"/>
    <s v="CUST1080"/>
    <s v="SP_07"/>
    <n v="2"/>
    <n v="3156.34"/>
    <n v="6312.68"/>
    <n v="4283.47"/>
    <n v="2029.21"/>
    <s v="Net Banking"/>
  </r>
  <r>
    <s v="ORD104542"/>
    <s v="2025-03-22"/>
    <x v="4"/>
    <s v="South"/>
    <s v="Telangana"/>
    <s v="Hyderabad"/>
    <x v="0"/>
    <x v="8"/>
    <s v="CUST1928"/>
    <s v="SP_11"/>
    <n v="3"/>
    <n v="21480.11"/>
    <n v="64440.33"/>
    <n v="50992.84"/>
    <n v="13447.49"/>
    <s v="Cash"/>
  </r>
  <r>
    <s v="ORD104543"/>
    <s v="2025-10-04"/>
    <x v="1"/>
    <s v="East"/>
    <s v="Odisha"/>
    <s v="Bhubaneswar"/>
    <x v="0"/>
    <x v="0"/>
    <s v="CUST1235"/>
    <s v="SP_12"/>
    <n v="6"/>
    <n v="3176.44"/>
    <n v="19058.64"/>
    <n v="13657.93"/>
    <n v="5400.71"/>
    <s v="Net Banking"/>
  </r>
  <r>
    <s v="ORD104544"/>
    <s v="2025-08-09"/>
    <x v="11"/>
    <s v="West"/>
    <s v="Rajasthan"/>
    <s v="Jaipur"/>
    <x v="0"/>
    <x v="0"/>
    <s v="CUST1884"/>
    <s v="SP_05"/>
    <n v="7"/>
    <n v="3154.33"/>
    <n v="22080.31"/>
    <n v="15606.24"/>
    <n v="6474.07"/>
    <s v="Cash"/>
  </r>
  <r>
    <s v="ORD104545"/>
    <s v="2025-03-29"/>
    <x v="4"/>
    <s v="West"/>
    <s v="Rajasthan"/>
    <s v="Jaipur"/>
    <x v="1"/>
    <x v="6"/>
    <s v="CUST1350"/>
    <s v="SP_08"/>
    <n v="1"/>
    <n v="3480.95"/>
    <n v="3480.95"/>
    <n v="2341.94"/>
    <n v="1139.01"/>
    <s v="Cash"/>
  </r>
  <r>
    <s v="ORD104546"/>
    <s v="2025-09-25"/>
    <x v="5"/>
    <s v="East"/>
    <s v="Odisha"/>
    <s v="Bhubaneswar"/>
    <x v="2"/>
    <x v="2"/>
    <s v="CUST1649"/>
    <s v="SP_06"/>
    <n v="4"/>
    <n v="43893.89"/>
    <n v="175575.56"/>
    <n v="141204.82"/>
    <n v="34370.74"/>
    <s v="Debit Card"/>
  </r>
  <r>
    <s v="ORD104547"/>
    <s v="2025-11-05"/>
    <x v="10"/>
    <s v="South"/>
    <s v="Tamil Nadu"/>
    <s v="Chennai"/>
    <x v="2"/>
    <x v="4"/>
    <s v="CUST1855"/>
    <s v="SP_08"/>
    <n v="2"/>
    <n v="2648.27"/>
    <n v="5296.54"/>
    <n v="3131.59"/>
    <n v="2164.9499999999998"/>
    <s v="Net Banking"/>
  </r>
  <r>
    <s v="ORD104548"/>
    <s v="2025-08-27"/>
    <x v="11"/>
    <s v="West"/>
    <s v="Gujarat"/>
    <s v="Ahmedabad"/>
    <x v="2"/>
    <x v="2"/>
    <s v="CUST1305"/>
    <s v="SP_09"/>
    <n v="5"/>
    <n v="44621.69"/>
    <n v="223108.45"/>
    <n v="181840.76"/>
    <n v="41267.69"/>
    <s v="Credit Card"/>
  </r>
  <r>
    <s v="ORD104549"/>
    <s v="2025-03-05"/>
    <x v="4"/>
    <s v="West"/>
    <s v="Gujarat"/>
    <s v="Ahmedabad"/>
    <x v="2"/>
    <x v="4"/>
    <s v="CUST1501"/>
    <s v="SP_13"/>
    <n v="1"/>
    <n v="2403.4899999999998"/>
    <n v="2403.4899999999998"/>
    <n v="1665.17"/>
    <n v="738.32"/>
    <s v="Credit Card"/>
  </r>
  <r>
    <s v="ORD104550"/>
    <s v="2025-09-06"/>
    <x v="5"/>
    <s v="North"/>
    <s v="Punjab"/>
    <s v="Chandigarh"/>
    <x v="2"/>
    <x v="10"/>
    <s v="CUST1990"/>
    <s v="SP_05"/>
    <n v="3"/>
    <n v="19305.259999999998"/>
    <n v="57915.78"/>
    <n v="41841.519999999997"/>
    <n v="16074.26"/>
    <s v="Cash"/>
  </r>
  <r>
    <s v="ORD104551"/>
    <s v="2025-06-30"/>
    <x v="2"/>
    <s v="South"/>
    <s v="Telangana"/>
    <s v="Hyderabad"/>
    <x v="2"/>
    <x v="4"/>
    <s v="CUST1163"/>
    <s v="SP_07"/>
    <n v="7"/>
    <n v="2607.17"/>
    <n v="18250.189999999999"/>
    <n v="11538.84"/>
    <n v="6711.35"/>
    <s v="Net Banking"/>
  </r>
  <r>
    <s v="ORD104552"/>
    <s v="2025-11-20"/>
    <x v="10"/>
    <s v="North"/>
    <s v="Punjab"/>
    <s v="Chandigarh"/>
    <x v="2"/>
    <x v="10"/>
    <s v="CUST1302"/>
    <s v="SP_05"/>
    <n v="7"/>
    <n v="19680.61"/>
    <n v="137764.26999999999"/>
    <n v="93236"/>
    <n v="44528.27"/>
    <s v="Cash"/>
  </r>
  <r>
    <s v="ORD104553"/>
    <s v="2025-11-27"/>
    <x v="10"/>
    <s v="North"/>
    <s v="Uttar Pradesh"/>
    <s v="Lucknow"/>
    <x v="2"/>
    <x v="2"/>
    <s v="CUST1904"/>
    <s v="SP_01"/>
    <n v="3"/>
    <n v="45695.57"/>
    <n v="137086.71"/>
    <n v="100976.89"/>
    <n v="36109.82"/>
    <s v="Net Banking"/>
  </r>
  <r>
    <s v="ORD104554"/>
    <s v="2025-06-12"/>
    <x v="2"/>
    <s v="West"/>
    <s v="Gujarat"/>
    <s v="Ahmedabad"/>
    <x v="1"/>
    <x v="5"/>
    <s v="CUST1251"/>
    <s v="SP_05"/>
    <n v="7"/>
    <n v="10242.75"/>
    <n v="71699.25"/>
    <n v="54606.3"/>
    <n v="17092.95"/>
    <s v="Cash"/>
  </r>
  <r>
    <s v="ORD104555"/>
    <s v="2025-01-03"/>
    <x v="9"/>
    <s v="West"/>
    <s v="Rajasthan"/>
    <s v="Jaipur"/>
    <x v="3"/>
    <x v="11"/>
    <s v="CUST1911"/>
    <s v="SP_11"/>
    <n v="3"/>
    <n v="117.98"/>
    <n v="353.94"/>
    <n v="186.74"/>
    <n v="167.2"/>
    <s v="UPI"/>
  </r>
  <r>
    <s v="ORD104556"/>
    <s v="2025-01-11"/>
    <x v="9"/>
    <s v="West"/>
    <s v="Rajasthan"/>
    <s v="Jaipur"/>
    <x v="0"/>
    <x v="9"/>
    <s v="CUST1185"/>
    <s v="SP_02"/>
    <n v="2"/>
    <n v="7097.78"/>
    <n v="14195.56"/>
    <n v="9923.1299999999992"/>
    <n v="4272.43"/>
    <s v="UPI"/>
  </r>
  <r>
    <s v="ORD104557"/>
    <s v="2025-12-28"/>
    <x v="7"/>
    <s v="West"/>
    <s v="Gujarat"/>
    <s v="Ahmedabad"/>
    <x v="1"/>
    <x v="1"/>
    <s v="CUST1252"/>
    <s v="SP_05"/>
    <n v="3"/>
    <n v="2848.06"/>
    <n v="8544.18"/>
    <n v="5533.07"/>
    <n v="3011.11"/>
    <s v="Net Banking"/>
  </r>
  <r>
    <s v="ORD104558"/>
    <s v="2025-07-04"/>
    <x v="6"/>
    <s v="North"/>
    <s v="Delhi"/>
    <s v="Delhi"/>
    <x v="3"/>
    <x v="3"/>
    <s v="CUST1740"/>
    <s v="SP_15"/>
    <n v="6"/>
    <n v="23.78"/>
    <n v="142.68"/>
    <n v="58.43"/>
    <n v="84.25"/>
    <s v="UPI"/>
  </r>
  <r>
    <s v="ORD104559"/>
    <s v="2025-04-25"/>
    <x v="0"/>
    <s v="South"/>
    <s v="Telangana"/>
    <s v="Hyderabad"/>
    <x v="2"/>
    <x v="10"/>
    <s v="CUST1468"/>
    <s v="SP_05"/>
    <n v="3"/>
    <n v="18513.13"/>
    <n v="55539.39"/>
    <n v="40489.61"/>
    <n v="15049.78"/>
    <s v="Credit Card"/>
  </r>
  <r>
    <s v="ORD104560"/>
    <s v="2025-05-17"/>
    <x v="3"/>
    <s v="East"/>
    <s v="Bihar"/>
    <s v="Patna"/>
    <x v="3"/>
    <x v="3"/>
    <s v="CUST1274"/>
    <s v="SP_13"/>
    <n v="8"/>
    <n v="25.93"/>
    <n v="207.44"/>
    <n v="77.08"/>
    <n v="130.36000000000001"/>
    <s v="Cash"/>
  </r>
  <r>
    <s v="ORD104561"/>
    <s v="2025-12-01"/>
    <x v="7"/>
    <s v="East"/>
    <s v="West Bengal"/>
    <s v="Kolkata"/>
    <x v="0"/>
    <x v="8"/>
    <s v="CUST1681"/>
    <s v="SP_09"/>
    <n v="2"/>
    <n v="22646.880000000001"/>
    <n v="45293.760000000002"/>
    <n v="33820.76"/>
    <n v="11473"/>
    <s v="Net Banking"/>
  </r>
  <r>
    <s v="ORD104562"/>
    <s v="2025-01-26"/>
    <x v="9"/>
    <s v="West"/>
    <s v="Maharashtra"/>
    <s v="Mumbai"/>
    <x v="0"/>
    <x v="8"/>
    <s v="CUST1503"/>
    <s v="SP_08"/>
    <n v="2"/>
    <n v="23712.31"/>
    <n v="47424.62"/>
    <n v="35577.480000000003"/>
    <n v="11847.14"/>
    <s v="Debit Card"/>
  </r>
  <r>
    <s v="ORD104563"/>
    <s v="2025-08-14"/>
    <x v="11"/>
    <s v="South"/>
    <s v="Telangana"/>
    <s v="Hyderabad"/>
    <x v="0"/>
    <x v="0"/>
    <s v="CUST1896"/>
    <s v="SP_13"/>
    <n v="8"/>
    <n v="3388.17"/>
    <n v="27105.360000000001"/>
    <n v="18425.96"/>
    <n v="8679.4"/>
    <s v="Debit Card"/>
  </r>
  <r>
    <s v="ORD104564"/>
    <s v="2025-09-25"/>
    <x v="5"/>
    <s v="South"/>
    <s v="Karnataka"/>
    <s v="Bengaluru"/>
    <x v="3"/>
    <x v="3"/>
    <s v="CUST1713"/>
    <s v="SP_07"/>
    <n v="5"/>
    <n v="23.26"/>
    <n v="116.3"/>
    <n v="51.32"/>
    <n v="64.98"/>
    <s v="UPI"/>
  </r>
  <r>
    <s v="ORD104565"/>
    <s v="2025-10-29"/>
    <x v="1"/>
    <s v="North"/>
    <s v="Delhi"/>
    <s v="Delhi"/>
    <x v="3"/>
    <x v="3"/>
    <s v="CUST1808"/>
    <s v="SP_10"/>
    <n v="6"/>
    <n v="26.91"/>
    <n v="161.46"/>
    <n v="58.06"/>
    <n v="103.4"/>
    <s v="Credit Card"/>
  </r>
  <r>
    <s v="ORD104566"/>
    <s v="2025-04-19"/>
    <x v="0"/>
    <s v="South"/>
    <s v="Tamil Nadu"/>
    <s v="Chennai"/>
    <x v="3"/>
    <x v="3"/>
    <s v="CUST1777"/>
    <s v="SP_08"/>
    <n v="2"/>
    <n v="23.17"/>
    <n v="46.34"/>
    <n v="19.78"/>
    <n v="26.56"/>
    <s v="Net Banking"/>
  </r>
  <r>
    <s v="ORD104567"/>
    <s v="2025-08-14"/>
    <x v="11"/>
    <s v="South"/>
    <s v="Tamil Nadu"/>
    <s v="Chennai"/>
    <x v="2"/>
    <x v="4"/>
    <s v="CUST1136"/>
    <s v="SP_15"/>
    <n v="8"/>
    <n v="2736.39"/>
    <n v="21891.119999999999"/>
    <n v="13094.75"/>
    <n v="8796.3700000000008"/>
    <s v="Credit Card"/>
  </r>
  <r>
    <s v="ORD104568"/>
    <s v="2025-01-19"/>
    <x v="9"/>
    <s v="South"/>
    <s v="Karnataka"/>
    <s v="Bengaluru"/>
    <x v="1"/>
    <x v="1"/>
    <s v="CUST1979"/>
    <s v="SP_02"/>
    <n v="3"/>
    <n v="2608.29"/>
    <n v="7824.87"/>
    <n v="5500.33"/>
    <n v="2324.54"/>
    <s v="Debit Card"/>
  </r>
  <r>
    <s v="ORD104569"/>
    <s v="2025-10-26"/>
    <x v="1"/>
    <s v="East"/>
    <s v="Odisha"/>
    <s v="Bhubaneswar"/>
    <x v="1"/>
    <x v="5"/>
    <s v="CUST1832"/>
    <s v="SP_15"/>
    <n v="4"/>
    <n v="10021.530000000001"/>
    <n v="40086.120000000003"/>
    <n v="29501.03"/>
    <n v="10585.09"/>
    <s v="Cash"/>
  </r>
  <r>
    <s v="ORD104570"/>
    <s v="2025-04-23"/>
    <x v="0"/>
    <s v="South"/>
    <s v="Karnataka"/>
    <s v="Bengaluru"/>
    <x v="2"/>
    <x v="2"/>
    <s v="CUST1885"/>
    <s v="SP_05"/>
    <n v="1"/>
    <n v="44480.24"/>
    <n v="44480.24"/>
    <n v="35635.65"/>
    <n v="8844.59"/>
    <s v="UPI"/>
  </r>
  <r>
    <s v="ORD104571"/>
    <s v="2025-10-13"/>
    <x v="1"/>
    <s v="North"/>
    <s v="Delhi"/>
    <s v="Delhi"/>
    <x v="1"/>
    <x v="5"/>
    <s v="CUST1020"/>
    <s v="SP_03"/>
    <n v="1"/>
    <n v="10053.290000000001"/>
    <n v="10053.290000000001"/>
    <n v="7226.28"/>
    <n v="2827.01"/>
    <s v="Debit Card"/>
  </r>
  <r>
    <s v="ORD104572"/>
    <s v="2025-04-18"/>
    <x v="0"/>
    <s v="South"/>
    <s v="Tamil Nadu"/>
    <s v="Chennai"/>
    <x v="3"/>
    <x v="3"/>
    <s v="CUST1468"/>
    <s v="SP_06"/>
    <n v="7"/>
    <n v="25.51"/>
    <n v="178.57"/>
    <n v="67.05"/>
    <n v="111.52"/>
    <s v="Net Banking"/>
  </r>
  <r>
    <s v="ORD104573"/>
    <s v="2025-10-14"/>
    <x v="1"/>
    <s v="East"/>
    <s v="Odisha"/>
    <s v="Bhubaneswar"/>
    <x v="1"/>
    <x v="1"/>
    <s v="CUST1171"/>
    <s v="SP_05"/>
    <n v="6"/>
    <n v="2776.46"/>
    <n v="16658.759999999998"/>
    <n v="11353.3"/>
    <n v="5305.46"/>
    <s v="Debit Card"/>
  </r>
  <r>
    <s v="ORD104574"/>
    <s v="2025-11-01"/>
    <x v="10"/>
    <s v="South"/>
    <s v="Telangana"/>
    <s v="Hyderabad"/>
    <x v="0"/>
    <x v="0"/>
    <s v="CUST1501"/>
    <s v="SP_07"/>
    <n v="4"/>
    <n v="3771.02"/>
    <n v="15084.08"/>
    <n v="8653.43"/>
    <n v="6430.65"/>
    <s v="Net Banking"/>
  </r>
  <r>
    <s v="ORD104575"/>
    <s v="2025-02-04"/>
    <x v="8"/>
    <s v="North"/>
    <s v="Uttar Pradesh"/>
    <s v="Lucknow"/>
    <x v="1"/>
    <x v="1"/>
    <s v="CUST1011"/>
    <s v="SP_13"/>
    <n v="7"/>
    <n v="2547.89"/>
    <n v="17835.23"/>
    <n v="13079.27"/>
    <n v="4755.96"/>
    <s v="Cash"/>
  </r>
  <r>
    <s v="ORD104576"/>
    <s v="2025-03-01"/>
    <x v="4"/>
    <s v="West"/>
    <s v="Rajasthan"/>
    <s v="Jaipur"/>
    <x v="1"/>
    <x v="1"/>
    <s v="CUST1391"/>
    <s v="SP_15"/>
    <n v="4"/>
    <n v="2933.64"/>
    <n v="11734.56"/>
    <n v="7925.28"/>
    <n v="3809.28"/>
    <s v="Credit Card"/>
  </r>
  <r>
    <s v="ORD104577"/>
    <s v="2025-01-02"/>
    <x v="9"/>
    <s v="East"/>
    <s v="Odisha"/>
    <s v="Bhubaneswar"/>
    <x v="3"/>
    <x v="3"/>
    <s v="CUST1457"/>
    <s v="SP_05"/>
    <n v="7"/>
    <n v="24.49"/>
    <n v="171.43"/>
    <n v="69.45"/>
    <n v="101.98"/>
    <s v="UPI"/>
  </r>
  <r>
    <s v="ORD104578"/>
    <s v="2025-10-15"/>
    <x v="1"/>
    <s v="South"/>
    <s v="Tamil Nadu"/>
    <s v="Chennai"/>
    <x v="2"/>
    <x v="2"/>
    <s v="CUST1886"/>
    <s v="SP_08"/>
    <n v="5"/>
    <n v="42101.120000000003"/>
    <n v="210505.60000000001"/>
    <n v="166992.1"/>
    <n v="43513.5"/>
    <s v="Credit Card"/>
  </r>
  <r>
    <s v="ORD104579"/>
    <s v="2025-07-09"/>
    <x v="6"/>
    <s v="West"/>
    <s v="Gujarat"/>
    <s v="Ahmedabad"/>
    <x v="0"/>
    <x v="9"/>
    <s v="CUST1750"/>
    <s v="SP_03"/>
    <n v="2"/>
    <n v="6634.04"/>
    <n v="13268.08"/>
    <n v="10490.54"/>
    <n v="2777.54"/>
    <s v="Credit Card"/>
  </r>
  <r>
    <s v="ORD104580"/>
    <s v="2025-07-23"/>
    <x v="6"/>
    <s v="East"/>
    <s v="West Bengal"/>
    <s v="Kolkata"/>
    <x v="2"/>
    <x v="2"/>
    <s v="CUST1259"/>
    <s v="SP_06"/>
    <n v="1"/>
    <n v="43255.02"/>
    <n v="43255.02"/>
    <n v="34352.71"/>
    <n v="8902.31"/>
    <s v="Cash"/>
  </r>
  <r>
    <s v="ORD104581"/>
    <s v="2025-06-11"/>
    <x v="2"/>
    <s v="East"/>
    <s v="Odisha"/>
    <s v="Bhubaneswar"/>
    <x v="3"/>
    <x v="7"/>
    <s v="CUST1498"/>
    <s v="SP_03"/>
    <n v="4"/>
    <n v="11742.42"/>
    <n v="46969.68"/>
    <n v="35788.959999999999"/>
    <n v="11180.72"/>
    <s v="Net Banking"/>
  </r>
  <r>
    <s v="ORD104582"/>
    <s v="2025-10-05"/>
    <x v="1"/>
    <s v="South"/>
    <s v="Karnataka"/>
    <s v="Bengaluru"/>
    <x v="2"/>
    <x v="10"/>
    <s v="CUST1816"/>
    <s v="SP_02"/>
    <n v="7"/>
    <n v="16506.98"/>
    <n v="115548.86"/>
    <n v="94367.33"/>
    <n v="21181.53"/>
    <s v="Net Banking"/>
  </r>
  <r>
    <s v="ORD104583"/>
    <s v="2025-04-10"/>
    <x v="0"/>
    <s v="West"/>
    <s v="Maharashtra"/>
    <s v="Mumbai"/>
    <x v="3"/>
    <x v="7"/>
    <s v="CUST1705"/>
    <s v="SP_06"/>
    <n v="3"/>
    <n v="11909.86"/>
    <n v="35729.58"/>
    <n v="25948.84"/>
    <n v="9780.74"/>
    <s v="Credit Card"/>
  </r>
  <r>
    <s v="ORD104584"/>
    <s v="2025-05-12"/>
    <x v="3"/>
    <s v="North"/>
    <s v="Delhi"/>
    <s v="Delhi"/>
    <x v="2"/>
    <x v="10"/>
    <s v="CUST1514"/>
    <s v="SP_14"/>
    <n v="1"/>
    <n v="16542.189999999999"/>
    <n v="16542.189999999999"/>
    <n v="14485.19"/>
    <n v="2057"/>
    <s v="UPI"/>
  </r>
  <r>
    <s v="ORD104585"/>
    <s v="2025-10-27"/>
    <x v="1"/>
    <s v="West"/>
    <s v="Gujarat"/>
    <s v="Ahmedabad"/>
    <x v="2"/>
    <x v="2"/>
    <s v="CUST1687"/>
    <s v="SP_02"/>
    <n v="4"/>
    <n v="44357.33"/>
    <n v="177429.32"/>
    <n v="139349.66"/>
    <n v="38079.660000000003"/>
    <s v="Debit Card"/>
  </r>
  <r>
    <s v="ORD104586"/>
    <s v="2025-03-11"/>
    <x v="4"/>
    <s v="South"/>
    <s v="Telangana"/>
    <s v="Hyderabad"/>
    <x v="2"/>
    <x v="10"/>
    <s v="CUST1293"/>
    <s v="SP_14"/>
    <n v="2"/>
    <n v="19018.8"/>
    <n v="38037.599999999999"/>
    <n v="26900.13"/>
    <n v="11137.47"/>
    <s v="Credit Card"/>
  </r>
  <r>
    <s v="ORD104587"/>
    <s v="2025-03-27"/>
    <x v="4"/>
    <s v="South"/>
    <s v="Telangana"/>
    <s v="Hyderabad"/>
    <x v="2"/>
    <x v="4"/>
    <s v="CUST1681"/>
    <s v="SP_12"/>
    <n v="6"/>
    <n v="2364.25"/>
    <n v="14185.5"/>
    <n v="9675.58"/>
    <n v="4509.92"/>
    <s v="Debit Card"/>
  </r>
  <r>
    <s v="ORD104588"/>
    <s v="2025-09-30"/>
    <x v="5"/>
    <s v="West"/>
    <s v="Maharashtra"/>
    <s v="Mumbai"/>
    <x v="2"/>
    <x v="4"/>
    <s v="CUST1165"/>
    <s v="SP_11"/>
    <n v="1"/>
    <n v="2432.36"/>
    <n v="2432.36"/>
    <n v="1543.08"/>
    <n v="889.28"/>
    <s v="UPI"/>
  </r>
  <r>
    <s v="ORD104589"/>
    <s v="2025-03-31"/>
    <x v="4"/>
    <s v="West"/>
    <s v="Gujarat"/>
    <s v="Ahmedabad"/>
    <x v="3"/>
    <x v="11"/>
    <s v="CUST1058"/>
    <s v="SP_02"/>
    <n v="7"/>
    <n v="124.21"/>
    <n v="869.47"/>
    <n v="440.09"/>
    <n v="429.38"/>
    <s v="Credit Card"/>
  </r>
  <r>
    <s v="ORD104590"/>
    <s v="2025-05-08"/>
    <x v="3"/>
    <s v="East"/>
    <s v="West Bengal"/>
    <s v="Kolkata"/>
    <x v="3"/>
    <x v="3"/>
    <s v="CUST1582"/>
    <s v="SP_07"/>
    <n v="3"/>
    <n v="26.07"/>
    <n v="78.209999999999994"/>
    <n v="31.02"/>
    <n v="47.19"/>
    <s v="Credit Card"/>
  </r>
  <r>
    <s v="ORD104591"/>
    <s v="2025-06-18"/>
    <x v="2"/>
    <s v="West"/>
    <s v="Gujarat"/>
    <s v="Ahmedabad"/>
    <x v="3"/>
    <x v="3"/>
    <s v="CUST1638"/>
    <s v="SP_04"/>
    <n v="3"/>
    <n v="26.83"/>
    <n v="80.489999999999995"/>
    <n v="30.8"/>
    <n v="49.69"/>
    <s v="Debit Card"/>
  </r>
  <r>
    <s v="ORD104592"/>
    <s v="2025-10-03"/>
    <x v="1"/>
    <s v="South"/>
    <s v="Karnataka"/>
    <s v="Bengaluru"/>
    <x v="2"/>
    <x v="2"/>
    <s v="CUST1198"/>
    <s v="SP_03"/>
    <n v="6"/>
    <n v="45709.599999999999"/>
    <n v="274257.59999999998"/>
    <n v="213189.03"/>
    <n v="61068.57"/>
    <s v="Credit Card"/>
  </r>
  <r>
    <s v="ORD104593"/>
    <s v="2025-02-14"/>
    <x v="8"/>
    <s v="North"/>
    <s v="Punjab"/>
    <s v="Chandigarh"/>
    <x v="0"/>
    <x v="0"/>
    <s v="CUST1558"/>
    <s v="SP_04"/>
    <n v="3"/>
    <n v="3721.9"/>
    <n v="11165.7"/>
    <n v="6646.38"/>
    <n v="4519.32"/>
    <s v="Credit Card"/>
  </r>
  <r>
    <s v="ORD104594"/>
    <s v="2025-08-26"/>
    <x v="11"/>
    <s v="East"/>
    <s v="West Bengal"/>
    <s v="Kolkata"/>
    <x v="2"/>
    <x v="10"/>
    <s v="CUST1825"/>
    <s v="SP_07"/>
    <n v="4"/>
    <n v="17659.490000000002"/>
    <n v="70637.960000000006"/>
    <n v="55005.18"/>
    <n v="15632.78"/>
    <s v="Net Banking"/>
  </r>
  <r>
    <s v="ORD104595"/>
    <s v="2025-02-07"/>
    <x v="8"/>
    <s v="East"/>
    <s v="Odisha"/>
    <s v="Bhubaneswar"/>
    <x v="1"/>
    <x v="1"/>
    <s v="CUST1129"/>
    <s v="SP_11"/>
    <n v="5"/>
    <n v="2626.13"/>
    <n v="13130.65"/>
    <n v="9537.6200000000008"/>
    <n v="3593.03"/>
    <s v="Net Banking"/>
  </r>
  <r>
    <s v="ORD104596"/>
    <s v="2025-12-30"/>
    <x v="7"/>
    <s v="West"/>
    <s v="Rajasthan"/>
    <s v="Jaipur"/>
    <x v="1"/>
    <x v="6"/>
    <s v="CUST1200"/>
    <s v="SP_15"/>
    <n v="4"/>
    <n v="3412.68"/>
    <n v="13650.72"/>
    <n v="9735.0499999999993"/>
    <n v="3915.67"/>
    <s v="Cash"/>
  </r>
  <r>
    <s v="ORD104597"/>
    <s v="2025-09-04"/>
    <x v="5"/>
    <s v="South"/>
    <s v="Telangana"/>
    <s v="Hyderabad"/>
    <x v="0"/>
    <x v="8"/>
    <s v="CUST1873"/>
    <s v="SP_09"/>
    <n v="3"/>
    <n v="21253.49"/>
    <n v="63760.47"/>
    <n v="50435.74"/>
    <n v="13324.73"/>
    <s v="Credit Card"/>
  </r>
  <r>
    <s v="ORD104598"/>
    <s v="2025-07-12"/>
    <x v="6"/>
    <s v="East"/>
    <s v="Bihar"/>
    <s v="Patna"/>
    <x v="2"/>
    <x v="4"/>
    <s v="CUST1644"/>
    <s v="SP_04"/>
    <n v="2"/>
    <n v="2748.01"/>
    <n v="5496.02"/>
    <n v="3337.77"/>
    <n v="2158.25"/>
    <s v="Cash"/>
  </r>
  <r>
    <s v="ORD104599"/>
    <s v="2025-01-20"/>
    <x v="9"/>
    <s v="South"/>
    <s v="Karnataka"/>
    <s v="Bengaluru"/>
    <x v="1"/>
    <x v="6"/>
    <s v="CUST1714"/>
    <s v="SP_15"/>
    <n v="1"/>
    <n v="3351.65"/>
    <n v="3351.65"/>
    <n v="2498.4499999999998"/>
    <n v="853.2"/>
    <s v="Net Banking"/>
  </r>
  <r>
    <s v="ORD104600"/>
    <s v="2025-09-12"/>
    <x v="5"/>
    <s v="North"/>
    <s v="Uttar Pradesh"/>
    <s v="Lucknow"/>
    <x v="3"/>
    <x v="7"/>
    <s v="CUST1412"/>
    <s v="SP_05"/>
    <n v="7"/>
    <n v="12353.53"/>
    <n v="86474.71"/>
    <n v="60313.15"/>
    <n v="26161.56"/>
    <s v="Cash"/>
  </r>
  <r>
    <s v="ORD104601"/>
    <s v="2025-11-05"/>
    <x v="10"/>
    <s v="West"/>
    <s v="Gujarat"/>
    <s v="Ahmedabad"/>
    <x v="2"/>
    <x v="4"/>
    <s v="CUST1726"/>
    <s v="SP_15"/>
    <n v="4"/>
    <n v="2628.85"/>
    <n v="10515.4"/>
    <n v="6150.4"/>
    <n v="4365"/>
    <s v="Net Banking"/>
  </r>
  <r>
    <s v="ORD104602"/>
    <s v="2025-04-21"/>
    <x v="0"/>
    <s v="North"/>
    <s v="Uttar Pradesh"/>
    <s v="Lucknow"/>
    <x v="3"/>
    <x v="11"/>
    <s v="CUST1025"/>
    <s v="SP_03"/>
    <n v="7"/>
    <n v="127.65"/>
    <n v="893.55"/>
    <n v="411.74"/>
    <n v="481.81"/>
    <s v="Debit Card"/>
  </r>
  <r>
    <s v="ORD104603"/>
    <s v="2025-05-31"/>
    <x v="3"/>
    <s v="East"/>
    <s v="Odisha"/>
    <s v="Bhubaneswar"/>
    <x v="1"/>
    <x v="6"/>
    <s v="CUST1801"/>
    <s v="SP_15"/>
    <n v="1"/>
    <n v="3489.2"/>
    <n v="3489.2"/>
    <n v="2344.29"/>
    <n v="1144.9100000000001"/>
    <s v="UPI"/>
  </r>
  <r>
    <s v="ORD104604"/>
    <s v="2025-09-21"/>
    <x v="5"/>
    <s v="North"/>
    <s v="Uttar Pradesh"/>
    <s v="Lucknow"/>
    <x v="1"/>
    <x v="1"/>
    <s v="CUST1509"/>
    <s v="SP_07"/>
    <n v="2"/>
    <n v="2549.0700000000002"/>
    <n v="5098.1400000000003"/>
    <n v="3784.27"/>
    <n v="1313.87"/>
    <s v="Debit Card"/>
  </r>
  <r>
    <s v="ORD104605"/>
    <s v="2025-07-12"/>
    <x v="6"/>
    <s v="South"/>
    <s v="Karnataka"/>
    <s v="Bengaluru"/>
    <x v="3"/>
    <x v="7"/>
    <s v="CUST1851"/>
    <s v="SP_05"/>
    <n v="8"/>
    <n v="12866.72"/>
    <n v="102933.75999999999"/>
    <n v="73542.12"/>
    <n v="29391.64"/>
    <s v="Debit Card"/>
  </r>
  <r>
    <s v="ORD104606"/>
    <s v="2025-08-21"/>
    <x v="11"/>
    <s v="East"/>
    <s v="Bihar"/>
    <s v="Patna"/>
    <x v="3"/>
    <x v="11"/>
    <s v="CUST1327"/>
    <s v="SP_07"/>
    <n v="2"/>
    <n v="128.82"/>
    <n v="257.64"/>
    <n v="117.27"/>
    <n v="140.37"/>
    <s v="UPI"/>
  </r>
  <r>
    <s v="ORD104607"/>
    <s v="2025-05-17"/>
    <x v="3"/>
    <s v="North"/>
    <s v="Uttar Pradesh"/>
    <s v="Lucknow"/>
    <x v="2"/>
    <x v="2"/>
    <s v="CUST1722"/>
    <s v="SP_02"/>
    <n v="5"/>
    <n v="47577.53"/>
    <n v="237887.65"/>
    <n v="182989.86"/>
    <n v="54897.79"/>
    <s v="Debit Card"/>
  </r>
  <r>
    <s v="ORD104608"/>
    <s v="2025-02-05"/>
    <x v="8"/>
    <s v="South"/>
    <s v="Karnataka"/>
    <s v="Bengaluru"/>
    <x v="0"/>
    <x v="9"/>
    <s v="CUST1305"/>
    <s v="SP_06"/>
    <n v="3"/>
    <n v="7098.04"/>
    <n v="21294.12"/>
    <n v="14430.55"/>
    <n v="6863.57"/>
    <s v="UPI"/>
  </r>
  <r>
    <s v="ORD104609"/>
    <s v="2025-07-09"/>
    <x v="6"/>
    <s v="South"/>
    <s v="Tamil Nadu"/>
    <s v="Chennai"/>
    <x v="3"/>
    <x v="7"/>
    <s v="CUST1275"/>
    <s v="SP_07"/>
    <n v="2"/>
    <n v="11041.8"/>
    <n v="22083.599999999999"/>
    <n v="17162.09"/>
    <n v="4921.51"/>
    <s v="Cash"/>
  </r>
  <r>
    <s v="ORD104610"/>
    <s v="2025-03-05"/>
    <x v="4"/>
    <s v="South"/>
    <s v="Tamil Nadu"/>
    <s v="Chennai"/>
    <x v="1"/>
    <x v="6"/>
    <s v="CUST1963"/>
    <s v="SP_10"/>
    <n v="3"/>
    <n v="3028.92"/>
    <n v="9086.76"/>
    <n v="7104.27"/>
    <n v="1982.49"/>
    <s v="Debit Card"/>
  </r>
  <r>
    <s v="ORD104611"/>
    <s v="2025-06-25"/>
    <x v="2"/>
    <s v="North"/>
    <s v="Punjab"/>
    <s v="Chandigarh"/>
    <x v="1"/>
    <x v="6"/>
    <s v="CUST1150"/>
    <s v="SP_06"/>
    <n v="3"/>
    <n v="3139.92"/>
    <n v="9419.76"/>
    <n v="6948.05"/>
    <n v="2471.71"/>
    <s v="UPI"/>
  </r>
  <r>
    <s v="ORD104612"/>
    <s v="2025-01-12"/>
    <x v="9"/>
    <s v="West"/>
    <s v="Maharashtra"/>
    <s v="Mumbai"/>
    <x v="1"/>
    <x v="6"/>
    <s v="CUST1621"/>
    <s v="SP_05"/>
    <n v="2"/>
    <n v="3245.71"/>
    <n v="6491.42"/>
    <n v="4610.45"/>
    <n v="1880.97"/>
    <s v="Credit Card"/>
  </r>
  <r>
    <s v="ORD104613"/>
    <s v="2025-02-28"/>
    <x v="8"/>
    <s v="South"/>
    <s v="Telangana"/>
    <s v="Hyderabad"/>
    <x v="1"/>
    <x v="1"/>
    <s v="CUST1071"/>
    <s v="SP_08"/>
    <n v="1"/>
    <n v="2816.22"/>
    <n v="2816.22"/>
    <n v="1828.55"/>
    <n v="987.67"/>
    <s v="UPI"/>
  </r>
  <r>
    <s v="ORD104614"/>
    <s v="2025-06-21"/>
    <x v="2"/>
    <s v="West"/>
    <s v="Rajasthan"/>
    <s v="Jaipur"/>
    <x v="1"/>
    <x v="1"/>
    <s v="CUST1619"/>
    <s v="SP_11"/>
    <n v="7"/>
    <n v="2626.52"/>
    <n v="18385.64"/>
    <n v="13552.21"/>
    <n v="4833.43"/>
    <s v="Cash"/>
  </r>
  <r>
    <s v="ORD104615"/>
    <s v="2025-01-27"/>
    <x v="9"/>
    <s v="South"/>
    <s v="Karnataka"/>
    <s v="Bengaluru"/>
    <x v="1"/>
    <x v="1"/>
    <s v="CUST1698"/>
    <s v="SP_03"/>
    <n v="2"/>
    <n v="3030.23"/>
    <n v="6060.46"/>
    <n v="3956.58"/>
    <n v="2103.88"/>
    <s v="Net Banking"/>
  </r>
  <r>
    <s v="ORD104616"/>
    <s v="2025-04-11"/>
    <x v="0"/>
    <s v="East"/>
    <s v="Odisha"/>
    <s v="Bhubaneswar"/>
    <x v="2"/>
    <x v="10"/>
    <s v="CUST1129"/>
    <s v="SP_10"/>
    <n v="4"/>
    <n v="17795.22"/>
    <n v="71180.88"/>
    <n v="57263.64"/>
    <n v="13917.24"/>
    <s v="Credit Card"/>
  </r>
  <r>
    <s v="ORD104617"/>
    <s v="2025-05-16"/>
    <x v="3"/>
    <s v="West"/>
    <s v="Rajasthan"/>
    <s v="Jaipur"/>
    <x v="0"/>
    <x v="8"/>
    <s v="CUST1403"/>
    <s v="SP_02"/>
    <n v="1"/>
    <n v="23293.46"/>
    <n v="23293.46"/>
    <n v="17630.84"/>
    <n v="5662.62"/>
    <s v="Credit Card"/>
  </r>
  <r>
    <s v="ORD104618"/>
    <s v="2025-12-03"/>
    <x v="7"/>
    <s v="East"/>
    <s v="Odisha"/>
    <s v="Bhubaneswar"/>
    <x v="1"/>
    <x v="6"/>
    <s v="CUST1548"/>
    <s v="SP_02"/>
    <n v="5"/>
    <n v="3149.73"/>
    <n v="15748.65"/>
    <n v="11858"/>
    <n v="3890.65"/>
    <s v="UPI"/>
  </r>
  <r>
    <s v="ORD104619"/>
    <s v="2025-04-25"/>
    <x v="0"/>
    <s v="East"/>
    <s v="Odisha"/>
    <s v="Bhubaneswar"/>
    <x v="2"/>
    <x v="10"/>
    <s v="CUST1058"/>
    <s v="SP_08"/>
    <n v="2"/>
    <n v="19133.66"/>
    <n v="38267.32"/>
    <n v="27160.69"/>
    <n v="11106.63"/>
    <s v="Credit Card"/>
  </r>
  <r>
    <s v="ORD104620"/>
    <s v="2025-12-28"/>
    <x v="7"/>
    <s v="North"/>
    <s v="Delhi"/>
    <s v="Delhi"/>
    <x v="1"/>
    <x v="5"/>
    <s v="CUST1662"/>
    <s v="SP_03"/>
    <n v="2"/>
    <n v="8854.8799999999992"/>
    <n v="17709.759999999998"/>
    <n v="14939.92"/>
    <n v="2769.84"/>
    <s v="Net Banking"/>
  </r>
  <r>
    <s v="ORD104621"/>
    <s v="2025-05-16"/>
    <x v="3"/>
    <s v="East"/>
    <s v="West Bengal"/>
    <s v="Kolkata"/>
    <x v="3"/>
    <x v="3"/>
    <s v="CUST1761"/>
    <s v="SP_12"/>
    <n v="2"/>
    <n v="26.81"/>
    <n v="53.62"/>
    <n v="20.05"/>
    <n v="33.57"/>
    <s v="Cash"/>
  </r>
  <r>
    <s v="ORD104622"/>
    <s v="2025-09-23"/>
    <x v="5"/>
    <s v="North"/>
    <s v="Uttar Pradesh"/>
    <s v="Lucknow"/>
    <x v="0"/>
    <x v="0"/>
    <s v="CUST1558"/>
    <s v="SP_06"/>
    <n v="2"/>
    <n v="3206.81"/>
    <n v="6413.62"/>
    <n v="4563.1000000000004"/>
    <n v="1850.52"/>
    <s v="Cash"/>
  </r>
  <r>
    <s v="ORD104623"/>
    <s v="2025-08-08"/>
    <x v="11"/>
    <s v="West"/>
    <s v="Gujarat"/>
    <s v="Ahmedabad"/>
    <x v="0"/>
    <x v="0"/>
    <s v="CUST1897"/>
    <s v="SP_06"/>
    <n v="7"/>
    <n v="3365.58"/>
    <n v="23559.06"/>
    <n v="15670.74"/>
    <n v="7888.32"/>
    <s v="Cash"/>
  </r>
  <r>
    <s v="ORD104624"/>
    <s v="2025-07-29"/>
    <x v="6"/>
    <s v="West"/>
    <s v="Gujarat"/>
    <s v="Ahmedabad"/>
    <x v="0"/>
    <x v="8"/>
    <s v="CUST1646"/>
    <s v="SP_02"/>
    <n v="4"/>
    <n v="22668.15"/>
    <n v="90672.6"/>
    <n v="68467.14"/>
    <n v="22205.46"/>
    <s v="UPI"/>
  </r>
  <r>
    <s v="ORD104625"/>
    <s v="2025-03-15"/>
    <x v="4"/>
    <s v="West"/>
    <s v="Maharashtra"/>
    <s v="Mumbai"/>
    <x v="0"/>
    <x v="0"/>
    <s v="CUST1892"/>
    <s v="SP_03"/>
    <n v="7"/>
    <n v="3188.99"/>
    <n v="22322.93"/>
    <n v="15891.85"/>
    <n v="6431.08"/>
    <s v="Debit Card"/>
  </r>
  <r>
    <s v="ORD104626"/>
    <s v="2025-01-01"/>
    <x v="9"/>
    <s v="South"/>
    <s v="Telangana"/>
    <s v="Hyderabad"/>
    <x v="1"/>
    <x v="5"/>
    <s v="CUST1227"/>
    <s v="SP_13"/>
    <n v="8"/>
    <n v="10230.82"/>
    <n v="81846.559999999998"/>
    <n v="61925.77"/>
    <n v="19920.79"/>
    <s v="Cash"/>
  </r>
  <r>
    <s v="ORD104627"/>
    <s v="2025-07-20"/>
    <x v="6"/>
    <s v="North"/>
    <s v="Punjab"/>
    <s v="Chandigarh"/>
    <x v="3"/>
    <x v="3"/>
    <s v="CUST1606"/>
    <s v="SP_02"/>
    <n v="1"/>
    <n v="23.95"/>
    <n v="23.95"/>
    <n v="10.47"/>
    <n v="13.48"/>
    <s v="Net Banking"/>
  </r>
  <r>
    <s v="ORD104628"/>
    <s v="2025-02-11"/>
    <x v="8"/>
    <s v="West"/>
    <s v="Maharashtra"/>
    <s v="Mumbai"/>
    <x v="0"/>
    <x v="8"/>
    <s v="CUST1666"/>
    <s v="SP_08"/>
    <n v="4"/>
    <n v="20998.35"/>
    <n v="83993.4"/>
    <n v="67635.240000000005"/>
    <n v="16358.16"/>
    <s v="Debit Card"/>
  </r>
  <r>
    <s v="ORD104629"/>
    <s v="2025-12-08"/>
    <x v="7"/>
    <s v="South"/>
    <s v="Telangana"/>
    <s v="Hyderabad"/>
    <x v="1"/>
    <x v="5"/>
    <s v="CUST1203"/>
    <s v="SP_07"/>
    <n v="7"/>
    <n v="9170.2800000000007"/>
    <n v="64191.96"/>
    <n v="55709.29"/>
    <n v="8482.67"/>
    <s v="Debit Card"/>
  </r>
  <r>
    <s v="ORD104630"/>
    <s v="2025-07-30"/>
    <x v="6"/>
    <s v="North"/>
    <s v="Punjab"/>
    <s v="Chandigarh"/>
    <x v="0"/>
    <x v="8"/>
    <s v="CUST1519"/>
    <s v="SP_12"/>
    <n v="5"/>
    <n v="24162.14"/>
    <n v="120810.7"/>
    <n v="87665"/>
    <n v="33145.699999999997"/>
    <s v="Net Banking"/>
  </r>
  <r>
    <s v="ORD104631"/>
    <s v="2025-01-07"/>
    <x v="9"/>
    <s v="North"/>
    <s v="Delhi"/>
    <s v="Delhi"/>
    <x v="1"/>
    <x v="6"/>
    <s v="CUST1210"/>
    <s v="SP_04"/>
    <n v="4"/>
    <n v="3247.65"/>
    <n v="12990.6"/>
    <n v="9469.41"/>
    <n v="3521.19"/>
    <s v="UPI"/>
  </r>
  <r>
    <s v="ORD104632"/>
    <s v="2025-03-24"/>
    <x v="4"/>
    <s v="East"/>
    <s v="Bihar"/>
    <s v="Patna"/>
    <x v="2"/>
    <x v="4"/>
    <s v="CUST1979"/>
    <s v="SP_09"/>
    <n v="6"/>
    <n v="2683.71"/>
    <n v="16102.26"/>
    <n v="9968.5400000000009"/>
    <n v="6133.72"/>
    <s v="Cash"/>
  </r>
  <r>
    <s v="ORD104633"/>
    <s v="2025-08-04"/>
    <x v="11"/>
    <s v="East"/>
    <s v="West Bengal"/>
    <s v="Kolkata"/>
    <x v="1"/>
    <x v="6"/>
    <s v="CUST1380"/>
    <s v="SP_09"/>
    <n v="4"/>
    <n v="3139.76"/>
    <n v="12559.04"/>
    <n v="9877.67"/>
    <n v="2681.37"/>
    <s v="Net Banking"/>
  </r>
  <r>
    <s v="ORD104634"/>
    <s v="2025-05-25"/>
    <x v="3"/>
    <s v="North"/>
    <s v="Punjab"/>
    <s v="Chandigarh"/>
    <x v="3"/>
    <x v="11"/>
    <s v="CUST1896"/>
    <s v="SP_08"/>
    <n v="2"/>
    <n v="112.97"/>
    <n v="225.94"/>
    <n v="116.78"/>
    <n v="109.16"/>
    <s v="Debit Card"/>
  </r>
  <r>
    <s v="ORD104635"/>
    <s v="2025-02-10"/>
    <x v="8"/>
    <s v="East"/>
    <s v="Odisha"/>
    <s v="Bhubaneswar"/>
    <x v="0"/>
    <x v="0"/>
    <s v="CUST1780"/>
    <s v="SP_10"/>
    <n v="8"/>
    <n v="3607.92"/>
    <n v="28863.360000000001"/>
    <n v="17736.84"/>
    <n v="11126.52"/>
    <s v="Credit Card"/>
  </r>
  <r>
    <s v="ORD104636"/>
    <s v="2025-06-20"/>
    <x v="2"/>
    <s v="South"/>
    <s v="Telangana"/>
    <s v="Hyderabad"/>
    <x v="2"/>
    <x v="2"/>
    <s v="CUST1454"/>
    <s v="SP_05"/>
    <n v="6"/>
    <n v="49388.89"/>
    <n v="296333.34000000003"/>
    <n v="200117.91"/>
    <n v="96215.43"/>
    <s v="Net Banking"/>
  </r>
  <r>
    <s v="ORD104637"/>
    <s v="2025-12-06"/>
    <x v="7"/>
    <s v="East"/>
    <s v="Bihar"/>
    <s v="Patna"/>
    <x v="2"/>
    <x v="2"/>
    <s v="CUST1557"/>
    <s v="SP_11"/>
    <n v="7"/>
    <n v="40923.5"/>
    <n v="286464.5"/>
    <n v="257190.66"/>
    <n v="29273.84"/>
    <s v="Net Banking"/>
  </r>
  <r>
    <s v="ORD104638"/>
    <s v="2025-11-26"/>
    <x v="10"/>
    <s v="North"/>
    <s v="Punjab"/>
    <s v="Chandigarh"/>
    <x v="2"/>
    <x v="10"/>
    <s v="CUST1769"/>
    <s v="SP_13"/>
    <n v="1"/>
    <n v="16349.84"/>
    <n v="16349.84"/>
    <n v="14485.11"/>
    <n v="1864.73"/>
    <s v="Debit Card"/>
  </r>
  <r>
    <s v="ORD104639"/>
    <s v="2025-12-04"/>
    <x v="7"/>
    <s v="West"/>
    <s v="Rajasthan"/>
    <s v="Jaipur"/>
    <x v="2"/>
    <x v="4"/>
    <s v="CUST1825"/>
    <s v="SP_08"/>
    <n v="2"/>
    <n v="2434.6799999999998"/>
    <n v="4869.3599999999997"/>
    <n v="3106.19"/>
    <n v="1763.17"/>
    <s v="Debit Card"/>
  </r>
  <r>
    <s v="ORD104640"/>
    <s v="2025-09-21"/>
    <x v="5"/>
    <s v="East"/>
    <s v="West Bengal"/>
    <s v="Kolkata"/>
    <x v="2"/>
    <x v="10"/>
    <s v="CUST1600"/>
    <s v="SP_14"/>
    <n v="7"/>
    <n v="18096.64"/>
    <n v="126676.48"/>
    <n v="95754.27"/>
    <n v="30922.21"/>
    <s v="Cash"/>
  </r>
  <r>
    <s v="ORD104641"/>
    <s v="2025-08-14"/>
    <x v="11"/>
    <s v="South"/>
    <s v="Tamil Nadu"/>
    <s v="Chennai"/>
    <x v="1"/>
    <x v="6"/>
    <s v="CUST1824"/>
    <s v="SP_08"/>
    <n v="2"/>
    <n v="3171.71"/>
    <n v="6343.42"/>
    <n v="4609.4799999999996"/>
    <n v="1733.94"/>
    <s v="Debit Card"/>
  </r>
  <r>
    <s v="ORD104642"/>
    <s v="2025-12-27"/>
    <x v="7"/>
    <s v="East"/>
    <s v="Bihar"/>
    <s v="Patna"/>
    <x v="1"/>
    <x v="1"/>
    <s v="CUST1218"/>
    <s v="SP_11"/>
    <n v="7"/>
    <n v="2543.25"/>
    <n v="17802.75"/>
    <n v="12922.88"/>
    <n v="4879.87"/>
    <s v="Debit Card"/>
  </r>
  <r>
    <s v="ORD104643"/>
    <s v="2025-04-27"/>
    <x v="0"/>
    <s v="South"/>
    <s v="Tamil Nadu"/>
    <s v="Chennai"/>
    <x v="0"/>
    <x v="0"/>
    <s v="CUST1610"/>
    <s v="SP_02"/>
    <n v="6"/>
    <n v="3350.3"/>
    <n v="20101.8"/>
    <n v="13751.81"/>
    <n v="6349.99"/>
    <s v="Credit Card"/>
  </r>
  <r>
    <s v="ORD104644"/>
    <s v="2025-12-23"/>
    <x v="7"/>
    <s v="East"/>
    <s v="Odisha"/>
    <s v="Bhubaneswar"/>
    <x v="0"/>
    <x v="9"/>
    <s v="CUST1210"/>
    <s v="SP_13"/>
    <n v="5"/>
    <n v="6869.27"/>
    <n v="34346.35"/>
    <n v="24876.6"/>
    <n v="9469.75"/>
    <s v="Cash"/>
  </r>
  <r>
    <s v="ORD104645"/>
    <s v="2025-04-16"/>
    <x v="0"/>
    <s v="West"/>
    <s v="Rajasthan"/>
    <s v="Jaipur"/>
    <x v="3"/>
    <x v="11"/>
    <s v="CUST1484"/>
    <s v="SP_01"/>
    <n v="4"/>
    <n v="112.37"/>
    <n v="449.48"/>
    <n v="248.31"/>
    <n v="201.17"/>
    <s v="Debit Card"/>
  </r>
  <r>
    <s v="ORD104646"/>
    <s v="2025-09-20"/>
    <x v="5"/>
    <s v="East"/>
    <s v="Odisha"/>
    <s v="Bhubaneswar"/>
    <x v="2"/>
    <x v="2"/>
    <s v="CUST1817"/>
    <s v="SP_09"/>
    <n v="8"/>
    <n v="44034.74"/>
    <n v="352277.92"/>
    <n v="266763.5"/>
    <n v="85514.42"/>
    <s v="Net Banking"/>
  </r>
  <r>
    <s v="ORD104647"/>
    <s v="2025-11-25"/>
    <x v="10"/>
    <s v="North"/>
    <s v="Uttar Pradesh"/>
    <s v="Lucknow"/>
    <x v="0"/>
    <x v="0"/>
    <s v="CUST1527"/>
    <s v="SP_15"/>
    <n v="6"/>
    <n v="3403.95"/>
    <n v="20423.7"/>
    <n v="12568.52"/>
    <n v="7855.18"/>
    <s v="UPI"/>
  </r>
  <r>
    <s v="ORD104648"/>
    <s v="2025-10-08"/>
    <x v="1"/>
    <s v="North"/>
    <s v="Uttar Pradesh"/>
    <s v="Lucknow"/>
    <x v="1"/>
    <x v="5"/>
    <s v="CUST1979"/>
    <s v="SP_05"/>
    <n v="2"/>
    <n v="10142.67"/>
    <n v="20285.34"/>
    <n v="15024.55"/>
    <n v="5260.79"/>
    <s v="Cash"/>
  </r>
  <r>
    <s v="ORD104649"/>
    <s v="2025-07-09"/>
    <x v="6"/>
    <s v="West"/>
    <s v="Rajasthan"/>
    <s v="Jaipur"/>
    <x v="2"/>
    <x v="4"/>
    <s v="CUST1645"/>
    <s v="SP_08"/>
    <n v="5"/>
    <n v="2440.0500000000002"/>
    <n v="12200.25"/>
    <n v="8141.35"/>
    <n v="4058.9"/>
    <s v="Credit Card"/>
  </r>
  <r>
    <s v="ORD104650"/>
    <s v="2025-05-11"/>
    <x v="3"/>
    <s v="South"/>
    <s v="Karnataka"/>
    <s v="Bengaluru"/>
    <x v="1"/>
    <x v="6"/>
    <s v="CUST1901"/>
    <s v="SP_01"/>
    <n v="8"/>
    <n v="3321.69"/>
    <n v="26573.52"/>
    <n v="18887.29"/>
    <n v="7686.23"/>
    <s v="Cash"/>
  </r>
  <r>
    <s v="ORD104651"/>
    <s v="2025-05-20"/>
    <x v="3"/>
    <s v="West"/>
    <s v="Gujarat"/>
    <s v="Ahmedabad"/>
    <x v="3"/>
    <x v="11"/>
    <s v="CUST1336"/>
    <s v="SP_03"/>
    <n v="6"/>
    <n v="118.33"/>
    <n v="709.98"/>
    <n v="345.76"/>
    <n v="364.22"/>
    <s v="Credit Card"/>
  </r>
  <r>
    <s v="ORD104652"/>
    <s v="2025-02-20"/>
    <x v="8"/>
    <s v="West"/>
    <s v="Rajasthan"/>
    <s v="Jaipur"/>
    <x v="0"/>
    <x v="8"/>
    <s v="CUST1065"/>
    <s v="SP_09"/>
    <n v="4"/>
    <n v="21718.240000000002"/>
    <n v="86872.960000000006"/>
    <n v="70821.97"/>
    <n v="16050.99"/>
    <s v="UPI"/>
  </r>
  <r>
    <s v="ORD104653"/>
    <s v="2025-11-22"/>
    <x v="10"/>
    <s v="South"/>
    <s v="Tamil Nadu"/>
    <s v="Chennai"/>
    <x v="0"/>
    <x v="9"/>
    <s v="CUST1380"/>
    <s v="SP_02"/>
    <n v="8"/>
    <n v="7287.77"/>
    <n v="58302.16"/>
    <n v="40528.54"/>
    <n v="17773.62"/>
    <s v="UPI"/>
  </r>
  <r>
    <s v="ORD104654"/>
    <s v="2025-09-19"/>
    <x v="5"/>
    <s v="North"/>
    <s v="Punjab"/>
    <s v="Chandigarh"/>
    <x v="1"/>
    <x v="5"/>
    <s v="CUST1154"/>
    <s v="SP_09"/>
    <n v="1"/>
    <n v="10165.92"/>
    <n v="10165.92"/>
    <n v="7857.84"/>
    <n v="2308.08"/>
    <s v="Debit Card"/>
  </r>
  <r>
    <s v="ORD104655"/>
    <s v="2025-06-23"/>
    <x v="2"/>
    <s v="South"/>
    <s v="Tamil Nadu"/>
    <s v="Chennai"/>
    <x v="0"/>
    <x v="8"/>
    <s v="CUST1933"/>
    <s v="SP_13"/>
    <n v="2"/>
    <n v="20112.48"/>
    <n v="40224.959999999999"/>
    <n v="32688.75"/>
    <n v="7536.21"/>
    <s v="Credit Card"/>
  </r>
  <r>
    <s v="ORD104656"/>
    <s v="2025-11-22"/>
    <x v="10"/>
    <s v="West"/>
    <s v="Maharashtra"/>
    <s v="Mumbai"/>
    <x v="0"/>
    <x v="0"/>
    <s v="CUST1974"/>
    <s v="SP_11"/>
    <n v="1"/>
    <n v="3195.81"/>
    <n v="3195.81"/>
    <n v="2163.56"/>
    <n v="1032.25"/>
    <s v="Credit Card"/>
  </r>
  <r>
    <s v="ORD104657"/>
    <s v="2025-04-16"/>
    <x v="0"/>
    <s v="East"/>
    <s v="Odisha"/>
    <s v="Bhubaneswar"/>
    <x v="3"/>
    <x v="7"/>
    <s v="CUST1592"/>
    <s v="SP_05"/>
    <n v="1"/>
    <n v="12063.45"/>
    <n v="12063.45"/>
    <n v="8879.4500000000007"/>
    <n v="3184"/>
    <s v="Debit Card"/>
  </r>
  <r>
    <s v="ORD104658"/>
    <s v="2025-10-16"/>
    <x v="1"/>
    <s v="West"/>
    <s v="Maharashtra"/>
    <s v="Mumbai"/>
    <x v="3"/>
    <x v="3"/>
    <s v="CUST1084"/>
    <s v="SP_13"/>
    <n v="6"/>
    <n v="27.22"/>
    <n v="163.32"/>
    <n v="62.4"/>
    <n v="100.92"/>
    <s v="Credit Card"/>
  </r>
  <r>
    <s v="ORD104659"/>
    <s v="2025-12-15"/>
    <x v="7"/>
    <s v="West"/>
    <s v="Rajasthan"/>
    <s v="Jaipur"/>
    <x v="2"/>
    <x v="10"/>
    <s v="CUST1334"/>
    <s v="SP_12"/>
    <n v="8"/>
    <n v="17894.96"/>
    <n v="143159.67999999999"/>
    <n v="116684.8"/>
    <n v="26474.880000000001"/>
    <s v="Credit Card"/>
  </r>
  <r>
    <s v="ORD104660"/>
    <s v="2025-07-31"/>
    <x v="6"/>
    <s v="West"/>
    <s v="Gujarat"/>
    <s v="Ahmedabad"/>
    <x v="1"/>
    <x v="1"/>
    <s v="CUST1402"/>
    <s v="SP_15"/>
    <n v="2"/>
    <n v="2980.81"/>
    <n v="5961.62"/>
    <n v="3746.32"/>
    <n v="2215.3000000000002"/>
    <s v="Credit Card"/>
  </r>
  <r>
    <s v="ORD104661"/>
    <s v="2025-07-24"/>
    <x v="6"/>
    <s v="South"/>
    <s v="Karnataka"/>
    <s v="Bengaluru"/>
    <x v="1"/>
    <x v="5"/>
    <s v="CUST1158"/>
    <s v="SP_14"/>
    <n v="8"/>
    <n v="10115.93"/>
    <n v="80927.44"/>
    <n v="62105.97"/>
    <n v="18821.47"/>
    <s v="UPI"/>
  </r>
  <r>
    <s v="ORD104662"/>
    <s v="2025-12-14"/>
    <x v="7"/>
    <s v="North"/>
    <s v="Delhi"/>
    <s v="Delhi"/>
    <x v="1"/>
    <x v="6"/>
    <s v="CUST1760"/>
    <s v="SP_08"/>
    <n v="6"/>
    <n v="3058.3"/>
    <n v="18349.8"/>
    <n v="14961.26"/>
    <n v="3388.54"/>
    <s v="Credit Card"/>
  </r>
  <r>
    <s v="ORD104663"/>
    <s v="2025-12-15"/>
    <x v="7"/>
    <s v="North"/>
    <s v="Punjab"/>
    <s v="Chandigarh"/>
    <x v="0"/>
    <x v="8"/>
    <s v="CUST1898"/>
    <s v="SP_06"/>
    <n v="4"/>
    <n v="20716.64"/>
    <n v="82866.559999999998"/>
    <n v="71045.19"/>
    <n v="11821.37"/>
    <s v="Debit Card"/>
  </r>
  <r>
    <s v="ORD104664"/>
    <s v="2025-06-19"/>
    <x v="2"/>
    <s v="South"/>
    <s v="Karnataka"/>
    <s v="Bengaluru"/>
    <x v="1"/>
    <x v="6"/>
    <s v="CUST1750"/>
    <s v="SP_05"/>
    <n v="8"/>
    <n v="3090.36"/>
    <n v="24722.880000000001"/>
    <n v="19457.060000000001"/>
    <n v="5265.82"/>
    <s v="UPI"/>
  </r>
  <r>
    <s v="ORD104665"/>
    <s v="2025-09-27"/>
    <x v="5"/>
    <s v="East"/>
    <s v="West Bengal"/>
    <s v="Kolkata"/>
    <x v="0"/>
    <x v="9"/>
    <s v="CUST1642"/>
    <s v="SP_05"/>
    <n v="6"/>
    <n v="6736.51"/>
    <n v="40419.06"/>
    <n v="31151.15"/>
    <n v="9267.91"/>
    <s v="Net Banking"/>
  </r>
  <r>
    <s v="ORD104666"/>
    <s v="2025-01-27"/>
    <x v="9"/>
    <s v="East"/>
    <s v="Bihar"/>
    <s v="Patna"/>
    <x v="2"/>
    <x v="4"/>
    <s v="CUST1508"/>
    <s v="SP_02"/>
    <n v="6"/>
    <n v="2696.67"/>
    <n v="16180.02"/>
    <n v="9605.57"/>
    <n v="6574.45"/>
    <s v="Cash"/>
  </r>
  <r>
    <s v="ORD104667"/>
    <s v="2025-10-06"/>
    <x v="1"/>
    <s v="South"/>
    <s v="Tamil Nadu"/>
    <s v="Chennai"/>
    <x v="1"/>
    <x v="5"/>
    <s v="CUST1353"/>
    <s v="SP_14"/>
    <n v="4"/>
    <n v="10187.34"/>
    <n v="40749.360000000001"/>
    <n v="30854.85"/>
    <n v="9894.51"/>
    <s v="Net Banking"/>
  </r>
  <r>
    <s v="ORD104668"/>
    <s v="2025-06-03"/>
    <x v="2"/>
    <s v="South"/>
    <s v="Karnataka"/>
    <s v="Bengaluru"/>
    <x v="2"/>
    <x v="4"/>
    <s v="CUST1038"/>
    <s v="SP_11"/>
    <n v="7"/>
    <n v="2258.11"/>
    <n v="15806.77"/>
    <n v="10933.36"/>
    <n v="4873.41"/>
    <s v="Credit Card"/>
  </r>
  <r>
    <s v="ORD104669"/>
    <s v="2025-10-03"/>
    <x v="1"/>
    <s v="West"/>
    <s v="Rajasthan"/>
    <s v="Jaipur"/>
    <x v="0"/>
    <x v="0"/>
    <s v="CUST1953"/>
    <s v="SP_01"/>
    <n v="5"/>
    <n v="3811.61"/>
    <n v="19058.05"/>
    <n v="11491.68"/>
    <n v="7566.37"/>
    <s v="Debit Card"/>
  </r>
  <r>
    <s v="ORD104670"/>
    <s v="2025-05-01"/>
    <x v="3"/>
    <s v="East"/>
    <s v="West Bengal"/>
    <s v="Kolkata"/>
    <x v="3"/>
    <x v="3"/>
    <s v="CUST1342"/>
    <s v="SP_13"/>
    <n v="7"/>
    <n v="25.66"/>
    <n v="179.62"/>
    <n v="67.61"/>
    <n v="112.01"/>
    <s v="UPI"/>
  </r>
  <r>
    <s v="ORD104671"/>
    <s v="2025-01-31"/>
    <x v="9"/>
    <s v="South"/>
    <s v="Telangana"/>
    <s v="Hyderabad"/>
    <x v="1"/>
    <x v="5"/>
    <s v="CUST1793"/>
    <s v="SP_02"/>
    <n v="3"/>
    <n v="9172.33"/>
    <n v="27516.99"/>
    <n v="22820.59"/>
    <n v="4696.3999999999996"/>
    <s v="Credit Card"/>
  </r>
  <r>
    <s v="ORD104672"/>
    <s v="2025-12-13"/>
    <x v="7"/>
    <s v="East"/>
    <s v="Bihar"/>
    <s v="Patna"/>
    <x v="3"/>
    <x v="11"/>
    <s v="CUST1067"/>
    <s v="SP_03"/>
    <n v="6"/>
    <n v="123.87"/>
    <n v="743.22"/>
    <n v="377.8"/>
    <n v="365.42"/>
    <s v="Cash"/>
  </r>
  <r>
    <s v="ORD104673"/>
    <s v="2025-07-11"/>
    <x v="6"/>
    <s v="North"/>
    <s v="Delhi"/>
    <s v="Delhi"/>
    <x v="3"/>
    <x v="7"/>
    <s v="CUST1477"/>
    <s v="SP_12"/>
    <n v="1"/>
    <n v="11105.34"/>
    <n v="11105.34"/>
    <n v="8994.15"/>
    <n v="2111.19"/>
    <s v="Debit Card"/>
  </r>
  <r>
    <s v="ORD104674"/>
    <s v="2025-08-02"/>
    <x v="11"/>
    <s v="North"/>
    <s v="Delhi"/>
    <s v="Delhi"/>
    <x v="2"/>
    <x v="2"/>
    <s v="CUST1865"/>
    <s v="SP_08"/>
    <n v="1"/>
    <n v="41277.89"/>
    <n v="41277.89"/>
    <n v="33834.82"/>
    <n v="7443.07"/>
    <s v="UPI"/>
  </r>
  <r>
    <s v="ORD104675"/>
    <s v="2025-05-26"/>
    <x v="3"/>
    <s v="West"/>
    <s v="Maharashtra"/>
    <s v="Mumbai"/>
    <x v="2"/>
    <x v="2"/>
    <s v="CUST1690"/>
    <s v="SP_08"/>
    <n v="6"/>
    <n v="49178"/>
    <n v="295068"/>
    <n v="199720.98"/>
    <n v="95347.02"/>
    <s v="Net Banking"/>
  </r>
  <r>
    <s v="ORD104676"/>
    <s v="2025-11-26"/>
    <x v="10"/>
    <s v="East"/>
    <s v="West Bengal"/>
    <s v="Kolkata"/>
    <x v="3"/>
    <x v="11"/>
    <s v="CUST1064"/>
    <s v="SP_05"/>
    <n v="8"/>
    <n v="109.86"/>
    <n v="878.88"/>
    <n v="473.75"/>
    <n v="405.13"/>
    <s v="UPI"/>
  </r>
  <r>
    <s v="ORD104677"/>
    <s v="2025-08-08"/>
    <x v="11"/>
    <s v="South"/>
    <s v="Tamil Nadu"/>
    <s v="Chennai"/>
    <x v="2"/>
    <x v="10"/>
    <s v="CUST1427"/>
    <s v="SP_11"/>
    <n v="2"/>
    <n v="18379.060000000001"/>
    <n v="36758.120000000003"/>
    <n v="28950.28"/>
    <n v="7807.84"/>
    <s v="Net Banking"/>
  </r>
  <r>
    <s v="ORD104678"/>
    <s v="2025-03-05"/>
    <x v="4"/>
    <s v="East"/>
    <s v="West Bengal"/>
    <s v="Kolkata"/>
    <x v="2"/>
    <x v="2"/>
    <s v="CUST1414"/>
    <s v="SP_03"/>
    <n v="8"/>
    <n v="47465.46"/>
    <n v="379723.68"/>
    <n v="276196.90999999997"/>
    <n v="103526.77"/>
    <s v="Cash"/>
  </r>
  <r>
    <s v="ORD104679"/>
    <s v="2025-01-12"/>
    <x v="9"/>
    <s v="North"/>
    <s v="Uttar Pradesh"/>
    <s v="Lucknow"/>
    <x v="1"/>
    <x v="5"/>
    <s v="CUST1384"/>
    <s v="SP_10"/>
    <n v="1"/>
    <n v="9798.76"/>
    <n v="9798.76"/>
    <n v="7694.63"/>
    <n v="2104.13"/>
    <s v="Net Banking"/>
  </r>
  <r>
    <s v="ORD104680"/>
    <s v="2025-09-05"/>
    <x v="5"/>
    <s v="West"/>
    <s v="Rajasthan"/>
    <s v="Jaipur"/>
    <x v="3"/>
    <x v="11"/>
    <s v="CUST1022"/>
    <s v="SP_06"/>
    <n v="1"/>
    <n v="130.65"/>
    <n v="130.65"/>
    <n v="59.84"/>
    <n v="70.81"/>
    <s v="Debit Card"/>
  </r>
  <r>
    <s v="ORD104681"/>
    <s v="2025-06-28"/>
    <x v="2"/>
    <s v="North"/>
    <s v="Delhi"/>
    <s v="Delhi"/>
    <x v="0"/>
    <x v="0"/>
    <s v="CUST1515"/>
    <s v="SP_13"/>
    <n v="3"/>
    <n v="3763.7"/>
    <n v="11291.1"/>
    <n v="6572.5"/>
    <n v="4718.6000000000004"/>
    <s v="Cash"/>
  </r>
  <r>
    <s v="ORD104682"/>
    <s v="2025-01-16"/>
    <x v="9"/>
    <s v="East"/>
    <s v="Odisha"/>
    <s v="Bhubaneswar"/>
    <x v="1"/>
    <x v="1"/>
    <s v="CUST1923"/>
    <s v="SP_14"/>
    <n v="2"/>
    <n v="2804.24"/>
    <n v="5608.48"/>
    <n v="3652.33"/>
    <n v="1956.15"/>
    <s v="Net Banking"/>
  </r>
  <r>
    <s v="ORD104683"/>
    <s v="2025-09-17"/>
    <x v="5"/>
    <s v="West"/>
    <s v="Maharashtra"/>
    <s v="Mumbai"/>
    <x v="0"/>
    <x v="0"/>
    <s v="CUST1786"/>
    <s v="SP_04"/>
    <n v="7"/>
    <n v="3309.25"/>
    <n v="23164.75"/>
    <n v="15161.79"/>
    <n v="8002.96"/>
    <s v="Net Banking"/>
  </r>
  <r>
    <s v="ORD104684"/>
    <s v="2025-07-13"/>
    <x v="6"/>
    <s v="East"/>
    <s v="Odisha"/>
    <s v="Bhubaneswar"/>
    <x v="0"/>
    <x v="0"/>
    <s v="CUST1567"/>
    <s v="SP_06"/>
    <n v="8"/>
    <n v="3530.54"/>
    <n v="28244.32"/>
    <n v="16824.02"/>
    <n v="11420.3"/>
    <s v="Net Banking"/>
  </r>
  <r>
    <s v="ORD104685"/>
    <s v="2025-11-28"/>
    <x v="10"/>
    <s v="West"/>
    <s v="Gujarat"/>
    <s v="Ahmedabad"/>
    <x v="0"/>
    <x v="9"/>
    <s v="CUST1112"/>
    <s v="SP_04"/>
    <n v="3"/>
    <n v="6748.77"/>
    <n v="20246.310000000001"/>
    <n v="15717.87"/>
    <n v="4528.4399999999996"/>
    <s v="Cash"/>
  </r>
  <r>
    <s v="ORD104686"/>
    <s v="2025-08-01"/>
    <x v="11"/>
    <s v="West"/>
    <s v="Maharashtra"/>
    <s v="Mumbai"/>
    <x v="3"/>
    <x v="11"/>
    <s v="CUST1197"/>
    <s v="SP_09"/>
    <n v="5"/>
    <n v="116.75"/>
    <n v="583.75"/>
    <n v="299.64999999999998"/>
    <n v="284.10000000000002"/>
    <s v="Net Banking"/>
  </r>
  <r>
    <s v="ORD104687"/>
    <s v="2025-02-19"/>
    <x v="8"/>
    <s v="East"/>
    <s v="Bihar"/>
    <s v="Patna"/>
    <x v="3"/>
    <x v="3"/>
    <s v="CUST1409"/>
    <s v="SP_03"/>
    <n v="3"/>
    <n v="26.58"/>
    <n v="79.739999999999995"/>
    <n v="28.88"/>
    <n v="50.86"/>
    <s v="Net Banking"/>
  </r>
  <r>
    <s v="ORD104688"/>
    <s v="2025-05-28"/>
    <x v="3"/>
    <s v="North"/>
    <s v="Punjab"/>
    <s v="Chandigarh"/>
    <x v="3"/>
    <x v="7"/>
    <s v="CUST1337"/>
    <s v="SP_05"/>
    <n v="1"/>
    <n v="10977.61"/>
    <n v="10977.61"/>
    <n v="8671.35"/>
    <n v="2306.2600000000002"/>
    <s v="Debit Card"/>
  </r>
  <r>
    <s v="ORD104689"/>
    <s v="2025-09-04"/>
    <x v="5"/>
    <s v="North"/>
    <s v="Delhi"/>
    <s v="Delhi"/>
    <x v="0"/>
    <x v="8"/>
    <s v="CUST1499"/>
    <s v="SP_14"/>
    <n v="3"/>
    <n v="22906.17"/>
    <n v="68718.509999999995"/>
    <n v="50724.88"/>
    <n v="17993.63"/>
    <s v="Cash"/>
  </r>
  <r>
    <s v="ORD104690"/>
    <s v="2025-07-17"/>
    <x v="6"/>
    <s v="North"/>
    <s v="Delhi"/>
    <s v="Delhi"/>
    <x v="2"/>
    <x v="2"/>
    <s v="CUST1052"/>
    <s v="SP_07"/>
    <n v="8"/>
    <n v="46970.42"/>
    <n v="375763.36"/>
    <n v="275377.90999999997"/>
    <n v="100385.45"/>
    <s v="Cash"/>
  </r>
  <r>
    <s v="ORD104691"/>
    <s v="2025-01-07"/>
    <x v="9"/>
    <s v="North"/>
    <s v="Uttar Pradesh"/>
    <s v="Lucknow"/>
    <x v="2"/>
    <x v="10"/>
    <s v="CUST1775"/>
    <s v="SP_15"/>
    <n v="8"/>
    <n v="17107.400000000001"/>
    <n v="136859.20000000001"/>
    <n v="110647.28"/>
    <n v="26211.919999999998"/>
    <s v="Cash"/>
  </r>
  <r>
    <s v="ORD104692"/>
    <s v="2025-12-16"/>
    <x v="7"/>
    <s v="East"/>
    <s v="Bihar"/>
    <s v="Patna"/>
    <x v="1"/>
    <x v="6"/>
    <s v="CUST1529"/>
    <s v="SP_01"/>
    <n v="6"/>
    <n v="3214.3"/>
    <n v="19285.8"/>
    <n v="15030.21"/>
    <n v="4255.59"/>
    <s v="Net Banking"/>
  </r>
  <r>
    <s v="ORD104693"/>
    <s v="2025-11-15"/>
    <x v="10"/>
    <s v="West"/>
    <s v="Rajasthan"/>
    <s v="Jaipur"/>
    <x v="1"/>
    <x v="6"/>
    <s v="CUST1342"/>
    <s v="SP_02"/>
    <n v="7"/>
    <n v="3296.66"/>
    <n v="23076.62"/>
    <n v="17541.03"/>
    <n v="5535.59"/>
    <s v="Net Banking"/>
  </r>
  <r>
    <s v="ORD104694"/>
    <s v="2025-06-28"/>
    <x v="2"/>
    <s v="East"/>
    <s v="Bihar"/>
    <s v="Patna"/>
    <x v="3"/>
    <x v="7"/>
    <s v="CUST1539"/>
    <s v="SP_15"/>
    <n v="7"/>
    <n v="11420.6"/>
    <n v="79944.2"/>
    <n v="65096.81"/>
    <n v="14847.39"/>
    <s v="Net Banking"/>
  </r>
  <r>
    <s v="ORD104695"/>
    <s v="2025-04-04"/>
    <x v="0"/>
    <s v="East"/>
    <s v="West Bengal"/>
    <s v="Kolkata"/>
    <x v="3"/>
    <x v="3"/>
    <s v="CUST1213"/>
    <s v="SP_01"/>
    <n v="3"/>
    <n v="26.1"/>
    <n v="78.3"/>
    <n v="31.26"/>
    <n v="47.04"/>
    <s v="Net Banking"/>
  </r>
  <r>
    <s v="ORD104696"/>
    <s v="2025-07-26"/>
    <x v="6"/>
    <s v="North"/>
    <s v="Punjab"/>
    <s v="Chandigarh"/>
    <x v="0"/>
    <x v="8"/>
    <s v="CUST1727"/>
    <s v="SP_05"/>
    <n v="1"/>
    <n v="20883.02"/>
    <n v="20883.02"/>
    <n v="16956.560000000001"/>
    <n v="3926.46"/>
    <s v="Net Banking"/>
  </r>
  <r>
    <s v="ORD104697"/>
    <s v="2025-03-22"/>
    <x v="4"/>
    <s v="North"/>
    <s v="Delhi"/>
    <s v="Delhi"/>
    <x v="1"/>
    <x v="6"/>
    <s v="CUST1534"/>
    <s v="SP_06"/>
    <n v="7"/>
    <n v="3470.64"/>
    <n v="24294.48"/>
    <n v="16672.57"/>
    <n v="7621.91"/>
    <s v="UPI"/>
  </r>
  <r>
    <s v="ORD104698"/>
    <s v="2025-03-07"/>
    <x v="4"/>
    <s v="North"/>
    <s v="Uttar Pradesh"/>
    <s v="Lucknow"/>
    <x v="3"/>
    <x v="3"/>
    <s v="CUST1446"/>
    <s v="SP_12"/>
    <n v="1"/>
    <n v="25.03"/>
    <n v="25.03"/>
    <n v="9.56"/>
    <n v="15.47"/>
    <s v="UPI"/>
  </r>
  <r>
    <s v="ORD104699"/>
    <s v="2025-11-19"/>
    <x v="10"/>
    <s v="East"/>
    <s v="West Bengal"/>
    <s v="Kolkata"/>
    <x v="2"/>
    <x v="4"/>
    <s v="CUST1615"/>
    <s v="SP_12"/>
    <n v="4"/>
    <n v="2547.33"/>
    <n v="10189.32"/>
    <n v="6354.03"/>
    <n v="3835.29"/>
    <s v="Cash"/>
  </r>
  <r>
    <s v="ORD104700"/>
    <s v="2025-04-06"/>
    <x v="0"/>
    <s v="East"/>
    <s v="Odisha"/>
    <s v="Bhubaneswar"/>
    <x v="1"/>
    <x v="1"/>
    <s v="CUST1077"/>
    <s v="SP_05"/>
    <n v="6"/>
    <n v="2867.36"/>
    <n v="17204.16"/>
    <n v="11834.53"/>
    <n v="5369.63"/>
    <s v="Cash"/>
  </r>
  <r>
    <s v="ORD104701"/>
    <s v="2025-04-12"/>
    <x v="0"/>
    <s v="North"/>
    <s v="Delhi"/>
    <s v="Delhi"/>
    <x v="0"/>
    <x v="0"/>
    <s v="CUST1557"/>
    <s v="SP_07"/>
    <n v="5"/>
    <n v="3551.79"/>
    <n v="17758.95"/>
    <n v="10593.94"/>
    <n v="7165.01"/>
    <s v="Cash"/>
  </r>
  <r>
    <s v="ORD104702"/>
    <s v="2025-05-20"/>
    <x v="3"/>
    <s v="West"/>
    <s v="Maharashtra"/>
    <s v="Mumbai"/>
    <x v="3"/>
    <x v="11"/>
    <s v="CUST1055"/>
    <s v="SP_05"/>
    <n v="8"/>
    <n v="121.24"/>
    <n v="969.92"/>
    <n v="458.91"/>
    <n v="511.01"/>
    <s v="Debit Card"/>
  </r>
  <r>
    <s v="ORD104703"/>
    <s v="2025-11-30"/>
    <x v="10"/>
    <s v="East"/>
    <s v="Odisha"/>
    <s v="Bhubaneswar"/>
    <x v="3"/>
    <x v="3"/>
    <s v="CUST1724"/>
    <s v="SP_14"/>
    <n v="6"/>
    <n v="25.18"/>
    <n v="151.08000000000001"/>
    <n v="57.59"/>
    <n v="93.49"/>
    <s v="Cash"/>
  </r>
  <r>
    <s v="ORD104704"/>
    <s v="2025-08-05"/>
    <x v="11"/>
    <s v="South"/>
    <s v="Karnataka"/>
    <s v="Bengaluru"/>
    <x v="3"/>
    <x v="3"/>
    <s v="CUST1035"/>
    <s v="SP_14"/>
    <n v="7"/>
    <n v="26.22"/>
    <n v="183.54"/>
    <n v="70.62"/>
    <n v="112.92"/>
    <s v="Cash"/>
  </r>
  <r>
    <s v="ORD104705"/>
    <s v="2025-06-20"/>
    <x v="2"/>
    <s v="North"/>
    <s v="Uttar Pradesh"/>
    <s v="Lucknow"/>
    <x v="0"/>
    <x v="8"/>
    <s v="CUST1655"/>
    <s v="SP_02"/>
    <n v="1"/>
    <n v="20952.97"/>
    <n v="20952.97"/>
    <n v="17439.12"/>
    <n v="3513.85"/>
    <s v="Debit Card"/>
  </r>
  <r>
    <s v="ORD104706"/>
    <s v="2025-07-07"/>
    <x v="6"/>
    <s v="East"/>
    <s v="Bihar"/>
    <s v="Patna"/>
    <x v="2"/>
    <x v="4"/>
    <s v="CUST1775"/>
    <s v="SP_03"/>
    <n v="3"/>
    <n v="2566.41"/>
    <n v="7699.23"/>
    <n v="4892.63"/>
    <n v="2806.6"/>
    <s v="Credit Card"/>
  </r>
  <r>
    <s v="ORD104707"/>
    <s v="2025-04-17"/>
    <x v="0"/>
    <s v="North"/>
    <s v="Punjab"/>
    <s v="Chandigarh"/>
    <x v="2"/>
    <x v="4"/>
    <s v="CUST1128"/>
    <s v="SP_15"/>
    <n v="7"/>
    <n v="2358.79"/>
    <n v="16511.53"/>
    <n v="11306.82"/>
    <n v="5204.71"/>
    <s v="Cash"/>
  </r>
  <r>
    <s v="ORD104708"/>
    <s v="2025-11-07"/>
    <x v="10"/>
    <s v="North"/>
    <s v="Delhi"/>
    <s v="Delhi"/>
    <x v="1"/>
    <x v="6"/>
    <s v="CUST1074"/>
    <s v="SP_11"/>
    <n v="8"/>
    <n v="3498.49"/>
    <n v="27987.919999999998"/>
    <n v="19834.27"/>
    <n v="8153.65"/>
    <s v="Cash"/>
  </r>
  <r>
    <s v="ORD104709"/>
    <s v="2025-08-17"/>
    <x v="11"/>
    <s v="South"/>
    <s v="Karnataka"/>
    <s v="Bengaluru"/>
    <x v="1"/>
    <x v="5"/>
    <s v="CUST1404"/>
    <s v="SP_10"/>
    <n v="8"/>
    <n v="10145.23"/>
    <n v="81161.84"/>
    <n v="63640.89"/>
    <n v="17520.95"/>
    <s v="Cash"/>
  </r>
  <r>
    <s v="ORD104710"/>
    <s v="2025-01-19"/>
    <x v="9"/>
    <s v="South"/>
    <s v="Karnataka"/>
    <s v="Bengaluru"/>
    <x v="2"/>
    <x v="2"/>
    <s v="CUST1440"/>
    <s v="SP_03"/>
    <n v="5"/>
    <n v="40926.81"/>
    <n v="204634.05"/>
    <n v="173579.57"/>
    <n v="31054.48"/>
    <s v="Net Banking"/>
  </r>
  <r>
    <s v="ORD104711"/>
    <s v="2025-08-01"/>
    <x v="11"/>
    <s v="South"/>
    <s v="Telangana"/>
    <s v="Hyderabad"/>
    <x v="3"/>
    <x v="3"/>
    <s v="CUST1916"/>
    <s v="SP_02"/>
    <n v="6"/>
    <n v="24.29"/>
    <n v="145.74"/>
    <n v="62.78"/>
    <n v="82.96"/>
    <s v="Debit Card"/>
  </r>
  <r>
    <s v="ORD104712"/>
    <s v="2025-09-26"/>
    <x v="5"/>
    <s v="South"/>
    <s v="Tamil Nadu"/>
    <s v="Chennai"/>
    <x v="0"/>
    <x v="0"/>
    <s v="CUST1524"/>
    <s v="SP_15"/>
    <n v="2"/>
    <n v="3779.17"/>
    <n v="7558.34"/>
    <n v="4338.42"/>
    <n v="3219.92"/>
    <s v="UPI"/>
  </r>
  <r>
    <s v="ORD104713"/>
    <s v="2025-10-09"/>
    <x v="1"/>
    <s v="South"/>
    <s v="Karnataka"/>
    <s v="Bengaluru"/>
    <x v="3"/>
    <x v="7"/>
    <s v="CUST1431"/>
    <s v="SP_03"/>
    <n v="2"/>
    <n v="10833.68"/>
    <n v="21667.360000000001"/>
    <n v="18201.939999999999"/>
    <n v="3465.42"/>
    <s v="Credit Card"/>
  </r>
  <r>
    <s v="ORD104714"/>
    <s v="2025-07-01"/>
    <x v="6"/>
    <s v="South"/>
    <s v="Telangana"/>
    <s v="Hyderabad"/>
    <x v="0"/>
    <x v="0"/>
    <s v="CUST1065"/>
    <s v="SP_02"/>
    <n v="5"/>
    <n v="3473.64"/>
    <n v="17368.2"/>
    <n v="10600.5"/>
    <n v="6767.7"/>
    <s v="UPI"/>
  </r>
  <r>
    <s v="ORD104715"/>
    <s v="2025-06-01"/>
    <x v="2"/>
    <s v="North"/>
    <s v="Delhi"/>
    <s v="Delhi"/>
    <x v="3"/>
    <x v="7"/>
    <s v="CUST1397"/>
    <s v="SP_04"/>
    <n v="4"/>
    <n v="12708.59"/>
    <n v="50834.36"/>
    <n v="37273.86"/>
    <n v="13560.5"/>
    <s v="Net Banking"/>
  </r>
  <r>
    <s v="ORD104716"/>
    <s v="2025-11-20"/>
    <x v="10"/>
    <s v="North"/>
    <s v="Uttar Pradesh"/>
    <s v="Lucknow"/>
    <x v="2"/>
    <x v="10"/>
    <s v="CUST1645"/>
    <s v="SP_08"/>
    <n v="5"/>
    <n v="18629.84"/>
    <n v="93149.2"/>
    <n v="71458.990000000005"/>
    <n v="21690.21"/>
    <s v="Credit Card"/>
  </r>
  <r>
    <s v="ORD104717"/>
    <s v="2025-06-11"/>
    <x v="2"/>
    <s v="West"/>
    <s v="Rajasthan"/>
    <s v="Jaipur"/>
    <x v="0"/>
    <x v="0"/>
    <s v="CUST1586"/>
    <s v="SP_13"/>
    <n v="2"/>
    <n v="3651.62"/>
    <n v="7303.24"/>
    <n v="4535.6400000000003"/>
    <n v="2767.6"/>
    <s v="Debit Card"/>
  </r>
  <r>
    <s v="ORD104718"/>
    <s v="2025-11-27"/>
    <x v="10"/>
    <s v="West"/>
    <s v="Rajasthan"/>
    <s v="Jaipur"/>
    <x v="1"/>
    <x v="6"/>
    <s v="CUST1067"/>
    <s v="SP_04"/>
    <n v="4"/>
    <n v="3024.28"/>
    <n v="12097.12"/>
    <n v="9829.26"/>
    <n v="2267.86"/>
    <s v="Cash"/>
  </r>
  <r>
    <s v="ORD104719"/>
    <s v="2025-01-26"/>
    <x v="9"/>
    <s v="North"/>
    <s v="Delhi"/>
    <s v="Delhi"/>
    <x v="0"/>
    <x v="8"/>
    <s v="CUST1330"/>
    <s v="SP_02"/>
    <n v="1"/>
    <n v="20487.98"/>
    <n v="20487.98"/>
    <n v="17113.189999999999"/>
    <n v="3374.79"/>
    <s v="Credit Card"/>
  </r>
  <r>
    <s v="ORD104720"/>
    <s v="2025-11-26"/>
    <x v="10"/>
    <s v="East"/>
    <s v="West Bengal"/>
    <s v="Kolkata"/>
    <x v="1"/>
    <x v="5"/>
    <s v="CUST1951"/>
    <s v="SP_08"/>
    <n v="5"/>
    <n v="9376.7999999999993"/>
    <n v="46884"/>
    <n v="36604.54"/>
    <n v="10279.459999999999"/>
    <s v="Debit Card"/>
  </r>
  <r>
    <s v="ORD104721"/>
    <s v="2025-07-12"/>
    <x v="6"/>
    <s v="West"/>
    <s v="Maharashtra"/>
    <s v="Mumbai"/>
    <x v="2"/>
    <x v="10"/>
    <s v="CUST1879"/>
    <s v="SP_12"/>
    <n v="1"/>
    <n v="17933.46"/>
    <n v="17933.46"/>
    <n v="14637.19"/>
    <n v="3296.27"/>
    <s v="Credit Card"/>
  </r>
  <r>
    <s v="ORD104722"/>
    <s v="2025-12-28"/>
    <x v="7"/>
    <s v="West"/>
    <s v="Maharashtra"/>
    <s v="Mumbai"/>
    <x v="3"/>
    <x v="11"/>
    <s v="CUST1835"/>
    <s v="SP_15"/>
    <n v="8"/>
    <n v="128.49"/>
    <n v="1027.92"/>
    <n v="461.05"/>
    <n v="566.87"/>
    <s v="Cash"/>
  </r>
  <r>
    <s v="ORD104723"/>
    <s v="2025-05-04"/>
    <x v="3"/>
    <s v="South"/>
    <s v="Karnataka"/>
    <s v="Bengaluru"/>
    <x v="3"/>
    <x v="3"/>
    <s v="CUST1907"/>
    <s v="SP_03"/>
    <n v="6"/>
    <n v="26.4"/>
    <n v="158.4"/>
    <n v="62"/>
    <n v="96.4"/>
    <s v="Net Banking"/>
  </r>
  <r>
    <s v="ORD104724"/>
    <s v="2025-06-13"/>
    <x v="2"/>
    <s v="North"/>
    <s v="Uttar Pradesh"/>
    <s v="Lucknow"/>
    <x v="3"/>
    <x v="11"/>
    <s v="CUST1447"/>
    <s v="SP_04"/>
    <n v="6"/>
    <n v="108.29"/>
    <n v="649.74"/>
    <n v="365.81"/>
    <n v="283.93"/>
    <s v="UPI"/>
  </r>
  <r>
    <s v="ORD104725"/>
    <s v="2025-08-06"/>
    <x v="11"/>
    <s v="East"/>
    <s v="West Bengal"/>
    <s v="Kolkata"/>
    <x v="1"/>
    <x v="6"/>
    <s v="CUST1830"/>
    <s v="SP_04"/>
    <n v="7"/>
    <n v="3037.04"/>
    <n v="21259.279999999999"/>
    <n v="16013.48"/>
    <n v="5245.8"/>
    <s v="Cash"/>
  </r>
  <r>
    <s v="ORD104726"/>
    <s v="2025-07-10"/>
    <x v="6"/>
    <s v="West"/>
    <s v="Gujarat"/>
    <s v="Ahmedabad"/>
    <x v="0"/>
    <x v="8"/>
    <s v="CUST1135"/>
    <s v="SP_04"/>
    <n v="8"/>
    <n v="20384.310000000001"/>
    <n v="163074.48000000001"/>
    <n v="130140.67"/>
    <n v="32933.81"/>
    <s v="Net Banking"/>
  </r>
  <r>
    <s v="ORD104727"/>
    <s v="2025-05-28"/>
    <x v="3"/>
    <s v="South"/>
    <s v="Karnataka"/>
    <s v="Bengaluru"/>
    <x v="3"/>
    <x v="11"/>
    <s v="CUST1016"/>
    <s v="SP_03"/>
    <n v="2"/>
    <n v="126.45"/>
    <n v="252.9"/>
    <n v="118.51"/>
    <n v="134.38999999999999"/>
    <s v="Debit Card"/>
  </r>
  <r>
    <s v="ORD104728"/>
    <s v="2025-04-05"/>
    <x v="0"/>
    <s v="West"/>
    <s v="Maharashtra"/>
    <s v="Mumbai"/>
    <x v="2"/>
    <x v="4"/>
    <s v="CUST1582"/>
    <s v="SP_13"/>
    <n v="1"/>
    <n v="2559.81"/>
    <n v="2559.81"/>
    <n v="1624.96"/>
    <n v="934.85"/>
    <s v="Net Banking"/>
  </r>
  <r>
    <s v="ORD104729"/>
    <s v="2025-08-30"/>
    <x v="11"/>
    <s v="North"/>
    <s v="Delhi"/>
    <s v="Delhi"/>
    <x v="2"/>
    <x v="4"/>
    <s v="CUST1428"/>
    <s v="SP_10"/>
    <n v="1"/>
    <n v="2394.17"/>
    <n v="2394.17"/>
    <n v="1558.49"/>
    <n v="835.68"/>
    <s v="Credit Card"/>
  </r>
  <r>
    <s v="ORD104730"/>
    <s v="2025-11-24"/>
    <x v="10"/>
    <s v="East"/>
    <s v="Bihar"/>
    <s v="Patna"/>
    <x v="3"/>
    <x v="7"/>
    <s v="CUST1051"/>
    <s v="SP_08"/>
    <n v="6"/>
    <n v="11317.88"/>
    <n v="67907.28"/>
    <n v="54070.29"/>
    <n v="13836.99"/>
    <s v="Net Banking"/>
  </r>
  <r>
    <s v="ORD104731"/>
    <s v="2025-12-07"/>
    <x v="7"/>
    <s v="South"/>
    <s v="Tamil Nadu"/>
    <s v="Chennai"/>
    <x v="2"/>
    <x v="4"/>
    <s v="CUST1007"/>
    <s v="SP_05"/>
    <n v="1"/>
    <n v="2506"/>
    <n v="2506"/>
    <n v="1557.07"/>
    <n v="948.93"/>
    <s v="Net Banking"/>
  </r>
  <r>
    <s v="ORD104732"/>
    <s v="2025-09-21"/>
    <x v="5"/>
    <s v="West"/>
    <s v="Gujarat"/>
    <s v="Ahmedabad"/>
    <x v="0"/>
    <x v="8"/>
    <s v="CUST1460"/>
    <s v="SP_08"/>
    <n v="7"/>
    <n v="21256.76"/>
    <n v="148797.32"/>
    <n v="116172.63"/>
    <n v="32624.69"/>
    <s v="UPI"/>
  </r>
  <r>
    <s v="ORD104733"/>
    <s v="2025-10-14"/>
    <x v="1"/>
    <s v="South"/>
    <s v="Tamil Nadu"/>
    <s v="Chennai"/>
    <x v="0"/>
    <x v="8"/>
    <s v="CUST1349"/>
    <s v="SP_03"/>
    <n v="1"/>
    <n v="19850.88"/>
    <n v="19850.88"/>
    <n v="16400.5"/>
    <n v="3450.38"/>
    <s v="UPI"/>
  </r>
  <r>
    <s v="ORD104734"/>
    <s v="2025-11-12"/>
    <x v="10"/>
    <s v="East"/>
    <s v="Odisha"/>
    <s v="Bhubaneswar"/>
    <x v="2"/>
    <x v="4"/>
    <s v="CUST1838"/>
    <s v="SP_04"/>
    <n v="3"/>
    <n v="2296.88"/>
    <n v="6890.64"/>
    <n v="4708.45"/>
    <n v="2182.19"/>
    <s v="Cash"/>
  </r>
  <r>
    <s v="ORD104735"/>
    <s v="2025-06-28"/>
    <x v="2"/>
    <s v="South"/>
    <s v="Telangana"/>
    <s v="Hyderabad"/>
    <x v="3"/>
    <x v="7"/>
    <s v="CUST1198"/>
    <s v="SP_07"/>
    <n v="3"/>
    <n v="12562.56"/>
    <n v="37687.68"/>
    <n v="26299.279999999999"/>
    <n v="11388.4"/>
    <s v="UPI"/>
  </r>
  <r>
    <s v="ORD104736"/>
    <s v="2025-04-13"/>
    <x v="0"/>
    <s v="South"/>
    <s v="Telangana"/>
    <s v="Hyderabad"/>
    <x v="0"/>
    <x v="0"/>
    <s v="CUST1871"/>
    <s v="SP_15"/>
    <n v="6"/>
    <n v="3524.21"/>
    <n v="21145.26"/>
    <n v="12858.8"/>
    <n v="8286.4599999999991"/>
    <s v="Cash"/>
  </r>
  <r>
    <s v="ORD104737"/>
    <s v="2025-03-29"/>
    <x v="4"/>
    <s v="South"/>
    <s v="Telangana"/>
    <s v="Hyderabad"/>
    <x v="3"/>
    <x v="7"/>
    <s v="CUST1883"/>
    <s v="SP_09"/>
    <n v="2"/>
    <n v="12871.42"/>
    <n v="25742.84"/>
    <n v="17794.330000000002"/>
    <n v="7948.51"/>
    <s v="Credit Card"/>
  </r>
  <r>
    <s v="ORD104738"/>
    <s v="2025-12-27"/>
    <x v="7"/>
    <s v="North"/>
    <s v="Delhi"/>
    <s v="Delhi"/>
    <x v="2"/>
    <x v="10"/>
    <s v="CUST1421"/>
    <s v="SP_11"/>
    <n v="6"/>
    <n v="18629.189999999999"/>
    <n v="111775.14"/>
    <n v="86314.51"/>
    <n v="25460.63"/>
    <s v="UPI"/>
  </r>
  <r>
    <s v="ORD104739"/>
    <s v="2025-09-26"/>
    <x v="5"/>
    <s v="South"/>
    <s v="Tamil Nadu"/>
    <s v="Chennai"/>
    <x v="3"/>
    <x v="7"/>
    <s v="CUST1488"/>
    <s v="SP_05"/>
    <n v="5"/>
    <n v="12352.66"/>
    <n v="61763.3"/>
    <n v="44073.04"/>
    <n v="17690.259999999998"/>
    <s v="Net Banking"/>
  </r>
  <r>
    <s v="ORD104740"/>
    <s v="2025-11-21"/>
    <x v="10"/>
    <s v="North"/>
    <s v="Punjab"/>
    <s v="Chandigarh"/>
    <x v="1"/>
    <x v="1"/>
    <s v="CUST1720"/>
    <s v="SP_01"/>
    <n v="5"/>
    <n v="2568.61"/>
    <n v="12843.05"/>
    <n v="9397.19"/>
    <n v="3445.86"/>
    <s v="Credit Card"/>
  </r>
  <r>
    <s v="ORD104741"/>
    <s v="2025-09-22"/>
    <x v="5"/>
    <s v="North"/>
    <s v="Punjab"/>
    <s v="Chandigarh"/>
    <x v="1"/>
    <x v="6"/>
    <s v="CUST1900"/>
    <s v="SP_11"/>
    <n v="8"/>
    <n v="3156.89"/>
    <n v="25255.119999999999"/>
    <n v="19935.89"/>
    <n v="5319.23"/>
    <s v="Cash"/>
  </r>
  <r>
    <s v="ORD104742"/>
    <s v="2025-10-20"/>
    <x v="1"/>
    <s v="South"/>
    <s v="Karnataka"/>
    <s v="Bengaluru"/>
    <x v="0"/>
    <x v="8"/>
    <s v="CUST1958"/>
    <s v="SP_04"/>
    <n v="2"/>
    <n v="22081.68"/>
    <n v="44163.360000000001"/>
    <n v="35495.19"/>
    <n v="8668.17"/>
    <s v="Cash"/>
  </r>
  <r>
    <s v="ORD104743"/>
    <s v="2025-08-27"/>
    <x v="11"/>
    <s v="North"/>
    <s v="Punjab"/>
    <s v="Chandigarh"/>
    <x v="1"/>
    <x v="1"/>
    <s v="CUST1178"/>
    <s v="SP_04"/>
    <n v="1"/>
    <n v="2711.21"/>
    <n v="2711.21"/>
    <n v="1872.82"/>
    <n v="838.39"/>
    <s v="Cash"/>
  </r>
  <r>
    <s v="ORD104744"/>
    <s v="2025-12-23"/>
    <x v="7"/>
    <s v="East"/>
    <s v="West Bengal"/>
    <s v="Kolkata"/>
    <x v="1"/>
    <x v="1"/>
    <s v="CUST1975"/>
    <s v="SP_05"/>
    <n v="6"/>
    <n v="2642.88"/>
    <n v="15857.28"/>
    <n v="10877.01"/>
    <n v="4980.2700000000004"/>
    <s v="Credit Card"/>
  </r>
  <r>
    <s v="ORD104745"/>
    <s v="2025-04-24"/>
    <x v="0"/>
    <s v="South"/>
    <s v="Karnataka"/>
    <s v="Bengaluru"/>
    <x v="2"/>
    <x v="2"/>
    <s v="CUST1488"/>
    <s v="SP_09"/>
    <n v="6"/>
    <n v="48900.92"/>
    <n v="293405.52"/>
    <n v="208785.73"/>
    <n v="84619.79"/>
    <s v="Net Banking"/>
  </r>
  <r>
    <s v="ORD104746"/>
    <s v="2025-02-20"/>
    <x v="8"/>
    <s v="West"/>
    <s v="Gujarat"/>
    <s v="Ahmedabad"/>
    <x v="0"/>
    <x v="9"/>
    <s v="CUST1452"/>
    <s v="SP_13"/>
    <n v="7"/>
    <n v="7274.12"/>
    <n v="50918.84"/>
    <n v="36315.25"/>
    <n v="14603.59"/>
    <s v="Credit Card"/>
  </r>
  <r>
    <s v="ORD104747"/>
    <s v="2025-10-17"/>
    <x v="1"/>
    <s v="South"/>
    <s v="Karnataka"/>
    <s v="Bengaluru"/>
    <x v="1"/>
    <x v="1"/>
    <s v="CUST1660"/>
    <s v="SP_08"/>
    <n v="5"/>
    <n v="2684.82"/>
    <n v="13424.1"/>
    <n v="9853.6200000000008"/>
    <n v="3570.48"/>
    <s v="UPI"/>
  </r>
  <r>
    <s v="ORD104748"/>
    <s v="2025-05-11"/>
    <x v="3"/>
    <s v="West"/>
    <s v="Gujarat"/>
    <s v="Ahmedabad"/>
    <x v="2"/>
    <x v="2"/>
    <s v="CUST1106"/>
    <s v="SP_08"/>
    <n v="3"/>
    <n v="46760.89"/>
    <n v="140282.67000000001"/>
    <n v="105410.6"/>
    <n v="34872.07"/>
    <s v="Net Banking"/>
  </r>
  <r>
    <s v="ORD104749"/>
    <s v="2025-02-28"/>
    <x v="8"/>
    <s v="West"/>
    <s v="Rajasthan"/>
    <s v="Jaipur"/>
    <x v="0"/>
    <x v="8"/>
    <s v="CUST1625"/>
    <s v="SP_09"/>
    <n v="2"/>
    <n v="22393.97"/>
    <n v="44787.94"/>
    <n v="34333.49"/>
    <n v="10454.450000000001"/>
    <s v="Debit Card"/>
  </r>
  <r>
    <s v="ORD104750"/>
    <s v="2025-11-11"/>
    <x v="10"/>
    <s v="East"/>
    <s v="Odisha"/>
    <s v="Bhubaneswar"/>
    <x v="3"/>
    <x v="3"/>
    <s v="CUST1640"/>
    <s v="SP_03"/>
    <n v="2"/>
    <n v="22.6"/>
    <n v="45.2"/>
    <n v="20.190000000000001"/>
    <n v="25.01"/>
    <s v="UPI"/>
  </r>
  <r>
    <s v="ORD104751"/>
    <s v="2025-08-13"/>
    <x v="11"/>
    <s v="West"/>
    <s v="Gujarat"/>
    <s v="Ahmedabad"/>
    <x v="0"/>
    <x v="0"/>
    <s v="CUST1606"/>
    <s v="SP_03"/>
    <n v="4"/>
    <n v="3388.54"/>
    <n v="13554.16"/>
    <n v="8594.35"/>
    <n v="4959.8100000000004"/>
    <s v="Credit Card"/>
  </r>
  <r>
    <s v="ORD104752"/>
    <s v="2025-08-04"/>
    <x v="11"/>
    <s v="East"/>
    <s v="West Bengal"/>
    <s v="Kolkata"/>
    <x v="2"/>
    <x v="10"/>
    <s v="CUST1431"/>
    <s v="SP_13"/>
    <n v="1"/>
    <n v="18318.22"/>
    <n v="18318.22"/>
    <n v="14341.94"/>
    <n v="3976.28"/>
    <s v="Net Banking"/>
  </r>
  <r>
    <s v="ORD104753"/>
    <s v="2025-10-10"/>
    <x v="1"/>
    <s v="North"/>
    <s v="Delhi"/>
    <s v="Delhi"/>
    <x v="3"/>
    <x v="3"/>
    <s v="CUST1223"/>
    <s v="SP_04"/>
    <n v="3"/>
    <n v="23.19"/>
    <n v="69.569999999999993"/>
    <n v="30.48"/>
    <n v="39.090000000000003"/>
    <s v="Credit Card"/>
  </r>
  <r>
    <s v="ORD104754"/>
    <s v="2025-04-06"/>
    <x v="0"/>
    <s v="North"/>
    <s v="Delhi"/>
    <s v="Delhi"/>
    <x v="2"/>
    <x v="4"/>
    <s v="CUST1848"/>
    <s v="SP_05"/>
    <n v="3"/>
    <n v="2707.94"/>
    <n v="8123.82"/>
    <n v="4707.24"/>
    <n v="3416.58"/>
    <s v="UPI"/>
  </r>
  <r>
    <s v="ORD104755"/>
    <s v="2025-12-05"/>
    <x v="7"/>
    <s v="West"/>
    <s v="Gujarat"/>
    <s v="Ahmedabad"/>
    <x v="1"/>
    <x v="5"/>
    <s v="CUST1015"/>
    <s v="SP_05"/>
    <n v="4"/>
    <n v="9430.69"/>
    <n v="37722.76"/>
    <n v="29137.41"/>
    <n v="8585.35"/>
    <s v="Cash"/>
  </r>
  <r>
    <s v="ORD104756"/>
    <s v="2025-09-22"/>
    <x v="5"/>
    <s v="South"/>
    <s v="Tamil Nadu"/>
    <s v="Chennai"/>
    <x v="2"/>
    <x v="4"/>
    <s v="CUST1613"/>
    <s v="SP_10"/>
    <n v="6"/>
    <n v="2493.7399999999998"/>
    <n v="14962.44"/>
    <n v="9973.07"/>
    <n v="4989.37"/>
    <s v="Credit Card"/>
  </r>
  <r>
    <s v="ORD104757"/>
    <s v="2025-02-24"/>
    <x v="8"/>
    <s v="North"/>
    <s v="Punjab"/>
    <s v="Chandigarh"/>
    <x v="2"/>
    <x v="2"/>
    <s v="CUST1110"/>
    <s v="SP_06"/>
    <n v="1"/>
    <n v="44922.9"/>
    <n v="44922.9"/>
    <n v="35244.720000000001"/>
    <n v="9678.18"/>
    <s v="Debit Card"/>
  </r>
  <r>
    <s v="ORD104758"/>
    <s v="2025-11-17"/>
    <x v="10"/>
    <s v="West"/>
    <s v="Maharashtra"/>
    <s v="Mumbai"/>
    <x v="1"/>
    <x v="5"/>
    <s v="CUST1786"/>
    <s v="SP_08"/>
    <n v="3"/>
    <n v="10224.14"/>
    <n v="30672.42"/>
    <n v="23518.7"/>
    <n v="7153.72"/>
    <s v="Credit Card"/>
  </r>
  <r>
    <s v="ORD104759"/>
    <s v="2025-10-26"/>
    <x v="1"/>
    <s v="East"/>
    <s v="Odisha"/>
    <s v="Bhubaneswar"/>
    <x v="1"/>
    <x v="5"/>
    <s v="CUST1118"/>
    <s v="SP_12"/>
    <n v="8"/>
    <n v="8729.57"/>
    <n v="69836.56"/>
    <n v="58904.2"/>
    <n v="10932.36"/>
    <s v="Net Banking"/>
  </r>
  <r>
    <s v="ORD104760"/>
    <s v="2025-06-30"/>
    <x v="2"/>
    <s v="East"/>
    <s v="Bihar"/>
    <s v="Patna"/>
    <x v="1"/>
    <x v="5"/>
    <s v="CUST1531"/>
    <s v="SP_08"/>
    <n v="8"/>
    <n v="8853.06"/>
    <n v="70824.479999999996"/>
    <n v="58455.23"/>
    <n v="12369.25"/>
    <s v="Cash"/>
  </r>
  <r>
    <s v="ORD104761"/>
    <s v="2025-11-07"/>
    <x v="10"/>
    <s v="North"/>
    <s v="Delhi"/>
    <s v="Delhi"/>
    <x v="0"/>
    <x v="8"/>
    <s v="CUST1201"/>
    <s v="SP_13"/>
    <n v="2"/>
    <n v="23422.58"/>
    <n v="46845.16"/>
    <n v="33737.81"/>
    <n v="13107.35"/>
    <s v="Net Banking"/>
  </r>
  <r>
    <s v="ORD104762"/>
    <s v="2025-12-22"/>
    <x v="7"/>
    <s v="North"/>
    <s v="Punjab"/>
    <s v="Chandigarh"/>
    <x v="0"/>
    <x v="9"/>
    <s v="CUST1548"/>
    <s v="SP_11"/>
    <n v="7"/>
    <n v="6844.38"/>
    <n v="47910.66"/>
    <n v="33716.44"/>
    <n v="14194.22"/>
    <s v="Cash"/>
  </r>
  <r>
    <s v="ORD104763"/>
    <s v="2025-09-02"/>
    <x v="5"/>
    <s v="West"/>
    <s v="Maharashtra"/>
    <s v="Mumbai"/>
    <x v="3"/>
    <x v="7"/>
    <s v="CUST1593"/>
    <s v="SP_09"/>
    <n v="6"/>
    <n v="11350.06"/>
    <n v="68100.36"/>
    <n v="51679.76"/>
    <n v="16420.599999999999"/>
    <s v="Cash"/>
  </r>
  <r>
    <s v="ORD104764"/>
    <s v="2025-07-01"/>
    <x v="6"/>
    <s v="South"/>
    <s v="Karnataka"/>
    <s v="Bengaluru"/>
    <x v="1"/>
    <x v="5"/>
    <s v="CUST1439"/>
    <s v="SP_04"/>
    <n v="3"/>
    <n v="9493.7900000000009"/>
    <n v="28481.37"/>
    <n v="23867.17"/>
    <n v="4614.2"/>
    <s v="Cash"/>
  </r>
  <r>
    <s v="ORD104765"/>
    <s v="2025-07-25"/>
    <x v="6"/>
    <s v="East"/>
    <s v="West Bengal"/>
    <s v="Kolkata"/>
    <x v="3"/>
    <x v="3"/>
    <s v="CUST1850"/>
    <s v="SP_08"/>
    <n v="4"/>
    <n v="23.21"/>
    <n v="92.84"/>
    <n v="38.1"/>
    <n v="54.74"/>
    <s v="Debit Card"/>
  </r>
  <r>
    <s v="ORD104766"/>
    <s v="2025-10-30"/>
    <x v="1"/>
    <s v="West"/>
    <s v="Maharashtra"/>
    <s v="Mumbai"/>
    <x v="0"/>
    <x v="0"/>
    <s v="CUST1918"/>
    <s v="SP_01"/>
    <n v="3"/>
    <n v="3219.59"/>
    <n v="9658.77"/>
    <n v="6546.65"/>
    <n v="3112.12"/>
    <s v="Cash"/>
  </r>
  <r>
    <s v="ORD104767"/>
    <s v="2025-03-16"/>
    <x v="4"/>
    <s v="East"/>
    <s v="Odisha"/>
    <s v="Bhubaneswar"/>
    <x v="3"/>
    <x v="3"/>
    <s v="CUST1694"/>
    <s v="SP_01"/>
    <n v="2"/>
    <n v="25.98"/>
    <n v="51.96"/>
    <n v="19.68"/>
    <n v="32.28"/>
    <s v="Cash"/>
  </r>
  <r>
    <s v="ORD104768"/>
    <s v="2025-05-29"/>
    <x v="3"/>
    <s v="South"/>
    <s v="Tamil Nadu"/>
    <s v="Chennai"/>
    <x v="0"/>
    <x v="9"/>
    <s v="CUST1422"/>
    <s v="SP_13"/>
    <n v="7"/>
    <n v="7070.99"/>
    <n v="49496.93"/>
    <n v="33377.839999999997"/>
    <n v="16119.09"/>
    <s v="Debit Card"/>
  </r>
  <r>
    <s v="ORD104769"/>
    <s v="2025-07-13"/>
    <x v="6"/>
    <s v="North"/>
    <s v="Punjab"/>
    <s v="Chandigarh"/>
    <x v="1"/>
    <x v="6"/>
    <s v="CUST1870"/>
    <s v="SP_13"/>
    <n v="7"/>
    <n v="3432.5"/>
    <n v="24027.5"/>
    <n v="16816.2"/>
    <n v="7211.3"/>
    <s v="UPI"/>
  </r>
  <r>
    <s v="ORD104770"/>
    <s v="2025-02-12"/>
    <x v="8"/>
    <s v="North"/>
    <s v="Uttar Pradesh"/>
    <s v="Lucknow"/>
    <x v="2"/>
    <x v="10"/>
    <s v="CUST1953"/>
    <s v="SP_15"/>
    <n v="4"/>
    <n v="16939.37"/>
    <n v="67757.48"/>
    <n v="56428.45"/>
    <n v="11329.03"/>
    <s v="Net Banking"/>
  </r>
  <r>
    <s v="ORD104771"/>
    <s v="2025-07-10"/>
    <x v="6"/>
    <s v="West"/>
    <s v="Gujarat"/>
    <s v="Ahmedabad"/>
    <x v="1"/>
    <x v="5"/>
    <s v="CUST1682"/>
    <s v="SP_14"/>
    <n v="1"/>
    <n v="9844.36"/>
    <n v="9844.36"/>
    <n v="7905.08"/>
    <n v="1939.28"/>
    <s v="Debit Card"/>
  </r>
  <r>
    <s v="ORD104772"/>
    <s v="2025-04-23"/>
    <x v="0"/>
    <s v="East"/>
    <s v="Bihar"/>
    <s v="Patna"/>
    <x v="3"/>
    <x v="11"/>
    <s v="CUST1166"/>
    <s v="SP_15"/>
    <n v="8"/>
    <n v="111.67"/>
    <n v="893.36"/>
    <n v="493.96"/>
    <n v="399.4"/>
    <s v="Cash"/>
  </r>
  <r>
    <s v="ORD104773"/>
    <s v="2025-12-01"/>
    <x v="7"/>
    <s v="North"/>
    <s v="Punjab"/>
    <s v="Chandigarh"/>
    <x v="1"/>
    <x v="6"/>
    <s v="CUST1782"/>
    <s v="SP_11"/>
    <n v="2"/>
    <n v="2972.58"/>
    <n v="5945.16"/>
    <n v="4741.01"/>
    <n v="1204.1500000000001"/>
    <s v="UPI"/>
  </r>
  <r>
    <s v="ORD104774"/>
    <s v="2025-02-28"/>
    <x v="8"/>
    <s v="South"/>
    <s v="Tamil Nadu"/>
    <s v="Chennai"/>
    <x v="2"/>
    <x v="4"/>
    <s v="CUST1430"/>
    <s v="SP_06"/>
    <n v="5"/>
    <n v="2730.69"/>
    <n v="13653.45"/>
    <n v="7840.93"/>
    <n v="5812.52"/>
    <s v="Debit Card"/>
  </r>
  <r>
    <s v="ORD104775"/>
    <s v="2025-08-30"/>
    <x v="11"/>
    <s v="South"/>
    <s v="Karnataka"/>
    <s v="Bengaluru"/>
    <x v="3"/>
    <x v="7"/>
    <s v="CUST1483"/>
    <s v="SP_03"/>
    <n v="4"/>
    <n v="12028.47"/>
    <n v="48113.88"/>
    <n v="34517.53"/>
    <n v="13596.35"/>
    <s v="Net Banking"/>
  </r>
  <r>
    <s v="ORD104776"/>
    <s v="2025-05-15"/>
    <x v="3"/>
    <s v="West"/>
    <s v="Rajasthan"/>
    <s v="Jaipur"/>
    <x v="0"/>
    <x v="9"/>
    <s v="CUST1945"/>
    <s v="SP_07"/>
    <n v="1"/>
    <n v="7061.97"/>
    <n v="7061.97"/>
    <n v="5076.66"/>
    <n v="1985.31"/>
    <s v="UPI"/>
  </r>
  <r>
    <s v="ORD104777"/>
    <s v="2025-12-08"/>
    <x v="7"/>
    <s v="West"/>
    <s v="Gujarat"/>
    <s v="Ahmedabad"/>
    <x v="3"/>
    <x v="11"/>
    <s v="CUST1607"/>
    <s v="SP_02"/>
    <n v="2"/>
    <n v="117.82"/>
    <n v="235.64"/>
    <n v="114.45"/>
    <n v="121.19"/>
    <s v="Cash"/>
  </r>
  <r>
    <s v="ORD104778"/>
    <s v="2025-09-02"/>
    <x v="5"/>
    <s v="North"/>
    <s v="Uttar Pradesh"/>
    <s v="Lucknow"/>
    <x v="0"/>
    <x v="8"/>
    <s v="CUST1756"/>
    <s v="SP_13"/>
    <n v="3"/>
    <n v="22605.43"/>
    <n v="67816.289999999994"/>
    <n v="50016.21"/>
    <n v="17800.080000000002"/>
    <s v="Net Banking"/>
  </r>
  <r>
    <s v="ORD104779"/>
    <s v="2025-04-22"/>
    <x v="0"/>
    <s v="South"/>
    <s v="Tamil Nadu"/>
    <s v="Chennai"/>
    <x v="2"/>
    <x v="10"/>
    <s v="CUST1275"/>
    <s v="SP_01"/>
    <n v="1"/>
    <n v="19169.86"/>
    <n v="19169.86"/>
    <n v="13968.91"/>
    <n v="5200.95"/>
    <s v="Credit Card"/>
  </r>
  <r>
    <s v="ORD104780"/>
    <s v="2025-10-07"/>
    <x v="1"/>
    <s v="South"/>
    <s v="Telangana"/>
    <s v="Hyderabad"/>
    <x v="2"/>
    <x v="4"/>
    <s v="CUST1394"/>
    <s v="SP_11"/>
    <n v="6"/>
    <n v="2739.51"/>
    <n v="16437.060000000001"/>
    <n v="9202.33"/>
    <n v="7234.73"/>
    <s v="Net Banking"/>
  </r>
  <r>
    <s v="ORD104781"/>
    <s v="2025-09-28"/>
    <x v="5"/>
    <s v="West"/>
    <s v="Maharashtra"/>
    <s v="Mumbai"/>
    <x v="0"/>
    <x v="8"/>
    <s v="CUST1153"/>
    <s v="SP_01"/>
    <n v="2"/>
    <n v="21687.94"/>
    <n v="43375.88"/>
    <n v="33137.69"/>
    <n v="10238.19"/>
    <s v="Debit Card"/>
  </r>
  <r>
    <s v="ORD104782"/>
    <s v="2025-08-04"/>
    <x v="11"/>
    <s v="East"/>
    <s v="Bihar"/>
    <s v="Patna"/>
    <x v="1"/>
    <x v="5"/>
    <s v="CUST1205"/>
    <s v="SP_11"/>
    <n v="7"/>
    <n v="9536.19"/>
    <n v="66753.33"/>
    <n v="51698.15"/>
    <n v="15055.18"/>
    <s v="Net Banking"/>
  </r>
  <r>
    <s v="ORD104783"/>
    <s v="2025-02-17"/>
    <x v="8"/>
    <s v="West"/>
    <s v="Rajasthan"/>
    <s v="Jaipur"/>
    <x v="1"/>
    <x v="1"/>
    <s v="CUST1508"/>
    <s v="SP_11"/>
    <n v="8"/>
    <n v="2935.48"/>
    <n v="23483.84"/>
    <n v="15235.58"/>
    <n v="8248.26"/>
    <s v="Credit Card"/>
  </r>
  <r>
    <s v="ORD104784"/>
    <s v="2025-01-28"/>
    <x v="9"/>
    <s v="West"/>
    <s v="Rajasthan"/>
    <s v="Jaipur"/>
    <x v="1"/>
    <x v="1"/>
    <s v="CUST1874"/>
    <s v="SP_08"/>
    <n v="3"/>
    <n v="2636.02"/>
    <n v="7908.06"/>
    <n v="5537.47"/>
    <n v="2370.59"/>
    <s v="UPI"/>
  </r>
  <r>
    <s v="ORD104785"/>
    <s v="2025-01-29"/>
    <x v="9"/>
    <s v="North"/>
    <s v="Uttar Pradesh"/>
    <s v="Lucknow"/>
    <x v="0"/>
    <x v="8"/>
    <s v="CUST1944"/>
    <s v="SP_01"/>
    <n v="4"/>
    <n v="22046.080000000002"/>
    <n v="88184.320000000007"/>
    <n v="65767.95"/>
    <n v="22416.37"/>
    <s v="UPI"/>
  </r>
  <r>
    <s v="ORD104786"/>
    <s v="2025-08-09"/>
    <x v="11"/>
    <s v="South"/>
    <s v="Karnataka"/>
    <s v="Bengaluru"/>
    <x v="3"/>
    <x v="7"/>
    <s v="CUST1523"/>
    <s v="SP_13"/>
    <n v="7"/>
    <n v="11492.37"/>
    <n v="80446.59"/>
    <n v="62899.69"/>
    <n v="17546.900000000001"/>
    <s v="Cash"/>
  </r>
  <r>
    <s v="ORD104787"/>
    <s v="2025-06-29"/>
    <x v="2"/>
    <s v="South"/>
    <s v="Tamil Nadu"/>
    <s v="Chennai"/>
    <x v="2"/>
    <x v="4"/>
    <s v="CUST1962"/>
    <s v="SP_12"/>
    <n v="2"/>
    <n v="2367.2399999999998"/>
    <n v="4734.4799999999996"/>
    <n v="3211.43"/>
    <n v="1523.05"/>
    <s v="Cash"/>
  </r>
  <r>
    <s v="ORD104788"/>
    <s v="2025-10-08"/>
    <x v="1"/>
    <s v="West"/>
    <s v="Rajasthan"/>
    <s v="Jaipur"/>
    <x v="1"/>
    <x v="5"/>
    <s v="CUST1641"/>
    <s v="SP_12"/>
    <n v="1"/>
    <n v="9983.51"/>
    <n v="9983.51"/>
    <n v="7630.25"/>
    <n v="2353.2600000000002"/>
    <s v="Credit Card"/>
  </r>
  <r>
    <s v="ORD104789"/>
    <s v="2025-08-21"/>
    <x v="11"/>
    <s v="South"/>
    <s v="Tamil Nadu"/>
    <s v="Chennai"/>
    <x v="3"/>
    <x v="3"/>
    <s v="CUST1274"/>
    <s v="SP_04"/>
    <n v="4"/>
    <n v="26.23"/>
    <n v="104.92"/>
    <n v="38.25"/>
    <n v="66.67"/>
    <s v="Net Banking"/>
  </r>
  <r>
    <s v="ORD104790"/>
    <s v="2025-05-14"/>
    <x v="3"/>
    <s v="South"/>
    <s v="Tamil Nadu"/>
    <s v="Chennai"/>
    <x v="2"/>
    <x v="2"/>
    <s v="CUST1539"/>
    <s v="SP_15"/>
    <n v="1"/>
    <n v="47076.43"/>
    <n v="47076.43"/>
    <n v="36576.82"/>
    <n v="10499.61"/>
    <s v="Debit Card"/>
  </r>
  <r>
    <s v="ORD104791"/>
    <s v="2025-11-21"/>
    <x v="10"/>
    <s v="East"/>
    <s v="West Bengal"/>
    <s v="Kolkata"/>
    <x v="1"/>
    <x v="6"/>
    <s v="CUST1418"/>
    <s v="SP_13"/>
    <n v="5"/>
    <n v="2911.95"/>
    <n v="14559.75"/>
    <n v="11804.84"/>
    <n v="2754.91"/>
    <s v="Credit Card"/>
  </r>
  <r>
    <s v="ORD104792"/>
    <s v="2025-03-14"/>
    <x v="4"/>
    <s v="South"/>
    <s v="Telangana"/>
    <s v="Hyderabad"/>
    <x v="2"/>
    <x v="2"/>
    <s v="CUST1492"/>
    <s v="SP_15"/>
    <n v="1"/>
    <n v="40576.74"/>
    <n v="40576.74"/>
    <n v="35684.99"/>
    <n v="4891.75"/>
    <s v="UPI"/>
  </r>
  <r>
    <s v="ORD104793"/>
    <s v="2025-06-14"/>
    <x v="2"/>
    <s v="West"/>
    <s v="Rajasthan"/>
    <s v="Jaipur"/>
    <x v="2"/>
    <x v="4"/>
    <s v="CUST1600"/>
    <s v="SP_06"/>
    <n v="2"/>
    <n v="2293.7399999999998"/>
    <n v="4587.4799999999996"/>
    <n v="3214.04"/>
    <n v="1373.44"/>
    <s v="Credit Card"/>
  </r>
  <r>
    <s v="ORD104794"/>
    <s v="2025-10-06"/>
    <x v="1"/>
    <s v="West"/>
    <s v="Maharashtra"/>
    <s v="Mumbai"/>
    <x v="2"/>
    <x v="10"/>
    <s v="CUST1478"/>
    <s v="SP_07"/>
    <n v="7"/>
    <n v="17735.38"/>
    <n v="124147.66"/>
    <n v="97717.15"/>
    <n v="26430.51"/>
    <s v="Net Banking"/>
  </r>
  <r>
    <s v="ORD104795"/>
    <s v="2025-01-12"/>
    <x v="9"/>
    <s v="West"/>
    <s v="Maharashtra"/>
    <s v="Mumbai"/>
    <x v="0"/>
    <x v="8"/>
    <s v="CUST1845"/>
    <s v="SP_05"/>
    <n v="8"/>
    <n v="21811.17"/>
    <n v="174489.36"/>
    <n v="134423.21"/>
    <n v="40066.15"/>
    <s v="Cash"/>
  </r>
  <r>
    <s v="ORD104796"/>
    <s v="2025-08-24"/>
    <x v="11"/>
    <s v="East"/>
    <s v="Odisha"/>
    <s v="Bhubaneswar"/>
    <x v="2"/>
    <x v="2"/>
    <s v="CUST1524"/>
    <s v="SP_08"/>
    <n v="2"/>
    <n v="47887.27"/>
    <n v="95774.54"/>
    <n v="68312.89"/>
    <n v="27461.65"/>
    <s v="Cash"/>
  </r>
  <r>
    <s v="ORD104797"/>
    <s v="2025-03-31"/>
    <x v="4"/>
    <s v="West"/>
    <s v="Rajasthan"/>
    <s v="Jaipur"/>
    <x v="2"/>
    <x v="10"/>
    <s v="CUST1167"/>
    <s v="SP_11"/>
    <n v="1"/>
    <n v="18165.23"/>
    <n v="18165.23"/>
    <n v="14506.95"/>
    <n v="3658.28"/>
    <s v="Net Banking"/>
  </r>
  <r>
    <s v="ORD104798"/>
    <s v="2025-03-13"/>
    <x v="4"/>
    <s v="East"/>
    <s v="Bihar"/>
    <s v="Patna"/>
    <x v="3"/>
    <x v="11"/>
    <s v="CUST1684"/>
    <s v="SP_02"/>
    <n v="3"/>
    <n v="118.71"/>
    <n v="356.13"/>
    <n v="179.63"/>
    <n v="176.5"/>
    <s v="Cash"/>
  </r>
  <r>
    <s v="ORD104799"/>
    <s v="2025-07-08"/>
    <x v="6"/>
    <s v="West"/>
    <s v="Rajasthan"/>
    <s v="Jaipur"/>
    <x v="2"/>
    <x v="10"/>
    <s v="CUST1122"/>
    <s v="SP_05"/>
    <n v="3"/>
    <n v="18928.54"/>
    <n v="56785.62"/>
    <n v="39985.839999999997"/>
    <n v="16799.78"/>
    <s v="UPI"/>
  </r>
  <r>
    <s v="ORD104800"/>
    <s v="2025-02-17"/>
    <x v="8"/>
    <s v="South"/>
    <s v="Telangana"/>
    <s v="Hyderabad"/>
    <x v="1"/>
    <x v="6"/>
    <s v="CUST1805"/>
    <s v="SP_01"/>
    <n v="8"/>
    <n v="2927.15"/>
    <n v="23417.200000000001"/>
    <n v="19769.900000000001"/>
    <n v="3647.3"/>
    <s v="Net Banking"/>
  </r>
  <r>
    <s v="ORD104801"/>
    <s v="2025-08-10"/>
    <x v="11"/>
    <s v="South"/>
    <s v="Karnataka"/>
    <s v="Bengaluru"/>
    <x v="1"/>
    <x v="1"/>
    <s v="CUST1192"/>
    <s v="SP_15"/>
    <n v="4"/>
    <n v="2734.36"/>
    <n v="10937.44"/>
    <n v="7379.67"/>
    <n v="3557.77"/>
    <s v="UPI"/>
  </r>
  <r>
    <s v="ORD104802"/>
    <s v="2025-09-11"/>
    <x v="5"/>
    <s v="West"/>
    <s v="Gujarat"/>
    <s v="Ahmedabad"/>
    <x v="2"/>
    <x v="2"/>
    <s v="CUST1125"/>
    <s v="SP_14"/>
    <n v="7"/>
    <n v="47647.7"/>
    <n v="333533.90000000002"/>
    <n v="245828.04"/>
    <n v="87705.86"/>
    <s v="Credit Card"/>
  </r>
  <r>
    <s v="ORD104803"/>
    <s v="2025-07-11"/>
    <x v="6"/>
    <s v="West"/>
    <s v="Gujarat"/>
    <s v="Ahmedabad"/>
    <x v="2"/>
    <x v="2"/>
    <s v="CUST1565"/>
    <s v="SP_08"/>
    <n v="5"/>
    <n v="41985.82"/>
    <n v="209929.1"/>
    <n v="180601.91"/>
    <n v="29327.19"/>
    <s v="Net Banking"/>
  </r>
  <r>
    <s v="ORD104804"/>
    <s v="2025-05-17"/>
    <x v="3"/>
    <s v="South"/>
    <s v="Karnataka"/>
    <s v="Bengaluru"/>
    <x v="3"/>
    <x v="3"/>
    <s v="CUST1783"/>
    <s v="SP_01"/>
    <n v="3"/>
    <n v="25.16"/>
    <n v="75.48"/>
    <n v="28.94"/>
    <n v="46.54"/>
    <s v="Credit Card"/>
  </r>
  <r>
    <s v="ORD104805"/>
    <s v="2025-08-23"/>
    <x v="11"/>
    <s v="North"/>
    <s v="Uttar Pradesh"/>
    <s v="Lucknow"/>
    <x v="0"/>
    <x v="0"/>
    <s v="CUST1644"/>
    <s v="SP_09"/>
    <n v="8"/>
    <n v="3476.37"/>
    <n v="27810.959999999999"/>
    <n v="17545.14"/>
    <n v="10265.82"/>
    <s v="Net Banking"/>
  </r>
  <r>
    <s v="ORD104806"/>
    <s v="2025-05-30"/>
    <x v="3"/>
    <s v="North"/>
    <s v="Delhi"/>
    <s v="Delhi"/>
    <x v="3"/>
    <x v="11"/>
    <s v="CUST1222"/>
    <s v="SP_03"/>
    <n v="7"/>
    <n v="115.72"/>
    <n v="810.04"/>
    <n v="413.58"/>
    <n v="396.46"/>
    <s v="Debit Card"/>
  </r>
  <r>
    <s v="ORD104807"/>
    <s v="2025-12-01"/>
    <x v="7"/>
    <s v="North"/>
    <s v="Punjab"/>
    <s v="Chandigarh"/>
    <x v="1"/>
    <x v="1"/>
    <s v="CUST1869"/>
    <s v="SP_02"/>
    <n v="2"/>
    <n v="2851.07"/>
    <n v="5702.14"/>
    <n v="3758.99"/>
    <n v="1943.15"/>
    <s v="UPI"/>
  </r>
  <r>
    <s v="ORD104808"/>
    <s v="2025-10-31"/>
    <x v="1"/>
    <s v="West"/>
    <s v="Rajasthan"/>
    <s v="Jaipur"/>
    <x v="3"/>
    <x v="11"/>
    <s v="CUST1143"/>
    <s v="SP_06"/>
    <n v="1"/>
    <n v="112.17"/>
    <n v="112.17"/>
    <n v="59.45"/>
    <n v="52.72"/>
    <s v="Net Banking"/>
  </r>
  <r>
    <s v="ORD104809"/>
    <s v="2025-10-01"/>
    <x v="1"/>
    <s v="East"/>
    <s v="Odisha"/>
    <s v="Bhubaneswar"/>
    <x v="0"/>
    <x v="8"/>
    <s v="CUST1308"/>
    <s v="SP_10"/>
    <n v="3"/>
    <n v="21493.78"/>
    <n v="64481.34"/>
    <n v="53196.17"/>
    <n v="11285.17"/>
    <s v="Cash"/>
  </r>
  <r>
    <s v="ORD104810"/>
    <s v="2025-06-25"/>
    <x v="2"/>
    <s v="South"/>
    <s v="Telangana"/>
    <s v="Hyderabad"/>
    <x v="2"/>
    <x v="4"/>
    <s v="CUST1122"/>
    <s v="SP_13"/>
    <n v="3"/>
    <n v="2685.71"/>
    <n v="8057.13"/>
    <n v="4975.22"/>
    <n v="3081.91"/>
    <s v="Debit Card"/>
  </r>
  <r>
    <s v="ORD104811"/>
    <s v="2025-06-17"/>
    <x v="2"/>
    <s v="North"/>
    <s v="Delhi"/>
    <s v="Delhi"/>
    <x v="0"/>
    <x v="9"/>
    <s v="CUST1450"/>
    <s v="SP_03"/>
    <n v="1"/>
    <n v="7658.45"/>
    <n v="7658.45"/>
    <n v="5186.54"/>
    <n v="2471.91"/>
    <s v="Cash"/>
  </r>
  <r>
    <s v="ORD104812"/>
    <s v="2025-12-07"/>
    <x v="7"/>
    <s v="South"/>
    <s v="Tamil Nadu"/>
    <s v="Chennai"/>
    <x v="2"/>
    <x v="10"/>
    <s v="CUST1578"/>
    <s v="SP_15"/>
    <n v="7"/>
    <n v="17439.43"/>
    <n v="122076.01"/>
    <n v="102646.75"/>
    <n v="19429.259999999998"/>
    <s v="UPI"/>
  </r>
  <r>
    <s v="ORD104813"/>
    <s v="2025-08-02"/>
    <x v="11"/>
    <s v="North"/>
    <s v="Delhi"/>
    <s v="Delhi"/>
    <x v="1"/>
    <x v="6"/>
    <s v="CUST1179"/>
    <s v="SP_11"/>
    <n v="8"/>
    <n v="3514.88"/>
    <n v="28119.040000000001"/>
    <n v="19987.189999999999"/>
    <n v="8131.85"/>
    <s v="Cash"/>
  </r>
  <r>
    <s v="ORD104814"/>
    <s v="2025-03-01"/>
    <x v="4"/>
    <s v="South"/>
    <s v="Telangana"/>
    <s v="Hyderabad"/>
    <x v="2"/>
    <x v="10"/>
    <s v="CUST1233"/>
    <s v="SP_03"/>
    <n v="4"/>
    <n v="19544.099999999999"/>
    <n v="78176.399999999994"/>
    <n v="54883.17"/>
    <n v="23293.23"/>
    <s v="Debit Card"/>
  </r>
  <r>
    <s v="ORD104815"/>
    <s v="2025-05-25"/>
    <x v="3"/>
    <s v="West"/>
    <s v="Rajasthan"/>
    <s v="Jaipur"/>
    <x v="1"/>
    <x v="6"/>
    <s v="CUST1090"/>
    <s v="SP_14"/>
    <n v="5"/>
    <n v="3227.68"/>
    <n v="16138.4"/>
    <n v="11936"/>
    <n v="4202.3999999999996"/>
    <s v="Credit Card"/>
  </r>
  <r>
    <s v="ORD104816"/>
    <s v="2025-10-29"/>
    <x v="1"/>
    <s v="East"/>
    <s v="Bihar"/>
    <s v="Patna"/>
    <x v="1"/>
    <x v="6"/>
    <s v="CUST1848"/>
    <s v="SP_07"/>
    <n v="4"/>
    <n v="3512.25"/>
    <n v="14049"/>
    <n v="9123.5499999999993"/>
    <n v="4925.45"/>
    <s v="Credit Card"/>
  </r>
  <r>
    <s v="ORD104817"/>
    <s v="2025-07-22"/>
    <x v="6"/>
    <s v="West"/>
    <s v="Gujarat"/>
    <s v="Ahmedabad"/>
    <x v="1"/>
    <x v="6"/>
    <s v="CUST1680"/>
    <s v="SP_02"/>
    <n v="5"/>
    <n v="3310.87"/>
    <n v="16554.349999999999"/>
    <n v="11653.45"/>
    <n v="4900.8999999999996"/>
    <s v="UPI"/>
  </r>
  <r>
    <s v="ORD104818"/>
    <s v="2025-07-20"/>
    <x v="6"/>
    <s v="South"/>
    <s v="Telangana"/>
    <s v="Hyderabad"/>
    <x v="3"/>
    <x v="3"/>
    <s v="CUST1834"/>
    <s v="SP_04"/>
    <n v="7"/>
    <n v="25.15"/>
    <n v="176.05"/>
    <n v="72.2"/>
    <n v="103.85"/>
    <s v="Net Banking"/>
  </r>
  <r>
    <s v="ORD104819"/>
    <s v="2025-06-30"/>
    <x v="2"/>
    <s v="South"/>
    <s v="Karnataka"/>
    <s v="Bengaluru"/>
    <x v="3"/>
    <x v="11"/>
    <s v="CUST1302"/>
    <s v="SP_02"/>
    <n v="6"/>
    <n v="113.75"/>
    <n v="682.5"/>
    <n v="375.12"/>
    <n v="307.38"/>
    <s v="Credit Card"/>
  </r>
  <r>
    <s v="ORD104820"/>
    <s v="2025-11-27"/>
    <x v="10"/>
    <s v="North"/>
    <s v="Punjab"/>
    <s v="Chandigarh"/>
    <x v="1"/>
    <x v="1"/>
    <s v="CUST1107"/>
    <s v="SP_06"/>
    <n v="4"/>
    <n v="2589.41"/>
    <n v="10357.64"/>
    <n v="7910.26"/>
    <n v="2447.38"/>
    <s v="Debit Card"/>
  </r>
  <r>
    <s v="ORD104821"/>
    <s v="2025-12-17"/>
    <x v="7"/>
    <s v="North"/>
    <s v="Punjab"/>
    <s v="Chandigarh"/>
    <x v="0"/>
    <x v="0"/>
    <s v="CUST1799"/>
    <s v="SP_12"/>
    <n v="2"/>
    <n v="3199.59"/>
    <n v="6399.18"/>
    <n v="4388.1899999999996"/>
    <n v="2010.99"/>
    <s v="Cash"/>
  </r>
  <r>
    <s v="ORD104822"/>
    <s v="2025-10-01"/>
    <x v="1"/>
    <s v="South"/>
    <s v="Tamil Nadu"/>
    <s v="Chennai"/>
    <x v="2"/>
    <x v="2"/>
    <s v="CUST1502"/>
    <s v="SP_12"/>
    <n v="4"/>
    <n v="46930.75"/>
    <n v="187723"/>
    <n v="146791.12"/>
    <n v="40931.879999999997"/>
    <s v="Cash"/>
  </r>
  <r>
    <s v="ORD104823"/>
    <s v="2025-02-20"/>
    <x v="8"/>
    <s v="East"/>
    <s v="West Bengal"/>
    <s v="Kolkata"/>
    <x v="2"/>
    <x v="10"/>
    <s v="CUST1119"/>
    <s v="SP_01"/>
    <n v="1"/>
    <n v="17811.43"/>
    <n v="17811.43"/>
    <n v="14643.38"/>
    <n v="3168.05"/>
    <s v="Credit Card"/>
  </r>
  <r>
    <s v="ORD104824"/>
    <s v="2025-03-25"/>
    <x v="4"/>
    <s v="West"/>
    <s v="Gujarat"/>
    <s v="Ahmedabad"/>
    <x v="3"/>
    <x v="3"/>
    <s v="CUST1786"/>
    <s v="SP_12"/>
    <n v="2"/>
    <n v="25.34"/>
    <n v="50.68"/>
    <n v="20.71"/>
    <n v="29.97"/>
    <s v="Debit Card"/>
  </r>
  <r>
    <s v="ORD104825"/>
    <s v="2025-05-16"/>
    <x v="3"/>
    <s v="East"/>
    <s v="West Bengal"/>
    <s v="Kolkata"/>
    <x v="1"/>
    <x v="1"/>
    <s v="CUST1088"/>
    <s v="SP_12"/>
    <n v="8"/>
    <n v="2668.25"/>
    <n v="21346"/>
    <n v="14649"/>
    <n v="6697"/>
    <s v="Net Banking"/>
  </r>
  <r>
    <s v="ORD104826"/>
    <s v="2025-02-02"/>
    <x v="8"/>
    <s v="South"/>
    <s v="Karnataka"/>
    <s v="Bengaluru"/>
    <x v="1"/>
    <x v="1"/>
    <s v="CUST1355"/>
    <s v="SP_04"/>
    <n v="7"/>
    <n v="3070.41"/>
    <n v="21492.87"/>
    <n v="13872.58"/>
    <n v="7620.29"/>
    <s v="Cash"/>
  </r>
  <r>
    <s v="ORD104827"/>
    <s v="2025-08-17"/>
    <x v="11"/>
    <s v="North"/>
    <s v="Delhi"/>
    <s v="Delhi"/>
    <x v="0"/>
    <x v="8"/>
    <s v="CUST1724"/>
    <s v="SP_04"/>
    <n v="6"/>
    <n v="22383.95"/>
    <n v="134303.70000000001"/>
    <n v="99956.28"/>
    <n v="34347.42"/>
    <s v="UPI"/>
  </r>
  <r>
    <s v="ORD104828"/>
    <s v="2025-03-27"/>
    <x v="4"/>
    <s v="South"/>
    <s v="Karnataka"/>
    <s v="Bengaluru"/>
    <x v="3"/>
    <x v="3"/>
    <s v="CUST1756"/>
    <s v="SP_14"/>
    <n v="1"/>
    <n v="22.55"/>
    <n v="22.55"/>
    <n v="10.199999999999999"/>
    <n v="12.35"/>
    <s v="Cash"/>
  </r>
  <r>
    <s v="ORD104829"/>
    <s v="2025-09-03"/>
    <x v="5"/>
    <s v="South"/>
    <s v="Telangana"/>
    <s v="Hyderabad"/>
    <x v="2"/>
    <x v="10"/>
    <s v="CUST1808"/>
    <s v="SP_04"/>
    <n v="5"/>
    <n v="16556.810000000001"/>
    <n v="82784.05"/>
    <n v="69683.08"/>
    <n v="13100.97"/>
    <s v="Debit Card"/>
  </r>
  <r>
    <s v="ORD104830"/>
    <s v="2025-06-27"/>
    <x v="2"/>
    <s v="West"/>
    <s v="Rajasthan"/>
    <s v="Jaipur"/>
    <x v="3"/>
    <x v="7"/>
    <s v="CUST1140"/>
    <s v="SP_03"/>
    <n v="7"/>
    <n v="12382.81"/>
    <n v="86679.67"/>
    <n v="62905.38"/>
    <n v="23774.29"/>
    <s v="Net Banking"/>
  </r>
  <r>
    <s v="ORD104831"/>
    <s v="2025-07-20"/>
    <x v="6"/>
    <s v="South"/>
    <s v="Karnataka"/>
    <s v="Bengaluru"/>
    <x v="3"/>
    <x v="3"/>
    <s v="CUST1519"/>
    <s v="SP_03"/>
    <n v="6"/>
    <n v="24.23"/>
    <n v="145.38"/>
    <n v="58.8"/>
    <n v="86.58"/>
    <s v="Cash"/>
  </r>
  <r>
    <s v="ORD104832"/>
    <s v="2025-07-10"/>
    <x v="6"/>
    <s v="South"/>
    <s v="Karnataka"/>
    <s v="Bengaluru"/>
    <x v="3"/>
    <x v="7"/>
    <s v="CUST1068"/>
    <s v="SP_05"/>
    <n v="4"/>
    <n v="11708.75"/>
    <n v="46835"/>
    <n v="35428.300000000003"/>
    <n v="11406.7"/>
    <s v="UPI"/>
  </r>
  <r>
    <s v="ORD104833"/>
    <s v="2025-04-06"/>
    <x v="0"/>
    <s v="North"/>
    <s v="Delhi"/>
    <s v="Delhi"/>
    <x v="2"/>
    <x v="2"/>
    <s v="CUST1985"/>
    <s v="SP_14"/>
    <n v="2"/>
    <n v="45821.63"/>
    <n v="91643.26"/>
    <n v="72054.38"/>
    <n v="19588.88"/>
    <s v="Credit Card"/>
  </r>
  <r>
    <s v="ORD104834"/>
    <s v="2025-09-08"/>
    <x v="5"/>
    <s v="North"/>
    <s v="Uttar Pradesh"/>
    <s v="Lucknow"/>
    <x v="1"/>
    <x v="5"/>
    <s v="CUST1913"/>
    <s v="SP_14"/>
    <n v="4"/>
    <n v="10088.469999999999"/>
    <n v="40353.879999999997"/>
    <n v="29650.04"/>
    <n v="10703.84"/>
    <s v="Net Banking"/>
  </r>
  <r>
    <s v="ORD104835"/>
    <s v="2025-12-05"/>
    <x v="7"/>
    <s v="West"/>
    <s v="Gujarat"/>
    <s v="Ahmedabad"/>
    <x v="2"/>
    <x v="10"/>
    <s v="CUST1857"/>
    <s v="SP_04"/>
    <n v="8"/>
    <n v="18064.29"/>
    <n v="144514.32"/>
    <n v="109351.78"/>
    <n v="35162.54"/>
    <s v="Credit Card"/>
  </r>
  <r>
    <s v="ORD104836"/>
    <s v="2025-12-28"/>
    <x v="7"/>
    <s v="North"/>
    <s v="Uttar Pradesh"/>
    <s v="Lucknow"/>
    <x v="0"/>
    <x v="8"/>
    <s v="CUST1753"/>
    <s v="SP_13"/>
    <n v="5"/>
    <n v="22090.21"/>
    <n v="110451.05"/>
    <n v="85234.13"/>
    <n v="25216.92"/>
    <s v="UPI"/>
  </r>
  <r>
    <s v="ORD104837"/>
    <s v="2025-06-12"/>
    <x v="2"/>
    <s v="East"/>
    <s v="Odisha"/>
    <s v="Bhubaneswar"/>
    <x v="1"/>
    <x v="6"/>
    <s v="CUST1044"/>
    <s v="SP_15"/>
    <n v="1"/>
    <n v="3391.4"/>
    <n v="3391.4"/>
    <n v="2346.81"/>
    <n v="1044.5899999999999"/>
    <s v="UPI"/>
  </r>
  <r>
    <s v="ORD104838"/>
    <s v="2025-10-14"/>
    <x v="1"/>
    <s v="North"/>
    <s v="Delhi"/>
    <s v="Delhi"/>
    <x v="2"/>
    <x v="10"/>
    <s v="CUST1091"/>
    <s v="SP_09"/>
    <n v="7"/>
    <n v="18286.150000000001"/>
    <n v="128003.05"/>
    <n v="102061.99"/>
    <n v="25941.06"/>
    <s v="Net Banking"/>
  </r>
  <r>
    <s v="ORD104839"/>
    <s v="2025-06-17"/>
    <x v="2"/>
    <s v="South"/>
    <s v="Tamil Nadu"/>
    <s v="Chennai"/>
    <x v="0"/>
    <x v="9"/>
    <s v="CUST1072"/>
    <s v="SP_06"/>
    <n v="8"/>
    <n v="6942.4"/>
    <n v="55539.199999999997"/>
    <n v="40746.769999999997"/>
    <n v="14792.43"/>
    <s v="Net Banking"/>
  </r>
  <r>
    <s v="ORD104840"/>
    <s v="2025-07-16"/>
    <x v="6"/>
    <s v="West"/>
    <s v="Maharashtra"/>
    <s v="Mumbai"/>
    <x v="1"/>
    <x v="6"/>
    <s v="CUST1123"/>
    <s v="SP_04"/>
    <n v="3"/>
    <n v="2938.02"/>
    <n v="8814.06"/>
    <n v="6931.62"/>
    <n v="1882.44"/>
    <s v="Net Banking"/>
  </r>
  <r>
    <s v="ORD104841"/>
    <s v="2025-11-01"/>
    <x v="10"/>
    <s v="West"/>
    <s v="Gujarat"/>
    <s v="Ahmedabad"/>
    <x v="3"/>
    <x v="3"/>
    <s v="CUST1642"/>
    <s v="SP_13"/>
    <n v="3"/>
    <n v="26.16"/>
    <n v="78.48"/>
    <n v="30.11"/>
    <n v="48.37"/>
    <s v="UPI"/>
  </r>
  <r>
    <s v="ORD104842"/>
    <s v="2025-03-18"/>
    <x v="4"/>
    <s v="East"/>
    <s v="West Bengal"/>
    <s v="Kolkata"/>
    <x v="2"/>
    <x v="10"/>
    <s v="CUST1508"/>
    <s v="SP_11"/>
    <n v="1"/>
    <n v="17832.21"/>
    <n v="17832.21"/>
    <n v="13628.76"/>
    <n v="4203.45"/>
    <s v="Debit Card"/>
  </r>
  <r>
    <s v="ORD104843"/>
    <s v="2025-08-23"/>
    <x v="11"/>
    <s v="North"/>
    <s v="Uttar Pradesh"/>
    <s v="Lucknow"/>
    <x v="0"/>
    <x v="0"/>
    <s v="CUST1123"/>
    <s v="SP_07"/>
    <n v="5"/>
    <n v="3158.34"/>
    <n v="15791.7"/>
    <n v="10831.61"/>
    <n v="4960.09"/>
    <s v="Cash"/>
  </r>
  <r>
    <s v="ORD104844"/>
    <s v="2025-09-29"/>
    <x v="5"/>
    <s v="West"/>
    <s v="Gujarat"/>
    <s v="Ahmedabad"/>
    <x v="1"/>
    <x v="1"/>
    <s v="CUST1325"/>
    <s v="SP_12"/>
    <n v="7"/>
    <n v="2795.21"/>
    <n v="19566.47"/>
    <n v="13662.34"/>
    <n v="5904.13"/>
    <s v="Net Banking"/>
  </r>
  <r>
    <s v="ORD104845"/>
    <s v="2025-04-05"/>
    <x v="0"/>
    <s v="North"/>
    <s v="Delhi"/>
    <s v="Delhi"/>
    <x v="0"/>
    <x v="0"/>
    <s v="CUST1731"/>
    <s v="SP_02"/>
    <n v="4"/>
    <n v="3236.41"/>
    <n v="12945.64"/>
    <n v="8477.9699999999993"/>
    <n v="4467.67"/>
    <s v="Debit Card"/>
  </r>
  <r>
    <s v="ORD104846"/>
    <s v="2025-05-03"/>
    <x v="3"/>
    <s v="East"/>
    <s v="Odisha"/>
    <s v="Bhubaneswar"/>
    <x v="1"/>
    <x v="1"/>
    <s v="CUST1074"/>
    <s v="SP_07"/>
    <n v="3"/>
    <n v="2877.35"/>
    <n v="8632.0499999999993"/>
    <n v="5981.38"/>
    <n v="2650.67"/>
    <s v="Net Banking"/>
  </r>
  <r>
    <s v="ORD104847"/>
    <s v="2025-01-13"/>
    <x v="9"/>
    <s v="North"/>
    <s v="Uttar Pradesh"/>
    <s v="Lucknow"/>
    <x v="0"/>
    <x v="8"/>
    <s v="CUST1405"/>
    <s v="SP_03"/>
    <n v="4"/>
    <n v="20769.099999999999"/>
    <n v="83076.399999999994"/>
    <n v="71333.53"/>
    <n v="11742.87"/>
    <s v="Net Banking"/>
  </r>
  <r>
    <s v="ORD104848"/>
    <s v="2025-01-04"/>
    <x v="9"/>
    <s v="West"/>
    <s v="Maharashtra"/>
    <s v="Mumbai"/>
    <x v="2"/>
    <x v="2"/>
    <s v="CUST1857"/>
    <s v="SP_14"/>
    <n v="6"/>
    <n v="43442.42"/>
    <n v="260654.52"/>
    <n v="217909.46"/>
    <n v="42745.06"/>
    <s v="UPI"/>
  </r>
  <r>
    <s v="ORD104849"/>
    <s v="2025-03-26"/>
    <x v="4"/>
    <s v="West"/>
    <s v="Rajasthan"/>
    <s v="Jaipur"/>
    <x v="3"/>
    <x v="7"/>
    <s v="CUST1275"/>
    <s v="SP_10"/>
    <n v="4"/>
    <n v="12557.57"/>
    <n v="50230.28"/>
    <n v="37237.760000000002"/>
    <n v="12992.52"/>
    <s v="Debit Card"/>
  </r>
  <r>
    <s v="ORD104850"/>
    <s v="2025-11-15"/>
    <x v="10"/>
    <s v="East"/>
    <s v="Bihar"/>
    <s v="Patna"/>
    <x v="3"/>
    <x v="11"/>
    <s v="CUST1341"/>
    <s v="SP_14"/>
    <n v="7"/>
    <n v="113.26"/>
    <n v="792.82"/>
    <n v="404.4"/>
    <n v="388.42"/>
    <s v="Debit Card"/>
  </r>
  <r>
    <s v="ORD104851"/>
    <s v="2025-04-20"/>
    <x v="0"/>
    <s v="East"/>
    <s v="Bihar"/>
    <s v="Patna"/>
    <x v="2"/>
    <x v="10"/>
    <s v="CUST1980"/>
    <s v="SP_12"/>
    <n v="6"/>
    <n v="18718.29"/>
    <n v="112309.74"/>
    <n v="80510.34"/>
    <n v="31799.4"/>
    <s v="UPI"/>
  </r>
  <r>
    <s v="ORD104852"/>
    <s v="2025-11-16"/>
    <x v="10"/>
    <s v="South"/>
    <s v="Tamil Nadu"/>
    <s v="Chennai"/>
    <x v="3"/>
    <x v="7"/>
    <s v="CUST1771"/>
    <s v="SP_04"/>
    <n v="2"/>
    <n v="12558.34"/>
    <n v="25116.68"/>
    <n v="18277.27"/>
    <n v="6839.41"/>
    <s v="Credit Card"/>
  </r>
  <r>
    <s v="ORD104853"/>
    <s v="2025-04-01"/>
    <x v="0"/>
    <s v="North"/>
    <s v="Uttar Pradesh"/>
    <s v="Lucknow"/>
    <x v="0"/>
    <x v="9"/>
    <s v="CUST1354"/>
    <s v="SP_09"/>
    <n v="4"/>
    <n v="7005.76"/>
    <n v="28023.040000000001"/>
    <n v="20948.060000000001"/>
    <n v="7074.98"/>
    <s v="Credit Card"/>
  </r>
  <r>
    <s v="ORD104854"/>
    <s v="2025-06-21"/>
    <x v="2"/>
    <s v="North"/>
    <s v="Punjab"/>
    <s v="Chandigarh"/>
    <x v="2"/>
    <x v="4"/>
    <s v="CUST1710"/>
    <s v="SP_01"/>
    <n v="7"/>
    <n v="2446.48"/>
    <n v="17125.36"/>
    <n v="11035.01"/>
    <n v="6090.35"/>
    <s v="UPI"/>
  </r>
  <r>
    <s v="ORD104855"/>
    <s v="2025-09-25"/>
    <x v="5"/>
    <s v="East"/>
    <s v="Bihar"/>
    <s v="Patna"/>
    <x v="2"/>
    <x v="4"/>
    <s v="CUST1643"/>
    <s v="SP_06"/>
    <n v="2"/>
    <n v="2745.38"/>
    <n v="5490.76"/>
    <n v="3066.18"/>
    <n v="2424.58"/>
    <s v="Net Banking"/>
  </r>
  <r>
    <s v="ORD104856"/>
    <s v="2025-09-11"/>
    <x v="5"/>
    <s v="West"/>
    <s v="Maharashtra"/>
    <s v="Mumbai"/>
    <x v="2"/>
    <x v="2"/>
    <s v="CUST1589"/>
    <s v="SP_01"/>
    <n v="2"/>
    <n v="44862.17"/>
    <n v="89724.34"/>
    <n v="73142.5"/>
    <n v="16581.84"/>
    <s v="Credit Card"/>
  </r>
  <r>
    <s v="ORD104857"/>
    <s v="2025-05-05"/>
    <x v="3"/>
    <s v="West"/>
    <s v="Gujarat"/>
    <s v="Ahmedabad"/>
    <x v="2"/>
    <x v="10"/>
    <s v="CUST1504"/>
    <s v="SP_08"/>
    <n v="4"/>
    <n v="17052.86"/>
    <n v="68211.44"/>
    <n v="54608.98"/>
    <n v="13602.46"/>
    <s v="Net Banking"/>
  </r>
  <r>
    <s v="ORD104858"/>
    <s v="2025-04-03"/>
    <x v="0"/>
    <s v="North"/>
    <s v="Punjab"/>
    <s v="Chandigarh"/>
    <x v="3"/>
    <x v="7"/>
    <s v="CUST1275"/>
    <s v="SP_14"/>
    <n v="5"/>
    <n v="11318.63"/>
    <n v="56593.15"/>
    <n v="44517.01"/>
    <n v="12076.14"/>
    <s v="UPI"/>
  </r>
  <r>
    <s v="ORD104859"/>
    <s v="2025-06-14"/>
    <x v="2"/>
    <s v="South"/>
    <s v="Karnataka"/>
    <s v="Bengaluru"/>
    <x v="1"/>
    <x v="6"/>
    <s v="CUST1871"/>
    <s v="SP_02"/>
    <n v="6"/>
    <n v="3061.52"/>
    <n v="18369.12"/>
    <n v="13855.95"/>
    <n v="4513.17"/>
    <s v="UPI"/>
  </r>
  <r>
    <s v="ORD104860"/>
    <s v="2025-02-24"/>
    <x v="8"/>
    <s v="North"/>
    <s v="Delhi"/>
    <s v="Delhi"/>
    <x v="2"/>
    <x v="10"/>
    <s v="CUST1502"/>
    <s v="SP_04"/>
    <n v="8"/>
    <n v="17391.04"/>
    <n v="139128.32000000001"/>
    <n v="111885.22"/>
    <n v="27243.1"/>
    <s v="Debit Card"/>
  </r>
  <r>
    <s v="ORD104861"/>
    <s v="2025-08-09"/>
    <x v="11"/>
    <s v="North"/>
    <s v="Uttar Pradesh"/>
    <s v="Lucknow"/>
    <x v="0"/>
    <x v="0"/>
    <s v="CUST1265"/>
    <s v="SP_07"/>
    <n v="7"/>
    <n v="3804.38"/>
    <n v="26630.66"/>
    <n v="15696.88"/>
    <n v="10933.78"/>
    <s v="Cash"/>
  </r>
  <r>
    <s v="ORD104862"/>
    <s v="2025-02-22"/>
    <x v="8"/>
    <s v="South"/>
    <s v="Telangana"/>
    <s v="Hyderabad"/>
    <x v="3"/>
    <x v="3"/>
    <s v="CUST1325"/>
    <s v="SP_06"/>
    <n v="3"/>
    <n v="24.19"/>
    <n v="72.569999999999993"/>
    <n v="30.31"/>
    <n v="42.26"/>
    <s v="Credit Card"/>
  </r>
  <r>
    <s v="ORD104863"/>
    <s v="2025-10-18"/>
    <x v="1"/>
    <s v="North"/>
    <s v="Uttar Pradesh"/>
    <s v="Lucknow"/>
    <x v="2"/>
    <x v="10"/>
    <s v="CUST1627"/>
    <s v="SP_14"/>
    <n v="6"/>
    <n v="17926.830000000002"/>
    <n v="107560.98"/>
    <n v="80076.66"/>
    <n v="27484.32"/>
    <s v="Cash"/>
  </r>
  <r>
    <s v="ORD104864"/>
    <s v="2025-10-03"/>
    <x v="1"/>
    <s v="East"/>
    <s v="West Bengal"/>
    <s v="Kolkata"/>
    <x v="0"/>
    <x v="9"/>
    <s v="CUST1329"/>
    <s v="SP_12"/>
    <n v="4"/>
    <n v="6727.3"/>
    <n v="26909.200000000001"/>
    <n v="20881.62"/>
    <n v="6027.58"/>
    <s v="Debit Card"/>
  </r>
  <r>
    <s v="ORD104865"/>
    <s v="2025-01-05"/>
    <x v="9"/>
    <s v="North"/>
    <s v="Punjab"/>
    <s v="Chandigarh"/>
    <x v="3"/>
    <x v="11"/>
    <s v="CUST1955"/>
    <s v="SP_06"/>
    <n v="6"/>
    <n v="111.36"/>
    <n v="668.16"/>
    <n v="369.68"/>
    <n v="298.48"/>
    <s v="UPI"/>
  </r>
  <r>
    <s v="ORD104866"/>
    <s v="2025-04-28"/>
    <x v="0"/>
    <s v="South"/>
    <s v="Karnataka"/>
    <s v="Bengaluru"/>
    <x v="1"/>
    <x v="5"/>
    <s v="CUST1383"/>
    <s v="SP_01"/>
    <n v="8"/>
    <n v="8572.9599999999991"/>
    <n v="68583.679999999993"/>
    <n v="63449.09"/>
    <n v="5134.59"/>
    <s v="Cash"/>
  </r>
  <r>
    <s v="ORD104867"/>
    <s v="2025-09-23"/>
    <x v="5"/>
    <s v="South"/>
    <s v="Karnataka"/>
    <s v="Bengaluru"/>
    <x v="1"/>
    <x v="6"/>
    <s v="CUST1518"/>
    <s v="SP_14"/>
    <n v="3"/>
    <n v="3394.66"/>
    <n v="10183.98"/>
    <n v="7417.3"/>
    <n v="2766.68"/>
    <s v="Net Banking"/>
  </r>
  <r>
    <s v="ORD104868"/>
    <s v="2025-12-14"/>
    <x v="7"/>
    <s v="West"/>
    <s v="Rajasthan"/>
    <s v="Jaipur"/>
    <x v="2"/>
    <x v="2"/>
    <s v="CUST1756"/>
    <s v="SP_05"/>
    <n v="6"/>
    <n v="47244.79"/>
    <n v="283468.74"/>
    <n v="207262.82"/>
    <n v="76205.919999999998"/>
    <s v="Cash"/>
  </r>
  <r>
    <s v="ORD104869"/>
    <s v="2025-12-08"/>
    <x v="7"/>
    <s v="West"/>
    <s v="Maharashtra"/>
    <s v="Mumbai"/>
    <x v="0"/>
    <x v="0"/>
    <s v="CUST1292"/>
    <s v="SP_01"/>
    <n v="3"/>
    <n v="3248.09"/>
    <n v="9744.27"/>
    <n v="6831.53"/>
    <n v="2912.74"/>
    <s v="Debit Card"/>
  </r>
  <r>
    <s v="ORD104870"/>
    <s v="2025-10-10"/>
    <x v="1"/>
    <s v="South"/>
    <s v="Tamil Nadu"/>
    <s v="Chennai"/>
    <x v="1"/>
    <x v="6"/>
    <s v="CUST1387"/>
    <s v="SP_02"/>
    <n v="3"/>
    <n v="3330.38"/>
    <n v="9991.14"/>
    <n v="7149.51"/>
    <n v="2841.63"/>
    <s v="Credit Card"/>
  </r>
  <r>
    <s v="ORD104871"/>
    <s v="2025-01-19"/>
    <x v="9"/>
    <s v="North"/>
    <s v="Punjab"/>
    <s v="Chandigarh"/>
    <x v="0"/>
    <x v="8"/>
    <s v="CUST1394"/>
    <s v="SP_08"/>
    <n v="7"/>
    <n v="22008.29"/>
    <n v="154058.03"/>
    <n v="114593.34"/>
    <n v="39464.69"/>
    <s v="Credit Card"/>
  </r>
  <r>
    <s v="ORD104872"/>
    <s v="2025-10-19"/>
    <x v="1"/>
    <s v="North"/>
    <s v="Delhi"/>
    <s v="Delhi"/>
    <x v="0"/>
    <x v="0"/>
    <s v="CUST1973"/>
    <s v="SP_04"/>
    <n v="7"/>
    <n v="3429.77"/>
    <n v="24008.39"/>
    <n v="15206.76"/>
    <n v="8801.6299999999992"/>
    <s v="Credit Card"/>
  </r>
  <r>
    <s v="ORD104873"/>
    <s v="2025-10-31"/>
    <x v="1"/>
    <s v="North"/>
    <s v="Punjab"/>
    <s v="Chandigarh"/>
    <x v="0"/>
    <x v="9"/>
    <s v="CUST1731"/>
    <s v="SP_10"/>
    <n v="7"/>
    <n v="6808.22"/>
    <n v="47657.54"/>
    <n v="34142.79"/>
    <n v="13514.75"/>
    <s v="Debit Card"/>
  </r>
  <r>
    <s v="ORD104874"/>
    <s v="2025-05-09"/>
    <x v="3"/>
    <s v="South"/>
    <s v="Tamil Nadu"/>
    <s v="Chennai"/>
    <x v="3"/>
    <x v="3"/>
    <s v="CUST1536"/>
    <s v="SP_05"/>
    <n v="8"/>
    <n v="25.89"/>
    <n v="207.12"/>
    <n v="82.6"/>
    <n v="124.52"/>
    <s v="Net Banking"/>
  </r>
  <r>
    <s v="ORD104875"/>
    <s v="2025-07-03"/>
    <x v="6"/>
    <s v="East"/>
    <s v="Odisha"/>
    <s v="Bhubaneswar"/>
    <x v="0"/>
    <x v="8"/>
    <s v="CUST1561"/>
    <s v="SP_07"/>
    <n v="5"/>
    <n v="23396.15"/>
    <n v="116980.75"/>
    <n v="83413.7"/>
    <n v="33567.050000000003"/>
    <s v="Credit Card"/>
  </r>
  <r>
    <s v="ORD104876"/>
    <s v="2025-01-11"/>
    <x v="9"/>
    <s v="North"/>
    <s v="Uttar Pradesh"/>
    <s v="Lucknow"/>
    <x v="2"/>
    <x v="2"/>
    <s v="CUST1798"/>
    <s v="SP_04"/>
    <n v="3"/>
    <n v="43940.91"/>
    <n v="131822.73000000001"/>
    <n v="102857.43"/>
    <n v="28965.3"/>
    <s v="Debit Card"/>
  </r>
  <r>
    <s v="ORD104877"/>
    <s v="2025-11-17"/>
    <x v="10"/>
    <s v="North"/>
    <s v="Punjab"/>
    <s v="Chandigarh"/>
    <x v="2"/>
    <x v="10"/>
    <s v="CUST1004"/>
    <s v="SP_14"/>
    <n v="5"/>
    <n v="17199.150000000001"/>
    <n v="85995.75"/>
    <n v="67666.53"/>
    <n v="18329.22"/>
    <s v="UPI"/>
  </r>
  <r>
    <s v="ORD104878"/>
    <s v="2025-09-29"/>
    <x v="5"/>
    <s v="North"/>
    <s v="Uttar Pradesh"/>
    <s v="Lucknow"/>
    <x v="3"/>
    <x v="11"/>
    <s v="CUST1956"/>
    <s v="SP_07"/>
    <n v="8"/>
    <n v="113.37"/>
    <n v="906.96"/>
    <n v="496.48"/>
    <n v="410.48"/>
    <s v="Cash"/>
  </r>
  <r>
    <s v="ORD104879"/>
    <s v="2025-09-26"/>
    <x v="5"/>
    <s v="South"/>
    <s v="Karnataka"/>
    <s v="Bengaluru"/>
    <x v="2"/>
    <x v="4"/>
    <s v="CUST1502"/>
    <s v="SP_06"/>
    <n v="7"/>
    <n v="2493.61"/>
    <n v="17455.27"/>
    <n v="11501.37"/>
    <n v="5953.9"/>
    <s v="Debit Card"/>
  </r>
  <r>
    <s v="ORD104880"/>
    <s v="2025-02-22"/>
    <x v="8"/>
    <s v="West"/>
    <s v="Maharashtra"/>
    <s v="Mumbai"/>
    <x v="3"/>
    <x v="11"/>
    <s v="CUST1025"/>
    <s v="SP_05"/>
    <n v="7"/>
    <n v="128.55000000000001"/>
    <n v="899.85"/>
    <n v="423.06"/>
    <n v="476.79"/>
    <s v="Credit Card"/>
  </r>
  <r>
    <s v="ORD104881"/>
    <s v="2025-08-23"/>
    <x v="11"/>
    <s v="South"/>
    <s v="Tamil Nadu"/>
    <s v="Chennai"/>
    <x v="3"/>
    <x v="3"/>
    <s v="CUST1259"/>
    <s v="SP_01"/>
    <n v="5"/>
    <n v="23.03"/>
    <n v="115.15"/>
    <n v="49.08"/>
    <n v="66.069999999999993"/>
    <s v="Net Banking"/>
  </r>
  <r>
    <s v="ORD104882"/>
    <s v="2025-02-28"/>
    <x v="8"/>
    <s v="South"/>
    <s v="Karnataka"/>
    <s v="Bengaluru"/>
    <x v="1"/>
    <x v="5"/>
    <s v="CUST1223"/>
    <s v="SP_08"/>
    <n v="4"/>
    <n v="9670.39"/>
    <n v="38681.56"/>
    <n v="30179.31"/>
    <n v="8502.25"/>
    <s v="UPI"/>
  </r>
  <r>
    <s v="ORD104883"/>
    <s v="2025-03-27"/>
    <x v="4"/>
    <s v="South"/>
    <s v="Telangana"/>
    <s v="Hyderabad"/>
    <x v="1"/>
    <x v="1"/>
    <s v="CUST1255"/>
    <s v="SP_01"/>
    <n v="2"/>
    <n v="2672.24"/>
    <n v="5344.48"/>
    <n v="3650.29"/>
    <n v="1694.19"/>
    <s v="Net Banking"/>
  </r>
  <r>
    <s v="ORD104884"/>
    <s v="2025-03-20"/>
    <x v="4"/>
    <s v="North"/>
    <s v="Uttar Pradesh"/>
    <s v="Lucknow"/>
    <x v="1"/>
    <x v="5"/>
    <s v="CUST1918"/>
    <s v="SP_06"/>
    <n v="8"/>
    <n v="8899.1200000000008"/>
    <n v="71192.960000000006"/>
    <n v="60959.4"/>
    <n v="10233.56"/>
    <s v="Debit Card"/>
  </r>
  <r>
    <s v="ORD104885"/>
    <s v="2025-08-23"/>
    <x v="11"/>
    <s v="East"/>
    <s v="Bihar"/>
    <s v="Patna"/>
    <x v="2"/>
    <x v="2"/>
    <s v="CUST1305"/>
    <s v="SP_10"/>
    <n v="4"/>
    <n v="42140.46"/>
    <n v="168561.84"/>
    <n v="133437.26"/>
    <n v="35124.58"/>
    <s v="UPI"/>
  </r>
  <r>
    <s v="ORD104886"/>
    <s v="2025-04-30"/>
    <x v="0"/>
    <s v="West"/>
    <s v="Maharashtra"/>
    <s v="Mumbai"/>
    <x v="0"/>
    <x v="9"/>
    <s v="CUST1187"/>
    <s v="SP_07"/>
    <n v="2"/>
    <n v="7058.53"/>
    <n v="14117.06"/>
    <n v="10120.33"/>
    <n v="3996.73"/>
    <s v="Debit Card"/>
  </r>
  <r>
    <s v="ORD104887"/>
    <s v="2025-10-22"/>
    <x v="1"/>
    <s v="South"/>
    <s v="Tamil Nadu"/>
    <s v="Chennai"/>
    <x v="1"/>
    <x v="1"/>
    <s v="CUST1350"/>
    <s v="SP_07"/>
    <n v="5"/>
    <n v="2664.54"/>
    <n v="13322.7"/>
    <n v="9556.25"/>
    <n v="3766.45"/>
    <s v="Cash"/>
  </r>
  <r>
    <s v="ORD104888"/>
    <s v="2025-02-10"/>
    <x v="8"/>
    <s v="South"/>
    <s v="Telangana"/>
    <s v="Hyderabad"/>
    <x v="0"/>
    <x v="8"/>
    <s v="CUST1525"/>
    <s v="SP_07"/>
    <n v="2"/>
    <n v="20663.71"/>
    <n v="41327.42"/>
    <n v="33114.15"/>
    <n v="8213.27"/>
    <s v="Cash"/>
  </r>
  <r>
    <s v="ORD104889"/>
    <s v="2025-08-29"/>
    <x v="11"/>
    <s v="South"/>
    <s v="Tamil Nadu"/>
    <s v="Chennai"/>
    <x v="1"/>
    <x v="5"/>
    <s v="CUST1535"/>
    <s v="SP_02"/>
    <n v="6"/>
    <n v="8905.32"/>
    <n v="53431.92"/>
    <n v="46966.66"/>
    <n v="6465.26"/>
    <s v="Credit Card"/>
  </r>
  <r>
    <s v="ORD104890"/>
    <s v="2025-03-04"/>
    <x v="4"/>
    <s v="South"/>
    <s v="Telangana"/>
    <s v="Hyderabad"/>
    <x v="3"/>
    <x v="3"/>
    <s v="CUST1116"/>
    <s v="SP_02"/>
    <n v="5"/>
    <n v="27.12"/>
    <n v="135.6"/>
    <n v="50.75"/>
    <n v="84.85"/>
    <s v="UPI"/>
  </r>
  <r>
    <s v="ORD104891"/>
    <s v="2025-07-26"/>
    <x v="6"/>
    <s v="North"/>
    <s v="Punjab"/>
    <s v="Chandigarh"/>
    <x v="1"/>
    <x v="5"/>
    <s v="CUST1549"/>
    <s v="SP_05"/>
    <n v="7"/>
    <n v="9006.42"/>
    <n v="63044.94"/>
    <n v="55533.760000000002"/>
    <n v="7511.18"/>
    <s v="UPI"/>
  </r>
  <r>
    <s v="ORD104892"/>
    <s v="2025-04-10"/>
    <x v="0"/>
    <s v="West"/>
    <s v="Gujarat"/>
    <s v="Ahmedabad"/>
    <x v="2"/>
    <x v="2"/>
    <s v="CUST1274"/>
    <s v="SP_04"/>
    <n v="2"/>
    <n v="46743.839999999997"/>
    <n v="93487.679999999993"/>
    <n v="72441.61"/>
    <n v="21046.07"/>
    <s v="Debit Card"/>
  </r>
  <r>
    <s v="ORD104893"/>
    <s v="2025-01-20"/>
    <x v="9"/>
    <s v="East"/>
    <s v="Bihar"/>
    <s v="Patna"/>
    <x v="1"/>
    <x v="1"/>
    <s v="CUST1725"/>
    <s v="SP_09"/>
    <n v="6"/>
    <n v="2659.76"/>
    <n v="15958.56"/>
    <n v="11470.88"/>
    <n v="4487.68"/>
    <s v="Credit Card"/>
  </r>
  <r>
    <s v="ORD104894"/>
    <s v="2025-05-15"/>
    <x v="3"/>
    <s v="South"/>
    <s v="Telangana"/>
    <s v="Hyderabad"/>
    <x v="2"/>
    <x v="10"/>
    <s v="CUST1938"/>
    <s v="SP_12"/>
    <n v="7"/>
    <n v="18558.57"/>
    <n v="129909.99"/>
    <n v="101232.8"/>
    <n v="28677.19"/>
    <s v="Cash"/>
  </r>
  <r>
    <s v="ORD104895"/>
    <s v="2025-12-06"/>
    <x v="7"/>
    <s v="East"/>
    <s v="Odisha"/>
    <s v="Bhubaneswar"/>
    <x v="2"/>
    <x v="4"/>
    <s v="CUST1846"/>
    <s v="SP_02"/>
    <n v="2"/>
    <n v="2338.84"/>
    <n v="4677.68"/>
    <n v="3297.55"/>
    <n v="1380.13"/>
    <s v="Cash"/>
  </r>
  <r>
    <s v="ORD104896"/>
    <s v="2025-11-19"/>
    <x v="10"/>
    <s v="East"/>
    <s v="Bihar"/>
    <s v="Patna"/>
    <x v="0"/>
    <x v="8"/>
    <s v="CUST1590"/>
    <s v="SP_10"/>
    <n v="1"/>
    <n v="20398.45"/>
    <n v="20398.45"/>
    <n v="17017.97"/>
    <n v="3380.48"/>
    <s v="UPI"/>
  </r>
  <r>
    <s v="ORD104897"/>
    <s v="2025-04-16"/>
    <x v="0"/>
    <s v="East"/>
    <s v="West Bengal"/>
    <s v="Kolkata"/>
    <x v="3"/>
    <x v="11"/>
    <s v="CUST1424"/>
    <s v="SP_04"/>
    <n v="7"/>
    <n v="113.54"/>
    <n v="794.78"/>
    <n v="426.38"/>
    <n v="368.4"/>
    <s v="UPI"/>
  </r>
  <r>
    <s v="ORD104898"/>
    <s v="2025-06-21"/>
    <x v="2"/>
    <s v="West"/>
    <s v="Rajasthan"/>
    <s v="Jaipur"/>
    <x v="2"/>
    <x v="2"/>
    <s v="CUST1578"/>
    <s v="SP_07"/>
    <n v="3"/>
    <n v="41927.64"/>
    <n v="125782.92"/>
    <n v="102752.02"/>
    <n v="23030.9"/>
    <s v="Credit Card"/>
  </r>
  <r>
    <s v="ORD104899"/>
    <s v="2025-01-10"/>
    <x v="9"/>
    <s v="East"/>
    <s v="Bihar"/>
    <s v="Patna"/>
    <x v="2"/>
    <x v="10"/>
    <s v="CUST1293"/>
    <s v="SP_11"/>
    <n v="7"/>
    <n v="19053.62"/>
    <n v="133375.34"/>
    <n v="94843.25"/>
    <n v="38532.089999999997"/>
    <s v="Debit Card"/>
  </r>
  <r>
    <s v="ORD104900"/>
    <s v="2025-04-26"/>
    <x v="0"/>
    <s v="West"/>
    <s v="Gujarat"/>
    <s v="Ahmedabad"/>
    <x v="3"/>
    <x v="7"/>
    <s v="CUST1872"/>
    <s v="SP_09"/>
    <n v="1"/>
    <n v="11714.73"/>
    <n v="11714.73"/>
    <n v="8653.73"/>
    <n v="3061"/>
    <s v="Credit Card"/>
  </r>
  <r>
    <s v="ORD104901"/>
    <s v="2025-12-08"/>
    <x v="7"/>
    <s v="South"/>
    <s v="Telangana"/>
    <s v="Hyderabad"/>
    <x v="0"/>
    <x v="9"/>
    <s v="CUST1814"/>
    <s v="SP_13"/>
    <n v="3"/>
    <n v="7544.16"/>
    <n v="22632.48"/>
    <n v="14430.2"/>
    <n v="8202.2800000000007"/>
    <s v="Debit Card"/>
  </r>
  <r>
    <s v="ORD104902"/>
    <s v="2025-03-26"/>
    <x v="4"/>
    <s v="West"/>
    <s v="Rajasthan"/>
    <s v="Jaipur"/>
    <x v="0"/>
    <x v="9"/>
    <s v="CUST1023"/>
    <s v="SP_13"/>
    <n v="8"/>
    <n v="6794.81"/>
    <n v="54358.48"/>
    <n v="39430.230000000003"/>
    <n v="14928.25"/>
    <s v="UPI"/>
  </r>
  <r>
    <s v="ORD104903"/>
    <s v="2025-05-23"/>
    <x v="3"/>
    <s v="West"/>
    <s v="Rajasthan"/>
    <s v="Jaipur"/>
    <x v="3"/>
    <x v="11"/>
    <s v="CUST1494"/>
    <s v="SP_01"/>
    <n v="4"/>
    <n v="109.18"/>
    <n v="436.72"/>
    <n v="245.39"/>
    <n v="191.33"/>
    <s v="Debit Card"/>
  </r>
  <r>
    <s v="ORD104904"/>
    <s v="2025-09-28"/>
    <x v="5"/>
    <s v="North"/>
    <s v="Delhi"/>
    <s v="Delhi"/>
    <x v="1"/>
    <x v="1"/>
    <s v="CUST1772"/>
    <s v="SP_13"/>
    <n v="2"/>
    <n v="2671.22"/>
    <n v="5342.44"/>
    <n v="3634.81"/>
    <n v="1707.63"/>
    <s v="Cash"/>
  </r>
  <r>
    <s v="ORD104905"/>
    <s v="2025-08-27"/>
    <x v="11"/>
    <s v="North"/>
    <s v="Delhi"/>
    <s v="Delhi"/>
    <x v="3"/>
    <x v="3"/>
    <s v="CUST1823"/>
    <s v="SP_14"/>
    <n v="6"/>
    <n v="25.6"/>
    <n v="153.6"/>
    <n v="57.25"/>
    <n v="96.35"/>
    <s v="Cash"/>
  </r>
  <r>
    <s v="ORD104906"/>
    <s v="2025-12-22"/>
    <x v="7"/>
    <s v="South"/>
    <s v="Telangana"/>
    <s v="Hyderabad"/>
    <x v="1"/>
    <x v="1"/>
    <s v="CUST1538"/>
    <s v="SP_13"/>
    <n v="1"/>
    <n v="2699.08"/>
    <n v="2699.08"/>
    <n v="1994.9"/>
    <n v="704.18"/>
    <s v="Debit Card"/>
  </r>
  <r>
    <s v="ORD104907"/>
    <s v="2025-04-24"/>
    <x v="0"/>
    <s v="South"/>
    <s v="Tamil Nadu"/>
    <s v="Chennai"/>
    <x v="0"/>
    <x v="9"/>
    <s v="CUST1100"/>
    <s v="SP_07"/>
    <n v="7"/>
    <n v="7034.68"/>
    <n v="49242.76"/>
    <n v="34550.370000000003"/>
    <n v="14692.39"/>
    <s v="UPI"/>
  </r>
  <r>
    <s v="ORD104908"/>
    <s v="2025-08-29"/>
    <x v="11"/>
    <s v="South"/>
    <s v="Telangana"/>
    <s v="Hyderabad"/>
    <x v="0"/>
    <x v="8"/>
    <s v="CUST1638"/>
    <s v="SP_09"/>
    <n v="1"/>
    <n v="21489.64"/>
    <n v="21489.64"/>
    <n v="16795.599999999999"/>
    <n v="4694.04"/>
    <s v="Cash"/>
  </r>
  <r>
    <s v="ORD104909"/>
    <s v="2025-12-13"/>
    <x v="7"/>
    <s v="East"/>
    <s v="Bihar"/>
    <s v="Patna"/>
    <x v="2"/>
    <x v="10"/>
    <s v="CUST1560"/>
    <s v="SP_09"/>
    <n v="6"/>
    <n v="18919.3"/>
    <n v="113515.8"/>
    <n v="82242.77"/>
    <n v="31273.03"/>
    <s v="Cash"/>
  </r>
  <r>
    <s v="ORD104910"/>
    <s v="2025-05-09"/>
    <x v="3"/>
    <s v="South"/>
    <s v="Karnataka"/>
    <s v="Bengaluru"/>
    <x v="1"/>
    <x v="1"/>
    <s v="CUST1713"/>
    <s v="SP_07"/>
    <n v="3"/>
    <n v="3078.54"/>
    <n v="9235.6200000000008"/>
    <n v="5726.19"/>
    <n v="3509.43"/>
    <s v="UPI"/>
  </r>
  <r>
    <s v="ORD104911"/>
    <s v="2025-03-01"/>
    <x v="4"/>
    <s v="South"/>
    <s v="Tamil Nadu"/>
    <s v="Chennai"/>
    <x v="2"/>
    <x v="4"/>
    <s v="CUST1182"/>
    <s v="SP_02"/>
    <n v="8"/>
    <n v="2260.63"/>
    <n v="18085.04"/>
    <n v="12503.07"/>
    <n v="5581.97"/>
    <s v="Net Banking"/>
  </r>
  <r>
    <s v="ORD104912"/>
    <s v="2025-03-25"/>
    <x v="4"/>
    <s v="South"/>
    <s v="Karnataka"/>
    <s v="Bengaluru"/>
    <x v="2"/>
    <x v="10"/>
    <s v="CUST1120"/>
    <s v="SP_10"/>
    <n v="5"/>
    <n v="16489.16"/>
    <n v="82445.8"/>
    <n v="68533.5"/>
    <n v="13912.3"/>
    <s v="UPI"/>
  </r>
  <r>
    <s v="ORD104913"/>
    <s v="2025-05-05"/>
    <x v="3"/>
    <s v="West"/>
    <s v="Rajasthan"/>
    <s v="Jaipur"/>
    <x v="2"/>
    <x v="10"/>
    <s v="CUST1932"/>
    <s v="SP_02"/>
    <n v="1"/>
    <n v="19632.84"/>
    <n v="19632.84"/>
    <n v="14563.24"/>
    <n v="5069.6000000000004"/>
    <s v="Credit Card"/>
  </r>
  <r>
    <s v="ORD104914"/>
    <s v="2025-02-27"/>
    <x v="8"/>
    <s v="West"/>
    <s v="Rajasthan"/>
    <s v="Jaipur"/>
    <x v="3"/>
    <x v="11"/>
    <s v="CUST1567"/>
    <s v="SP_07"/>
    <n v="3"/>
    <n v="127.79"/>
    <n v="383.37"/>
    <n v="181.44"/>
    <n v="201.93"/>
    <s v="Cash"/>
  </r>
  <r>
    <s v="ORD104915"/>
    <s v="2025-10-05"/>
    <x v="1"/>
    <s v="West"/>
    <s v="Maharashtra"/>
    <s v="Mumbai"/>
    <x v="0"/>
    <x v="9"/>
    <s v="CUST1921"/>
    <s v="SP_10"/>
    <n v="8"/>
    <n v="7154.17"/>
    <n v="57233.36"/>
    <n v="38215.35"/>
    <n v="19018.009999999998"/>
    <s v="Net Banking"/>
  </r>
  <r>
    <s v="ORD104916"/>
    <s v="2025-05-01"/>
    <x v="3"/>
    <s v="South"/>
    <s v="Tamil Nadu"/>
    <s v="Chennai"/>
    <x v="1"/>
    <x v="1"/>
    <s v="CUST1606"/>
    <s v="SP_10"/>
    <n v="7"/>
    <n v="2694.21"/>
    <n v="18859.47"/>
    <n v="13005.54"/>
    <n v="5853.93"/>
    <s v="UPI"/>
  </r>
  <r>
    <s v="ORD104917"/>
    <s v="2025-05-14"/>
    <x v="3"/>
    <s v="East"/>
    <s v="Odisha"/>
    <s v="Bhubaneswar"/>
    <x v="3"/>
    <x v="7"/>
    <s v="CUST1838"/>
    <s v="SP_02"/>
    <n v="6"/>
    <n v="12974.45"/>
    <n v="77846.7"/>
    <n v="51504.47"/>
    <n v="26342.23"/>
    <s v="Credit Card"/>
  </r>
  <r>
    <s v="ORD104918"/>
    <s v="2025-02-23"/>
    <x v="8"/>
    <s v="North"/>
    <s v="Uttar Pradesh"/>
    <s v="Lucknow"/>
    <x v="1"/>
    <x v="1"/>
    <s v="CUST1942"/>
    <s v="SP_03"/>
    <n v="3"/>
    <n v="2935.76"/>
    <n v="8807.2800000000007"/>
    <n v="5754.89"/>
    <n v="3052.39"/>
    <s v="Net Banking"/>
  </r>
  <r>
    <s v="ORD104919"/>
    <s v="2025-08-09"/>
    <x v="11"/>
    <s v="South"/>
    <s v="Tamil Nadu"/>
    <s v="Chennai"/>
    <x v="2"/>
    <x v="4"/>
    <s v="CUST1517"/>
    <s v="SP_13"/>
    <n v="1"/>
    <n v="2734.8"/>
    <n v="2734.8"/>
    <n v="1535.34"/>
    <n v="1199.46"/>
    <s v="Net Banking"/>
  </r>
  <r>
    <s v="ORD104920"/>
    <s v="2025-09-27"/>
    <x v="5"/>
    <s v="South"/>
    <s v="Karnataka"/>
    <s v="Bengaluru"/>
    <x v="2"/>
    <x v="2"/>
    <s v="CUST1885"/>
    <s v="SP_12"/>
    <n v="4"/>
    <n v="48815.09"/>
    <n v="195260.36"/>
    <n v="142906.60999999999"/>
    <n v="52353.75"/>
    <s v="Credit Card"/>
  </r>
  <r>
    <s v="ORD104921"/>
    <s v="2025-11-16"/>
    <x v="10"/>
    <s v="East"/>
    <s v="West Bengal"/>
    <s v="Kolkata"/>
    <x v="3"/>
    <x v="11"/>
    <s v="CUST1638"/>
    <s v="SP_13"/>
    <n v="8"/>
    <n v="123.76"/>
    <n v="990.08"/>
    <n v="483.61"/>
    <n v="506.47"/>
    <s v="Debit Card"/>
  </r>
  <r>
    <s v="ORD104922"/>
    <s v="2025-05-09"/>
    <x v="3"/>
    <s v="North"/>
    <s v="Punjab"/>
    <s v="Chandigarh"/>
    <x v="2"/>
    <x v="2"/>
    <s v="CUST1057"/>
    <s v="SP_06"/>
    <n v="7"/>
    <n v="49214.06"/>
    <n v="344498.42"/>
    <n v="251512.27"/>
    <n v="92986.15"/>
    <s v="Debit Card"/>
  </r>
  <r>
    <s v="ORD104923"/>
    <s v="2025-04-28"/>
    <x v="0"/>
    <s v="South"/>
    <s v="Tamil Nadu"/>
    <s v="Chennai"/>
    <x v="0"/>
    <x v="0"/>
    <s v="CUST1198"/>
    <s v="SP_08"/>
    <n v="6"/>
    <n v="3636.63"/>
    <n v="21819.78"/>
    <n v="13707.75"/>
    <n v="8112.03"/>
    <s v="Debit Card"/>
  </r>
  <r>
    <s v="ORD104924"/>
    <s v="2025-09-19"/>
    <x v="5"/>
    <s v="South"/>
    <s v="Tamil Nadu"/>
    <s v="Chennai"/>
    <x v="3"/>
    <x v="3"/>
    <s v="CUST1439"/>
    <s v="SP_15"/>
    <n v="7"/>
    <n v="23.48"/>
    <n v="164.36"/>
    <n v="67.180000000000007"/>
    <n v="97.18"/>
    <s v="Net Banking"/>
  </r>
  <r>
    <s v="ORD104925"/>
    <s v="2025-11-16"/>
    <x v="10"/>
    <s v="West"/>
    <s v="Rajasthan"/>
    <s v="Jaipur"/>
    <x v="3"/>
    <x v="3"/>
    <s v="CUST1274"/>
    <s v="SP_08"/>
    <n v="1"/>
    <n v="24.35"/>
    <n v="24.35"/>
    <n v="10.28"/>
    <n v="14.07"/>
    <s v="Net Banking"/>
  </r>
  <r>
    <s v="ORD104926"/>
    <s v="2025-02-12"/>
    <x v="8"/>
    <s v="South"/>
    <s v="Tamil Nadu"/>
    <s v="Chennai"/>
    <x v="1"/>
    <x v="5"/>
    <s v="CUST1142"/>
    <s v="SP_10"/>
    <n v="2"/>
    <n v="9581.57"/>
    <n v="19163.14"/>
    <n v="15886.86"/>
    <n v="3276.28"/>
    <s v="Debit Card"/>
  </r>
  <r>
    <s v="ORD104927"/>
    <s v="2025-03-11"/>
    <x v="4"/>
    <s v="South"/>
    <s v="Karnataka"/>
    <s v="Bengaluru"/>
    <x v="2"/>
    <x v="10"/>
    <s v="CUST1970"/>
    <s v="SP_06"/>
    <n v="3"/>
    <n v="18303.73"/>
    <n v="54911.19"/>
    <n v="43380.59"/>
    <n v="11530.6"/>
    <s v="Debit Card"/>
  </r>
  <r>
    <s v="ORD104928"/>
    <s v="2025-07-10"/>
    <x v="6"/>
    <s v="North"/>
    <s v="Uttar Pradesh"/>
    <s v="Lucknow"/>
    <x v="1"/>
    <x v="1"/>
    <s v="CUST1018"/>
    <s v="SP_14"/>
    <n v="2"/>
    <n v="3053.25"/>
    <n v="6106.5"/>
    <n v="3683.31"/>
    <n v="2423.19"/>
    <s v="Net Banking"/>
  </r>
  <r>
    <s v="ORD104929"/>
    <s v="2025-12-17"/>
    <x v="7"/>
    <s v="East"/>
    <s v="Bihar"/>
    <s v="Patna"/>
    <x v="3"/>
    <x v="3"/>
    <s v="CUST1915"/>
    <s v="SP_07"/>
    <n v="2"/>
    <n v="25.87"/>
    <n v="51.74"/>
    <n v="20.39"/>
    <n v="31.35"/>
    <s v="Net Banking"/>
  </r>
  <r>
    <s v="ORD104930"/>
    <s v="2025-12-02"/>
    <x v="7"/>
    <s v="West"/>
    <s v="Maharashtra"/>
    <s v="Mumbai"/>
    <x v="3"/>
    <x v="3"/>
    <s v="CUST1036"/>
    <s v="SP_11"/>
    <n v="5"/>
    <n v="22.68"/>
    <n v="113.4"/>
    <n v="47.76"/>
    <n v="65.64"/>
    <s v="Debit Card"/>
  </r>
  <r>
    <s v="ORD104931"/>
    <s v="2025-01-27"/>
    <x v="9"/>
    <s v="East"/>
    <s v="Bihar"/>
    <s v="Patna"/>
    <x v="2"/>
    <x v="10"/>
    <s v="CUST1076"/>
    <s v="SP_10"/>
    <n v="2"/>
    <n v="18982.3"/>
    <n v="37964.6"/>
    <n v="28796.07"/>
    <n v="9168.5300000000007"/>
    <s v="Cash"/>
  </r>
  <r>
    <s v="ORD104932"/>
    <s v="2025-07-17"/>
    <x v="6"/>
    <s v="North"/>
    <s v="Delhi"/>
    <s v="Delhi"/>
    <x v="3"/>
    <x v="7"/>
    <s v="CUST1974"/>
    <s v="SP_05"/>
    <n v="4"/>
    <n v="12874.71"/>
    <n v="51498.84"/>
    <n v="36288.769999999997"/>
    <n v="15210.07"/>
    <s v="Net Banking"/>
  </r>
  <r>
    <s v="ORD104933"/>
    <s v="2025-06-09"/>
    <x v="2"/>
    <s v="South"/>
    <s v="Tamil Nadu"/>
    <s v="Chennai"/>
    <x v="1"/>
    <x v="5"/>
    <s v="CUST1778"/>
    <s v="SP_13"/>
    <n v="8"/>
    <n v="9929.83"/>
    <n v="79438.64"/>
    <n v="60815.85"/>
    <n v="18622.79"/>
    <s v="Net Banking"/>
  </r>
  <r>
    <s v="ORD104934"/>
    <s v="2025-11-22"/>
    <x v="10"/>
    <s v="West"/>
    <s v="Rajasthan"/>
    <s v="Jaipur"/>
    <x v="2"/>
    <x v="4"/>
    <s v="CUST1239"/>
    <s v="SP_15"/>
    <n v="3"/>
    <n v="2559.54"/>
    <n v="7678.62"/>
    <n v="4963.2"/>
    <n v="2715.42"/>
    <s v="Credit Card"/>
  </r>
  <r>
    <s v="ORD104935"/>
    <s v="2025-08-13"/>
    <x v="11"/>
    <s v="East"/>
    <s v="West Bengal"/>
    <s v="Kolkata"/>
    <x v="3"/>
    <x v="11"/>
    <s v="CUST1668"/>
    <s v="SP_01"/>
    <n v="8"/>
    <n v="108.19"/>
    <n v="865.52"/>
    <n v="490.33"/>
    <n v="375.19"/>
    <s v="Net Banking"/>
  </r>
  <r>
    <s v="ORD104936"/>
    <s v="2025-11-23"/>
    <x v="10"/>
    <s v="South"/>
    <s v="Tamil Nadu"/>
    <s v="Chennai"/>
    <x v="2"/>
    <x v="4"/>
    <s v="CUST1454"/>
    <s v="SP_11"/>
    <n v="3"/>
    <n v="2484.4899999999998"/>
    <n v="7453.47"/>
    <n v="4740.99"/>
    <n v="2712.48"/>
    <s v="Cash"/>
  </r>
  <r>
    <s v="ORD104937"/>
    <s v="2025-03-12"/>
    <x v="4"/>
    <s v="West"/>
    <s v="Rajasthan"/>
    <s v="Jaipur"/>
    <x v="1"/>
    <x v="5"/>
    <s v="CUST1328"/>
    <s v="SP_09"/>
    <n v="6"/>
    <n v="8950.94"/>
    <n v="53705.64"/>
    <n v="45821.52"/>
    <n v="7884.12"/>
    <s v="Debit Card"/>
  </r>
  <r>
    <s v="ORD104938"/>
    <s v="2025-07-12"/>
    <x v="6"/>
    <s v="North"/>
    <s v="Delhi"/>
    <s v="Delhi"/>
    <x v="3"/>
    <x v="7"/>
    <s v="CUST1928"/>
    <s v="SP_10"/>
    <n v="8"/>
    <n v="12197.84"/>
    <n v="97582.720000000001"/>
    <n v="71790.05"/>
    <n v="25792.67"/>
    <s v="Cash"/>
  </r>
  <r>
    <s v="ORD104939"/>
    <s v="2025-06-03"/>
    <x v="2"/>
    <s v="South"/>
    <s v="Telangana"/>
    <s v="Hyderabad"/>
    <x v="1"/>
    <x v="5"/>
    <s v="CUST1403"/>
    <s v="SP_12"/>
    <n v="8"/>
    <n v="10428.950000000001"/>
    <n v="83431.600000000006"/>
    <n v="60810.3"/>
    <n v="22621.3"/>
    <s v="Cash"/>
  </r>
  <r>
    <s v="ORD104940"/>
    <s v="2025-10-09"/>
    <x v="1"/>
    <s v="North"/>
    <s v="Delhi"/>
    <s v="Delhi"/>
    <x v="3"/>
    <x v="11"/>
    <s v="CUST1130"/>
    <s v="SP_06"/>
    <n v="8"/>
    <n v="121.56"/>
    <n v="972.48"/>
    <n v="502.75"/>
    <n v="469.73"/>
    <s v="UPI"/>
  </r>
  <r>
    <s v="ORD104941"/>
    <s v="2025-09-08"/>
    <x v="5"/>
    <s v="East"/>
    <s v="Odisha"/>
    <s v="Bhubaneswar"/>
    <x v="3"/>
    <x v="3"/>
    <s v="CUST1770"/>
    <s v="SP_03"/>
    <n v="7"/>
    <n v="22.51"/>
    <n v="157.57"/>
    <n v="67.709999999999994"/>
    <n v="89.86"/>
    <s v="UPI"/>
  </r>
  <r>
    <s v="ORD104942"/>
    <s v="2025-07-22"/>
    <x v="6"/>
    <s v="North"/>
    <s v="Delhi"/>
    <s v="Delhi"/>
    <x v="2"/>
    <x v="4"/>
    <s v="CUST1042"/>
    <s v="SP_08"/>
    <n v="7"/>
    <n v="2638.87"/>
    <n v="18472.09"/>
    <n v="11152.5"/>
    <n v="7319.59"/>
    <s v="Debit Card"/>
  </r>
  <r>
    <s v="ORD104943"/>
    <s v="2025-04-16"/>
    <x v="0"/>
    <s v="East"/>
    <s v="Bihar"/>
    <s v="Patna"/>
    <x v="3"/>
    <x v="3"/>
    <s v="CUST1045"/>
    <s v="SP_07"/>
    <n v="5"/>
    <n v="24.55"/>
    <n v="122.75"/>
    <n v="51.14"/>
    <n v="71.61"/>
    <s v="UPI"/>
  </r>
  <r>
    <s v="ORD104944"/>
    <s v="2025-11-14"/>
    <x v="10"/>
    <s v="North"/>
    <s v="Punjab"/>
    <s v="Chandigarh"/>
    <x v="3"/>
    <x v="3"/>
    <s v="CUST1012"/>
    <s v="SP_08"/>
    <n v="2"/>
    <n v="23.5"/>
    <n v="47"/>
    <n v="19.82"/>
    <n v="27.18"/>
    <s v="Cash"/>
  </r>
  <r>
    <s v="ORD104945"/>
    <s v="2025-12-30"/>
    <x v="7"/>
    <s v="East"/>
    <s v="West Bengal"/>
    <s v="Kolkata"/>
    <x v="3"/>
    <x v="3"/>
    <s v="CUST1678"/>
    <s v="SP_09"/>
    <n v="5"/>
    <n v="23.59"/>
    <n v="117.95"/>
    <n v="50.42"/>
    <n v="67.53"/>
    <s v="Cash"/>
  </r>
  <r>
    <s v="ORD104946"/>
    <s v="2025-12-12"/>
    <x v="7"/>
    <s v="West"/>
    <s v="Rajasthan"/>
    <s v="Jaipur"/>
    <x v="2"/>
    <x v="2"/>
    <s v="CUST1734"/>
    <s v="SP_06"/>
    <n v="3"/>
    <n v="46217.440000000002"/>
    <n v="138652.32"/>
    <n v="104138.32"/>
    <n v="34514"/>
    <s v="Cash"/>
  </r>
  <r>
    <s v="ORD104947"/>
    <s v="2025-04-05"/>
    <x v="0"/>
    <s v="East"/>
    <s v="Bihar"/>
    <s v="Patna"/>
    <x v="2"/>
    <x v="10"/>
    <s v="CUST1716"/>
    <s v="SP_07"/>
    <n v="2"/>
    <n v="16319.32"/>
    <n v="32638.639999999999"/>
    <n v="28879.93"/>
    <n v="3758.71"/>
    <s v="UPI"/>
  </r>
  <r>
    <s v="ORD104948"/>
    <s v="2025-03-02"/>
    <x v="4"/>
    <s v="West"/>
    <s v="Maharashtra"/>
    <s v="Mumbai"/>
    <x v="3"/>
    <x v="3"/>
    <s v="CUST1174"/>
    <s v="SP_02"/>
    <n v="4"/>
    <n v="26.24"/>
    <n v="104.96"/>
    <n v="41.51"/>
    <n v="63.45"/>
    <s v="Credit Card"/>
  </r>
  <r>
    <s v="ORD104949"/>
    <s v="2025-02-15"/>
    <x v="8"/>
    <s v="North"/>
    <s v="Uttar Pradesh"/>
    <s v="Lucknow"/>
    <x v="2"/>
    <x v="10"/>
    <s v="CUST1692"/>
    <s v="SP_02"/>
    <n v="2"/>
    <n v="16863.89"/>
    <n v="33727.78"/>
    <n v="26841.5"/>
    <n v="6886.28"/>
    <s v="Cash"/>
  </r>
  <r>
    <s v="ORD104950"/>
    <s v="2025-07-18"/>
    <x v="6"/>
    <s v="West"/>
    <s v="Rajasthan"/>
    <s v="Jaipur"/>
    <x v="2"/>
    <x v="4"/>
    <s v="CUST1515"/>
    <s v="SP_15"/>
    <n v="6"/>
    <n v="2630.05"/>
    <n v="15780.3"/>
    <n v="9695.9599999999991"/>
    <n v="6084.34"/>
    <s v="UPI"/>
  </r>
  <r>
    <s v="ORD104951"/>
    <s v="2025-04-06"/>
    <x v="0"/>
    <s v="South"/>
    <s v="Telangana"/>
    <s v="Hyderabad"/>
    <x v="2"/>
    <x v="2"/>
    <s v="CUST1990"/>
    <s v="SP_04"/>
    <n v="5"/>
    <n v="42459.16"/>
    <n v="212295.8"/>
    <n v="182927.41"/>
    <n v="29368.39"/>
    <s v="UPI"/>
  </r>
  <r>
    <s v="ORD104952"/>
    <s v="2025-07-04"/>
    <x v="6"/>
    <s v="South"/>
    <s v="Karnataka"/>
    <s v="Bengaluru"/>
    <x v="1"/>
    <x v="6"/>
    <s v="CUST1835"/>
    <s v="SP_13"/>
    <n v="4"/>
    <n v="3017.59"/>
    <n v="12070.36"/>
    <n v="9997.18"/>
    <n v="2073.1799999999998"/>
    <s v="Net Banking"/>
  </r>
  <r>
    <s v="ORD104953"/>
    <s v="2025-10-15"/>
    <x v="1"/>
    <s v="North"/>
    <s v="Delhi"/>
    <s v="Delhi"/>
    <x v="1"/>
    <x v="1"/>
    <s v="CUST1646"/>
    <s v="SP_02"/>
    <n v="3"/>
    <n v="2901.03"/>
    <n v="8703.09"/>
    <n v="5768.97"/>
    <n v="2934.12"/>
    <s v="Credit Card"/>
  </r>
  <r>
    <s v="ORD104954"/>
    <s v="2025-04-25"/>
    <x v="0"/>
    <s v="South"/>
    <s v="Telangana"/>
    <s v="Hyderabad"/>
    <x v="0"/>
    <x v="9"/>
    <s v="CUST1997"/>
    <s v="SP_04"/>
    <n v="5"/>
    <n v="7516.51"/>
    <n v="37582.550000000003"/>
    <n v="25933.41"/>
    <n v="11649.14"/>
    <s v="Credit Card"/>
  </r>
  <r>
    <s v="ORD104955"/>
    <s v="2025-02-16"/>
    <x v="8"/>
    <s v="North"/>
    <s v="Uttar Pradesh"/>
    <s v="Lucknow"/>
    <x v="1"/>
    <x v="5"/>
    <s v="CUST1888"/>
    <s v="SP_13"/>
    <n v="8"/>
    <n v="9009.9"/>
    <n v="72079.199999999997"/>
    <n v="60092.33"/>
    <n v="11986.87"/>
    <s v="Cash"/>
  </r>
  <r>
    <s v="ORD104956"/>
    <s v="2025-06-25"/>
    <x v="2"/>
    <s v="East"/>
    <s v="West Bengal"/>
    <s v="Kolkata"/>
    <x v="3"/>
    <x v="11"/>
    <s v="CUST1690"/>
    <s v="SP_11"/>
    <n v="2"/>
    <n v="121.28"/>
    <n v="242.56"/>
    <n v="115.71"/>
    <n v="126.85"/>
    <s v="Net Banking"/>
  </r>
  <r>
    <s v="ORD104957"/>
    <s v="2025-12-24"/>
    <x v="7"/>
    <s v="East"/>
    <s v="Odisha"/>
    <s v="Bhubaneswar"/>
    <x v="3"/>
    <x v="11"/>
    <s v="CUST1193"/>
    <s v="SP_01"/>
    <n v="3"/>
    <n v="113.63"/>
    <n v="340.89"/>
    <n v="174.92"/>
    <n v="165.97"/>
    <s v="Credit Card"/>
  </r>
  <r>
    <s v="ORD104958"/>
    <s v="2025-06-08"/>
    <x v="2"/>
    <s v="North"/>
    <s v="Delhi"/>
    <s v="Delhi"/>
    <x v="2"/>
    <x v="4"/>
    <s v="CUST1791"/>
    <s v="SP_12"/>
    <n v="1"/>
    <n v="2620.39"/>
    <n v="2620.39"/>
    <n v="1575.74"/>
    <n v="1044.6500000000001"/>
    <s v="Net Banking"/>
  </r>
  <r>
    <s v="ORD104959"/>
    <s v="2025-06-24"/>
    <x v="2"/>
    <s v="East"/>
    <s v="West Bengal"/>
    <s v="Kolkata"/>
    <x v="1"/>
    <x v="6"/>
    <s v="CUST1590"/>
    <s v="SP_07"/>
    <n v="1"/>
    <n v="3400.96"/>
    <n v="3400.96"/>
    <n v="2384.46"/>
    <n v="1016.5"/>
    <s v="Debit Card"/>
  </r>
  <r>
    <s v="ORD104960"/>
    <s v="2025-10-27"/>
    <x v="1"/>
    <s v="South"/>
    <s v="Tamil Nadu"/>
    <s v="Chennai"/>
    <x v="2"/>
    <x v="10"/>
    <s v="CUST1878"/>
    <s v="SP_02"/>
    <n v="5"/>
    <n v="17425.13"/>
    <n v="87125.65"/>
    <n v="69933.710000000006"/>
    <n v="17191.939999999999"/>
    <s v="Debit Card"/>
  </r>
  <r>
    <s v="ORD104961"/>
    <s v="2025-05-13"/>
    <x v="3"/>
    <s v="South"/>
    <s v="Karnataka"/>
    <s v="Bengaluru"/>
    <x v="1"/>
    <x v="1"/>
    <s v="CUST1858"/>
    <s v="SP_01"/>
    <n v="5"/>
    <n v="2613.2800000000002"/>
    <n v="13066.4"/>
    <n v="9412.2099999999991"/>
    <n v="3654.19"/>
    <s v="Debit Card"/>
  </r>
  <r>
    <s v="ORD104962"/>
    <s v="2025-09-15"/>
    <x v="5"/>
    <s v="North"/>
    <s v="Punjab"/>
    <s v="Chandigarh"/>
    <x v="2"/>
    <x v="2"/>
    <s v="CUST1993"/>
    <s v="SP_07"/>
    <n v="2"/>
    <n v="44434.15"/>
    <n v="88868.3"/>
    <n v="69738.22"/>
    <n v="19130.080000000002"/>
    <s v="Net Banking"/>
  </r>
  <r>
    <s v="ORD104963"/>
    <s v="2025-09-24"/>
    <x v="5"/>
    <s v="East"/>
    <s v="Bihar"/>
    <s v="Patna"/>
    <x v="3"/>
    <x v="11"/>
    <s v="CUST1992"/>
    <s v="SP_14"/>
    <n v="4"/>
    <n v="113.7"/>
    <n v="454.8"/>
    <n v="243.5"/>
    <n v="211.3"/>
    <s v="Net Banking"/>
  </r>
  <r>
    <s v="ORD104964"/>
    <s v="2025-05-25"/>
    <x v="3"/>
    <s v="South"/>
    <s v="Karnataka"/>
    <s v="Bengaluru"/>
    <x v="2"/>
    <x v="4"/>
    <s v="CUST1584"/>
    <s v="SP_04"/>
    <n v="3"/>
    <n v="2746.1"/>
    <n v="8238.2999999999993"/>
    <n v="4572.3100000000004"/>
    <n v="3665.99"/>
    <s v="Net Banking"/>
  </r>
  <r>
    <s v="ORD104965"/>
    <s v="2025-08-15"/>
    <x v="11"/>
    <s v="East"/>
    <s v="West Bengal"/>
    <s v="Kolkata"/>
    <x v="0"/>
    <x v="0"/>
    <s v="CUST1045"/>
    <s v="SP_13"/>
    <n v="6"/>
    <n v="3739.06"/>
    <n v="22434.36"/>
    <n v="12795.91"/>
    <n v="9638.4500000000007"/>
    <s v="Debit Card"/>
  </r>
  <r>
    <s v="ORD104966"/>
    <s v="2025-08-21"/>
    <x v="11"/>
    <s v="South"/>
    <s v="Karnataka"/>
    <s v="Bengaluru"/>
    <x v="0"/>
    <x v="9"/>
    <s v="CUST1319"/>
    <s v="SP_12"/>
    <n v="6"/>
    <n v="6931.18"/>
    <n v="41587.08"/>
    <n v="31260"/>
    <n v="10327.08"/>
    <s v="Cash"/>
  </r>
  <r>
    <s v="ORD104967"/>
    <s v="2025-02-04"/>
    <x v="8"/>
    <s v="East"/>
    <s v="Bihar"/>
    <s v="Patna"/>
    <x v="1"/>
    <x v="1"/>
    <s v="CUST1363"/>
    <s v="SP_04"/>
    <n v="1"/>
    <n v="2763.21"/>
    <n v="2763.21"/>
    <n v="1909.44"/>
    <n v="853.77"/>
    <s v="Debit Card"/>
  </r>
  <r>
    <s v="ORD104968"/>
    <s v="2025-06-30"/>
    <x v="2"/>
    <s v="West"/>
    <s v="Gujarat"/>
    <s v="Ahmedabad"/>
    <x v="0"/>
    <x v="0"/>
    <s v="CUST1420"/>
    <s v="SP_12"/>
    <n v="7"/>
    <n v="3255.22"/>
    <n v="22786.54"/>
    <n v="15130.63"/>
    <n v="7655.91"/>
    <s v="Credit Card"/>
  </r>
  <r>
    <s v="ORD104969"/>
    <s v="2025-07-09"/>
    <x v="6"/>
    <s v="West"/>
    <s v="Gujarat"/>
    <s v="Ahmedabad"/>
    <x v="2"/>
    <x v="10"/>
    <s v="CUST1790"/>
    <s v="SP_11"/>
    <n v="4"/>
    <n v="18084.27"/>
    <n v="72337.08"/>
    <n v="53998.68"/>
    <n v="18338.400000000001"/>
    <s v="Cash"/>
  </r>
  <r>
    <s v="ORD104970"/>
    <s v="2025-09-14"/>
    <x v="5"/>
    <s v="West"/>
    <s v="Rajasthan"/>
    <s v="Jaipur"/>
    <x v="0"/>
    <x v="9"/>
    <s v="CUST1696"/>
    <s v="SP_10"/>
    <n v="1"/>
    <n v="6442.5"/>
    <n v="6442.5"/>
    <n v="4961.8999999999996"/>
    <n v="1480.6"/>
    <s v="Cash"/>
  </r>
  <r>
    <s v="ORD104971"/>
    <s v="2025-09-05"/>
    <x v="5"/>
    <s v="West"/>
    <s v="Maharashtra"/>
    <s v="Mumbai"/>
    <x v="2"/>
    <x v="10"/>
    <s v="CUST1389"/>
    <s v="SP_11"/>
    <n v="2"/>
    <n v="19649.84"/>
    <n v="39299.68"/>
    <n v="27491.66"/>
    <n v="11808.02"/>
    <s v="Cash"/>
  </r>
  <r>
    <s v="ORD104972"/>
    <s v="2025-05-09"/>
    <x v="3"/>
    <s v="West"/>
    <s v="Gujarat"/>
    <s v="Ahmedabad"/>
    <x v="1"/>
    <x v="1"/>
    <s v="CUST1339"/>
    <s v="SP_14"/>
    <n v="5"/>
    <n v="2615.85"/>
    <n v="13079.25"/>
    <n v="9879.64"/>
    <n v="3199.61"/>
    <s v="Cash"/>
  </r>
  <r>
    <s v="ORD104973"/>
    <s v="2025-01-28"/>
    <x v="9"/>
    <s v="West"/>
    <s v="Maharashtra"/>
    <s v="Mumbai"/>
    <x v="2"/>
    <x v="10"/>
    <s v="CUST1231"/>
    <s v="SP_12"/>
    <n v="1"/>
    <n v="19347.8"/>
    <n v="19347.8"/>
    <n v="14663.19"/>
    <n v="4684.6099999999997"/>
    <s v="UPI"/>
  </r>
  <r>
    <s v="ORD104974"/>
    <s v="2025-03-29"/>
    <x v="4"/>
    <s v="West"/>
    <s v="Gujarat"/>
    <s v="Ahmedabad"/>
    <x v="3"/>
    <x v="7"/>
    <s v="CUST1528"/>
    <s v="SP_13"/>
    <n v="3"/>
    <n v="10803.35"/>
    <n v="32410.05"/>
    <n v="26670.81"/>
    <n v="5739.24"/>
    <s v="Credit Card"/>
  </r>
  <r>
    <s v="ORD104975"/>
    <s v="2025-05-18"/>
    <x v="3"/>
    <s v="West"/>
    <s v="Gujarat"/>
    <s v="Ahmedabad"/>
    <x v="1"/>
    <x v="6"/>
    <s v="CUST1166"/>
    <s v="SP_05"/>
    <n v="2"/>
    <n v="3038.88"/>
    <n v="6077.76"/>
    <n v="4937.12"/>
    <n v="1140.6400000000001"/>
    <s v="UPI"/>
  </r>
  <r>
    <s v="ORD104976"/>
    <s v="2025-10-25"/>
    <x v="1"/>
    <s v="East"/>
    <s v="Odisha"/>
    <s v="Bhubaneswar"/>
    <x v="3"/>
    <x v="11"/>
    <s v="CUST1880"/>
    <s v="SP_07"/>
    <n v="3"/>
    <n v="112.82"/>
    <n v="338.46"/>
    <n v="177.06"/>
    <n v="161.4"/>
    <s v="Debit Card"/>
  </r>
  <r>
    <s v="ORD104977"/>
    <s v="2025-05-10"/>
    <x v="3"/>
    <s v="North"/>
    <s v="Delhi"/>
    <s v="Delhi"/>
    <x v="0"/>
    <x v="8"/>
    <s v="CUST1834"/>
    <s v="SP_12"/>
    <n v="7"/>
    <n v="20639.12"/>
    <n v="144473.84"/>
    <n v="113062.12"/>
    <n v="31411.72"/>
    <s v="Net Banking"/>
  </r>
  <r>
    <s v="ORD104978"/>
    <s v="2025-07-11"/>
    <x v="6"/>
    <s v="North"/>
    <s v="Punjab"/>
    <s v="Chandigarh"/>
    <x v="0"/>
    <x v="0"/>
    <s v="CUST1706"/>
    <s v="SP_15"/>
    <n v="3"/>
    <n v="3617.59"/>
    <n v="10852.77"/>
    <n v="6487.05"/>
    <n v="4365.72"/>
    <s v="Debit Card"/>
  </r>
  <r>
    <s v="ORD104979"/>
    <s v="2025-01-20"/>
    <x v="9"/>
    <s v="East"/>
    <s v="West Bengal"/>
    <s v="Kolkata"/>
    <x v="3"/>
    <x v="3"/>
    <s v="CUST1241"/>
    <s v="SP_04"/>
    <n v="4"/>
    <n v="23.86"/>
    <n v="95.44"/>
    <n v="40.07"/>
    <n v="55.37"/>
    <s v="Debit Card"/>
  </r>
  <r>
    <s v="ORD104980"/>
    <s v="2025-11-06"/>
    <x v="10"/>
    <s v="South"/>
    <s v="Telangana"/>
    <s v="Hyderabad"/>
    <x v="2"/>
    <x v="10"/>
    <s v="CUST1534"/>
    <s v="SP_09"/>
    <n v="4"/>
    <n v="19372.939999999999"/>
    <n v="77491.759999999995"/>
    <n v="58206.400000000001"/>
    <n v="19285.36"/>
    <s v="Cash"/>
  </r>
  <r>
    <s v="ORD104981"/>
    <s v="2025-11-16"/>
    <x v="10"/>
    <s v="South"/>
    <s v="Karnataka"/>
    <s v="Bengaluru"/>
    <x v="3"/>
    <x v="11"/>
    <s v="CUST1402"/>
    <s v="SP_12"/>
    <n v="3"/>
    <n v="131.97"/>
    <n v="395.91"/>
    <n v="183.07"/>
    <n v="212.84"/>
    <s v="UPI"/>
  </r>
  <r>
    <s v="ORD104982"/>
    <s v="2025-10-03"/>
    <x v="1"/>
    <s v="West"/>
    <s v="Gujarat"/>
    <s v="Ahmedabad"/>
    <x v="2"/>
    <x v="2"/>
    <s v="CUST1695"/>
    <s v="SP_01"/>
    <n v="2"/>
    <n v="48462.87"/>
    <n v="96925.74"/>
    <n v="68428.09"/>
    <n v="28497.65"/>
    <s v="Net Banking"/>
  </r>
  <r>
    <s v="ORD104983"/>
    <s v="2025-03-03"/>
    <x v="4"/>
    <s v="West"/>
    <s v="Gujarat"/>
    <s v="Ahmedabad"/>
    <x v="3"/>
    <x v="3"/>
    <s v="CUST1363"/>
    <s v="SP_02"/>
    <n v="7"/>
    <n v="24.48"/>
    <n v="171.36"/>
    <n v="70.069999999999993"/>
    <n v="101.29"/>
    <s v="UPI"/>
  </r>
  <r>
    <s v="ORD104984"/>
    <s v="2025-10-24"/>
    <x v="1"/>
    <s v="West"/>
    <s v="Maharashtra"/>
    <s v="Mumbai"/>
    <x v="0"/>
    <x v="0"/>
    <s v="CUST1275"/>
    <s v="SP_09"/>
    <n v="1"/>
    <n v="3648.59"/>
    <n v="3648.59"/>
    <n v="2287.83"/>
    <n v="1360.76"/>
    <s v="Cash"/>
  </r>
  <r>
    <s v="ORD104985"/>
    <s v="2025-04-05"/>
    <x v="0"/>
    <s v="West"/>
    <s v="Gujarat"/>
    <s v="Ahmedabad"/>
    <x v="1"/>
    <x v="6"/>
    <s v="CUST1735"/>
    <s v="SP_15"/>
    <n v="3"/>
    <n v="3486.89"/>
    <n v="10460.67"/>
    <n v="7184.98"/>
    <n v="3275.69"/>
    <s v="Debit Card"/>
  </r>
  <r>
    <s v="ORD104986"/>
    <s v="2025-05-20"/>
    <x v="3"/>
    <s v="West"/>
    <s v="Maharashtra"/>
    <s v="Mumbai"/>
    <x v="1"/>
    <x v="5"/>
    <s v="CUST1111"/>
    <s v="SP_04"/>
    <n v="3"/>
    <n v="10420.91"/>
    <n v="31262.73"/>
    <n v="22225.040000000001"/>
    <n v="9037.69"/>
    <s v="Credit Card"/>
  </r>
  <r>
    <s v="ORD104987"/>
    <s v="2025-08-05"/>
    <x v="11"/>
    <s v="North"/>
    <s v="Delhi"/>
    <s v="Delhi"/>
    <x v="0"/>
    <x v="0"/>
    <s v="CUST1381"/>
    <s v="SP_12"/>
    <n v="3"/>
    <n v="3267.75"/>
    <n v="9803.25"/>
    <n v="6852.37"/>
    <n v="2950.88"/>
    <s v="Debit Card"/>
  </r>
  <r>
    <s v="ORD104988"/>
    <s v="2025-05-15"/>
    <x v="3"/>
    <s v="North"/>
    <s v="Punjab"/>
    <s v="Chandigarh"/>
    <x v="2"/>
    <x v="2"/>
    <s v="CUST1180"/>
    <s v="SP_10"/>
    <n v="6"/>
    <n v="46612.81"/>
    <n v="279676.86"/>
    <n v="205973.84"/>
    <n v="73703.02"/>
    <s v="Credit Card"/>
  </r>
  <r>
    <s v="ORD104989"/>
    <s v="2025-10-06"/>
    <x v="1"/>
    <s v="West"/>
    <s v="Maharashtra"/>
    <s v="Mumbai"/>
    <x v="0"/>
    <x v="9"/>
    <s v="CUST1774"/>
    <s v="SP_01"/>
    <n v="8"/>
    <n v="7611.39"/>
    <n v="60891.12"/>
    <n v="39441.660000000003"/>
    <n v="21449.46"/>
    <s v="Net Banking"/>
  </r>
  <r>
    <s v="ORD104990"/>
    <s v="2025-10-27"/>
    <x v="1"/>
    <s v="North"/>
    <s v="Delhi"/>
    <s v="Delhi"/>
    <x v="0"/>
    <x v="0"/>
    <s v="CUST1635"/>
    <s v="SP_10"/>
    <n v="7"/>
    <n v="3205.68"/>
    <n v="22439.759999999998"/>
    <n v="15320.25"/>
    <n v="7119.51"/>
    <s v="Debit Card"/>
  </r>
  <r>
    <s v="ORD104991"/>
    <s v="2025-11-05"/>
    <x v="10"/>
    <s v="South"/>
    <s v="Karnataka"/>
    <s v="Bengaluru"/>
    <x v="1"/>
    <x v="1"/>
    <s v="CUST1696"/>
    <s v="SP_06"/>
    <n v="6"/>
    <n v="2847.35"/>
    <n v="17084.099999999999"/>
    <n v="11363.94"/>
    <n v="5720.16"/>
    <s v="Credit Card"/>
  </r>
  <r>
    <s v="ORD104992"/>
    <s v="2025-11-19"/>
    <x v="10"/>
    <s v="South"/>
    <s v="Telangana"/>
    <s v="Hyderabad"/>
    <x v="3"/>
    <x v="3"/>
    <s v="CUST1875"/>
    <s v="SP_11"/>
    <n v="1"/>
    <n v="27.28"/>
    <n v="27.28"/>
    <n v="9.8000000000000007"/>
    <n v="17.48"/>
    <s v="Net Banking"/>
  </r>
  <r>
    <s v="ORD104993"/>
    <s v="2025-06-17"/>
    <x v="2"/>
    <s v="East"/>
    <s v="Bihar"/>
    <s v="Patna"/>
    <x v="0"/>
    <x v="8"/>
    <s v="CUST1156"/>
    <s v="SP_02"/>
    <n v="4"/>
    <n v="22279.72"/>
    <n v="89118.88"/>
    <n v="68323.19"/>
    <n v="20795.689999999999"/>
    <s v="Credit Card"/>
  </r>
  <r>
    <s v="ORD104994"/>
    <s v="2025-08-01"/>
    <x v="11"/>
    <s v="South"/>
    <s v="Karnataka"/>
    <s v="Bengaluru"/>
    <x v="1"/>
    <x v="6"/>
    <s v="CUST1618"/>
    <s v="SP_02"/>
    <n v="8"/>
    <n v="3067.81"/>
    <n v="24542.48"/>
    <n v="19270.080000000002"/>
    <n v="5272.4"/>
    <s v="Net Banking"/>
  </r>
  <r>
    <s v="ORD104995"/>
    <s v="2025-01-26"/>
    <x v="9"/>
    <s v="North"/>
    <s v="Delhi"/>
    <s v="Delhi"/>
    <x v="3"/>
    <x v="3"/>
    <s v="CUST1356"/>
    <s v="SP_03"/>
    <n v="8"/>
    <n v="22.99"/>
    <n v="183.92"/>
    <n v="82.17"/>
    <n v="101.75"/>
    <s v="Net Banking"/>
  </r>
  <r>
    <s v="ORD104996"/>
    <s v="2025-10-07"/>
    <x v="1"/>
    <s v="West"/>
    <s v="Gujarat"/>
    <s v="Ahmedabad"/>
    <x v="0"/>
    <x v="9"/>
    <s v="CUST1461"/>
    <s v="SP_02"/>
    <n v="8"/>
    <n v="6866.63"/>
    <n v="54933.04"/>
    <n v="40053.040000000001"/>
    <n v="14880"/>
    <s v="Net Banking"/>
  </r>
  <r>
    <s v="ORD104997"/>
    <s v="2025-08-31"/>
    <x v="11"/>
    <s v="West"/>
    <s v="Gujarat"/>
    <s v="Ahmedabad"/>
    <x v="3"/>
    <x v="11"/>
    <s v="CUST1630"/>
    <s v="SP_11"/>
    <n v="8"/>
    <n v="123.09"/>
    <n v="984.72"/>
    <n v="457.03"/>
    <n v="527.69000000000005"/>
    <s v="Debit Card"/>
  </r>
  <r>
    <s v="ORD104998"/>
    <s v="2025-07-24"/>
    <x v="6"/>
    <s v="East"/>
    <s v="Bihar"/>
    <s v="Patna"/>
    <x v="2"/>
    <x v="10"/>
    <s v="CUST1993"/>
    <s v="SP_08"/>
    <n v="5"/>
    <n v="18118.34"/>
    <n v="90591.7"/>
    <n v="67375.350000000006"/>
    <n v="23216.35"/>
    <s v="Credit Card"/>
  </r>
  <r>
    <s v="ORD104999"/>
    <s v="2025-11-17"/>
    <x v="10"/>
    <s v="East"/>
    <s v="West Bengal"/>
    <s v="Kolkata"/>
    <x v="1"/>
    <x v="5"/>
    <s v="CUST1745"/>
    <s v="SP_05"/>
    <n v="6"/>
    <n v="8815.2999999999993"/>
    <n v="52891.8"/>
    <n v="44511.51"/>
    <n v="8380.2900000000009"/>
    <s v="Credit Card"/>
  </r>
  <r>
    <s v="ORD105000"/>
    <s v="2025-06-04"/>
    <x v="2"/>
    <s v="East"/>
    <s v="Odisha"/>
    <s v="Bhubaneswar"/>
    <x v="2"/>
    <x v="2"/>
    <s v="CUST1248"/>
    <s v="SP_09"/>
    <n v="5"/>
    <n v="40645.1"/>
    <n v="203225.5"/>
    <n v="178581.16"/>
    <n v="24644.34"/>
    <s v="UPI"/>
  </r>
  <r>
    <s v="ORD105001"/>
    <s v="2025-11-02"/>
    <x v="10"/>
    <s v="South"/>
    <s v="Telangana"/>
    <s v="Hyderabad"/>
    <x v="3"/>
    <x v="11"/>
    <s v="CUST1494"/>
    <s v="SP_10"/>
    <n v="6"/>
    <n v="120.63"/>
    <n v="723.78"/>
    <n v="349.35"/>
    <n v="374.43"/>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2408D-D4B6-43DA-AD92-E053DB4BDA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A15:B20" firstHeaderRow="1" firstDataRow="1" firstDataCol="1"/>
  <pivotFields count="16">
    <pivotField showAll="0"/>
    <pivotField showAll="0"/>
    <pivotField showAll="0">
      <items count="13">
        <item x="0"/>
        <item x="11"/>
        <item x="7"/>
        <item x="8"/>
        <item x="9"/>
        <item x="6"/>
        <item x="2"/>
        <item x="4"/>
        <item x="3"/>
        <item x="10"/>
        <item x="1"/>
        <item x="5"/>
        <item t="default"/>
      </items>
    </pivotField>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Total Revenue" fld="12" baseField="0" baseItem="0"/>
  </dataFields>
  <formats count="6">
    <format dxfId="92">
      <pivotArea type="all" dataOnly="0" outline="0" fieldPosition="0"/>
    </format>
    <format dxfId="91">
      <pivotArea outline="0" collapsedLevelsAreSubtotals="1" fieldPosition="0"/>
    </format>
    <format dxfId="90">
      <pivotArea dataOnly="0" labelOnly="1" outline="0" axis="axisValues" fieldPosition="0"/>
    </format>
    <format dxfId="89">
      <pivotArea field="6" type="button" dataOnly="0" labelOnly="1" outline="0" axis="axisRow" fieldPosition="0"/>
    </format>
    <format dxfId="88">
      <pivotArea dataOnly="0" labelOnly="1" fieldPosition="0">
        <references count="1">
          <reference field="6" count="0"/>
        </references>
      </pivotArea>
    </format>
    <format dxfId="87">
      <pivotArea dataOnly="0" labelOnly="1" grandRow="1" outline="0" fieldPosition="0"/>
    </format>
  </format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81C9E-65EC-45E0-9248-13B1A122AF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6" firstHeaderRow="0" firstDataRow="1" firstDataCol="0"/>
  <pivotFields count="16">
    <pivotField showAll="0"/>
    <pivotField showAll="0"/>
    <pivotField showAll="0">
      <items count="13">
        <item x="0"/>
        <item x="11"/>
        <item x="7"/>
        <item x="8"/>
        <item x="9"/>
        <item x="6"/>
        <item x="2"/>
        <item x="4"/>
        <item x="3"/>
        <item x="10"/>
        <item x="1"/>
        <item x="5"/>
        <item t="default"/>
      </items>
    </pivotField>
    <pivotField showAll="0"/>
    <pivotField showAll="0"/>
    <pivotField showAll="0"/>
    <pivotField showAll="0">
      <items count="5">
        <item x="2"/>
        <item x="0"/>
        <item x="1"/>
        <item x="3"/>
        <item t="default"/>
      </items>
    </pivotField>
    <pivotField showAll="0"/>
    <pivotField showAll="0"/>
    <pivotField showAll="0"/>
    <pivotField showAll="0"/>
    <pivotField showAll="0"/>
    <pivotField dataField="1" showAll="0"/>
    <pivotField dataField="1" showAll="0"/>
    <pivotField dataField="1" showAll="0"/>
    <pivotField showAll="0"/>
  </pivotFields>
  <rowItems count="1">
    <i/>
  </rowItems>
  <colFields count="1">
    <field x="-2"/>
  </colFields>
  <colItems count="3">
    <i>
      <x/>
    </i>
    <i i="1">
      <x v="1"/>
    </i>
    <i i="2">
      <x v="2"/>
    </i>
  </colItems>
  <dataFields count="3">
    <dataField name="Total Revenue" fld="12" baseField="0" baseItem="0"/>
    <dataField name="Total Cost" fld="13" baseField="0" baseItem="0"/>
    <dataField name="Total Profit" fld="14" baseField="0" baseItem="0"/>
  </dataFields>
  <formats count="12">
    <format dxfId="104">
      <pivotArea type="all" dataOnly="0" outline="0" fieldPosition="0"/>
    </format>
    <format dxfId="103">
      <pivotArea outline="0" collapsedLevelsAreSubtotals="1" fieldPosition="0"/>
    </format>
    <format dxfId="102">
      <pivotArea dataOnly="0" labelOnly="1" outline="0" fieldPosition="0">
        <references count="1">
          <reference field="4294967294" count="3">
            <x v="0"/>
            <x v="1"/>
            <x v="2"/>
          </reference>
        </references>
      </pivotArea>
    </format>
    <format dxfId="101">
      <pivotArea type="all" dataOnly="0" outline="0" fieldPosition="0"/>
    </format>
    <format dxfId="100">
      <pivotArea outline="0" collapsedLevelsAreSubtotals="1" fieldPosition="0"/>
    </format>
    <format dxfId="99">
      <pivotArea dataOnly="0" labelOnly="1" outline="0" fieldPosition="0">
        <references count="1">
          <reference field="4294967294" count="3">
            <x v="0"/>
            <x v="1"/>
            <x v="2"/>
          </reference>
        </references>
      </pivotArea>
    </format>
    <format dxfId="98">
      <pivotArea type="all" dataOnly="0" outline="0" fieldPosition="0"/>
    </format>
    <format dxfId="97">
      <pivotArea outline="0" collapsedLevelsAreSubtotals="1" fieldPosition="0"/>
    </format>
    <format dxfId="96">
      <pivotArea dataOnly="0" labelOnly="1" outline="0" fieldPosition="0">
        <references count="1">
          <reference field="4294967294" count="3">
            <x v="0"/>
            <x v="1"/>
            <x v="2"/>
          </reference>
        </references>
      </pivotArea>
    </format>
    <format dxfId="95">
      <pivotArea type="all" dataOnly="0" outline="0" fieldPosition="0"/>
    </format>
    <format dxfId="94">
      <pivotArea outline="0" collapsedLevelsAreSubtotals="1" fieldPosition="0"/>
    </format>
    <format dxfId="9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6DDE0-5131-4EA8-B3B4-F0C0747928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Category">
  <location ref="A45:B58" firstHeaderRow="1" firstDataRow="1" firstDataCol="1"/>
  <pivotFields count="16">
    <pivotField showAll="0"/>
    <pivotField showAll="0"/>
    <pivotField showAll="0">
      <items count="13">
        <item x="0"/>
        <item x="11"/>
        <item x="7"/>
        <item x="8"/>
        <item x="9"/>
        <item x="6"/>
        <item x="2"/>
        <item x="4"/>
        <item x="3"/>
        <item x="10"/>
        <item x="1"/>
        <item x="5"/>
        <item t="default"/>
      </items>
    </pivotField>
    <pivotField showAll="0"/>
    <pivotField showAll="0"/>
    <pivotField showAll="0"/>
    <pivotField showAll="0">
      <items count="5">
        <item x="2"/>
        <item x="0"/>
        <item x="1"/>
        <item x="3"/>
        <item t="default"/>
      </items>
    </pivotField>
    <pivotField axis="axisRow" showAll="0" sortType="descending">
      <items count="13">
        <item x="0"/>
        <item x="1"/>
        <item x="4"/>
        <item x="2"/>
        <item x="5"/>
        <item x="6"/>
        <item x="10"/>
        <item x="11"/>
        <item x="3"/>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7"/>
  </rowFields>
  <rowItems count="13">
    <i>
      <x v="3"/>
    </i>
    <i>
      <x v="10"/>
    </i>
    <i>
      <x v="6"/>
    </i>
    <i>
      <x v="9"/>
    </i>
    <i>
      <x v="4"/>
    </i>
    <i>
      <x v="11"/>
    </i>
    <i>
      <x/>
    </i>
    <i>
      <x v="5"/>
    </i>
    <i>
      <x v="1"/>
    </i>
    <i>
      <x v="2"/>
    </i>
    <i>
      <x v="7"/>
    </i>
    <i>
      <x v="8"/>
    </i>
    <i t="grand">
      <x/>
    </i>
  </rowItems>
  <colItems count="1">
    <i/>
  </colItems>
  <dataFields count="1">
    <dataField name="Total Revenue" fld="12" baseField="0" baseItem="0"/>
  </dataFields>
  <formats count="5">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field="6" type="button" dataOnly="0" labelOnly="1" outline="0"/>
    </format>
    <format dxfId="105">
      <pivotArea dataOnly="0" labelOnly="1" grandRow="1" outline="0"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1CAB6-BECD-46E9-86BD-B734D31B95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ategory">
  <location ref="A29:B34" firstHeaderRow="1" firstDataRow="1" firstDataCol="1"/>
  <pivotFields count="16">
    <pivotField showAll="0"/>
    <pivotField showAll="0"/>
    <pivotField showAll="0">
      <items count="13">
        <item x="0"/>
        <item x="11"/>
        <item x="7"/>
        <item x="8"/>
        <item x="9"/>
        <item x="6"/>
        <item x="2"/>
        <item x="4"/>
        <item x="3"/>
        <item x="10"/>
        <item x="1"/>
        <item x="5"/>
        <item t="default"/>
      </items>
    </pivotField>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Total Pofit" fld="14" baseField="0" baseItem="0"/>
  </dataFields>
  <formats count="6">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field="6" type="button" dataOnly="0" labelOnly="1" outline="0" axis="axisRow" fieldPosition="0"/>
    </format>
    <format dxfId="111">
      <pivotArea dataOnly="0" labelOnly="1" fieldPosition="0">
        <references count="1">
          <reference field="6" count="0"/>
        </references>
      </pivotArea>
    </format>
    <format dxfId="110">
      <pivotArea dataOnly="0" labelOnly="1" grandRow="1" outline="0" fieldPosition="0"/>
    </format>
  </format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62A1A97-BDFB-414B-BD4D-0A59CE476B48}" sourceName="Year">
  <pivotTables>
    <pivotTable tabId="3" name="PivotTable2"/>
    <pivotTable tabId="3" name="PivotTable1"/>
    <pivotTable tabId="3" name="PivotTable3"/>
    <pivotTable tabId="3" name="PivotTable4"/>
  </pivotTables>
  <data>
    <tabular pivotCacheId="17851430">
      <items count="12">
        <i x="0" s="1"/>
        <i x="11" s="1"/>
        <i x="7" s="1"/>
        <i x="8" s="1"/>
        <i x="9" s="1"/>
        <i x="6" s="1"/>
        <i x="2" s="1"/>
        <i x="4" s="1"/>
        <i x="3" s="1"/>
        <i x="1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A88C2F-E2CE-47A6-92BC-AEF1B1308D54}" sourceName="Category">
  <pivotTables>
    <pivotTable tabId="3" name="PivotTable2"/>
    <pivotTable tabId="3" name="PivotTable1"/>
    <pivotTable tabId="3" name="PivotTable3"/>
    <pivotTable tabId="3" name="PivotTable4"/>
  </pivotTables>
  <data>
    <tabular pivotCacheId="1785143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F60F135-43F3-4EDF-A73F-3908857021F0}" cache="Slicer_Year" caption="Year" columnCount="6" rowHeight="234950"/>
  <slicer name="Category" xr10:uid="{5B98E2CB-DD95-410D-8D7D-3B82E8ACE15A}" cache="Slicer_Category" caption="Category"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15A64D9-FE80-4A43-85EA-5852B82B5406}" cache="Slicer_Year" caption="Year" columnCount="6" style="SlicerStyleLight6" rowHeight="234950"/>
  <slicer name="Category 1" xr10:uid="{207CCFAC-85ED-4078-95B6-3BA714DF7F73}" cache="Slicer_Category" caption="Category" columnCount="4"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1530-3FD3-47CE-8A1D-56A4EF3CC713}">
  <dimension ref="A1:P5001"/>
  <sheetViews>
    <sheetView workbookViewId="0">
      <selection activeCell="E17" sqref="A1:P5001"/>
    </sheetView>
  </sheetViews>
  <sheetFormatPr defaultRowHeight="18" x14ac:dyDescent="0.35"/>
  <cols>
    <col min="1" max="2" width="13.6640625" style="2" bestFit="1" customWidth="1"/>
    <col min="3" max="3" width="9" style="2" bestFit="1" customWidth="1"/>
    <col min="4" max="4" width="8.33203125" style="2" bestFit="1" customWidth="1"/>
    <col min="5" max="5" width="15.5546875" style="2" bestFit="1" customWidth="1"/>
    <col min="6" max="6" width="15.21875" style="2" bestFit="1" customWidth="1"/>
    <col min="7" max="7" width="19" style="2" bestFit="1" customWidth="1"/>
    <col min="8" max="8" width="15.6640625" style="2" bestFit="1" customWidth="1"/>
    <col min="9" max="9" width="14.88671875" style="2" bestFit="1" customWidth="1"/>
    <col min="10" max="10" width="13.77734375" style="2" bestFit="1" customWidth="1"/>
    <col min="11" max="11" width="10.33203125" style="2" bestFit="1" customWidth="1"/>
    <col min="12" max="12" width="12.109375" style="2" bestFit="1" customWidth="1"/>
    <col min="13" max="15" width="13.109375" style="2" bestFit="1" customWidth="1"/>
    <col min="16" max="16" width="18.109375" style="2" bestFit="1" customWidth="1"/>
    <col min="17" max="16384" width="8.88671875" style="2"/>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3" t="s">
        <v>16</v>
      </c>
      <c r="B2" s="3" t="s">
        <v>17</v>
      </c>
      <c r="C2" s="3" t="s">
        <v>18</v>
      </c>
      <c r="D2" s="3" t="s">
        <v>19</v>
      </c>
      <c r="E2" s="3" t="s">
        <v>20</v>
      </c>
      <c r="F2" s="3" t="s">
        <v>21</v>
      </c>
      <c r="G2" s="3" t="s">
        <v>22</v>
      </c>
      <c r="H2" s="3" t="s">
        <v>23</v>
      </c>
      <c r="I2" s="3" t="s">
        <v>24</v>
      </c>
      <c r="J2" s="3" t="s">
        <v>25</v>
      </c>
      <c r="K2" s="3">
        <v>3</v>
      </c>
      <c r="L2" s="3">
        <v>3348.29</v>
      </c>
      <c r="M2" s="3">
        <v>10044.870000000001</v>
      </c>
      <c r="N2" s="3">
        <v>6300.21</v>
      </c>
      <c r="O2" s="3">
        <v>3744.66</v>
      </c>
      <c r="P2" s="3" t="s">
        <v>26</v>
      </c>
    </row>
    <row r="3" spans="1:16" x14ac:dyDescent="0.35">
      <c r="A3" s="3" t="s">
        <v>27</v>
      </c>
      <c r="B3" s="3" t="s">
        <v>28</v>
      </c>
      <c r="C3" s="3" t="s">
        <v>29</v>
      </c>
      <c r="D3" s="3" t="s">
        <v>19</v>
      </c>
      <c r="E3" s="3" t="s">
        <v>20</v>
      </c>
      <c r="F3" s="3" t="s">
        <v>21</v>
      </c>
      <c r="G3" s="3" t="s">
        <v>30</v>
      </c>
      <c r="H3" s="3" t="s">
        <v>31</v>
      </c>
      <c r="I3" s="3" t="s">
        <v>32</v>
      </c>
      <c r="J3" s="3" t="s">
        <v>33</v>
      </c>
      <c r="K3" s="3">
        <v>7</v>
      </c>
      <c r="L3" s="3">
        <v>2607.69</v>
      </c>
      <c r="M3" s="3">
        <v>18253.830000000002</v>
      </c>
      <c r="N3" s="3">
        <v>13295.29</v>
      </c>
      <c r="O3" s="3">
        <v>4958.54</v>
      </c>
      <c r="P3" s="3" t="s">
        <v>34</v>
      </c>
    </row>
    <row r="4" spans="1:16" x14ac:dyDescent="0.35">
      <c r="A4" s="3" t="s">
        <v>35</v>
      </c>
      <c r="B4" s="3" t="s">
        <v>36</v>
      </c>
      <c r="C4" s="3" t="s">
        <v>37</v>
      </c>
      <c r="D4" s="3" t="s">
        <v>38</v>
      </c>
      <c r="E4" s="3" t="s">
        <v>39</v>
      </c>
      <c r="F4" s="3" t="s">
        <v>40</v>
      </c>
      <c r="G4" s="3" t="s">
        <v>41</v>
      </c>
      <c r="H4" s="3" t="s">
        <v>42</v>
      </c>
      <c r="I4" s="3" t="s">
        <v>43</v>
      </c>
      <c r="J4" s="3" t="s">
        <v>44</v>
      </c>
      <c r="K4" s="3">
        <v>7</v>
      </c>
      <c r="L4" s="3">
        <v>41232.32</v>
      </c>
      <c r="M4" s="3">
        <v>288626.24</v>
      </c>
      <c r="N4" s="3">
        <v>250749.31</v>
      </c>
      <c r="O4" s="3">
        <v>37876.93</v>
      </c>
      <c r="P4" s="3" t="s">
        <v>45</v>
      </c>
    </row>
    <row r="5" spans="1:16" x14ac:dyDescent="0.35">
      <c r="A5" s="3" t="s">
        <v>46</v>
      </c>
      <c r="B5" s="3" t="s">
        <v>47</v>
      </c>
      <c r="C5" s="3" t="s">
        <v>48</v>
      </c>
      <c r="D5" s="3" t="s">
        <v>19</v>
      </c>
      <c r="E5" s="3" t="s">
        <v>49</v>
      </c>
      <c r="F5" s="3" t="s">
        <v>50</v>
      </c>
      <c r="G5" s="3" t="s">
        <v>51</v>
      </c>
      <c r="H5" s="3" t="s">
        <v>52</v>
      </c>
      <c r="I5" s="3" t="s">
        <v>53</v>
      </c>
      <c r="J5" s="3" t="s">
        <v>54</v>
      </c>
      <c r="K5" s="3">
        <v>1</v>
      </c>
      <c r="L5" s="3">
        <v>22.97</v>
      </c>
      <c r="M5" s="3">
        <v>22.97</v>
      </c>
      <c r="N5" s="3">
        <v>10.31</v>
      </c>
      <c r="O5" s="3">
        <v>12.66</v>
      </c>
      <c r="P5" s="3" t="s">
        <v>26</v>
      </c>
    </row>
    <row r="6" spans="1:16" x14ac:dyDescent="0.35">
      <c r="A6" s="3" t="s">
        <v>55</v>
      </c>
      <c r="B6" s="3" t="s">
        <v>56</v>
      </c>
      <c r="C6" s="3" t="s">
        <v>57</v>
      </c>
      <c r="D6" s="3" t="s">
        <v>58</v>
      </c>
      <c r="E6" s="3" t="s">
        <v>59</v>
      </c>
      <c r="F6" s="3" t="s">
        <v>60</v>
      </c>
      <c r="G6" s="3" t="s">
        <v>41</v>
      </c>
      <c r="H6" s="3" t="s">
        <v>61</v>
      </c>
      <c r="I6" s="3" t="s">
        <v>62</v>
      </c>
      <c r="J6" s="3" t="s">
        <v>54</v>
      </c>
      <c r="K6" s="3">
        <v>1</v>
      </c>
      <c r="L6" s="3">
        <v>2671.27</v>
      </c>
      <c r="M6" s="3">
        <v>2671.27</v>
      </c>
      <c r="N6" s="3">
        <v>1626.05</v>
      </c>
      <c r="O6" s="3">
        <v>1045.22</v>
      </c>
      <c r="P6" s="3" t="s">
        <v>26</v>
      </c>
    </row>
    <row r="7" spans="1:16" x14ac:dyDescent="0.35">
      <c r="A7" s="3" t="s">
        <v>63</v>
      </c>
      <c r="B7" s="3" t="s">
        <v>64</v>
      </c>
      <c r="C7" s="3" t="s">
        <v>57</v>
      </c>
      <c r="D7" s="3" t="s">
        <v>58</v>
      </c>
      <c r="E7" s="3" t="s">
        <v>65</v>
      </c>
      <c r="F7" s="3" t="s">
        <v>66</v>
      </c>
      <c r="G7" s="3" t="s">
        <v>30</v>
      </c>
      <c r="H7" s="3" t="s">
        <v>67</v>
      </c>
      <c r="I7" s="3" t="s">
        <v>68</v>
      </c>
      <c r="J7" s="3" t="s">
        <v>33</v>
      </c>
      <c r="K7" s="3">
        <v>8</v>
      </c>
      <c r="L7" s="3">
        <v>8676.68</v>
      </c>
      <c r="M7" s="3">
        <v>69413.440000000002</v>
      </c>
      <c r="N7" s="3">
        <v>61666.53</v>
      </c>
      <c r="O7" s="3">
        <v>7746.91</v>
      </c>
      <c r="P7" s="3" t="s">
        <v>69</v>
      </c>
    </row>
    <row r="8" spans="1:16" x14ac:dyDescent="0.35">
      <c r="A8" s="3" t="s">
        <v>70</v>
      </c>
      <c r="B8" s="3" t="s">
        <v>71</v>
      </c>
      <c r="C8" s="3" t="s">
        <v>72</v>
      </c>
      <c r="D8" s="3" t="s">
        <v>58</v>
      </c>
      <c r="E8" s="3" t="s">
        <v>59</v>
      </c>
      <c r="F8" s="3" t="s">
        <v>60</v>
      </c>
      <c r="G8" s="3" t="s">
        <v>30</v>
      </c>
      <c r="H8" s="3" t="s">
        <v>73</v>
      </c>
      <c r="I8" s="3" t="s">
        <v>74</v>
      </c>
      <c r="J8" s="3" t="s">
        <v>44</v>
      </c>
      <c r="K8" s="3">
        <v>4</v>
      </c>
      <c r="L8" s="3">
        <v>3505.85</v>
      </c>
      <c r="M8" s="3">
        <v>14023.4</v>
      </c>
      <c r="N8" s="3">
        <v>9752.44</v>
      </c>
      <c r="O8" s="3">
        <v>4270.96</v>
      </c>
      <c r="P8" s="3" t="s">
        <v>45</v>
      </c>
    </row>
    <row r="9" spans="1:16" x14ac:dyDescent="0.35">
      <c r="A9" s="3" t="s">
        <v>75</v>
      </c>
      <c r="B9" s="3" t="s">
        <v>76</v>
      </c>
      <c r="C9" s="3" t="s">
        <v>48</v>
      </c>
      <c r="D9" s="3" t="s">
        <v>19</v>
      </c>
      <c r="E9" s="3" t="s">
        <v>49</v>
      </c>
      <c r="F9" s="3" t="s">
        <v>50</v>
      </c>
      <c r="G9" s="3" t="s">
        <v>51</v>
      </c>
      <c r="H9" s="3" t="s">
        <v>77</v>
      </c>
      <c r="I9" s="3" t="s">
        <v>78</v>
      </c>
      <c r="J9" s="3" t="s">
        <v>79</v>
      </c>
      <c r="K9" s="3">
        <v>2</v>
      </c>
      <c r="L9" s="3">
        <v>12770.64</v>
      </c>
      <c r="M9" s="3">
        <v>25541.279999999999</v>
      </c>
      <c r="N9" s="3">
        <v>18567.419999999998</v>
      </c>
      <c r="O9" s="3">
        <v>6973.86</v>
      </c>
      <c r="P9" s="3" t="s">
        <v>45</v>
      </c>
    </row>
    <row r="10" spans="1:16" x14ac:dyDescent="0.35">
      <c r="A10" s="3" t="s">
        <v>80</v>
      </c>
      <c r="B10" s="3" t="s">
        <v>81</v>
      </c>
      <c r="C10" s="3" t="s">
        <v>82</v>
      </c>
      <c r="D10" s="3" t="s">
        <v>58</v>
      </c>
      <c r="E10" s="3" t="s">
        <v>65</v>
      </c>
      <c r="F10" s="3" t="s">
        <v>66</v>
      </c>
      <c r="G10" s="3" t="s">
        <v>22</v>
      </c>
      <c r="H10" s="3" t="s">
        <v>83</v>
      </c>
      <c r="I10" s="3" t="s">
        <v>84</v>
      </c>
      <c r="J10" s="3" t="s">
        <v>85</v>
      </c>
      <c r="K10" s="3">
        <v>6</v>
      </c>
      <c r="L10" s="3">
        <v>23245.599999999999</v>
      </c>
      <c r="M10" s="3">
        <v>139473.60000000001</v>
      </c>
      <c r="N10" s="3">
        <v>104433.43</v>
      </c>
      <c r="O10" s="3">
        <v>35040.17</v>
      </c>
      <c r="P10" s="3" t="s">
        <v>86</v>
      </c>
    </row>
    <row r="11" spans="1:16" x14ac:dyDescent="0.35">
      <c r="A11" s="3" t="s">
        <v>87</v>
      </c>
      <c r="B11" s="3" t="s">
        <v>88</v>
      </c>
      <c r="C11" s="3" t="s">
        <v>89</v>
      </c>
      <c r="D11" s="3" t="s">
        <v>90</v>
      </c>
      <c r="E11" s="3" t="s">
        <v>91</v>
      </c>
      <c r="F11" s="3" t="s">
        <v>92</v>
      </c>
      <c r="G11" s="3" t="s">
        <v>22</v>
      </c>
      <c r="H11" s="3" t="s">
        <v>93</v>
      </c>
      <c r="I11" s="3" t="s">
        <v>94</v>
      </c>
      <c r="J11" s="3" t="s">
        <v>79</v>
      </c>
      <c r="K11" s="3">
        <v>2</v>
      </c>
      <c r="L11" s="3">
        <v>7457.81</v>
      </c>
      <c r="M11" s="3">
        <v>14915.62</v>
      </c>
      <c r="N11" s="3">
        <v>9982.69</v>
      </c>
      <c r="O11" s="3">
        <v>4932.93</v>
      </c>
      <c r="P11" s="3" t="s">
        <v>45</v>
      </c>
    </row>
    <row r="12" spans="1:16" x14ac:dyDescent="0.35">
      <c r="A12" s="3" t="s">
        <v>95</v>
      </c>
      <c r="B12" s="3" t="s">
        <v>96</v>
      </c>
      <c r="C12" s="3" t="s">
        <v>48</v>
      </c>
      <c r="D12" s="3" t="s">
        <v>90</v>
      </c>
      <c r="E12" s="3" t="s">
        <v>97</v>
      </c>
      <c r="F12" s="3" t="s">
        <v>98</v>
      </c>
      <c r="G12" s="3" t="s">
        <v>22</v>
      </c>
      <c r="H12" s="3" t="s">
        <v>93</v>
      </c>
      <c r="I12" s="3" t="s">
        <v>99</v>
      </c>
      <c r="J12" s="3" t="s">
        <v>100</v>
      </c>
      <c r="K12" s="3">
        <v>6</v>
      </c>
      <c r="L12" s="3">
        <v>7515.77</v>
      </c>
      <c r="M12" s="3">
        <v>45094.62</v>
      </c>
      <c r="N12" s="3">
        <v>29128.39</v>
      </c>
      <c r="O12" s="3">
        <v>15966.23</v>
      </c>
      <c r="P12" s="3" t="s">
        <v>86</v>
      </c>
    </row>
    <row r="13" spans="1:16" x14ac:dyDescent="0.35">
      <c r="A13" s="3" t="s">
        <v>101</v>
      </c>
      <c r="B13" s="3" t="s">
        <v>102</v>
      </c>
      <c r="C13" s="3" t="s">
        <v>103</v>
      </c>
      <c r="D13" s="3" t="s">
        <v>38</v>
      </c>
      <c r="E13" s="3" t="s">
        <v>104</v>
      </c>
      <c r="F13" s="3" t="s">
        <v>104</v>
      </c>
      <c r="G13" s="3" t="s">
        <v>51</v>
      </c>
      <c r="H13" s="3" t="s">
        <v>52</v>
      </c>
      <c r="I13" s="3" t="s">
        <v>105</v>
      </c>
      <c r="J13" s="3" t="s">
        <v>106</v>
      </c>
      <c r="K13" s="3">
        <v>5</v>
      </c>
      <c r="L13" s="3">
        <v>24.18</v>
      </c>
      <c r="M13" s="3">
        <v>120.9</v>
      </c>
      <c r="N13" s="3">
        <v>50.89</v>
      </c>
      <c r="O13" s="3">
        <v>70.010000000000005</v>
      </c>
      <c r="P13" s="3" t="s">
        <v>34</v>
      </c>
    </row>
    <row r="14" spans="1:16" x14ac:dyDescent="0.35">
      <c r="A14" s="3" t="s">
        <v>107</v>
      </c>
      <c r="B14" s="3" t="s">
        <v>108</v>
      </c>
      <c r="C14" s="3" t="s">
        <v>72</v>
      </c>
      <c r="D14" s="3" t="s">
        <v>38</v>
      </c>
      <c r="E14" s="3" t="s">
        <v>109</v>
      </c>
      <c r="F14" s="3" t="s">
        <v>110</v>
      </c>
      <c r="G14" s="3" t="s">
        <v>30</v>
      </c>
      <c r="H14" s="3" t="s">
        <v>31</v>
      </c>
      <c r="I14" s="3" t="s">
        <v>111</v>
      </c>
      <c r="J14" s="3" t="s">
        <v>54</v>
      </c>
      <c r="K14" s="3">
        <v>3</v>
      </c>
      <c r="L14" s="3">
        <v>2832.74</v>
      </c>
      <c r="M14" s="3">
        <v>8498.2199999999993</v>
      </c>
      <c r="N14" s="3">
        <v>5554.34</v>
      </c>
      <c r="O14" s="3">
        <v>2943.88</v>
      </c>
      <c r="P14" s="3" t="s">
        <v>69</v>
      </c>
    </row>
    <row r="15" spans="1:16" x14ac:dyDescent="0.35">
      <c r="A15" s="3" t="s">
        <v>112</v>
      </c>
      <c r="B15" s="3" t="s">
        <v>113</v>
      </c>
      <c r="C15" s="3" t="s">
        <v>114</v>
      </c>
      <c r="D15" s="3" t="s">
        <v>90</v>
      </c>
      <c r="E15" s="3" t="s">
        <v>97</v>
      </c>
      <c r="F15" s="3" t="s">
        <v>98</v>
      </c>
      <c r="G15" s="3" t="s">
        <v>41</v>
      </c>
      <c r="H15" s="3" t="s">
        <v>42</v>
      </c>
      <c r="I15" s="3" t="s">
        <v>115</v>
      </c>
      <c r="J15" s="3" t="s">
        <v>106</v>
      </c>
      <c r="K15" s="3">
        <v>8</v>
      </c>
      <c r="L15" s="3">
        <v>47025.58</v>
      </c>
      <c r="M15" s="3">
        <v>376204.64</v>
      </c>
      <c r="N15" s="3">
        <v>276719.21999999997</v>
      </c>
      <c r="O15" s="3">
        <v>99485.42</v>
      </c>
      <c r="P15" s="3" t="s">
        <v>34</v>
      </c>
    </row>
    <row r="16" spans="1:16" x14ac:dyDescent="0.35">
      <c r="A16" s="3" t="s">
        <v>116</v>
      </c>
      <c r="B16" s="3" t="s">
        <v>117</v>
      </c>
      <c r="C16" s="3" t="s">
        <v>118</v>
      </c>
      <c r="D16" s="3" t="s">
        <v>90</v>
      </c>
      <c r="E16" s="3" t="s">
        <v>119</v>
      </c>
      <c r="F16" s="3" t="s">
        <v>120</v>
      </c>
      <c r="G16" s="3" t="s">
        <v>30</v>
      </c>
      <c r="H16" s="3" t="s">
        <v>67</v>
      </c>
      <c r="I16" s="3" t="s">
        <v>121</v>
      </c>
      <c r="J16" s="3" t="s">
        <v>33</v>
      </c>
      <c r="K16" s="3">
        <v>3</v>
      </c>
      <c r="L16" s="3">
        <v>8814.4599999999991</v>
      </c>
      <c r="M16" s="3">
        <v>26443.38</v>
      </c>
      <c r="N16" s="3">
        <v>22060.16</v>
      </c>
      <c r="O16" s="3">
        <v>4383.22</v>
      </c>
      <c r="P16" s="3" t="s">
        <v>45</v>
      </c>
    </row>
    <row r="17" spans="1:16" x14ac:dyDescent="0.35">
      <c r="A17" s="3" t="s">
        <v>122</v>
      </c>
      <c r="B17" s="3" t="s">
        <v>123</v>
      </c>
      <c r="C17" s="3" t="s">
        <v>18</v>
      </c>
      <c r="D17" s="3" t="s">
        <v>38</v>
      </c>
      <c r="E17" s="3" t="s">
        <v>109</v>
      </c>
      <c r="F17" s="3" t="s">
        <v>110</v>
      </c>
      <c r="G17" s="3" t="s">
        <v>22</v>
      </c>
      <c r="H17" s="3" t="s">
        <v>23</v>
      </c>
      <c r="I17" s="3" t="s">
        <v>124</v>
      </c>
      <c r="J17" s="3" t="s">
        <v>79</v>
      </c>
      <c r="K17" s="3">
        <v>2</v>
      </c>
      <c r="L17" s="3">
        <v>3771.02</v>
      </c>
      <c r="M17" s="3">
        <v>7542.04</v>
      </c>
      <c r="N17" s="3">
        <v>4329.68</v>
      </c>
      <c r="O17" s="3">
        <v>3212.36</v>
      </c>
      <c r="P17" s="3" t="s">
        <v>69</v>
      </c>
    </row>
    <row r="18" spans="1:16" x14ac:dyDescent="0.35">
      <c r="A18" s="3" t="s">
        <v>125</v>
      </c>
      <c r="B18" s="3" t="s">
        <v>126</v>
      </c>
      <c r="C18" s="3" t="s">
        <v>103</v>
      </c>
      <c r="D18" s="3" t="s">
        <v>38</v>
      </c>
      <c r="E18" s="3" t="s">
        <v>104</v>
      </c>
      <c r="F18" s="3" t="s">
        <v>104</v>
      </c>
      <c r="G18" s="3" t="s">
        <v>41</v>
      </c>
      <c r="H18" s="3" t="s">
        <v>61</v>
      </c>
      <c r="I18" s="3" t="s">
        <v>127</v>
      </c>
      <c r="J18" s="3" t="s">
        <v>25</v>
      </c>
      <c r="K18" s="3">
        <v>6</v>
      </c>
      <c r="L18" s="3">
        <v>2632.19</v>
      </c>
      <c r="M18" s="3">
        <v>15793.14</v>
      </c>
      <c r="N18" s="3">
        <v>9362.26</v>
      </c>
      <c r="O18" s="3">
        <v>6430.88</v>
      </c>
      <c r="P18" s="3" t="s">
        <v>86</v>
      </c>
    </row>
    <row r="19" spans="1:16" x14ac:dyDescent="0.35">
      <c r="A19" s="3" t="s">
        <v>128</v>
      </c>
      <c r="B19" s="3" t="s">
        <v>129</v>
      </c>
      <c r="C19" s="3" t="s">
        <v>37</v>
      </c>
      <c r="D19" s="3" t="s">
        <v>90</v>
      </c>
      <c r="E19" s="3" t="s">
        <v>91</v>
      </c>
      <c r="F19" s="3" t="s">
        <v>92</v>
      </c>
      <c r="G19" s="3" t="s">
        <v>22</v>
      </c>
      <c r="H19" s="3" t="s">
        <v>23</v>
      </c>
      <c r="I19" s="3" t="s">
        <v>130</v>
      </c>
      <c r="J19" s="3" t="s">
        <v>131</v>
      </c>
      <c r="K19" s="3">
        <v>5</v>
      </c>
      <c r="L19" s="3">
        <v>3295.69</v>
      </c>
      <c r="M19" s="3">
        <v>16478.45</v>
      </c>
      <c r="N19" s="3">
        <v>10560.67</v>
      </c>
      <c r="O19" s="3">
        <v>5917.78</v>
      </c>
      <c r="P19" s="3" t="s">
        <v>45</v>
      </c>
    </row>
    <row r="20" spans="1:16" x14ac:dyDescent="0.35">
      <c r="A20" s="3" t="s">
        <v>132</v>
      </c>
      <c r="B20" s="3" t="s">
        <v>133</v>
      </c>
      <c r="C20" s="3" t="s">
        <v>18</v>
      </c>
      <c r="D20" s="3" t="s">
        <v>58</v>
      </c>
      <c r="E20" s="3" t="s">
        <v>59</v>
      </c>
      <c r="F20" s="3" t="s">
        <v>60</v>
      </c>
      <c r="G20" s="3" t="s">
        <v>22</v>
      </c>
      <c r="H20" s="3" t="s">
        <v>93</v>
      </c>
      <c r="I20" s="3" t="s">
        <v>134</v>
      </c>
      <c r="J20" s="3" t="s">
        <v>79</v>
      </c>
      <c r="K20" s="3">
        <v>6</v>
      </c>
      <c r="L20" s="3">
        <v>7170.21</v>
      </c>
      <c r="M20" s="3">
        <v>43021.26</v>
      </c>
      <c r="N20" s="3">
        <v>30238.7</v>
      </c>
      <c r="O20" s="3">
        <v>12782.56</v>
      </c>
      <c r="P20" s="3" t="s">
        <v>69</v>
      </c>
    </row>
    <row r="21" spans="1:16" x14ac:dyDescent="0.35">
      <c r="A21" s="3" t="s">
        <v>135</v>
      </c>
      <c r="B21" s="3" t="s">
        <v>136</v>
      </c>
      <c r="C21" s="3" t="s">
        <v>137</v>
      </c>
      <c r="D21" s="3" t="s">
        <v>19</v>
      </c>
      <c r="E21" s="3" t="s">
        <v>49</v>
      </c>
      <c r="F21" s="3" t="s">
        <v>50</v>
      </c>
      <c r="G21" s="3" t="s">
        <v>41</v>
      </c>
      <c r="H21" s="3" t="s">
        <v>138</v>
      </c>
      <c r="I21" s="3" t="s">
        <v>139</v>
      </c>
      <c r="J21" s="3" t="s">
        <v>106</v>
      </c>
      <c r="K21" s="3">
        <v>7</v>
      </c>
      <c r="L21" s="3">
        <v>18210.41</v>
      </c>
      <c r="M21" s="3">
        <v>127472.87</v>
      </c>
      <c r="N21" s="3">
        <v>94435.25</v>
      </c>
      <c r="O21" s="3">
        <v>33037.620000000003</v>
      </c>
      <c r="P21" s="3" t="s">
        <v>45</v>
      </c>
    </row>
    <row r="22" spans="1:16" x14ac:dyDescent="0.35">
      <c r="A22" s="3" t="s">
        <v>140</v>
      </c>
      <c r="B22" s="3" t="s">
        <v>141</v>
      </c>
      <c r="C22" s="3" t="s">
        <v>57</v>
      </c>
      <c r="D22" s="3" t="s">
        <v>38</v>
      </c>
      <c r="E22" s="3" t="s">
        <v>39</v>
      </c>
      <c r="F22" s="3" t="s">
        <v>40</v>
      </c>
      <c r="G22" s="3" t="s">
        <v>30</v>
      </c>
      <c r="H22" s="3" t="s">
        <v>31</v>
      </c>
      <c r="I22" s="3" t="s">
        <v>142</v>
      </c>
      <c r="J22" s="3" t="s">
        <v>54</v>
      </c>
      <c r="K22" s="3">
        <v>7</v>
      </c>
      <c r="L22" s="3">
        <v>2538.4</v>
      </c>
      <c r="M22" s="3">
        <v>17768.8</v>
      </c>
      <c r="N22" s="3">
        <v>13658.28</v>
      </c>
      <c r="O22" s="3">
        <v>4110.5200000000004</v>
      </c>
      <c r="P22" s="3" t="s">
        <v>26</v>
      </c>
    </row>
    <row r="23" spans="1:16" x14ac:dyDescent="0.35">
      <c r="A23" s="3" t="s">
        <v>143</v>
      </c>
      <c r="B23" s="3" t="s">
        <v>144</v>
      </c>
      <c r="C23" s="3" t="s">
        <v>37</v>
      </c>
      <c r="D23" s="3" t="s">
        <v>90</v>
      </c>
      <c r="E23" s="3" t="s">
        <v>97</v>
      </c>
      <c r="F23" s="3" t="s">
        <v>98</v>
      </c>
      <c r="G23" s="3" t="s">
        <v>51</v>
      </c>
      <c r="H23" s="3" t="s">
        <v>145</v>
      </c>
      <c r="I23" s="3" t="s">
        <v>146</v>
      </c>
      <c r="J23" s="3" t="s">
        <v>147</v>
      </c>
      <c r="K23" s="3">
        <v>4</v>
      </c>
      <c r="L23" s="3">
        <v>115.95</v>
      </c>
      <c r="M23" s="3">
        <v>463.8</v>
      </c>
      <c r="N23" s="3">
        <v>231.07</v>
      </c>
      <c r="O23" s="3">
        <v>232.73</v>
      </c>
      <c r="P23" s="3" t="s">
        <v>26</v>
      </c>
    </row>
    <row r="24" spans="1:16" x14ac:dyDescent="0.35">
      <c r="A24" s="3" t="s">
        <v>148</v>
      </c>
      <c r="B24" s="3" t="s">
        <v>149</v>
      </c>
      <c r="C24" s="3" t="s">
        <v>118</v>
      </c>
      <c r="D24" s="3" t="s">
        <v>58</v>
      </c>
      <c r="E24" s="3" t="s">
        <v>59</v>
      </c>
      <c r="F24" s="3" t="s">
        <v>60</v>
      </c>
      <c r="G24" s="3" t="s">
        <v>22</v>
      </c>
      <c r="H24" s="3" t="s">
        <v>83</v>
      </c>
      <c r="I24" s="3" t="s">
        <v>150</v>
      </c>
      <c r="J24" s="3" t="s">
        <v>54</v>
      </c>
      <c r="K24" s="3">
        <v>7</v>
      </c>
      <c r="L24" s="3">
        <v>20404.13</v>
      </c>
      <c r="M24" s="3">
        <v>142828.91</v>
      </c>
      <c r="N24" s="3">
        <v>123414.78</v>
      </c>
      <c r="O24" s="3">
        <v>19414.13</v>
      </c>
      <c r="P24" s="3" t="s">
        <v>69</v>
      </c>
    </row>
    <row r="25" spans="1:16" x14ac:dyDescent="0.35">
      <c r="A25" s="3" t="s">
        <v>151</v>
      </c>
      <c r="B25" s="3" t="s">
        <v>152</v>
      </c>
      <c r="C25" s="3" t="s">
        <v>57</v>
      </c>
      <c r="D25" s="3" t="s">
        <v>38</v>
      </c>
      <c r="E25" s="3" t="s">
        <v>39</v>
      </c>
      <c r="F25" s="3" t="s">
        <v>40</v>
      </c>
      <c r="G25" s="3" t="s">
        <v>30</v>
      </c>
      <c r="H25" s="3" t="s">
        <v>73</v>
      </c>
      <c r="I25" s="3" t="s">
        <v>153</v>
      </c>
      <c r="J25" s="3" t="s">
        <v>154</v>
      </c>
      <c r="K25" s="3">
        <v>5</v>
      </c>
      <c r="L25" s="3">
        <v>3011.35</v>
      </c>
      <c r="M25" s="3">
        <v>15056.75</v>
      </c>
      <c r="N25" s="3">
        <v>11537.88</v>
      </c>
      <c r="O25" s="3">
        <v>3518.87</v>
      </c>
      <c r="P25" s="3" t="s">
        <v>34</v>
      </c>
    </row>
    <row r="26" spans="1:16" x14ac:dyDescent="0.35">
      <c r="A26" s="3" t="s">
        <v>155</v>
      </c>
      <c r="B26" s="3" t="s">
        <v>156</v>
      </c>
      <c r="C26" s="3" t="s">
        <v>103</v>
      </c>
      <c r="D26" s="3" t="s">
        <v>19</v>
      </c>
      <c r="E26" s="3" t="s">
        <v>20</v>
      </c>
      <c r="F26" s="3" t="s">
        <v>21</v>
      </c>
      <c r="G26" s="3" t="s">
        <v>22</v>
      </c>
      <c r="H26" s="3" t="s">
        <v>83</v>
      </c>
      <c r="I26" s="3" t="s">
        <v>157</v>
      </c>
      <c r="J26" s="3" t="s">
        <v>44</v>
      </c>
      <c r="K26" s="3">
        <v>8</v>
      </c>
      <c r="L26" s="3">
        <v>23703.38</v>
      </c>
      <c r="M26" s="3">
        <v>189627.04</v>
      </c>
      <c r="N26" s="3">
        <v>130802.21</v>
      </c>
      <c r="O26" s="3">
        <v>58824.83</v>
      </c>
      <c r="P26" s="3" t="s">
        <v>69</v>
      </c>
    </row>
    <row r="27" spans="1:16" x14ac:dyDescent="0.35">
      <c r="A27" s="3" t="s">
        <v>158</v>
      </c>
      <c r="B27" s="3" t="s">
        <v>159</v>
      </c>
      <c r="C27" s="3" t="s">
        <v>118</v>
      </c>
      <c r="D27" s="3" t="s">
        <v>58</v>
      </c>
      <c r="E27" s="3" t="s">
        <v>65</v>
      </c>
      <c r="F27" s="3" t="s">
        <v>66</v>
      </c>
      <c r="G27" s="3" t="s">
        <v>22</v>
      </c>
      <c r="H27" s="3" t="s">
        <v>23</v>
      </c>
      <c r="I27" s="3" t="s">
        <v>160</v>
      </c>
      <c r="J27" s="3" t="s">
        <v>161</v>
      </c>
      <c r="K27" s="3">
        <v>7</v>
      </c>
      <c r="L27" s="3">
        <v>3369.31</v>
      </c>
      <c r="M27" s="3">
        <v>23585.17</v>
      </c>
      <c r="N27" s="3">
        <v>15077.94</v>
      </c>
      <c r="O27" s="3">
        <v>8507.23</v>
      </c>
      <c r="P27" s="3" t="s">
        <v>69</v>
      </c>
    </row>
    <row r="28" spans="1:16" x14ac:dyDescent="0.35">
      <c r="A28" s="3" t="s">
        <v>162</v>
      </c>
      <c r="B28" s="3" t="s">
        <v>163</v>
      </c>
      <c r="C28" s="3" t="s">
        <v>137</v>
      </c>
      <c r="D28" s="3" t="s">
        <v>38</v>
      </c>
      <c r="E28" s="3" t="s">
        <v>39</v>
      </c>
      <c r="F28" s="3" t="s">
        <v>40</v>
      </c>
      <c r="G28" s="3" t="s">
        <v>51</v>
      </c>
      <c r="H28" s="3" t="s">
        <v>52</v>
      </c>
      <c r="I28" s="3" t="s">
        <v>164</v>
      </c>
      <c r="J28" s="3" t="s">
        <v>106</v>
      </c>
      <c r="K28" s="3">
        <v>8</v>
      </c>
      <c r="L28" s="3">
        <v>25.53</v>
      </c>
      <c r="M28" s="3">
        <v>204.24</v>
      </c>
      <c r="N28" s="3">
        <v>76.239999999999995</v>
      </c>
      <c r="O28" s="3">
        <v>128</v>
      </c>
      <c r="P28" s="3" t="s">
        <v>26</v>
      </c>
    </row>
    <row r="29" spans="1:16" x14ac:dyDescent="0.35">
      <c r="A29" s="3" t="s">
        <v>165</v>
      </c>
      <c r="B29" s="3" t="s">
        <v>166</v>
      </c>
      <c r="C29" s="3" t="s">
        <v>37</v>
      </c>
      <c r="D29" s="3" t="s">
        <v>90</v>
      </c>
      <c r="E29" s="3" t="s">
        <v>119</v>
      </c>
      <c r="F29" s="3" t="s">
        <v>120</v>
      </c>
      <c r="G29" s="3" t="s">
        <v>30</v>
      </c>
      <c r="H29" s="3" t="s">
        <v>31</v>
      </c>
      <c r="I29" s="3" t="s">
        <v>167</v>
      </c>
      <c r="J29" s="3" t="s">
        <v>33</v>
      </c>
      <c r="K29" s="3">
        <v>7</v>
      </c>
      <c r="L29" s="3">
        <v>2711.66</v>
      </c>
      <c r="M29" s="3">
        <v>18981.62</v>
      </c>
      <c r="N29" s="3">
        <v>13682.99</v>
      </c>
      <c r="O29" s="3">
        <v>5298.63</v>
      </c>
      <c r="P29" s="3" t="s">
        <v>34</v>
      </c>
    </row>
    <row r="30" spans="1:16" x14ac:dyDescent="0.35">
      <c r="A30" s="3" t="s">
        <v>168</v>
      </c>
      <c r="B30" s="3" t="s">
        <v>169</v>
      </c>
      <c r="C30" s="3" t="s">
        <v>37</v>
      </c>
      <c r="D30" s="3" t="s">
        <v>19</v>
      </c>
      <c r="E30" s="3" t="s">
        <v>20</v>
      </c>
      <c r="F30" s="3" t="s">
        <v>21</v>
      </c>
      <c r="G30" s="3" t="s">
        <v>41</v>
      </c>
      <c r="H30" s="3" t="s">
        <v>61</v>
      </c>
      <c r="I30" s="3" t="s">
        <v>170</v>
      </c>
      <c r="J30" s="3" t="s">
        <v>171</v>
      </c>
      <c r="K30" s="3">
        <v>1</v>
      </c>
      <c r="L30" s="3">
        <v>2400.65</v>
      </c>
      <c r="M30" s="3">
        <v>2400.65</v>
      </c>
      <c r="N30" s="3">
        <v>1652.29</v>
      </c>
      <c r="O30" s="3">
        <v>748.36</v>
      </c>
      <c r="P30" s="3" t="s">
        <v>34</v>
      </c>
    </row>
    <row r="31" spans="1:16" x14ac:dyDescent="0.35">
      <c r="A31" s="3" t="s">
        <v>172</v>
      </c>
      <c r="B31" s="3" t="s">
        <v>173</v>
      </c>
      <c r="C31" s="3" t="s">
        <v>118</v>
      </c>
      <c r="D31" s="3" t="s">
        <v>58</v>
      </c>
      <c r="E31" s="3" t="s">
        <v>65</v>
      </c>
      <c r="F31" s="3" t="s">
        <v>66</v>
      </c>
      <c r="G31" s="3" t="s">
        <v>22</v>
      </c>
      <c r="H31" s="3" t="s">
        <v>23</v>
      </c>
      <c r="I31" s="3" t="s">
        <v>174</v>
      </c>
      <c r="J31" s="3" t="s">
        <v>131</v>
      </c>
      <c r="K31" s="3">
        <v>8</v>
      </c>
      <c r="L31" s="3">
        <v>3499.14</v>
      </c>
      <c r="M31" s="3">
        <v>27993.119999999999</v>
      </c>
      <c r="N31" s="3">
        <v>17078.240000000002</v>
      </c>
      <c r="O31" s="3">
        <v>10914.88</v>
      </c>
      <c r="P31" s="3" t="s">
        <v>69</v>
      </c>
    </row>
    <row r="32" spans="1:16" x14ac:dyDescent="0.35">
      <c r="A32" s="3" t="s">
        <v>175</v>
      </c>
      <c r="B32" s="3" t="s">
        <v>96</v>
      </c>
      <c r="C32" s="3" t="s">
        <v>48</v>
      </c>
      <c r="D32" s="3" t="s">
        <v>58</v>
      </c>
      <c r="E32" s="3" t="s">
        <v>176</v>
      </c>
      <c r="F32" s="3" t="s">
        <v>177</v>
      </c>
      <c r="G32" s="3" t="s">
        <v>41</v>
      </c>
      <c r="H32" s="3" t="s">
        <v>138</v>
      </c>
      <c r="I32" s="3" t="s">
        <v>178</v>
      </c>
      <c r="J32" s="3" t="s">
        <v>147</v>
      </c>
      <c r="K32" s="3">
        <v>1</v>
      </c>
      <c r="L32" s="3">
        <v>17839.43</v>
      </c>
      <c r="M32" s="3">
        <v>17839.43</v>
      </c>
      <c r="N32" s="3">
        <v>14614.99</v>
      </c>
      <c r="O32" s="3">
        <v>3224.44</v>
      </c>
      <c r="P32" s="3" t="s">
        <v>86</v>
      </c>
    </row>
    <row r="33" spans="1:16" x14ac:dyDescent="0.35">
      <c r="A33" s="3" t="s">
        <v>179</v>
      </c>
      <c r="B33" s="3" t="s">
        <v>180</v>
      </c>
      <c r="C33" s="3" t="s">
        <v>48</v>
      </c>
      <c r="D33" s="3" t="s">
        <v>58</v>
      </c>
      <c r="E33" s="3" t="s">
        <v>59</v>
      </c>
      <c r="F33" s="3" t="s">
        <v>60</v>
      </c>
      <c r="G33" s="3" t="s">
        <v>22</v>
      </c>
      <c r="H33" s="3" t="s">
        <v>23</v>
      </c>
      <c r="I33" s="3" t="s">
        <v>181</v>
      </c>
      <c r="J33" s="3" t="s">
        <v>85</v>
      </c>
      <c r="K33" s="3">
        <v>5</v>
      </c>
      <c r="L33" s="3">
        <v>3549.36</v>
      </c>
      <c r="M33" s="3">
        <v>17746.8</v>
      </c>
      <c r="N33" s="3">
        <v>10680.32</v>
      </c>
      <c r="O33" s="3">
        <v>7066.48</v>
      </c>
      <c r="P33" s="3" t="s">
        <v>86</v>
      </c>
    </row>
    <row r="34" spans="1:16" x14ac:dyDescent="0.35">
      <c r="A34" s="3" t="s">
        <v>182</v>
      </c>
      <c r="B34" s="3" t="s">
        <v>183</v>
      </c>
      <c r="C34" s="3" t="s">
        <v>114</v>
      </c>
      <c r="D34" s="3" t="s">
        <v>19</v>
      </c>
      <c r="E34" s="3" t="s">
        <v>49</v>
      </c>
      <c r="F34" s="3" t="s">
        <v>50</v>
      </c>
      <c r="G34" s="3" t="s">
        <v>30</v>
      </c>
      <c r="H34" s="3" t="s">
        <v>73</v>
      </c>
      <c r="I34" s="3" t="s">
        <v>184</v>
      </c>
      <c r="J34" s="3" t="s">
        <v>154</v>
      </c>
      <c r="K34" s="3">
        <v>1</v>
      </c>
      <c r="L34" s="3">
        <v>3084.11</v>
      </c>
      <c r="M34" s="3">
        <v>3084.11</v>
      </c>
      <c r="N34" s="3">
        <v>2302.6999999999998</v>
      </c>
      <c r="O34" s="3">
        <v>781.41</v>
      </c>
      <c r="P34" s="3" t="s">
        <v>69</v>
      </c>
    </row>
    <row r="35" spans="1:16" x14ac:dyDescent="0.35">
      <c r="A35" s="3" t="s">
        <v>185</v>
      </c>
      <c r="B35" s="3" t="s">
        <v>186</v>
      </c>
      <c r="C35" s="3" t="s">
        <v>89</v>
      </c>
      <c r="D35" s="3" t="s">
        <v>19</v>
      </c>
      <c r="E35" s="3" t="s">
        <v>20</v>
      </c>
      <c r="F35" s="3" t="s">
        <v>21</v>
      </c>
      <c r="G35" s="3" t="s">
        <v>22</v>
      </c>
      <c r="H35" s="3" t="s">
        <v>93</v>
      </c>
      <c r="I35" s="3" t="s">
        <v>187</v>
      </c>
      <c r="J35" s="3" t="s">
        <v>188</v>
      </c>
      <c r="K35" s="3">
        <v>1</v>
      </c>
      <c r="L35" s="3">
        <v>7580.34</v>
      </c>
      <c r="M35" s="3">
        <v>7580.34</v>
      </c>
      <c r="N35" s="3">
        <v>4784.68</v>
      </c>
      <c r="O35" s="3">
        <v>2795.66</v>
      </c>
      <c r="P35" s="3" t="s">
        <v>45</v>
      </c>
    </row>
    <row r="36" spans="1:16" x14ac:dyDescent="0.35">
      <c r="A36" s="3" t="s">
        <v>189</v>
      </c>
      <c r="B36" s="3" t="s">
        <v>159</v>
      </c>
      <c r="C36" s="3" t="s">
        <v>118</v>
      </c>
      <c r="D36" s="3" t="s">
        <v>58</v>
      </c>
      <c r="E36" s="3" t="s">
        <v>65</v>
      </c>
      <c r="F36" s="3" t="s">
        <v>66</v>
      </c>
      <c r="G36" s="3" t="s">
        <v>51</v>
      </c>
      <c r="H36" s="3" t="s">
        <v>52</v>
      </c>
      <c r="I36" s="3" t="s">
        <v>190</v>
      </c>
      <c r="J36" s="3" t="s">
        <v>85</v>
      </c>
      <c r="K36" s="3">
        <v>7</v>
      </c>
      <c r="L36" s="3">
        <v>26.51</v>
      </c>
      <c r="M36" s="3">
        <v>185.57</v>
      </c>
      <c r="N36" s="3">
        <v>71.47</v>
      </c>
      <c r="O36" s="3">
        <v>114.1</v>
      </c>
      <c r="P36" s="3" t="s">
        <v>26</v>
      </c>
    </row>
    <row r="37" spans="1:16" x14ac:dyDescent="0.35">
      <c r="A37" s="3" t="s">
        <v>191</v>
      </c>
      <c r="B37" s="3" t="s">
        <v>192</v>
      </c>
      <c r="C37" s="3" t="s">
        <v>103</v>
      </c>
      <c r="D37" s="3" t="s">
        <v>19</v>
      </c>
      <c r="E37" s="3" t="s">
        <v>49</v>
      </c>
      <c r="F37" s="3" t="s">
        <v>50</v>
      </c>
      <c r="G37" s="3" t="s">
        <v>30</v>
      </c>
      <c r="H37" s="3" t="s">
        <v>67</v>
      </c>
      <c r="I37" s="3" t="s">
        <v>193</v>
      </c>
      <c r="J37" s="3" t="s">
        <v>171</v>
      </c>
      <c r="K37" s="3">
        <v>3</v>
      </c>
      <c r="L37" s="3">
        <v>9384.5400000000009</v>
      </c>
      <c r="M37" s="3">
        <v>28153.62</v>
      </c>
      <c r="N37" s="3">
        <v>22094.82</v>
      </c>
      <c r="O37" s="3">
        <v>6058.8</v>
      </c>
      <c r="P37" s="3" t="s">
        <v>26</v>
      </c>
    </row>
    <row r="38" spans="1:16" x14ac:dyDescent="0.35">
      <c r="A38" s="3" t="s">
        <v>194</v>
      </c>
      <c r="B38" s="3" t="s">
        <v>195</v>
      </c>
      <c r="C38" s="3" t="s">
        <v>18</v>
      </c>
      <c r="D38" s="3" t="s">
        <v>58</v>
      </c>
      <c r="E38" s="3" t="s">
        <v>59</v>
      </c>
      <c r="F38" s="3" t="s">
        <v>60</v>
      </c>
      <c r="G38" s="3" t="s">
        <v>51</v>
      </c>
      <c r="H38" s="3" t="s">
        <v>77</v>
      </c>
      <c r="I38" s="3" t="s">
        <v>196</v>
      </c>
      <c r="J38" s="3" t="s">
        <v>25</v>
      </c>
      <c r="K38" s="3">
        <v>1</v>
      </c>
      <c r="L38" s="3">
        <v>11145.48</v>
      </c>
      <c r="M38" s="3">
        <v>11145.48</v>
      </c>
      <c r="N38" s="3">
        <v>9173.66</v>
      </c>
      <c r="O38" s="3">
        <v>1971.82</v>
      </c>
      <c r="P38" s="3" t="s">
        <v>34</v>
      </c>
    </row>
    <row r="39" spans="1:16" x14ac:dyDescent="0.35">
      <c r="A39" s="3" t="s">
        <v>197</v>
      </c>
      <c r="B39" s="3" t="s">
        <v>198</v>
      </c>
      <c r="C39" s="3" t="s">
        <v>29</v>
      </c>
      <c r="D39" s="3" t="s">
        <v>19</v>
      </c>
      <c r="E39" s="3" t="s">
        <v>199</v>
      </c>
      <c r="F39" s="3" t="s">
        <v>200</v>
      </c>
      <c r="G39" s="3" t="s">
        <v>51</v>
      </c>
      <c r="H39" s="3" t="s">
        <v>77</v>
      </c>
      <c r="I39" s="3" t="s">
        <v>201</v>
      </c>
      <c r="J39" s="3" t="s">
        <v>147</v>
      </c>
      <c r="K39" s="3">
        <v>7</v>
      </c>
      <c r="L39" s="3">
        <v>11241.8</v>
      </c>
      <c r="M39" s="3">
        <v>78692.600000000006</v>
      </c>
      <c r="N39" s="3">
        <v>63164.9</v>
      </c>
      <c r="O39" s="3">
        <v>15527.7</v>
      </c>
      <c r="P39" s="3" t="s">
        <v>45</v>
      </c>
    </row>
    <row r="40" spans="1:16" x14ac:dyDescent="0.35">
      <c r="A40" s="3" t="s">
        <v>202</v>
      </c>
      <c r="B40" s="3" t="s">
        <v>203</v>
      </c>
      <c r="C40" s="3" t="s">
        <v>48</v>
      </c>
      <c r="D40" s="3" t="s">
        <v>38</v>
      </c>
      <c r="E40" s="3" t="s">
        <v>104</v>
      </c>
      <c r="F40" s="3" t="s">
        <v>104</v>
      </c>
      <c r="G40" s="3" t="s">
        <v>22</v>
      </c>
      <c r="H40" s="3" t="s">
        <v>23</v>
      </c>
      <c r="I40" s="3" t="s">
        <v>204</v>
      </c>
      <c r="J40" s="3" t="s">
        <v>171</v>
      </c>
      <c r="K40" s="3">
        <v>5</v>
      </c>
      <c r="L40" s="3">
        <v>3597.06</v>
      </c>
      <c r="M40" s="3">
        <v>17985.3</v>
      </c>
      <c r="N40" s="3">
        <v>10880.26</v>
      </c>
      <c r="O40" s="3">
        <v>7105.04</v>
      </c>
      <c r="P40" s="3" t="s">
        <v>34</v>
      </c>
    </row>
    <row r="41" spans="1:16" x14ac:dyDescent="0.35">
      <c r="A41" s="3" t="s">
        <v>205</v>
      </c>
      <c r="B41" s="3" t="s">
        <v>206</v>
      </c>
      <c r="C41" s="3" t="s">
        <v>137</v>
      </c>
      <c r="D41" s="3" t="s">
        <v>19</v>
      </c>
      <c r="E41" s="3" t="s">
        <v>20</v>
      </c>
      <c r="F41" s="3" t="s">
        <v>21</v>
      </c>
      <c r="G41" s="3" t="s">
        <v>51</v>
      </c>
      <c r="H41" s="3" t="s">
        <v>52</v>
      </c>
      <c r="I41" s="3" t="s">
        <v>207</v>
      </c>
      <c r="J41" s="3" t="s">
        <v>44</v>
      </c>
      <c r="K41" s="3">
        <v>3</v>
      </c>
      <c r="L41" s="3">
        <v>22.58</v>
      </c>
      <c r="M41" s="3">
        <v>67.739999999999995</v>
      </c>
      <c r="N41" s="3">
        <v>31.16</v>
      </c>
      <c r="O41" s="3">
        <v>36.58</v>
      </c>
      <c r="P41" s="3" t="s">
        <v>69</v>
      </c>
    </row>
    <row r="42" spans="1:16" x14ac:dyDescent="0.35">
      <c r="A42" s="3" t="s">
        <v>208</v>
      </c>
      <c r="B42" s="3" t="s">
        <v>209</v>
      </c>
      <c r="C42" s="3" t="s">
        <v>118</v>
      </c>
      <c r="D42" s="3" t="s">
        <v>38</v>
      </c>
      <c r="E42" s="3" t="s">
        <v>104</v>
      </c>
      <c r="F42" s="3" t="s">
        <v>104</v>
      </c>
      <c r="G42" s="3" t="s">
        <v>22</v>
      </c>
      <c r="H42" s="3" t="s">
        <v>93</v>
      </c>
      <c r="I42" s="3" t="s">
        <v>210</v>
      </c>
      <c r="J42" s="3" t="s">
        <v>33</v>
      </c>
      <c r="K42" s="3">
        <v>3</v>
      </c>
      <c r="L42" s="3">
        <v>6320.9</v>
      </c>
      <c r="M42" s="3">
        <v>18962.7</v>
      </c>
      <c r="N42" s="3">
        <v>15136.51</v>
      </c>
      <c r="O42" s="3">
        <v>3826.19</v>
      </c>
      <c r="P42" s="3" t="s">
        <v>86</v>
      </c>
    </row>
    <row r="43" spans="1:16" x14ac:dyDescent="0.35">
      <c r="A43" s="3" t="s">
        <v>211</v>
      </c>
      <c r="B43" s="3" t="s">
        <v>212</v>
      </c>
      <c r="C43" s="3" t="s">
        <v>37</v>
      </c>
      <c r="D43" s="3" t="s">
        <v>38</v>
      </c>
      <c r="E43" s="3" t="s">
        <v>39</v>
      </c>
      <c r="F43" s="3" t="s">
        <v>40</v>
      </c>
      <c r="G43" s="3" t="s">
        <v>30</v>
      </c>
      <c r="H43" s="3" t="s">
        <v>31</v>
      </c>
      <c r="I43" s="3" t="s">
        <v>213</v>
      </c>
      <c r="J43" s="3" t="s">
        <v>154</v>
      </c>
      <c r="K43" s="3">
        <v>3</v>
      </c>
      <c r="L43" s="3">
        <v>3025.19</v>
      </c>
      <c r="M43" s="3">
        <v>9075.57</v>
      </c>
      <c r="N43" s="3">
        <v>5517.75</v>
      </c>
      <c r="O43" s="3">
        <v>3557.82</v>
      </c>
      <c r="P43" s="3" t="s">
        <v>26</v>
      </c>
    </row>
    <row r="44" spans="1:16" x14ac:dyDescent="0.35">
      <c r="A44" s="3" t="s">
        <v>214</v>
      </c>
      <c r="B44" s="3" t="s">
        <v>215</v>
      </c>
      <c r="C44" s="3" t="s">
        <v>37</v>
      </c>
      <c r="D44" s="3" t="s">
        <v>90</v>
      </c>
      <c r="E44" s="3" t="s">
        <v>97</v>
      </c>
      <c r="F44" s="3" t="s">
        <v>98</v>
      </c>
      <c r="G44" s="3" t="s">
        <v>41</v>
      </c>
      <c r="H44" s="3" t="s">
        <v>61</v>
      </c>
      <c r="I44" s="3" t="s">
        <v>216</v>
      </c>
      <c r="J44" s="3" t="s">
        <v>217</v>
      </c>
      <c r="K44" s="3">
        <v>4</v>
      </c>
      <c r="L44" s="3">
        <v>2296.2199999999998</v>
      </c>
      <c r="M44" s="3">
        <v>9184.8799999999992</v>
      </c>
      <c r="N44" s="3">
        <v>6570.14</v>
      </c>
      <c r="O44" s="3">
        <v>2614.7399999999998</v>
      </c>
      <c r="P44" s="3" t="s">
        <v>86</v>
      </c>
    </row>
    <row r="45" spans="1:16" x14ac:dyDescent="0.35">
      <c r="A45" s="3" t="s">
        <v>218</v>
      </c>
      <c r="B45" s="3" t="s">
        <v>219</v>
      </c>
      <c r="C45" s="3" t="s">
        <v>72</v>
      </c>
      <c r="D45" s="3" t="s">
        <v>58</v>
      </c>
      <c r="E45" s="3" t="s">
        <v>176</v>
      </c>
      <c r="F45" s="3" t="s">
        <v>177</v>
      </c>
      <c r="G45" s="3" t="s">
        <v>41</v>
      </c>
      <c r="H45" s="3" t="s">
        <v>138</v>
      </c>
      <c r="I45" s="3" t="s">
        <v>220</v>
      </c>
      <c r="J45" s="3" t="s">
        <v>106</v>
      </c>
      <c r="K45" s="3">
        <v>2</v>
      </c>
      <c r="L45" s="3">
        <v>16635.47</v>
      </c>
      <c r="M45" s="3">
        <v>33270.94</v>
      </c>
      <c r="N45" s="3">
        <v>29317.02</v>
      </c>
      <c r="O45" s="3">
        <v>3953.92</v>
      </c>
      <c r="P45" s="3" t="s">
        <v>34</v>
      </c>
    </row>
    <row r="46" spans="1:16" x14ac:dyDescent="0.35">
      <c r="A46" s="3" t="s">
        <v>221</v>
      </c>
      <c r="B46" s="3" t="s">
        <v>222</v>
      </c>
      <c r="C46" s="3" t="s">
        <v>48</v>
      </c>
      <c r="D46" s="3" t="s">
        <v>19</v>
      </c>
      <c r="E46" s="3" t="s">
        <v>20</v>
      </c>
      <c r="F46" s="3" t="s">
        <v>21</v>
      </c>
      <c r="G46" s="3" t="s">
        <v>51</v>
      </c>
      <c r="H46" s="3" t="s">
        <v>145</v>
      </c>
      <c r="I46" s="3" t="s">
        <v>223</v>
      </c>
      <c r="J46" s="3" t="s">
        <v>131</v>
      </c>
      <c r="K46" s="3">
        <v>3</v>
      </c>
      <c r="L46" s="3">
        <v>127.06</v>
      </c>
      <c r="M46" s="3">
        <v>381.18</v>
      </c>
      <c r="N46" s="3">
        <v>174.99</v>
      </c>
      <c r="O46" s="3">
        <v>206.19</v>
      </c>
      <c r="P46" s="3" t="s">
        <v>69</v>
      </c>
    </row>
    <row r="47" spans="1:16" x14ac:dyDescent="0.35">
      <c r="A47" s="3" t="s">
        <v>224</v>
      </c>
      <c r="B47" s="3" t="s">
        <v>225</v>
      </c>
      <c r="C47" s="3" t="s">
        <v>89</v>
      </c>
      <c r="D47" s="3" t="s">
        <v>19</v>
      </c>
      <c r="E47" s="3" t="s">
        <v>49</v>
      </c>
      <c r="F47" s="3" t="s">
        <v>50</v>
      </c>
      <c r="G47" s="3" t="s">
        <v>30</v>
      </c>
      <c r="H47" s="3" t="s">
        <v>73</v>
      </c>
      <c r="I47" s="3" t="s">
        <v>226</v>
      </c>
      <c r="J47" s="3" t="s">
        <v>54</v>
      </c>
      <c r="K47" s="3">
        <v>1</v>
      </c>
      <c r="L47" s="3">
        <v>3123.14</v>
      </c>
      <c r="M47" s="3">
        <v>3123.14</v>
      </c>
      <c r="N47" s="3">
        <v>2341.19</v>
      </c>
      <c r="O47" s="3">
        <v>781.95</v>
      </c>
      <c r="P47" s="3" t="s">
        <v>34</v>
      </c>
    </row>
    <row r="48" spans="1:16" x14ac:dyDescent="0.35">
      <c r="A48" s="3" t="s">
        <v>227</v>
      </c>
      <c r="B48" s="3" t="s">
        <v>228</v>
      </c>
      <c r="C48" s="3" t="s">
        <v>114</v>
      </c>
      <c r="D48" s="3" t="s">
        <v>38</v>
      </c>
      <c r="E48" s="3" t="s">
        <v>109</v>
      </c>
      <c r="F48" s="3" t="s">
        <v>110</v>
      </c>
      <c r="G48" s="3" t="s">
        <v>22</v>
      </c>
      <c r="H48" s="3" t="s">
        <v>93</v>
      </c>
      <c r="I48" s="3" t="s">
        <v>150</v>
      </c>
      <c r="J48" s="3" t="s">
        <v>147</v>
      </c>
      <c r="K48" s="3">
        <v>2</v>
      </c>
      <c r="L48" s="3">
        <v>6902.6</v>
      </c>
      <c r="M48" s="3">
        <v>13805.2</v>
      </c>
      <c r="N48" s="3">
        <v>10318.75</v>
      </c>
      <c r="O48" s="3">
        <v>3486.45</v>
      </c>
      <c r="P48" s="3" t="s">
        <v>34</v>
      </c>
    </row>
    <row r="49" spans="1:16" x14ac:dyDescent="0.35">
      <c r="A49" s="3" t="s">
        <v>229</v>
      </c>
      <c r="B49" s="3" t="s">
        <v>230</v>
      </c>
      <c r="C49" s="3" t="s">
        <v>118</v>
      </c>
      <c r="D49" s="3" t="s">
        <v>19</v>
      </c>
      <c r="E49" s="3" t="s">
        <v>20</v>
      </c>
      <c r="F49" s="3" t="s">
        <v>21</v>
      </c>
      <c r="G49" s="3" t="s">
        <v>41</v>
      </c>
      <c r="H49" s="3" t="s">
        <v>42</v>
      </c>
      <c r="I49" s="3" t="s">
        <v>231</v>
      </c>
      <c r="J49" s="3" t="s">
        <v>147</v>
      </c>
      <c r="K49" s="3">
        <v>3</v>
      </c>
      <c r="L49" s="3">
        <v>45961.31</v>
      </c>
      <c r="M49" s="3">
        <v>137883.93</v>
      </c>
      <c r="N49" s="3">
        <v>103219.87</v>
      </c>
      <c r="O49" s="3">
        <v>34664.06</v>
      </c>
      <c r="P49" s="3" t="s">
        <v>86</v>
      </c>
    </row>
    <row r="50" spans="1:16" x14ac:dyDescent="0.35">
      <c r="A50" s="3" t="s">
        <v>232</v>
      </c>
      <c r="B50" s="3" t="s">
        <v>233</v>
      </c>
      <c r="C50" s="3" t="s">
        <v>103</v>
      </c>
      <c r="D50" s="3" t="s">
        <v>19</v>
      </c>
      <c r="E50" s="3" t="s">
        <v>49</v>
      </c>
      <c r="F50" s="3" t="s">
        <v>50</v>
      </c>
      <c r="G50" s="3" t="s">
        <v>51</v>
      </c>
      <c r="H50" s="3" t="s">
        <v>145</v>
      </c>
      <c r="I50" s="3" t="s">
        <v>234</v>
      </c>
      <c r="J50" s="3" t="s">
        <v>33</v>
      </c>
      <c r="K50" s="3">
        <v>1</v>
      </c>
      <c r="L50" s="3">
        <v>124.01</v>
      </c>
      <c r="M50" s="3">
        <v>124.01</v>
      </c>
      <c r="N50" s="3">
        <v>57.09</v>
      </c>
      <c r="O50" s="3">
        <v>66.92</v>
      </c>
      <c r="P50" s="3" t="s">
        <v>69</v>
      </c>
    </row>
    <row r="51" spans="1:16" x14ac:dyDescent="0.35">
      <c r="A51" s="3" t="s">
        <v>235</v>
      </c>
      <c r="B51" s="3" t="s">
        <v>236</v>
      </c>
      <c r="C51" s="3" t="s">
        <v>18</v>
      </c>
      <c r="D51" s="3" t="s">
        <v>38</v>
      </c>
      <c r="E51" s="3" t="s">
        <v>109</v>
      </c>
      <c r="F51" s="3" t="s">
        <v>110</v>
      </c>
      <c r="G51" s="3" t="s">
        <v>22</v>
      </c>
      <c r="H51" s="3" t="s">
        <v>23</v>
      </c>
      <c r="I51" s="3" t="s">
        <v>237</v>
      </c>
      <c r="J51" s="3" t="s">
        <v>131</v>
      </c>
      <c r="K51" s="3">
        <v>4</v>
      </c>
      <c r="L51" s="3">
        <v>3787.94</v>
      </c>
      <c r="M51" s="3">
        <v>15151.76</v>
      </c>
      <c r="N51" s="3">
        <v>8974.19</v>
      </c>
      <c r="O51" s="3">
        <v>6177.57</v>
      </c>
      <c r="P51" s="3" t="s">
        <v>86</v>
      </c>
    </row>
    <row r="52" spans="1:16" x14ac:dyDescent="0.35">
      <c r="A52" s="3" t="s">
        <v>238</v>
      </c>
      <c r="B52" s="3" t="s">
        <v>239</v>
      </c>
      <c r="C52" s="3" t="s">
        <v>72</v>
      </c>
      <c r="D52" s="3" t="s">
        <v>58</v>
      </c>
      <c r="E52" s="3" t="s">
        <v>59</v>
      </c>
      <c r="F52" s="3" t="s">
        <v>60</v>
      </c>
      <c r="G52" s="3" t="s">
        <v>41</v>
      </c>
      <c r="H52" s="3" t="s">
        <v>138</v>
      </c>
      <c r="I52" s="3" t="s">
        <v>240</v>
      </c>
      <c r="J52" s="3" t="s">
        <v>85</v>
      </c>
      <c r="K52" s="3">
        <v>2</v>
      </c>
      <c r="L52" s="3">
        <v>16454.189999999999</v>
      </c>
      <c r="M52" s="3">
        <v>32908.379999999997</v>
      </c>
      <c r="N52" s="3">
        <v>28156.76</v>
      </c>
      <c r="O52" s="3">
        <v>4751.62</v>
      </c>
      <c r="P52" s="3" t="s">
        <v>26</v>
      </c>
    </row>
    <row r="53" spans="1:16" x14ac:dyDescent="0.35">
      <c r="A53" s="3" t="s">
        <v>241</v>
      </c>
      <c r="B53" s="3" t="s">
        <v>242</v>
      </c>
      <c r="C53" s="3" t="s">
        <v>137</v>
      </c>
      <c r="D53" s="3" t="s">
        <v>90</v>
      </c>
      <c r="E53" s="3" t="s">
        <v>97</v>
      </c>
      <c r="F53" s="3" t="s">
        <v>98</v>
      </c>
      <c r="G53" s="3" t="s">
        <v>30</v>
      </c>
      <c r="H53" s="3" t="s">
        <v>73</v>
      </c>
      <c r="I53" s="3" t="s">
        <v>243</v>
      </c>
      <c r="J53" s="3" t="s">
        <v>131</v>
      </c>
      <c r="K53" s="3">
        <v>4</v>
      </c>
      <c r="L53" s="3">
        <v>3224.59</v>
      </c>
      <c r="M53" s="3">
        <v>12898.36</v>
      </c>
      <c r="N53" s="3">
        <v>9251.36</v>
      </c>
      <c r="O53" s="3">
        <v>3647</v>
      </c>
      <c r="P53" s="3" t="s">
        <v>69</v>
      </c>
    </row>
    <row r="54" spans="1:16" x14ac:dyDescent="0.35">
      <c r="A54" s="3" t="s">
        <v>244</v>
      </c>
      <c r="B54" s="3" t="s">
        <v>245</v>
      </c>
      <c r="C54" s="3" t="s">
        <v>29</v>
      </c>
      <c r="D54" s="3" t="s">
        <v>19</v>
      </c>
      <c r="E54" s="3" t="s">
        <v>20</v>
      </c>
      <c r="F54" s="3" t="s">
        <v>21</v>
      </c>
      <c r="G54" s="3" t="s">
        <v>51</v>
      </c>
      <c r="H54" s="3" t="s">
        <v>77</v>
      </c>
      <c r="I54" s="3" t="s">
        <v>246</v>
      </c>
      <c r="J54" s="3" t="s">
        <v>79</v>
      </c>
      <c r="K54" s="3">
        <v>5</v>
      </c>
      <c r="L54" s="3">
        <v>12019.5</v>
      </c>
      <c r="M54" s="3">
        <v>60097.5</v>
      </c>
      <c r="N54" s="3">
        <v>46466.13</v>
      </c>
      <c r="O54" s="3">
        <v>13631.37</v>
      </c>
      <c r="P54" s="3" t="s">
        <v>45</v>
      </c>
    </row>
    <row r="55" spans="1:16" x14ac:dyDescent="0.35">
      <c r="A55" s="3" t="s">
        <v>247</v>
      </c>
      <c r="B55" s="3" t="s">
        <v>248</v>
      </c>
      <c r="C55" s="3" t="s">
        <v>82</v>
      </c>
      <c r="D55" s="3" t="s">
        <v>38</v>
      </c>
      <c r="E55" s="3" t="s">
        <v>104</v>
      </c>
      <c r="F55" s="3" t="s">
        <v>104</v>
      </c>
      <c r="G55" s="3" t="s">
        <v>51</v>
      </c>
      <c r="H55" s="3" t="s">
        <v>145</v>
      </c>
      <c r="I55" s="3" t="s">
        <v>249</v>
      </c>
      <c r="J55" s="3" t="s">
        <v>33</v>
      </c>
      <c r="K55" s="3">
        <v>5</v>
      </c>
      <c r="L55" s="3">
        <v>127.73</v>
      </c>
      <c r="M55" s="3">
        <v>638.65</v>
      </c>
      <c r="N55" s="3">
        <v>306.14999999999998</v>
      </c>
      <c r="O55" s="3">
        <v>332.5</v>
      </c>
      <c r="P55" s="3" t="s">
        <v>26</v>
      </c>
    </row>
    <row r="56" spans="1:16" x14ac:dyDescent="0.35">
      <c r="A56" s="3" t="s">
        <v>250</v>
      </c>
      <c r="B56" s="3" t="s">
        <v>251</v>
      </c>
      <c r="C56" s="3" t="s">
        <v>37</v>
      </c>
      <c r="D56" s="3" t="s">
        <v>38</v>
      </c>
      <c r="E56" s="3" t="s">
        <v>104</v>
      </c>
      <c r="F56" s="3" t="s">
        <v>104</v>
      </c>
      <c r="G56" s="3" t="s">
        <v>41</v>
      </c>
      <c r="H56" s="3" t="s">
        <v>61</v>
      </c>
      <c r="I56" s="3" t="s">
        <v>252</v>
      </c>
      <c r="J56" s="3" t="s">
        <v>154</v>
      </c>
      <c r="K56" s="3">
        <v>2</v>
      </c>
      <c r="L56" s="3">
        <v>2442.14</v>
      </c>
      <c r="M56" s="3">
        <v>4884.28</v>
      </c>
      <c r="N56" s="3">
        <v>3290.17</v>
      </c>
      <c r="O56" s="3">
        <v>1594.11</v>
      </c>
      <c r="P56" s="3" t="s">
        <v>86</v>
      </c>
    </row>
    <row r="57" spans="1:16" x14ac:dyDescent="0.35">
      <c r="A57" s="3" t="s">
        <v>253</v>
      </c>
      <c r="B57" s="3" t="s">
        <v>254</v>
      </c>
      <c r="C57" s="3" t="s">
        <v>82</v>
      </c>
      <c r="D57" s="3" t="s">
        <v>90</v>
      </c>
      <c r="E57" s="3" t="s">
        <v>97</v>
      </c>
      <c r="F57" s="3" t="s">
        <v>98</v>
      </c>
      <c r="G57" s="3" t="s">
        <v>22</v>
      </c>
      <c r="H57" s="3" t="s">
        <v>23</v>
      </c>
      <c r="I57" s="3" t="s">
        <v>255</v>
      </c>
      <c r="J57" s="3" t="s">
        <v>154</v>
      </c>
      <c r="K57" s="3">
        <v>5</v>
      </c>
      <c r="L57" s="3">
        <v>3575.48</v>
      </c>
      <c r="M57" s="3">
        <v>17877.400000000001</v>
      </c>
      <c r="N57" s="3">
        <v>11121.49</v>
      </c>
      <c r="O57" s="3">
        <v>6755.91</v>
      </c>
      <c r="P57" s="3" t="s">
        <v>26</v>
      </c>
    </row>
    <row r="58" spans="1:16" x14ac:dyDescent="0.35">
      <c r="A58" s="3" t="s">
        <v>256</v>
      </c>
      <c r="B58" s="3" t="s">
        <v>257</v>
      </c>
      <c r="C58" s="3" t="s">
        <v>72</v>
      </c>
      <c r="D58" s="3" t="s">
        <v>58</v>
      </c>
      <c r="E58" s="3" t="s">
        <v>59</v>
      </c>
      <c r="F58" s="3" t="s">
        <v>60</v>
      </c>
      <c r="G58" s="3" t="s">
        <v>30</v>
      </c>
      <c r="H58" s="3" t="s">
        <v>67</v>
      </c>
      <c r="I58" s="3" t="s">
        <v>258</v>
      </c>
      <c r="J58" s="3" t="s">
        <v>147</v>
      </c>
      <c r="K58" s="3">
        <v>6</v>
      </c>
      <c r="L58" s="3">
        <v>9416.6299999999992</v>
      </c>
      <c r="M58" s="3">
        <v>56499.78</v>
      </c>
      <c r="N58" s="3">
        <v>45698.77</v>
      </c>
      <c r="O58" s="3">
        <v>10801.01</v>
      </c>
      <c r="P58" s="3" t="s">
        <v>26</v>
      </c>
    </row>
    <row r="59" spans="1:16" x14ac:dyDescent="0.35">
      <c r="A59" s="3" t="s">
        <v>259</v>
      </c>
      <c r="B59" s="3" t="s">
        <v>260</v>
      </c>
      <c r="C59" s="3" t="s">
        <v>37</v>
      </c>
      <c r="D59" s="3" t="s">
        <v>38</v>
      </c>
      <c r="E59" s="3" t="s">
        <v>104</v>
      </c>
      <c r="F59" s="3" t="s">
        <v>104</v>
      </c>
      <c r="G59" s="3" t="s">
        <v>41</v>
      </c>
      <c r="H59" s="3" t="s">
        <v>138</v>
      </c>
      <c r="I59" s="3" t="s">
        <v>261</v>
      </c>
      <c r="J59" s="3" t="s">
        <v>54</v>
      </c>
      <c r="K59" s="3">
        <v>6</v>
      </c>
      <c r="L59" s="3">
        <v>16276.53</v>
      </c>
      <c r="M59" s="3">
        <v>97659.18</v>
      </c>
      <c r="N59" s="3">
        <v>81743</v>
      </c>
      <c r="O59" s="3">
        <v>15916.18</v>
      </c>
      <c r="P59" s="3" t="s">
        <v>86</v>
      </c>
    </row>
    <row r="60" spans="1:16" x14ac:dyDescent="0.35">
      <c r="A60" s="3" t="s">
        <v>262</v>
      </c>
      <c r="B60" s="3" t="s">
        <v>236</v>
      </c>
      <c r="C60" s="3" t="s">
        <v>18</v>
      </c>
      <c r="D60" s="3" t="s">
        <v>90</v>
      </c>
      <c r="E60" s="3" t="s">
        <v>119</v>
      </c>
      <c r="F60" s="3" t="s">
        <v>120</v>
      </c>
      <c r="G60" s="3" t="s">
        <v>51</v>
      </c>
      <c r="H60" s="3" t="s">
        <v>77</v>
      </c>
      <c r="I60" s="3" t="s">
        <v>263</v>
      </c>
      <c r="J60" s="3" t="s">
        <v>217</v>
      </c>
      <c r="K60" s="3">
        <v>6</v>
      </c>
      <c r="L60" s="3">
        <v>11652.14</v>
      </c>
      <c r="M60" s="3">
        <v>69912.84</v>
      </c>
      <c r="N60" s="3">
        <v>55643.55</v>
      </c>
      <c r="O60" s="3">
        <v>14269.29</v>
      </c>
      <c r="P60" s="3" t="s">
        <v>86</v>
      </c>
    </row>
    <row r="61" spans="1:16" x14ac:dyDescent="0.35">
      <c r="A61" s="3" t="s">
        <v>264</v>
      </c>
      <c r="B61" s="3" t="s">
        <v>265</v>
      </c>
      <c r="C61" s="3" t="s">
        <v>37</v>
      </c>
      <c r="D61" s="3" t="s">
        <v>19</v>
      </c>
      <c r="E61" s="3" t="s">
        <v>20</v>
      </c>
      <c r="F61" s="3" t="s">
        <v>21</v>
      </c>
      <c r="G61" s="3" t="s">
        <v>30</v>
      </c>
      <c r="H61" s="3" t="s">
        <v>73</v>
      </c>
      <c r="I61" s="3" t="s">
        <v>266</v>
      </c>
      <c r="J61" s="3" t="s">
        <v>154</v>
      </c>
      <c r="K61" s="3">
        <v>4</v>
      </c>
      <c r="L61" s="3">
        <v>3076.71</v>
      </c>
      <c r="M61" s="3">
        <v>12306.84</v>
      </c>
      <c r="N61" s="3">
        <v>9149.26</v>
      </c>
      <c r="O61" s="3">
        <v>3157.58</v>
      </c>
      <c r="P61" s="3" t="s">
        <v>34</v>
      </c>
    </row>
    <row r="62" spans="1:16" x14ac:dyDescent="0.35">
      <c r="A62" s="3" t="s">
        <v>267</v>
      </c>
      <c r="B62" s="3" t="s">
        <v>268</v>
      </c>
      <c r="C62" s="3" t="s">
        <v>18</v>
      </c>
      <c r="D62" s="3" t="s">
        <v>19</v>
      </c>
      <c r="E62" s="3" t="s">
        <v>20</v>
      </c>
      <c r="F62" s="3" t="s">
        <v>21</v>
      </c>
      <c r="G62" s="3" t="s">
        <v>41</v>
      </c>
      <c r="H62" s="3" t="s">
        <v>42</v>
      </c>
      <c r="I62" s="3" t="s">
        <v>269</v>
      </c>
      <c r="J62" s="3" t="s">
        <v>25</v>
      </c>
      <c r="K62" s="3">
        <v>8</v>
      </c>
      <c r="L62" s="3">
        <v>40925.94</v>
      </c>
      <c r="M62" s="3">
        <v>327407.52</v>
      </c>
      <c r="N62" s="3">
        <v>268466.68</v>
      </c>
      <c r="O62" s="3">
        <v>58940.84</v>
      </c>
      <c r="P62" s="3" t="s">
        <v>45</v>
      </c>
    </row>
    <row r="63" spans="1:16" x14ac:dyDescent="0.35">
      <c r="A63" s="3" t="s">
        <v>270</v>
      </c>
      <c r="B63" s="3" t="s">
        <v>271</v>
      </c>
      <c r="C63" s="3" t="s">
        <v>82</v>
      </c>
      <c r="D63" s="3" t="s">
        <v>38</v>
      </c>
      <c r="E63" s="3" t="s">
        <v>104</v>
      </c>
      <c r="F63" s="3" t="s">
        <v>104</v>
      </c>
      <c r="G63" s="3" t="s">
        <v>41</v>
      </c>
      <c r="H63" s="3" t="s">
        <v>138</v>
      </c>
      <c r="I63" s="3" t="s">
        <v>272</v>
      </c>
      <c r="J63" s="3" t="s">
        <v>147</v>
      </c>
      <c r="K63" s="3">
        <v>1</v>
      </c>
      <c r="L63" s="3">
        <v>16333.36</v>
      </c>
      <c r="M63" s="3">
        <v>16333.36</v>
      </c>
      <c r="N63" s="3">
        <v>13417.37</v>
      </c>
      <c r="O63" s="3">
        <v>2915.99</v>
      </c>
      <c r="P63" s="3" t="s">
        <v>26</v>
      </c>
    </row>
    <row r="64" spans="1:16" x14ac:dyDescent="0.35">
      <c r="A64" s="3" t="s">
        <v>273</v>
      </c>
      <c r="B64" s="3" t="s">
        <v>274</v>
      </c>
      <c r="C64" s="3" t="s">
        <v>57</v>
      </c>
      <c r="D64" s="3" t="s">
        <v>58</v>
      </c>
      <c r="E64" s="3" t="s">
        <v>65</v>
      </c>
      <c r="F64" s="3" t="s">
        <v>66</v>
      </c>
      <c r="G64" s="3" t="s">
        <v>30</v>
      </c>
      <c r="H64" s="3" t="s">
        <v>67</v>
      </c>
      <c r="I64" s="3" t="s">
        <v>74</v>
      </c>
      <c r="J64" s="3" t="s">
        <v>44</v>
      </c>
      <c r="K64" s="3">
        <v>2</v>
      </c>
      <c r="L64" s="3">
        <v>10004.299999999999</v>
      </c>
      <c r="M64" s="3">
        <v>20008.599999999999</v>
      </c>
      <c r="N64" s="3">
        <v>14501.85</v>
      </c>
      <c r="O64" s="3">
        <v>5506.75</v>
      </c>
      <c r="P64" s="3" t="s">
        <v>26</v>
      </c>
    </row>
    <row r="65" spans="1:16" x14ac:dyDescent="0.35">
      <c r="A65" s="3" t="s">
        <v>275</v>
      </c>
      <c r="B65" s="3" t="s">
        <v>276</v>
      </c>
      <c r="C65" s="3" t="s">
        <v>114</v>
      </c>
      <c r="D65" s="3" t="s">
        <v>58</v>
      </c>
      <c r="E65" s="3" t="s">
        <v>59</v>
      </c>
      <c r="F65" s="3" t="s">
        <v>60</v>
      </c>
      <c r="G65" s="3" t="s">
        <v>30</v>
      </c>
      <c r="H65" s="3" t="s">
        <v>67</v>
      </c>
      <c r="I65" s="3" t="s">
        <v>277</v>
      </c>
      <c r="J65" s="3" t="s">
        <v>131</v>
      </c>
      <c r="K65" s="3">
        <v>5</v>
      </c>
      <c r="L65" s="3">
        <v>9023.34</v>
      </c>
      <c r="M65" s="3">
        <v>45116.7</v>
      </c>
      <c r="N65" s="3">
        <v>37399.43</v>
      </c>
      <c r="O65" s="3">
        <v>7717.27</v>
      </c>
      <c r="P65" s="3" t="s">
        <v>86</v>
      </c>
    </row>
    <row r="66" spans="1:16" x14ac:dyDescent="0.35">
      <c r="A66" s="3" t="s">
        <v>278</v>
      </c>
      <c r="B66" s="3" t="s">
        <v>279</v>
      </c>
      <c r="C66" s="3" t="s">
        <v>37</v>
      </c>
      <c r="D66" s="3" t="s">
        <v>58</v>
      </c>
      <c r="E66" s="3" t="s">
        <v>65</v>
      </c>
      <c r="F66" s="3" t="s">
        <v>66</v>
      </c>
      <c r="G66" s="3" t="s">
        <v>30</v>
      </c>
      <c r="H66" s="3" t="s">
        <v>31</v>
      </c>
      <c r="I66" s="3" t="s">
        <v>280</v>
      </c>
      <c r="J66" s="3" t="s">
        <v>33</v>
      </c>
      <c r="K66" s="3">
        <v>8</v>
      </c>
      <c r="L66" s="3">
        <v>3026.12</v>
      </c>
      <c r="M66" s="3">
        <v>24208.959999999999</v>
      </c>
      <c r="N66" s="3">
        <v>15544.56</v>
      </c>
      <c r="O66" s="3">
        <v>8664.4</v>
      </c>
      <c r="P66" s="3" t="s">
        <v>45</v>
      </c>
    </row>
    <row r="67" spans="1:16" x14ac:dyDescent="0.35">
      <c r="A67" s="3" t="s">
        <v>281</v>
      </c>
      <c r="B67" s="3" t="s">
        <v>282</v>
      </c>
      <c r="C67" s="3" t="s">
        <v>114</v>
      </c>
      <c r="D67" s="3" t="s">
        <v>58</v>
      </c>
      <c r="E67" s="3" t="s">
        <v>65</v>
      </c>
      <c r="F67" s="3" t="s">
        <v>66</v>
      </c>
      <c r="G67" s="3" t="s">
        <v>51</v>
      </c>
      <c r="H67" s="3" t="s">
        <v>77</v>
      </c>
      <c r="I67" s="3" t="s">
        <v>283</v>
      </c>
      <c r="J67" s="3" t="s">
        <v>25</v>
      </c>
      <c r="K67" s="3">
        <v>2</v>
      </c>
      <c r="L67" s="3">
        <v>11451.68</v>
      </c>
      <c r="M67" s="3">
        <v>22903.360000000001</v>
      </c>
      <c r="N67" s="3">
        <v>17550.580000000002</v>
      </c>
      <c r="O67" s="3">
        <v>5352.78</v>
      </c>
      <c r="P67" s="3" t="s">
        <v>45</v>
      </c>
    </row>
    <row r="68" spans="1:16" x14ac:dyDescent="0.35">
      <c r="A68" s="3" t="s">
        <v>284</v>
      </c>
      <c r="B68" s="3" t="s">
        <v>285</v>
      </c>
      <c r="C68" s="3" t="s">
        <v>18</v>
      </c>
      <c r="D68" s="3" t="s">
        <v>19</v>
      </c>
      <c r="E68" s="3" t="s">
        <v>20</v>
      </c>
      <c r="F68" s="3" t="s">
        <v>21</v>
      </c>
      <c r="G68" s="3" t="s">
        <v>41</v>
      </c>
      <c r="H68" s="3" t="s">
        <v>42</v>
      </c>
      <c r="I68" s="3" t="s">
        <v>286</v>
      </c>
      <c r="J68" s="3" t="s">
        <v>79</v>
      </c>
      <c r="K68" s="3">
        <v>7</v>
      </c>
      <c r="L68" s="3">
        <v>47511.75</v>
      </c>
      <c r="M68" s="3">
        <v>332582.25</v>
      </c>
      <c r="N68" s="3">
        <v>233124.83</v>
      </c>
      <c r="O68" s="3">
        <v>99457.42</v>
      </c>
      <c r="P68" s="3" t="s">
        <v>86</v>
      </c>
    </row>
    <row r="69" spans="1:16" x14ac:dyDescent="0.35">
      <c r="A69" s="3" t="s">
        <v>287</v>
      </c>
      <c r="B69" s="3" t="s">
        <v>288</v>
      </c>
      <c r="C69" s="3" t="s">
        <v>118</v>
      </c>
      <c r="D69" s="3" t="s">
        <v>38</v>
      </c>
      <c r="E69" s="3" t="s">
        <v>109</v>
      </c>
      <c r="F69" s="3" t="s">
        <v>110</v>
      </c>
      <c r="G69" s="3" t="s">
        <v>41</v>
      </c>
      <c r="H69" s="3" t="s">
        <v>61</v>
      </c>
      <c r="I69" s="3" t="s">
        <v>289</v>
      </c>
      <c r="J69" s="3" t="s">
        <v>217</v>
      </c>
      <c r="K69" s="3">
        <v>7</v>
      </c>
      <c r="L69" s="3">
        <v>2466.81</v>
      </c>
      <c r="M69" s="3">
        <v>17267.669999999998</v>
      </c>
      <c r="N69" s="3">
        <v>11117.41</v>
      </c>
      <c r="O69" s="3">
        <v>6150.26</v>
      </c>
      <c r="P69" s="3" t="s">
        <v>69</v>
      </c>
    </row>
    <row r="70" spans="1:16" x14ac:dyDescent="0.35">
      <c r="A70" s="3" t="s">
        <v>290</v>
      </c>
      <c r="B70" s="3" t="s">
        <v>291</v>
      </c>
      <c r="C70" s="3" t="s">
        <v>48</v>
      </c>
      <c r="D70" s="3" t="s">
        <v>38</v>
      </c>
      <c r="E70" s="3" t="s">
        <v>104</v>
      </c>
      <c r="F70" s="3" t="s">
        <v>104</v>
      </c>
      <c r="G70" s="3" t="s">
        <v>22</v>
      </c>
      <c r="H70" s="3" t="s">
        <v>23</v>
      </c>
      <c r="I70" s="3" t="s">
        <v>292</v>
      </c>
      <c r="J70" s="3" t="s">
        <v>154</v>
      </c>
      <c r="K70" s="3">
        <v>5</v>
      </c>
      <c r="L70" s="3">
        <v>3467.41</v>
      </c>
      <c r="M70" s="3">
        <v>17337.05</v>
      </c>
      <c r="N70" s="3">
        <v>11405.38</v>
      </c>
      <c r="O70" s="3">
        <v>5931.67</v>
      </c>
      <c r="P70" s="3" t="s">
        <v>86</v>
      </c>
    </row>
    <row r="71" spans="1:16" x14ac:dyDescent="0.35">
      <c r="A71" s="3" t="s">
        <v>293</v>
      </c>
      <c r="B71" s="3" t="s">
        <v>294</v>
      </c>
      <c r="C71" s="3" t="s">
        <v>103</v>
      </c>
      <c r="D71" s="3" t="s">
        <v>38</v>
      </c>
      <c r="E71" s="3" t="s">
        <v>39</v>
      </c>
      <c r="F71" s="3" t="s">
        <v>40</v>
      </c>
      <c r="G71" s="3" t="s">
        <v>22</v>
      </c>
      <c r="H71" s="3" t="s">
        <v>83</v>
      </c>
      <c r="I71" s="3" t="s">
        <v>295</v>
      </c>
      <c r="J71" s="3" t="s">
        <v>171</v>
      </c>
      <c r="K71" s="3">
        <v>8</v>
      </c>
      <c r="L71" s="3">
        <v>19992.25</v>
      </c>
      <c r="M71" s="3">
        <v>159938</v>
      </c>
      <c r="N71" s="3">
        <v>141464.39000000001</v>
      </c>
      <c r="O71" s="3">
        <v>18473.61</v>
      </c>
      <c r="P71" s="3" t="s">
        <v>26</v>
      </c>
    </row>
    <row r="72" spans="1:16" x14ac:dyDescent="0.35">
      <c r="A72" s="3" t="s">
        <v>296</v>
      </c>
      <c r="B72" s="3" t="s">
        <v>209</v>
      </c>
      <c r="C72" s="3" t="s">
        <v>118</v>
      </c>
      <c r="D72" s="3" t="s">
        <v>38</v>
      </c>
      <c r="E72" s="3" t="s">
        <v>104</v>
      </c>
      <c r="F72" s="3" t="s">
        <v>104</v>
      </c>
      <c r="G72" s="3" t="s">
        <v>22</v>
      </c>
      <c r="H72" s="3" t="s">
        <v>93</v>
      </c>
      <c r="I72" s="3" t="s">
        <v>297</v>
      </c>
      <c r="J72" s="3" t="s">
        <v>154</v>
      </c>
      <c r="K72" s="3">
        <v>3</v>
      </c>
      <c r="L72" s="3">
        <v>7433.19</v>
      </c>
      <c r="M72" s="3">
        <v>22299.57</v>
      </c>
      <c r="N72" s="3">
        <v>15296.72</v>
      </c>
      <c r="O72" s="3">
        <v>7002.85</v>
      </c>
      <c r="P72" s="3" t="s">
        <v>69</v>
      </c>
    </row>
    <row r="73" spans="1:16" x14ac:dyDescent="0.35">
      <c r="A73" s="3" t="s">
        <v>298</v>
      </c>
      <c r="B73" s="3" t="s">
        <v>299</v>
      </c>
      <c r="C73" s="3" t="s">
        <v>89</v>
      </c>
      <c r="D73" s="3" t="s">
        <v>19</v>
      </c>
      <c r="E73" s="3" t="s">
        <v>49</v>
      </c>
      <c r="F73" s="3" t="s">
        <v>50</v>
      </c>
      <c r="G73" s="3" t="s">
        <v>22</v>
      </c>
      <c r="H73" s="3" t="s">
        <v>93</v>
      </c>
      <c r="I73" s="3" t="s">
        <v>300</v>
      </c>
      <c r="J73" s="3" t="s">
        <v>188</v>
      </c>
      <c r="K73" s="3">
        <v>1</v>
      </c>
      <c r="L73" s="3">
        <v>6336.11</v>
      </c>
      <c r="M73" s="3">
        <v>6336.11</v>
      </c>
      <c r="N73" s="3">
        <v>5093.26</v>
      </c>
      <c r="O73" s="3">
        <v>1242.8499999999999</v>
      </c>
      <c r="P73" s="3" t="s">
        <v>34</v>
      </c>
    </row>
    <row r="74" spans="1:16" x14ac:dyDescent="0.35">
      <c r="A74" s="3" t="s">
        <v>301</v>
      </c>
      <c r="B74" s="3" t="s">
        <v>302</v>
      </c>
      <c r="C74" s="3" t="s">
        <v>103</v>
      </c>
      <c r="D74" s="3" t="s">
        <v>19</v>
      </c>
      <c r="E74" s="3" t="s">
        <v>20</v>
      </c>
      <c r="F74" s="3" t="s">
        <v>21</v>
      </c>
      <c r="G74" s="3" t="s">
        <v>30</v>
      </c>
      <c r="H74" s="3" t="s">
        <v>31</v>
      </c>
      <c r="I74" s="3" t="s">
        <v>303</v>
      </c>
      <c r="J74" s="3" t="s">
        <v>217</v>
      </c>
      <c r="K74" s="3">
        <v>8</v>
      </c>
      <c r="L74" s="3">
        <v>2533.8000000000002</v>
      </c>
      <c r="M74" s="3">
        <v>20270.400000000001</v>
      </c>
      <c r="N74" s="3">
        <v>15075.62</v>
      </c>
      <c r="O74" s="3">
        <v>5194.78</v>
      </c>
      <c r="P74" s="3" t="s">
        <v>69</v>
      </c>
    </row>
    <row r="75" spans="1:16" x14ac:dyDescent="0.35">
      <c r="A75" s="3" t="s">
        <v>304</v>
      </c>
      <c r="B75" s="3" t="s">
        <v>305</v>
      </c>
      <c r="C75" s="3" t="s">
        <v>18</v>
      </c>
      <c r="D75" s="3" t="s">
        <v>19</v>
      </c>
      <c r="E75" s="3" t="s">
        <v>199</v>
      </c>
      <c r="F75" s="3" t="s">
        <v>200</v>
      </c>
      <c r="G75" s="3" t="s">
        <v>51</v>
      </c>
      <c r="H75" s="3" t="s">
        <v>145</v>
      </c>
      <c r="I75" s="3" t="s">
        <v>181</v>
      </c>
      <c r="J75" s="3" t="s">
        <v>85</v>
      </c>
      <c r="K75" s="3">
        <v>4</v>
      </c>
      <c r="L75" s="3">
        <v>114.26</v>
      </c>
      <c r="M75" s="3">
        <v>457.04</v>
      </c>
      <c r="N75" s="3">
        <v>230.32</v>
      </c>
      <c r="O75" s="3">
        <v>226.72</v>
      </c>
      <c r="P75" s="3" t="s">
        <v>86</v>
      </c>
    </row>
    <row r="76" spans="1:16" x14ac:dyDescent="0.35">
      <c r="A76" s="3" t="s">
        <v>306</v>
      </c>
      <c r="B76" s="3" t="s">
        <v>307</v>
      </c>
      <c r="C76" s="3" t="s">
        <v>103</v>
      </c>
      <c r="D76" s="3" t="s">
        <v>58</v>
      </c>
      <c r="E76" s="3" t="s">
        <v>176</v>
      </c>
      <c r="F76" s="3" t="s">
        <v>177</v>
      </c>
      <c r="G76" s="3" t="s">
        <v>30</v>
      </c>
      <c r="H76" s="3" t="s">
        <v>73</v>
      </c>
      <c r="I76" s="3" t="s">
        <v>134</v>
      </c>
      <c r="J76" s="3" t="s">
        <v>79</v>
      </c>
      <c r="K76" s="3">
        <v>7</v>
      </c>
      <c r="L76" s="3">
        <v>3124.93</v>
      </c>
      <c r="M76" s="3">
        <v>21874.51</v>
      </c>
      <c r="N76" s="3">
        <v>17135.86</v>
      </c>
      <c r="O76" s="3">
        <v>4738.6499999999996</v>
      </c>
      <c r="P76" s="3" t="s">
        <v>34</v>
      </c>
    </row>
    <row r="77" spans="1:16" x14ac:dyDescent="0.35">
      <c r="A77" s="3" t="s">
        <v>308</v>
      </c>
      <c r="B77" s="3" t="s">
        <v>233</v>
      </c>
      <c r="C77" s="3" t="s">
        <v>103</v>
      </c>
      <c r="D77" s="3" t="s">
        <v>38</v>
      </c>
      <c r="E77" s="3" t="s">
        <v>109</v>
      </c>
      <c r="F77" s="3" t="s">
        <v>110</v>
      </c>
      <c r="G77" s="3" t="s">
        <v>41</v>
      </c>
      <c r="H77" s="3" t="s">
        <v>61</v>
      </c>
      <c r="I77" s="3" t="s">
        <v>53</v>
      </c>
      <c r="J77" s="3" t="s">
        <v>131</v>
      </c>
      <c r="K77" s="3">
        <v>6</v>
      </c>
      <c r="L77" s="3">
        <v>2292</v>
      </c>
      <c r="M77" s="3">
        <v>13752</v>
      </c>
      <c r="N77" s="3">
        <v>9178.61</v>
      </c>
      <c r="O77" s="3">
        <v>4573.3900000000003</v>
      </c>
      <c r="P77" s="3" t="s">
        <v>86</v>
      </c>
    </row>
    <row r="78" spans="1:16" x14ac:dyDescent="0.35">
      <c r="A78" s="3" t="s">
        <v>309</v>
      </c>
      <c r="B78" s="3" t="s">
        <v>310</v>
      </c>
      <c r="C78" s="3" t="s">
        <v>37</v>
      </c>
      <c r="D78" s="3" t="s">
        <v>38</v>
      </c>
      <c r="E78" s="3" t="s">
        <v>109</v>
      </c>
      <c r="F78" s="3" t="s">
        <v>110</v>
      </c>
      <c r="G78" s="3" t="s">
        <v>22</v>
      </c>
      <c r="H78" s="3" t="s">
        <v>23</v>
      </c>
      <c r="I78" s="3" t="s">
        <v>311</v>
      </c>
      <c r="J78" s="3" t="s">
        <v>106</v>
      </c>
      <c r="K78" s="3">
        <v>8</v>
      </c>
      <c r="L78" s="3">
        <v>3193.97</v>
      </c>
      <c r="M78" s="3">
        <v>25551.759999999998</v>
      </c>
      <c r="N78" s="3">
        <v>16808.84</v>
      </c>
      <c r="O78" s="3">
        <v>8742.92</v>
      </c>
      <c r="P78" s="3" t="s">
        <v>86</v>
      </c>
    </row>
    <row r="79" spans="1:16" x14ac:dyDescent="0.35">
      <c r="A79" s="3" t="s">
        <v>312</v>
      </c>
      <c r="B79" s="3" t="s">
        <v>141</v>
      </c>
      <c r="C79" s="3" t="s">
        <v>57</v>
      </c>
      <c r="D79" s="3" t="s">
        <v>38</v>
      </c>
      <c r="E79" s="3" t="s">
        <v>104</v>
      </c>
      <c r="F79" s="3" t="s">
        <v>104</v>
      </c>
      <c r="G79" s="3" t="s">
        <v>30</v>
      </c>
      <c r="H79" s="3" t="s">
        <v>73</v>
      </c>
      <c r="I79" s="3" t="s">
        <v>313</v>
      </c>
      <c r="J79" s="3" t="s">
        <v>131</v>
      </c>
      <c r="K79" s="3">
        <v>8</v>
      </c>
      <c r="L79" s="3">
        <v>3519.32</v>
      </c>
      <c r="M79" s="3">
        <v>28154.560000000001</v>
      </c>
      <c r="N79" s="3">
        <v>19108.28</v>
      </c>
      <c r="O79" s="3">
        <v>9046.2800000000007</v>
      </c>
      <c r="P79" s="3" t="s">
        <v>86</v>
      </c>
    </row>
    <row r="80" spans="1:16" x14ac:dyDescent="0.35">
      <c r="A80" s="3" t="s">
        <v>314</v>
      </c>
      <c r="B80" s="3" t="s">
        <v>315</v>
      </c>
      <c r="C80" s="3" t="s">
        <v>118</v>
      </c>
      <c r="D80" s="3" t="s">
        <v>38</v>
      </c>
      <c r="E80" s="3" t="s">
        <v>109</v>
      </c>
      <c r="F80" s="3" t="s">
        <v>110</v>
      </c>
      <c r="G80" s="3" t="s">
        <v>30</v>
      </c>
      <c r="H80" s="3" t="s">
        <v>67</v>
      </c>
      <c r="I80" s="3" t="s">
        <v>316</v>
      </c>
      <c r="J80" s="3" t="s">
        <v>188</v>
      </c>
      <c r="K80" s="3">
        <v>8</v>
      </c>
      <c r="L80" s="3">
        <v>9216.7000000000007</v>
      </c>
      <c r="M80" s="3">
        <v>73733.600000000006</v>
      </c>
      <c r="N80" s="3">
        <v>61408.15</v>
      </c>
      <c r="O80" s="3">
        <v>12325.45</v>
      </c>
      <c r="P80" s="3" t="s">
        <v>86</v>
      </c>
    </row>
    <row r="81" spans="1:16" x14ac:dyDescent="0.35">
      <c r="A81" s="3" t="s">
        <v>317</v>
      </c>
      <c r="B81" s="3" t="s">
        <v>318</v>
      </c>
      <c r="C81" s="3" t="s">
        <v>37</v>
      </c>
      <c r="D81" s="3" t="s">
        <v>90</v>
      </c>
      <c r="E81" s="3" t="s">
        <v>91</v>
      </c>
      <c r="F81" s="3" t="s">
        <v>92</v>
      </c>
      <c r="G81" s="3" t="s">
        <v>41</v>
      </c>
      <c r="H81" s="3" t="s">
        <v>138</v>
      </c>
      <c r="I81" s="3" t="s">
        <v>319</v>
      </c>
      <c r="J81" s="3" t="s">
        <v>106</v>
      </c>
      <c r="K81" s="3">
        <v>3</v>
      </c>
      <c r="L81" s="3">
        <v>16561.52</v>
      </c>
      <c r="M81" s="3">
        <v>49684.56</v>
      </c>
      <c r="N81" s="3">
        <v>43814.95</v>
      </c>
      <c r="O81" s="3">
        <v>5869.61</v>
      </c>
      <c r="P81" s="3" t="s">
        <v>69</v>
      </c>
    </row>
    <row r="82" spans="1:16" x14ac:dyDescent="0.35">
      <c r="A82" s="3" t="s">
        <v>320</v>
      </c>
      <c r="B82" s="3" t="s">
        <v>321</v>
      </c>
      <c r="C82" s="3" t="s">
        <v>137</v>
      </c>
      <c r="D82" s="3" t="s">
        <v>90</v>
      </c>
      <c r="E82" s="3" t="s">
        <v>91</v>
      </c>
      <c r="F82" s="3" t="s">
        <v>92</v>
      </c>
      <c r="G82" s="3" t="s">
        <v>41</v>
      </c>
      <c r="H82" s="3" t="s">
        <v>61</v>
      </c>
      <c r="I82" s="3" t="s">
        <v>322</v>
      </c>
      <c r="J82" s="3" t="s">
        <v>33</v>
      </c>
      <c r="K82" s="3">
        <v>3</v>
      </c>
      <c r="L82" s="3">
        <v>2362.4899999999998</v>
      </c>
      <c r="M82" s="3">
        <v>7087.47</v>
      </c>
      <c r="N82" s="3">
        <v>4685.24</v>
      </c>
      <c r="O82" s="3">
        <v>2402.23</v>
      </c>
      <c r="P82" s="3" t="s">
        <v>45</v>
      </c>
    </row>
    <row r="83" spans="1:16" x14ac:dyDescent="0.35">
      <c r="A83" s="3" t="s">
        <v>323</v>
      </c>
      <c r="B83" s="3" t="s">
        <v>324</v>
      </c>
      <c r="C83" s="3" t="s">
        <v>29</v>
      </c>
      <c r="D83" s="3" t="s">
        <v>58</v>
      </c>
      <c r="E83" s="3" t="s">
        <v>65</v>
      </c>
      <c r="F83" s="3" t="s">
        <v>66</v>
      </c>
      <c r="G83" s="3" t="s">
        <v>22</v>
      </c>
      <c r="H83" s="3" t="s">
        <v>83</v>
      </c>
      <c r="I83" s="3" t="s">
        <v>325</v>
      </c>
      <c r="J83" s="3" t="s">
        <v>33</v>
      </c>
      <c r="K83" s="3">
        <v>1</v>
      </c>
      <c r="L83" s="3">
        <v>21236.67</v>
      </c>
      <c r="M83" s="3">
        <v>21236.67</v>
      </c>
      <c r="N83" s="3">
        <v>17167.7</v>
      </c>
      <c r="O83" s="3">
        <v>4068.97</v>
      </c>
      <c r="P83" s="3" t="s">
        <v>86</v>
      </c>
    </row>
    <row r="84" spans="1:16" x14ac:dyDescent="0.35">
      <c r="A84" s="3" t="s">
        <v>326</v>
      </c>
      <c r="B84" s="3" t="s">
        <v>327</v>
      </c>
      <c r="C84" s="3" t="s">
        <v>48</v>
      </c>
      <c r="D84" s="3" t="s">
        <v>90</v>
      </c>
      <c r="E84" s="3" t="s">
        <v>119</v>
      </c>
      <c r="F84" s="3" t="s">
        <v>120</v>
      </c>
      <c r="G84" s="3" t="s">
        <v>41</v>
      </c>
      <c r="H84" s="3" t="s">
        <v>138</v>
      </c>
      <c r="I84" s="3" t="s">
        <v>328</v>
      </c>
      <c r="J84" s="3" t="s">
        <v>131</v>
      </c>
      <c r="K84" s="3">
        <v>6</v>
      </c>
      <c r="L84" s="3">
        <v>19015.79</v>
      </c>
      <c r="M84" s="3">
        <v>114094.74</v>
      </c>
      <c r="N84" s="3">
        <v>85008.45</v>
      </c>
      <c r="O84" s="3">
        <v>29086.29</v>
      </c>
      <c r="P84" s="3" t="s">
        <v>69</v>
      </c>
    </row>
    <row r="85" spans="1:16" x14ac:dyDescent="0.35">
      <c r="A85" s="3" t="s">
        <v>329</v>
      </c>
      <c r="B85" s="3" t="s">
        <v>330</v>
      </c>
      <c r="C85" s="3" t="s">
        <v>18</v>
      </c>
      <c r="D85" s="3" t="s">
        <v>19</v>
      </c>
      <c r="E85" s="3" t="s">
        <v>49</v>
      </c>
      <c r="F85" s="3" t="s">
        <v>50</v>
      </c>
      <c r="G85" s="3" t="s">
        <v>41</v>
      </c>
      <c r="H85" s="3" t="s">
        <v>138</v>
      </c>
      <c r="I85" s="3" t="s">
        <v>331</v>
      </c>
      <c r="J85" s="3" t="s">
        <v>171</v>
      </c>
      <c r="K85" s="3">
        <v>2</v>
      </c>
      <c r="L85" s="3">
        <v>17987.48</v>
      </c>
      <c r="M85" s="3">
        <v>35974.959999999999</v>
      </c>
      <c r="N85" s="3">
        <v>28261.48</v>
      </c>
      <c r="O85" s="3">
        <v>7713.48</v>
      </c>
      <c r="P85" s="3" t="s">
        <v>86</v>
      </c>
    </row>
    <row r="86" spans="1:16" x14ac:dyDescent="0.35">
      <c r="A86" s="3" t="s">
        <v>332</v>
      </c>
      <c r="B86" s="3" t="s">
        <v>333</v>
      </c>
      <c r="C86" s="3" t="s">
        <v>118</v>
      </c>
      <c r="D86" s="3" t="s">
        <v>19</v>
      </c>
      <c r="E86" s="3" t="s">
        <v>199</v>
      </c>
      <c r="F86" s="3" t="s">
        <v>200</v>
      </c>
      <c r="G86" s="3" t="s">
        <v>30</v>
      </c>
      <c r="H86" s="3" t="s">
        <v>31</v>
      </c>
      <c r="I86" s="3" t="s">
        <v>334</v>
      </c>
      <c r="J86" s="3" t="s">
        <v>100</v>
      </c>
      <c r="K86" s="3">
        <v>6</v>
      </c>
      <c r="L86" s="3">
        <v>2702.51</v>
      </c>
      <c r="M86" s="3">
        <v>16215.06</v>
      </c>
      <c r="N86" s="3">
        <v>11861.92</v>
      </c>
      <c r="O86" s="3">
        <v>4353.1400000000003</v>
      </c>
      <c r="P86" s="3" t="s">
        <v>45</v>
      </c>
    </row>
    <row r="87" spans="1:16" x14ac:dyDescent="0.35">
      <c r="A87" s="3" t="s">
        <v>335</v>
      </c>
      <c r="B87" s="3" t="s">
        <v>336</v>
      </c>
      <c r="C87" s="3" t="s">
        <v>29</v>
      </c>
      <c r="D87" s="3" t="s">
        <v>38</v>
      </c>
      <c r="E87" s="3" t="s">
        <v>39</v>
      </c>
      <c r="F87" s="3" t="s">
        <v>40</v>
      </c>
      <c r="G87" s="3" t="s">
        <v>41</v>
      </c>
      <c r="H87" s="3" t="s">
        <v>138</v>
      </c>
      <c r="I87" s="3" t="s">
        <v>337</v>
      </c>
      <c r="J87" s="3" t="s">
        <v>85</v>
      </c>
      <c r="K87" s="3">
        <v>1</v>
      </c>
      <c r="L87" s="3">
        <v>17954.68</v>
      </c>
      <c r="M87" s="3">
        <v>17954.68</v>
      </c>
      <c r="N87" s="3">
        <v>14518.58</v>
      </c>
      <c r="O87" s="3">
        <v>3436.1</v>
      </c>
      <c r="P87" s="3" t="s">
        <v>69</v>
      </c>
    </row>
    <row r="88" spans="1:16" x14ac:dyDescent="0.35">
      <c r="A88" s="3" t="s">
        <v>338</v>
      </c>
      <c r="B88" s="3" t="s">
        <v>339</v>
      </c>
      <c r="C88" s="3" t="s">
        <v>29</v>
      </c>
      <c r="D88" s="3" t="s">
        <v>19</v>
      </c>
      <c r="E88" s="3" t="s">
        <v>199</v>
      </c>
      <c r="F88" s="3" t="s">
        <v>200</v>
      </c>
      <c r="G88" s="3" t="s">
        <v>41</v>
      </c>
      <c r="H88" s="3" t="s">
        <v>61</v>
      </c>
      <c r="I88" s="3" t="s">
        <v>340</v>
      </c>
      <c r="J88" s="3" t="s">
        <v>188</v>
      </c>
      <c r="K88" s="3">
        <v>1</v>
      </c>
      <c r="L88" s="3">
        <v>2397.77</v>
      </c>
      <c r="M88" s="3">
        <v>2397.77</v>
      </c>
      <c r="N88" s="3">
        <v>1582.77</v>
      </c>
      <c r="O88" s="3">
        <v>815</v>
      </c>
      <c r="P88" s="3" t="s">
        <v>26</v>
      </c>
    </row>
    <row r="89" spans="1:16" x14ac:dyDescent="0.35">
      <c r="A89" s="3" t="s">
        <v>341</v>
      </c>
      <c r="B89" s="3" t="s">
        <v>96</v>
      </c>
      <c r="C89" s="3" t="s">
        <v>48</v>
      </c>
      <c r="D89" s="3" t="s">
        <v>38</v>
      </c>
      <c r="E89" s="3" t="s">
        <v>109</v>
      </c>
      <c r="F89" s="3" t="s">
        <v>110</v>
      </c>
      <c r="G89" s="3" t="s">
        <v>22</v>
      </c>
      <c r="H89" s="3" t="s">
        <v>93</v>
      </c>
      <c r="I89" s="3" t="s">
        <v>342</v>
      </c>
      <c r="J89" s="3" t="s">
        <v>161</v>
      </c>
      <c r="K89" s="3">
        <v>3</v>
      </c>
      <c r="L89" s="3">
        <v>7607.96</v>
      </c>
      <c r="M89" s="3">
        <v>22823.88</v>
      </c>
      <c r="N89" s="3">
        <v>14616.22</v>
      </c>
      <c r="O89" s="3">
        <v>8207.66</v>
      </c>
      <c r="P89" s="3" t="s">
        <v>26</v>
      </c>
    </row>
    <row r="90" spans="1:16" x14ac:dyDescent="0.35">
      <c r="A90" s="3" t="s">
        <v>343</v>
      </c>
      <c r="B90" s="3" t="s">
        <v>344</v>
      </c>
      <c r="C90" s="3" t="s">
        <v>48</v>
      </c>
      <c r="D90" s="3" t="s">
        <v>58</v>
      </c>
      <c r="E90" s="3" t="s">
        <v>59</v>
      </c>
      <c r="F90" s="3" t="s">
        <v>60</v>
      </c>
      <c r="G90" s="3" t="s">
        <v>41</v>
      </c>
      <c r="H90" s="3" t="s">
        <v>138</v>
      </c>
      <c r="I90" s="3" t="s">
        <v>345</v>
      </c>
      <c r="J90" s="3" t="s">
        <v>100</v>
      </c>
      <c r="K90" s="3">
        <v>1</v>
      </c>
      <c r="L90" s="3">
        <v>16471.73</v>
      </c>
      <c r="M90" s="3">
        <v>16471.73</v>
      </c>
      <c r="N90" s="3">
        <v>13660.61</v>
      </c>
      <c r="O90" s="3">
        <v>2811.12</v>
      </c>
      <c r="P90" s="3" t="s">
        <v>34</v>
      </c>
    </row>
    <row r="91" spans="1:16" x14ac:dyDescent="0.35">
      <c r="A91" s="3" t="s">
        <v>346</v>
      </c>
      <c r="B91" s="3" t="s">
        <v>347</v>
      </c>
      <c r="C91" s="3" t="s">
        <v>57</v>
      </c>
      <c r="D91" s="3" t="s">
        <v>19</v>
      </c>
      <c r="E91" s="3" t="s">
        <v>20</v>
      </c>
      <c r="F91" s="3" t="s">
        <v>21</v>
      </c>
      <c r="G91" s="3" t="s">
        <v>41</v>
      </c>
      <c r="H91" s="3" t="s">
        <v>42</v>
      </c>
      <c r="I91" s="3" t="s">
        <v>130</v>
      </c>
      <c r="J91" s="3" t="s">
        <v>161</v>
      </c>
      <c r="K91" s="3">
        <v>6</v>
      </c>
      <c r="L91" s="3">
        <v>46248.07</v>
      </c>
      <c r="M91" s="3">
        <v>277488.42</v>
      </c>
      <c r="N91" s="3">
        <v>209246.92</v>
      </c>
      <c r="O91" s="3">
        <v>68241.5</v>
      </c>
      <c r="P91" s="3" t="s">
        <v>86</v>
      </c>
    </row>
    <row r="92" spans="1:16" x14ac:dyDescent="0.35">
      <c r="A92" s="3" t="s">
        <v>348</v>
      </c>
      <c r="B92" s="3" t="s">
        <v>349</v>
      </c>
      <c r="C92" s="3" t="s">
        <v>72</v>
      </c>
      <c r="D92" s="3" t="s">
        <v>90</v>
      </c>
      <c r="E92" s="3" t="s">
        <v>91</v>
      </c>
      <c r="F92" s="3" t="s">
        <v>92</v>
      </c>
      <c r="G92" s="3" t="s">
        <v>51</v>
      </c>
      <c r="H92" s="3" t="s">
        <v>77</v>
      </c>
      <c r="I92" s="3" t="s">
        <v>325</v>
      </c>
      <c r="J92" s="3" t="s">
        <v>106</v>
      </c>
      <c r="K92" s="3">
        <v>5</v>
      </c>
      <c r="L92" s="3">
        <v>11599.13</v>
      </c>
      <c r="M92" s="3">
        <v>57995.65</v>
      </c>
      <c r="N92" s="3">
        <v>44627</v>
      </c>
      <c r="O92" s="3">
        <v>13368.65</v>
      </c>
      <c r="P92" s="3" t="s">
        <v>34</v>
      </c>
    </row>
    <row r="93" spans="1:16" x14ac:dyDescent="0.35">
      <c r="A93" s="3" t="s">
        <v>350</v>
      </c>
      <c r="B93" s="3" t="s">
        <v>351</v>
      </c>
      <c r="C93" s="3" t="s">
        <v>114</v>
      </c>
      <c r="D93" s="3" t="s">
        <v>19</v>
      </c>
      <c r="E93" s="3" t="s">
        <v>199</v>
      </c>
      <c r="F93" s="3" t="s">
        <v>200</v>
      </c>
      <c r="G93" s="3" t="s">
        <v>51</v>
      </c>
      <c r="H93" s="3" t="s">
        <v>145</v>
      </c>
      <c r="I93" s="3" t="s">
        <v>352</v>
      </c>
      <c r="J93" s="3" t="s">
        <v>44</v>
      </c>
      <c r="K93" s="3">
        <v>6</v>
      </c>
      <c r="L93" s="3">
        <v>112.52</v>
      </c>
      <c r="M93" s="3">
        <v>675.12</v>
      </c>
      <c r="N93" s="3">
        <v>370.1</v>
      </c>
      <c r="O93" s="3">
        <v>305.02</v>
      </c>
      <c r="P93" s="3" t="s">
        <v>69</v>
      </c>
    </row>
    <row r="94" spans="1:16" x14ac:dyDescent="0.35">
      <c r="A94" s="3" t="s">
        <v>353</v>
      </c>
      <c r="B94" s="3" t="s">
        <v>310</v>
      </c>
      <c r="C94" s="3" t="s">
        <v>37</v>
      </c>
      <c r="D94" s="3" t="s">
        <v>19</v>
      </c>
      <c r="E94" s="3" t="s">
        <v>199</v>
      </c>
      <c r="F94" s="3" t="s">
        <v>200</v>
      </c>
      <c r="G94" s="3" t="s">
        <v>51</v>
      </c>
      <c r="H94" s="3" t="s">
        <v>77</v>
      </c>
      <c r="I94" s="3" t="s">
        <v>354</v>
      </c>
      <c r="J94" s="3" t="s">
        <v>85</v>
      </c>
      <c r="K94" s="3">
        <v>5</v>
      </c>
      <c r="L94" s="3">
        <v>12499.24</v>
      </c>
      <c r="M94" s="3">
        <v>62496.2</v>
      </c>
      <c r="N94" s="3">
        <v>43983.66</v>
      </c>
      <c r="O94" s="3">
        <v>18512.54</v>
      </c>
      <c r="P94" s="3" t="s">
        <v>26</v>
      </c>
    </row>
    <row r="95" spans="1:16" x14ac:dyDescent="0.35">
      <c r="A95" s="3" t="s">
        <v>355</v>
      </c>
      <c r="B95" s="3" t="s">
        <v>180</v>
      </c>
      <c r="C95" s="3" t="s">
        <v>48</v>
      </c>
      <c r="D95" s="3" t="s">
        <v>38</v>
      </c>
      <c r="E95" s="3" t="s">
        <v>109</v>
      </c>
      <c r="F95" s="3" t="s">
        <v>110</v>
      </c>
      <c r="G95" s="3" t="s">
        <v>30</v>
      </c>
      <c r="H95" s="3" t="s">
        <v>31</v>
      </c>
      <c r="I95" s="3" t="s">
        <v>356</v>
      </c>
      <c r="J95" s="3" t="s">
        <v>85</v>
      </c>
      <c r="K95" s="3">
        <v>7</v>
      </c>
      <c r="L95" s="3">
        <v>2904.99</v>
      </c>
      <c r="M95" s="3">
        <v>20334.93</v>
      </c>
      <c r="N95" s="3">
        <v>13361.68</v>
      </c>
      <c r="O95" s="3">
        <v>6973.25</v>
      </c>
      <c r="P95" s="3" t="s">
        <v>26</v>
      </c>
    </row>
    <row r="96" spans="1:16" x14ac:dyDescent="0.35">
      <c r="A96" s="3" t="s">
        <v>357</v>
      </c>
      <c r="B96" s="3" t="s">
        <v>358</v>
      </c>
      <c r="C96" s="3" t="s">
        <v>72</v>
      </c>
      <c r="D96" s="3" t="s">
        <v>19</v>
      </c>
      <c r="E96" s="3" t="s">
        <v>20</v>
      </c>
      <c r="F96" s="3" t="s">
        <v>21</v>
      </c>
      <c r="G96" s="3" t="s">
        <v>30</v>
      </c>
      <c r="H96" s="3" t="s">
        <v>31</v>
      </c>
      <c r="I96" s="3" t="s">
        <v>359</v>
      </c>
      <c r="J96" s="3" t="s">
        <v>217</v>
      </c>
      <c r="K96" s="3">
        <v>5</v>
      </c>
      <c r="L96" s="3">
        <v>2916.73</v>
      </c>
      <c r="M96" s="3">
        <v>14583.65</v>
      </c>
      <c r="N96" s="3">
        <v>9164.85</v>
      </c>
      <c r="O96" s="3">
        <v>5418.8</v>
      </c>
      <c r="P96" s="3" t="s">
        <v>34</v>
      </c>
    </row>
    <row r="97" spans="1:16" x14ac:dyDescent="0.35">
      <c r="A97" s="3" t="s">
        <v>360</v>
      </c>
      <c r="B97" s="3" t="s">
        <v>361</v>
      </c>
      <c r="C97" s="3" t="s">
        <v>137</v>
      </c>
      <c r="D97" s="3" t="s">
        <v>38</v>
      </c>
      <c r="E97" s="3" t="s">
        <v>104</v>
      </c>
      <c r="F97" s="3" t="s">
        <v>104</v>
      </c>
      <c r="G97" s="3" t="s">
        <v>51</v>
      </c>
      <c r="H97" s="3" t="s">
        <v>77</v>
      </c>
      <c r="I97" s="3" t="s">
        <v>362</v>
      </c>
      <c r="J97" s="3" t="s">
        <v>85</v>
      </c>
      <c r="K97" s="3">
        <v>8</v>
      </c>
      <c r="L97" s="3">
        <v>11055.53</v>
      </c>
      <c r="M97" s="3">
        <v>88444.24</v>
      </c>
      <c r="N97" s="3">
        <v>68577.23</v>
      </c>
      <c r="O97" s="3">
        <v>19867.009999999998</v>
      </c>
      <c r="P97" s="3" t="s">
        <v>86</v>
      </c>
    </row>
    <row r="98" spans="1:16" x14ac:dyDescent="0.35">
      <c r="A98" s="3" t="s">
        <v>363</v>
      </c>
      <c r="B98" s="3" t="s">
        <v>364</v>
      </c>
      <c r="C98" s="3" t="s">
        <v>137</v>
      </c>
      <c r="D98" s="3" t="s">
        <v>58</v>
      </c>
      <c r="E98" s="3" t="s">
        <v>59</v>
      </c>
      <c r="F98" s="3" t="s">
        <v>60</v>
      </c>
      <c r="G98" s="3" t="s">
        <v>30</v>
      </c>
      <c r="H98" s="3" t="s">
        <v>31</v>
      </c>
      <c r="I98" s="3" t="s">
        <v>365</v>
      </c>
      <c r="J98" s="3" t="s">
        <v>147</v>
      </c>
      <c r="K98" s="3">
        <v>6</v>
      </c>
      <c r="L98" s="3">
        <v>2557.38</v>
      </c>
      <c r="M98" s="3">
        <v>15344.28</v>
      </c>
      <c r="N98" s="3">
        <v>11103.82</v>
      </c>
      <c r="O98" s="3">
        <v>4240.46</v>
      </c>
      <c r="P98" s="3" t="s">
        <v>45</v>
      </c>
    </row>
    <row r="99" spans="1:16" x14ac:dyDescent="0.35">
      <c r="A99" s="3" t="s">
        <v>366</v>
      </c>
      <c r="B99" s="3" t="s">
        <v>367</v>
      </c>
      <c r="C99" s="3" t="s">
        <v>29</v>
      </c>
      <c r="D99" s="3" t="s">
        <v>90</v>
      </c>
      <c r="E99" s="3" t="s">
        <v>119</v>
      </c>
      <c r="F99" s="3" t="s">
        <v>120</v>
      </c>
      <c r="G99" s="3" t="s">
        <v>22</v>
      </c>
      <c r="H99" s="3" t="s">
        <v>83</v>
      </c>
      <c r="I99" s="3" t="s">
        <v>368</v>
      </c>
      <c r="J99" s="3" t="s">
        <v>171</v>
      </c>
      <c r="K99" s="3">
        <v>7</v>
      </c>
      <c r="L99" s="3">
        <v>20660.75</v>
      </c>
      <c r="M99" s="3">
        <v>144625.25</v>
      </c>
      <c r="N99" s="3">
        <v>116235.34</v>
      </c>
      <c r="O99" s="3">
        <v>28389.91</v>
      </c>
      <c r="P99" s="3" t="s">
        <v>45</v>
      </c>
    </row>
    <row r="100" spans="1:16" x14ac:dyDescent="0.35">
      <c r="A100" s="3" t="s">
        <v>369</v>
      </c>
      <c r="B100" s="3" t="s">
        <v>370</v>
      </c>
      <c r="C100" s="3" t="s">
        <v>137</v>
      </c>
      <c r="D100" s="3" t="s">
        <v>90</v>
      </c>
      <c r="E100" s="3" t="s">
        <v>97</v>
      </c>
      <c r="F100" s="3" t="s">
        <v>98</v>
      </c>
      <c r="G100" s="3" t="s">
        <v>41</v>
      </c>
      <c r="H100" s="3" t="s">
        <v>42</v>
      </c>
      <c r="I100" s="3" t="s">
        <v>371</v>
      </c>
      <c r="J100" s="3" t="s">
        <v>161</v>
      </c>
      <c r="K100" s="3">
        <v>5</v>
      </c>
      <c r="L100" s="3">
        <v>45043.6</v>
      </c>
      <c r="M100" s="3">
        <v>225218</v>
      </c>
      <c r="N100" s="3">
        <v>180936.73</v>
      </c>
      <c r="O100" s="3">
        <v>44281.27</v>
      </c>
      <c r="P100" s="3" t="s">
        <v>69</v>
      </c>
    </row>
    <row r="101" spans="1:16" x14ac:dyDescent="0.35">
      <c r="A101" s="3" t="s">
        <v>372</v>
      </c>
      <c r="B101" s="3" t="s">
        <v>373</v>
      </c>
      <c r="C101" s="3" t="s">
        <v>137</v>
      </c>
      <c r="D101" s="3" t="s">
        <v>19</v>
      </c>
      <c r="E101" s="3" t="s">
        <v>199</v>
      </c>
      <c r="F101" s="3" t="s">
        <v>200</v>
      </c>
      <c r="G101" s="3" t="s">
        <v>41</v>
      </c>
      <c r="H101" s="3" t="s">
        <v>42</v>
      </c>
      <c r="I101" s="3" t="s">
        <v>374</v>
      </c>
      <c r="J101" s="3" t="s">
        <v>25</v>
      </c>
      <c r="K101" s="3">
        <v>8</v>
      </c>
      <c r="L101" s="3">
        <v>48327.37</v>
      </c>
      <c r="M101" s="3">
        <v>386618.96</v>
      </c>
      <c r="N101" s="3">
        <v>269518.40000000002</v>
      </c>
      <c r="O101" s="3">
        <v>117100.56</v>
      </c>
      <c r="P101" s="3" t="s">
        <v>69</v>
      </c>
    </row>
    <row r="102" spans="1:16" x14ac:dyDescent="0.35">
      <c r="A102" s="3" t="s">
        <v>375</v>
      </c>
      <c r="B102" s="3" t="s">
        <v>376</v>
      </c>
      <c r="C102" s="3" t="s">
        <v>37</v>
      </c>
      <c r="D102" s="3" t="s">
        <v>38</v>
      </c>
      <c r="E102" s="3" t="s">
        <v>39</v>
      </c>
      <c r="F102" s="3" t="s">
        <v>40</v>
      </c>
      <c r="G102" s="3" t="s">
        <v>30</v>
      </c>
      <c r="H102" s="3" t="s">
        <v>31</v>
      </c>
      <c r="I102" s="3" t="s">
        <v>377</v>
      </c>
      <c r="J102" s="3" t="s">
        <v>154</v>
      </c>
      <c r="K102" s="3">
        <v>5</v>
      </c>
      <c r="L102" s="3">
        <v>2642.23</v>
      </c>
      <c r="M102" s="3">
        <v>13211.15</v>
      </c>
      <c r="N102" s="3">
        <v>9860.58</v>
      </c>
      <c r="O102" s="3">
        <v>3350.57</v>
      </c>
      <c r="P102" s="3" t="s">
        <v>86</v>
      </c>
    </row>
    <row r="103" spans="1:16" x14ac:dyDescent="0.35">
      <c r="A103" s="3" t="s">
        <v>378</v>
      </c>
      <c r="B103" s="3" t="s">
        <v>126</v>
      </c>
      <c r="C103" s="3" t="s">
        <v>103</v>
      </c>
      <c r="D103" s="3" t="s">
        <v>90</v>
      </c>
      <c r="E103" s="3" t="s">
        <v>119</v>
      </c>
      <c r="F103" s="3" t="s">
        <v>120</v>
      </c>
      <c r="G103" s="3" t="s">
        <v>41</v>
      </c>
      <c r="H103" s="3" t="s">
        <v>61</v>
      </c>
      <c r="I103" s="3" t="s">
        <v>379</v>
      </c>
      <c r="J103" s="3" t="s">
        <v>79</v>
      </c>
      <c r="K103" s="3">
        <v>5</v>
      </c>
      <c r="L103" s="3">
        <v>2471.35</v>
      </c>
      <c r="M103" s="3">
        <v>12356.75</v>
      </c>
      <c r="N103" s="3">
        <v>8077.8</v>
      </c>
      <c r="O103" s="3">
        <v>4278.95</v>
      </c>
      <c r="P103" s="3" t="s">
        <v>26</v>
      </c>
    </row>
    <row r="104" spans="1:16" x14ac:dyDescent="0.35">
      <c r="A104" s="3" t="s">
        <v>380</v>
      </c>
      <c r="B104" s="3" t="s">
        <v>381</v>
      </c>
      <c r="C104" s="3" t="s">
        <v>18</v>
      </c>
      <c r="D104" s="3" t="s">
        <v>90</v>
      </c>
      <c r="E104" s="3" t="s">
        <v>97</v>
      </c>
      <c r="F104" s="3" t="s">
        <v>98</v>
      </c>
      <c r="G104" s="3" t="s">
        <v>22</v>
      </c>
      <c r="H104" s="3" t="s">
        <v>83</v>
      </c>
      <c r="I104" s="3" t="s">
        <v>382</v>
      </c>
      <c r="J104" s="3" t="s">
        <v>131</v>
      </c>
      <c r="K104" s="3">
        <v>5</v>
      </c>
      <c r="L104" s="3">
        <v>21577.74</v>
      </c>
      <c r="M104" s="3">
        <v>107888.7</v>
      </c>
      <c r="N104" s="3">
        <v>87799.76</v>
      </c>
      <c r="O104" s="3">
        <v>20088.939999999999</v>
      </c>
      <c r="P104" s="3" t="s">
        <v>69</v>
      </c>
    </row>
    <row r="105" spans="1:16" x14ac:dyDescent="0.35">
      <c r="A105" s="3" t="s">
        <v>383</v>
      </c>
      <c r="B105" s="3" t="s">
        <v>384</v>
      </c>
      <c r="C105" s="3" t="s">
        <v>57</v>
      </c>
      <c r="D105" s="3" t="s">
        <v>58</v>
      </c>
      <c r="E105" s="3" t="s">
        <v>59</v>
      </c>
      <c r="F105" s="3" t="s">
        <v>60</v>
      </c>
      <c r="G105" s="3" t="s">
        <v>22</v>
      </c>
      <c r="H105" s="3" t="s">
        <v>83</v>
      </c>
      <c r="I105" s="3" t="s">
        <v>385</v>
      </c>
      <c r="J105" s="3" t="s">
        <v>25</v>
      </c>
      <c r="K105" s="3">
        <v>5</v>
      </c>
      <c r="L105" s="3">
        <v>22825.16</v>
      </c>
      <c r="M105" s="3">
        <v>114125.8</v>
      </c>
      <c r="N105" s="3">
        <v>86120.19</v>
      </c>
      <c r="O105" s="3">
        <v>28005.61</v>
      </c>
      <c r="P105" s="3" t="s">
        <v>45</v>
      </c>
    </row>
    <row r="106" spans="1:16" x14ac:dyDescent="0.35">
      <c r="A106" s="3" t="s">
        <v>386</v>
      </c>
      <c r="B106" s="3" t="s">
        <v>387</v>
      </c>
      <c r="C106" s="3" t="s">
        <v>82</v>
      </c>
      <c r="D106" s="3" t="s">
        <v>19</v>
      </c>
      <c r="E106" s="3" t="s">
        <v>199</v>
      </c>
      <c r="F106" s="3" t="s">
        <v>200</v>
      </c>
      <c r="G106" s="3" t="s">
        <v>22</v>
      </c>
      <c r="H106" s="3" t="s">
        <v>83</v>
      </c>
      <c r="I106" s="3" t="s">
        <v>388</v>
      </c>
      <c r="J106" s="3" t="s">
        <v>131</v>
      </c>
      <c r="K106" s="3">
        <v>5</v>
      </c>
      <c r="L106" s="3">
        <v>22897.01</v>
      </c>
      <c r="M106" s="3">
        <v>114485.05</v>
      </c>
      <c r="N106" s="3">
        <v>82900.69</v>
      </c>
      <c r="O106" s="3">
        <v>31584.36</v>
      </c>
      <c r="P106" s="3" t="s">
        <v>86</v>
      </c>
    </row>
    <row r="107" spans="1:16" x14ac:dyDescent="0.35">
      <c r="A107" s="3" t="s">
        <v>389</v>
      </c>
      <c r="B107" s="3" t="s">
        <v>276</v>
      </c>
      <c r="C107" s="3" t="s">
        <v>114</v>
      </c>
      <c r="D107" s="3" t="s">
        <v>38</v>
      </c>
      <c r="E107" s="3" t="s">
        <v>109</v>
      </c>
      <c r="F107" s="3" t="s">
        <v>110</v>
      </c>
      <c r="G107" s="3" t="s">
        <v>41</v>
      </c>
      <c r="H107" s="3" t="s">
        <v>138</v>
      </c>
      <c r="I107" s="3" t="s">
        <v>390</v>
      </c>
      <c r="J107" s="3" t="s">
        <v>131</v>
      </c>
      <c r="K107" s="3">
        <v>8</v>
      </c>
      <c r="L107" s="3">
        <v>18761.810000000001</v>
      </c>
      <c r="M107" s="3">
        <v>150094.48000000001</v>
      </c>
      <c r="N107" s="3">
        <v>110019.33</v>
      </c>
      <c r="O107" s="3">
        <v>40075.15</v>
      </c>
      <c r="P107" s="3" t="s">
        <v>45</v>
      </c>
    </row>
    <row r="108" spans="1:16" x14ac:dyDescent="0.35">
      <c r="A108" s="3" t="s">
        <v>391</v>
      </c>
      <c r="B108" s="3" t="s">
        <v>392</v>
      </c>
      <c r="C108" s="3" t="s">
        <v>103</v>
      </c>
      <c r="D108" s="3" t="s">
        <v>19</v>
      </c>
      <c r="E108" s="3" t="s">
        <v>20</v>
      </c>
      <c r="F108" s="3" t="s">
        <v>21</v>
      </c>
      <c r="G108" s="3" t="s">
        <v>51</v>
      </c>
      <c r="H108" s="3" t="s">
        <v>52</v>
      </c>
      <c r="I108" s="3" t="s">
        <v>393</v>
      </c>
      <c r="J108" s="3" t="s">
        <v>106</v>
      </c>
      <c r="K108" s="3">
        <v>1</v>
      </c>
      <c r="L108" s="3">
        <v>24.01</v>
      </c>
      <c r="M108" s="3">
        <v>24.01</v>
      </c>
      <c r="N108" s="3">
        <v>9.6</v>
      </c>
      <c r="O108" s="3">
        <v>14.41</v>
      </c>
      <c r="P108" s="3" t="s">
        <v>69</v>
      </c>
    </row>
    <row r="109" spans="1:16" x14ac:dyDescent="0.35">
      <c r="A109" s="3" t="s">
        <v>394</v>
      </c>
      <c r="B109" s="3" t="s">
        <v>395</v>
      </c>
      <c r="C109" s="3" t="s">
        <v>29</v>
      </c>
      <c r="D109" s="3" t="s">
        <v>19</v>
      </c>
      <c r="E109" s="3" t="s">
        <v>199</v>
      </c>
      <c r="F109" s="3" t="s">
        <v>200</v>
      </c>
      <c r="G109" s="3" t="s">
        <v>51</v>
      </c>
      <c r="H109" s="3" t="s">
        <v>52</v>
      </c>
      <c r="I109" s="3" t="s">
        <v>396</v>
      </c>
      <c r="J109" s="3" t="s">
        <v>171</v>
      </c>
      <c r="K109" s="3">
        <v>3</v>
      </c>
      <c r="L109" s="3">
        <v>23.22</v>
      </c>
      <c r="M109" s="3">
        <v>69.66</v>
      </c>
      <c r="N109" s="3">
        <v>30.93</v>
      </c>
      <c r="O109" s="3">
        <v>38.729999999999997</v>
      </c>
      <c r="P109" s="3" t="s">
        <v>69</v>
      </c>
    </row>
    <row r="110" spans="1:16" x14ac:dyDescent="0.35">
      <c r="A110" s="3" t="s">
        <v>397</v>
      </c>
      <c r="B110" s="3" t="s">
        <v>398</v>
      </c>
      <c r="C110" s="3" t="s">
        <v>57</v>
      </c>
      <c r="D110" s="3" t="s">
        <v>58</v>
      </c>
      <c r="E110" s="3" t="s">
        <v>59</v>
      </c>
      <c r="F110" s="3" t="s">
        <v>60</v>
      </c>
      <c r="G110" s="3" t="s">
        <v>41</v>
      </c>
      <c r="H110" s="3" t="s">
        <v>138</v>
      </c>
      <c r="I110" s="3" t="s">
        <v>399</v>
      </c>
      <c r="J110" s="3" t="s">
        <v>131</v>
      </c>
      <c r="K110" s="3">
        <v>7</v>
      </c>
      <c r="L110" s="3">
        <v>19086.62</v>
      </c>
      <c r="M110" s="3">
        <v>133606.34</v>
      </c>
      <c r="N110" s="3">
        <v>94838.02</v>
      </c>
      <c r="O110" s="3">
        <v>38768.32</v>
      </c>
      <c r="P110" s="3" t="s">
        <v>26</v>
      </c>
    </row>
    <row r="111" spans="1:16" x14ac:dyDescent="0.35">
      <c r="A111" s="3" t="s">
        <v>400</v>
      </c>
      <c r="B111" s="3" t="s">
        <v>126</v>
      </c>
      <c r="C111" s="3" t="s">
        <v>103</v>
      </c>
      <c r="D111" s="3" t="s">
        <v>38</v>
      </c>
      <c r="E111" s="3" t="s">
        <v>109</v>
      </c>
      <c r="F111" s="3" t="s">
        <v>110</v>
      </c>
      <c r="G111" s="3" t="s">
        <v>22</v>
      </c>
      <c r="H111" s="3" t="s">
        <v>23</v>
      </c>
      <c r="I111" s="3" t="s">
        <v>401</v>
      </c>
      <c r="J111" s="3" t="s">
        <v>54</v>
      </c>
      <c r="K111" s="3">
        <v>1</v>
      </c>
      <c r="L111" s="3">
        <v>3440.52</v>
      </c>
      <c r="M111" s="3">
        <v>3440.52</v>
      </c>
      <c r="N111" s="3">
        <v>2267.77</v>
      </c>
      <c r="O111" s="3">
        <v>1172.75</v>
      </c>
      <c r="P111" s="3" t="s">
        <v>69</v>
      </c>
    </row>
    <row r="112" spans="1:16" x14ac:dyDescent="0.35">
      <c r="A112" s="3" t="s">
        <v>402</v>
      </c>
      <c r="B112" s="3" t="s">
        <v>113</v>
      </c>
      <c r="C112" s="3" t="s">
        <v>114</v>
      </c>
      <c r="D112" s="3" t="s">
        <v>58</v>
      </c>
      <c r="E112" s="3" t="s">
        <v>176</v>
      </c>
      <c r="F112" s="3" t="s">
        <v>177</v>
      </c>
      <c r="G112" s="3" t="s">
        <v>51</v>
      </c>
      <c r="H112" s="3" t="s">
        <v>52</v>
      </c>
      <c r="I112" s="3" t="s">
        <v>403</v>
      </c>
      <c r="J112" s="3" t="s">
        <v>33</v>
      </c>
      <c r="K112" s="3">
        <v>1</v>
      </c>
      <c r="L112" s="3">
        <v>25.22</v>
      </c>
      <c r="M112" s="3">
        <v>25.22</v>
      </c>
      <c r="N112" s="3">
        <v>9.86</v>
      </c>
      <c r="O112" s="3">
        <v>15.36</v>
      </c>
      <c r="P112" s="3" t="s">
        <v>86</v>
      </c>
    </row>
    <row r="113" spans="1:16" x14ac:dyDescent="0.35">
      <c r="A113" s="3" t="s">
        <v>404</v>
      </c>
      <c r="B113" s="3" t="s">
        <v>367</v>
      </c>
      <c r="C113" s="3" t="s">
        <v>29</v>
      </c>
      <c r="D113" s="3" t="s">
        <v>38</v>
      </c>
      <c r="E113" s="3" t="s">
        <v>109</v>
      </c>
      <c r="F113" s="3" t="s">
        <v>110</v>
      </c>
      <c r="G113" s="3" t="s">
        <v>41</v>
      </c>
      <c r="H113" s="3" t="s">
        <v>42</v>
      </c>
      <c r="I113" s="3" t="s">
        <v>405</v>
      </c>
      <c r="J113" s="3" t="s">
        <v>154</v>
      </c>
      <c r="K113" s="3">
        <v>5</v>
      </c>
      <c r="L113" s="3">
        <v>40543.15</v>
      </c>
      <c r="M113" s="3">
        <v>202715.75</v>
      </c>
      <c r="N113" s="3">
        <v>181292.15</v>
      </c>
      <c r="O113" s="3">
        <v>21423.599999999999</v>
      </c>
      <c r="P113" s="3" t="s">
        <v>69</v>
      </c>
    </row>
    <row r="114" spans="1:16" x14ac:dyDescent="0.35">
      <c r="A114" s="3" t="s">
        <v>406</v>
      </c>
      <c r="B114" s="3" t="s">
        <v>407</v>
      </c>
      <c r="C114" s="3" t="s">
        <v>48</v>
      </c>
      <c r="D114" s="3" t="s">
        <v>90</v>
      </c>
      <c r="E114" s="3" t="s">
        <v>97</v>
      </c>
      <c r="F114" s="3" t="s">
        <v>98</v>
      </c>
      <c r="G114" s="3" t="s">
        <v>30</v>
      </c>
      <c r="H114" s="3" t="s">
        <v>73</v>
      </c>
      <c r="I114" s="3" t="s">
        <v>408</v>
      </c>
      <c r="J114" s="3" t="s">
        <v>25</v>
      </c>
      <c r="K114" s="3">
        <v>1</v>
      </c>
      <c r="L114" s="3">
        <v>2951.71</v>
      </c>
      <c r="M114" s="3">
        <v>2951.71</v>
      </c>
      <c r="N114" s="3">
        <v>2502.52</v>
      </c>
      <c r="O114" s="3">
        <v>449.19</v>
      </c>
      <c r="P114" s="3" t="s">
        <v>26</v>
      </c>
    </row>
    <row r="115" spans="1:16" x14ac:dyDescent="0.35">
      <c r="A115" s="3" t="s">
        <v>409</v>
      </c>
      <c r="B115" s="3" t="s">
        <v>47</v>
      </c>
      <c r="C115" s="3" t="s">
        <v>48</v>
      </c>
      <c r="D115" s="3" t="s">
        <v>38</v>
      </c>
      <c r="E115" s="3" t="s">
        <v>104</v>
      </c>
      <c r="F115" s="3" t="s">
        <v>104</v>
      </c>
      <c r="G115" s="3" t="s">
        <v>22</v>
      </c>
      <c r="H115" s="3" t="s">
        <v>23</v>
      </c>
      <c r="I115" s="3" t="s">
        <v>410</v>
      </c>
      <c r="J115" s="3" t="s">
        <v>131</v>
      </c>
      <c r="K115" s="3">
        <v>6</v>
      </c>
      <c r="L115" s="3">
        <v>3312.35</v>
      </c>
      <c r="M115" s="3">
        <v>19874.099999999999</v>
      </c>
      <c r="N115" s="3">
        <v>12828.19</v>
      </c>
      <c r="O115" s="3">
        <v>7045.91</v>
      </c>
      <c r="P115" s="3" t="s">
        <v>34</v>
      </c>
    </row>
    <row r="116" spans="1:16" x14ac:dyDescent="0.35">
      <c r="A116" s="3" t="s">
        <v>411</v>
      </c>
      <c r="B116" s="3" t="s">
        <v>412</v>
      </c>
      <c r="C116" s="3" t="s">
        <v>48</v>
      </c>
      <c r="D116" s="3" t="s">
        <v>38</v>
      </c>
      <c r="E116" s="3" t="s">
        <v>39</v>
      </c>
      <c r="F116" s="3" t="s">
        <v>40</v>
      </c>
      <c r="G116" s="3" t="s">
        <v>41</v>
      </c>
      <c r="H116" s="3" t="s">
        <v>42</v>
      </c>
      <c r="I116" s="3" t="s">
        <v>413</v>
      </c>
      <c r="J116" s="3" t="s">
        <v>79</v>
      </c>
      <c r="K116" s="3">
        <v>1</v>
      </c>
      <c r="L116" s="3">
        <v>40585.83</v>
      </c>
      <c r="M116" s="3">
        <v>40585.83</v>
      </c>
      <c r="N116" s="3">
        <v>34668.769999999997</v>
      </c>
      <c r="O116" s="3">
        <v>5917.06</v>
      </c>
      <c r="P116" s="3" t="s">
        <v>69</v>
      </c>
    </row>
    <row r="117" spans="1:16" x14ac:dyDescent="0.35">
      <c r="A117" s="3" t="s">
        <v>414</v>
      </c>
      <c r="B117" s="3" t="s">
        <v>415</v>
      </c>
      <c r="C117" s="3" t="s">
        <v>18</v>
      </c>
      <c r="D117" s="3" t="s">
        <v>19</v>
      </c>
      <c r="E117" s="3" t="s">
        <v>20</v>
      </c>
      <c r="F117" s="3" t="s">
        <v>21</v>
      </c>
      <c r="G117" s="3" t="s">
        <v>51</v>
      </c>
      <c r="H117" s="3" t="s">
        <v>77</v>
      </c>
      <c r="I117" s="3" t="s">
        <v>252</v>
      </c>
      <c r="J117" s="3" t="s">
        <v>44</v>
      </c>
      <c r="K117" s="3">
        <v>4</v>
      </c>
      <c r="L117" s="3">
        <v>12976.03</v>
      </c>
      <c r="M117" s="3">
        <v>51904.12</v>
      </c>
      <c r="N117" s="3">
        <v>37363.160000000003</v>
      </c>
      <c r="O117" s="3">
        <v>14540.96</v>
      </c>
      <c r="P117" s="3" t="s">
        <v>69</v>
      </c>
    </row>
    <row r="118" spans="1:16" x14ac:dyDescent="0.35">
      <c r="A118" s="3" t="s">
        <v>416</v>
      </c>
      <c r="B118" s="3" t="s">
        <v>417</v>
      </c>
      <c r="C118" s="3" t="s">
        <v>37</v>
      </c>
      <c r="D118" s="3" t="s">
        <v>58</v>
      </c>
      <c r="E118" s="3" t="s">
        <v>176</v>
      </c>
      <c r="F118" s="3" t="s">
        <v>177</v>
      </c>
      <c r="G118" s="3" t="s">
        <v>22</v>
      </c>
      <c r="H118" s="3" t="s">
        <v>83</v>
      </c>
      <c r="I118" s="3" t="s">
        <v>418</v>
      </c>
      <c r="J118" s="3" t="s">
        <v>171</v>
      </c>
      <c r="K118" s="3">
        <v>5</v>
      </c>
      <c r="L118" s="3">
        <v>22509.79</v>
      </c>
      <c r="M118" s="3">
        <v>112548.95</v>
      </c>
      <c r="N118" s="3">
        <v>85010.67</v>
      </c>
      <c r="O118" s="3">
        <v>27538.28</v>
      </c>
      <c r="P118" s="3" t="s">
        <v>26</v>
      </c>
    </row>
    <row r="119" spans="1:16" x14ac:dyDescent="0.35">
      <c r="A119" s="3" t="s">
        <v>419</v>
      </c>
      <c r="B119" s="3" t="s">
        <v>420</v>
      </c>
      <c r="C119" s="3" t="s">
        <v>89</v>
      </c>
      <c r="D119" s="3" t="s">
        <v>38</v>
      </c>
      <c r="E119" s="3" t="s">
        <v>109</v>
      </c>
      <c r="F119" s="3" t="s">
        <v>110</v>
      </c>
      <c r="G119" s="3" t="s">
        <v>30</v>
      </c>
      <c r="H119" s="3" t="s">
        <v>31</v>
      </c>
      <c r="I119" s="3" t="s">
        <v>207</v>
      </c>
      <c r="J119" s="3" t="s">
        <v>44</v>
      </c>
      <c r="K119" s="3">
        <v>5</v>
      </c>
      <c r="L119" s="3">
        <v>2575.0700000000002</v>
      </c>
      <c r="M119" s="3">
        <v>12875.35</v>
      </c>
      <c r="N119" s="3">
        <v>9388.16</v>
      </c>
      <c r="O119" s="3">
        <v>3487.19</v>
      </c>
      <c r="P119" s="3" t="s">
        <v>86</v>
      </c>
    </row>
    <row r="120" spans="1:16" x14ac:dyDescent="0.35">
      <c r="A120" s="3" t="s">
        <v>421</v>
      </c>
      <c r="B120" s="3" t="s">
        <v>245</v>
      </c>
      <c r="C120" s="3" t="s">
        <v>29</v>
      </c>
      <c r="D120" s="3" t="s">
        <v>90</v>
      </c>
      <c r="E120" s="3" t="s">
        <v>119</v>
      </c>
      <c r="F120" s="3" t="s">
        <v>120</v>
      </c>
      <c r="G120" s="3" t="s">
        <v>22</v>
      </c>
      <c r="H120" s="3" t="s">
        <v>23</v>
      </c>
      <c r="I120" s="3" t="s">
        <v>422</v>
      </c>
      <c r="J120" s="3" t="s">
        <v>171</v>
      </c>
      <c r="K120" s="3">
        <v>5</v>
      </c>
      <c r="L120" s="3">
        <v>3377</v>
      </c>
      <c r="M120" s="3">
        <v>16885</v>
      </c>
      <c r="N120" s="3">
        <v>10653.16</v>
      </c>
      <c r="O120" s="3">
        <v>6231.84</v>
      </c>
      <c r="P120" s="3" t="s">
        <v>86</v>
      </c>
    </row>
    <row r="121" spans="1:16" x14ac:dyDescent="0.35">
      <c r="A121" s="3" t="s">
        <v>423</v>
      </c>
      <c r="B121" s="3" t="s">
        <v>424</v>
      </c>
      <c r="C121" s="3" t="s">
        <v>72</v>
      </c>
      <c r="D121" s="3" t="s">
        <v>19</v>
      </c>
      <c r="E121" s="3" t="s">
        <v>49</v>
      </c>
      <c r="F121" s="3" t="s">
        <v>50</v>
      </c>
      <c r="G121" s="3" t="s">
        <v>41</v>
      </c>
      <c r="H121" s="3" t="s">
        <v>138</v>
      </c>
      <c r="I121" s="3" t="s">
        <v>425</v>
      </c>
      <c r="J121" s="3" t="s">
        <v>85</v>
      </c>
      <c r="K121" s="3">
        <v>8</v>
      </c>
      <c r="L121" s="3">
        <v>17327.41</v>
      </c>
      <c r="M121" s="3">
        <v>138619.28</v>
      </c>
      <c r="N121" s="3">
        <v>108804.72</v>
      </c>
      <c r="O121" s="3">
        <v>29814.560000000001</v>
      </c>
      <c r="P121" s="3" t="s">
        <v>45</v>
      </c>
    </row>
    <row r="122" spans="1:16" x14ac:dyDescent="0.35">
      <c r="A122" s="3" t="s">
        <v>426</v>
      </c>
      <c r="B122" s="3" t="s">
        <v>129</v>
      </c>
      <c r="C122" s="3" t="s">
        <v>37</v>
      </c>
      <c r="D122" s="3" t="s">
        <v>90</v>
      </c>
      <c r="E122" s="3" t="s">
        <v>119</v>
      </c>
      <c r="F122" s="3" t="s">
        <v>120</v>
      </c>
      <c r="G122" s="3" t="s">
        <v>22</v>
      </c>
      <c r="H122" s="3" t="s">
        <v>23</v>
      </c>
      <c r="I122" s="3" t="s">
        <v>427</v>
      </c>
      <c r="J122" s="3" t="s">
        <v>154</v>
      </c>
      <c r="K122" s="3">
        <v>6</v>
      </c>
      <c r="L122" s="3">
        <v>3457.8</v>
      </c>
      <c r="M122" s="3">
        <v>20746.8</v>
      </c>
      <c r="N122" s="3">
        <v>12691.57</v>
      </c>
      <c r="O122" s="3">
        <v>8055.23</v>
      </c>
      <c r="P122" s="3" t="s">
        <v>26</v>
      </c>
    </row>
    <row r="123" spans="1:16" x14ac:dyDescent="0.35">
      <c r="A123" s="3" t="s">
        <v>428</v>
      </c>
      <c r="B123" s="3" t="s">
        <v>429</v>
      </c>
      <c r="C123" s="3" t="s">
        <v>137</v>
      </c>
      <c r="D123" s="3" t="s">
        <v>19</v>
      </c>
      <c r="E123" s="3" t="s">
        <v>49</v>
      </c>
      <c r="F123" s="3" t="s">
        <v>50</v>
      </c>
      <c r="G123" s="3" t="s">
        <v>41</v>
      </c>
      <c r="H123" s="3" t="s">
        <v>61</v>
      </c>
      <c r="I123" s="3" t="s">
        <v>393</v>
      </c>
      <c r="J123" s="3" t="s">
        <v>161</v>
      </c>
      <c r="K123" s="3">
        <v>6</v>
      </c>
      <c r="L123" s="3">
        <v>2516.4699999999998</v>
      </c>
      <c r="M123" s="3">
        <v>15098.82</v>
      </c>
      <c r="N123" s="3">
        <v>10003.799999999999</v>
      </c>
      <c r="O123" s="3">
        <v>5095.0200000000004</v>
      </c>
      <c r="P123" s="3" t="s">
        <v>34</v>
      </c>
    </row>
    <row r="124" spans="1:16" x14ac:dyDescent="0.35">
      <c r="A124" s="3" t="s">
        <v>430</v>
      </c>
      <c r="B124" s="3" t="s">
        <v>417</v>
      </c>
      <c r="C124" s="3" t="s">
        <v>37</v>
      </c>
      <c r="D124" s="3" t="s">
        <v>19</v>
      </c>
      <c r="E124" s="3" t="s">
        <v>49</v>
      </c>
      <c r="F124" s="3" t="s">
        <v>50</v>
      </c>
      <c r="G124" s="3" t="s">
        <v>51</v>
      </c>
      <c r="H124" s="3" t="s">
        <v>77</v>
      </c>
      <c r="I124" s="3" t="s">
        <v>431</v>
      </c>
      <c r="J124" s="3" t="s">
        <v>33</v>
      </c>
      <c r="K124" s="3">
        <v>4</v>
      </c>
      <c r="L124" s="3">
        <v>11330.12</v>
      </c>
      <c r="M124" s="3">
        <v>45320.480000000003</v>
      </c>
      <c r="N124" s="3">
        <v>34566.99</v>
      </c>
      <c r="O124" s="3">
        <v>10753.49</v>
      </c>
      <c r="P124" s="3" t="s">
        <v>45</v>
      </c>
    </row>
    <row r="125" spans="1:16" x14ac:dyDescent="0.35">
      <c r="A125" s="3" t="s">
        <v>432</v>
      </c>
      <c r="B125" s="3" t="s">
        <v>81</v>
      </c>
      <c r="C125" s="3" t="s">
        <v>82</v>
      </c>
      <c r="D125" s="3" t="s">
        <v>90</v>
      </c>
      <c r="E125" s="3" t="s">
        <v>97</v>
      </c>
      <c r="F125" s="3" t="s">
        <v>98</v>
      </c>
      <c r="G125" s="3" t="s">
        <v>22</v>
      </c>
      <c r="H125" s="3" t="s">
        <v>93</v>
      </c>
      <c r="I125" s="3" t="s">
        <v>433</v>
      </c>
      <c r="J125" s="3" t="s">
        <v>161</v>
      </c>
      <c r="K125" s="3">
        <v>4</v>
      </c>
      <c r="L125" s="3">
        <v>6567.77</v>
      </c>
      <c r="M125" s="3">
        <v>26271.08</v>
      </c>
      <c r="N125" s="3">
        <v>19985.009999999998</v>
      </c>
      <c r="O125" s="3">
        <v>6286.07</v>
      </c>
      <c r="P125" s="3" t="s">
        <v>45</v>
      </c>
    </row>
    <row r="126" spans="1:16" x14ac:dyDescent="0.35">
      <c r="A126" s="3" t="s">
        <v>434</v>
      </c>
      <c r="B126" s="3" t="s">
        <v>435</v>
      </c>
      <c r="C126" s="3" t="s">
        <v>18</v>
      </c>
      <c r="D126" s="3" t="s">
        <v>90</v>
      </c>
      <c r="E126" s="3" t="s">
        <v>97</v>
      </c>
      <c r="F126" s="3" t="s">
        <v>98</v>
      </c>
      <c r="G126" s="3" t="s">
        <v>22</v>
      </c>
      <c r="H126" s="3" t="s">
        <v>23</v>
      </c>
      <c r="I126" s="3" t="s">
        <v>436</v>
      </c>
      <c r="J126" s="3" t="s">
        <v>100</v>
      </c>
      <c r="K126" s="3">
        <v>3</v>
      </c>
      <c r="L126" s="3">
        <v>3725.98</v>
      </c>
      <c r="M126" s="3">
        <v>11177.94</v>
      </c>
      <c r="N126" s="3">
        <v>6546.79</v>
      </c>
      <c r="O126" s="3">
        <v>4631.1499999999996</v>
      </c>
      <c r="P126" s="3" t="s">
        <v>45</v>
      </c>
    </row>
    <row r="127" spans="1:16" x14ac:dyDescent="0.35">
      <c r="A127" s="3" t="s">
        <v>437</v>
      </c>
      <c r="B127" s="3" t="s">
        <v>438</v>
      </c>
      <c r="C127" s="3" t="s">
        <v>89</v>
      </c>
      <c r="D127" s="3" t="s">
        <v>58</v>
      </c>
      <c r="E127" s="3" t="s">
        <v>176</v>
      </c>
      <c r="F127" s="3" t="s">
        <v>177</v>
      </c>
      <c r="G127" s="3" t="s">
        <v>41</v>
      </c>
      <c r="H127" s="3" t="s">
        <v>138</v>
      </c>
      <c r="I127" s="3" t="s">
        <v>439</v>
      </c>
      <c r="J127" s="3" t="s">
        <v>54</v>
      </c>
      <c r="K127" s="3">
        <v>6</v>
      </c>
      <c r="L127" s="3">
        <v>17570.330000000002</v>
      </c>
      <c r="M127" s="3">
        <v>105421.98</v>
      </c>
      <c r="N127" s="3">
        <v>80417.73</v>
      </c>
      <c r="O127" s="3">
        <v>25004.25</v>
      </c>
      <c r="P127" s="3" t="s">
        <v>26</v>
      </c>
    </row>
    <row r="128" spans="1:16" x14ac:dyDescent="0.35">
      <c r="A128" s="3" t="s">
        <v>440</v>
      </c>
      <c r="B128" s="3" t="s">
        <v>169</v>
      </c>
      <c r="C128" s="3" t="s">
        <v>37</v>
      </c>
      <c r="D128" s="3" t="s">
        <v>38</v>
      </c>
      <c r="E128" s="3" t="s">
        <v>104</v>
      </c>
      <c r="F128" s="3" t="s">
        <v>104</v>
      </c>
      <c r="G128" s="3" t="s">
        <v>41</v>
      </c>
      <c r="H128" s="3" t="s">
        <v>42</v>
      </c>
      <c r="I128" s="3" t="s">
        <v>441</v>
      </c>
      <c r="J128" s="3" t="s">
        <v>188</v>
      </c>
      <c r="K128" s="3">
        <v>3</v>
      </c>
      <c r="L128" s="3">
        <v>45231.64</v>
      </c>
      <c r="M128" s="3">
        <v>135694.92000000001</v>
      </c>
      <c r="N128" s="3">
        <v>100070.86</v>
      </c>
      <c r="O128" s="3">
        <v>35624.06</v>
      </c>
      <c r="P128" s="3" t="s">
        <v>69</v>
      </c>
    </row>
    <row r="129" spans="1:16" x14ac:dyDescent="0.35">
      <c r="A129" s="3" t="s">
        <v>442</v>
      </c>
      <c r="B129" s="3" t="s">
        <v>443</v>
      </c>
      <c r="C129" s="3" t="s">
        <v>57</v>
      </c>
      <c r="D129" s="3" t="s">
        <v>38</v>
      </c>
      <c r="E129" s="3" t="s">
        <v>104</v>
      </c>
      <c r="F129" s="3" t="s">
        <v>104</v>
      </c>
      <c r="G129" s="3" t="s">
        <v>51</v>
      </c>
      <c r="H129" s="3" t="s">
        <v>52</v>
      </c>
      <c r="I129" s="3" t="s">
        <v>444</v>
      </c>
      <c r="J129" s="3" t="s">
        <v>161</v>
      </c>
      <c r="K129" s="3">
        <v>1</v>
      </c>
      <c r="L129" s="3">
        <v>26.88</v>
      </c>
      <c r="M129" s="3">
        <v>26.88</v>
      </c>
      <c r="N129" s="3">
        <v>10.220000000000001</v>
      </c>
      <c r="O129" s="3">
        <v>16.66</v>
      </c>
      <c r="P129" s="3" t="s">
        <v>86</v>
      </c>
    </row>
    <row r="130" spans="1:16" x14ac:dyDescent="0.35">
      <c r="A130" s="3" t="s">
        <v>445</v>
      </c>
      <c r="B130" s="3" t="s">
        <v>446</v>
      </c>
      <c r="C130" s="3" t="s">
        <v>29</v>
      </c>
      <c r="D130" s="3" t="s">
        <v>38</v>
      </c>
      <c r="E130" s="3" t="s">
        <v>104</v>
      </c>
      <c r="F130" s="3" t="s">
        <v>104</v>
      </c>
      <c r="G130" s="3" t="s">
        <v>30</v>
      </c>
      <c r="H130" s="3" t="s">
        <v>31</v>
      </c>
      <c r="I130" s="3" t="s">
        <v>447</v>
      </c>
      <c r="J130" s="3" t="s">
        <v>54</v>
      </c>
      <c r="K130" s="3">
        <v>1</v>
      </c>
      <c r="L130" s="3">
        <v>2527.6799999999998</v>
      </c>
      <c r="M130" s="3">
        <v>2527.6799999999998</v>
      </c>
      <c r="N130" s="3">
        <v>1818.8</v>
      </c>
      <c r="O130" s="3">
        <v>708.88</v>
      </c>
      <c r="P130" s="3" t="s">
        <v>34</v>
      </c>
    </row>
    <row r="131" spans="1:16" x14ac:dyDescent="0.35">
      <c r="A131" s="3" t="s">
        <v>448</v>
      </c>
      <c r="B131" s="3" t="s">
        <v>449</v>
      </c>
      <c r="C131" s="3" t="s">
        <v>37</v>
      </c>
      <c r="D131" s="3" t="s">
        <v>38</v>
      </c>
      <c r="E131" s="3" t="s">
        <v>39</v>
      </c>
      <c r="F131" s="3" t="s">
        <v>40</v>
      </c>
      <c r="G131" s="3" t="s">
        <v>41</v>
      </c>
      <c r="H131" s="3" t="s">
        <v>138</v>
      </c>
      <c r="I131" s="3" t="s">
        <v>450</v>
      </c>
      <c r="J131" s="3" t="s">
        <v>217</v>
      </c>
      <c r="K131" s="3">
        <v>8</v>
      </c>
      <c r="L131" s="3">
        <v>18990.55</v>
      </c>
      <c r="M131" s="3">
        <v>151924.4</v>
      </c>
      <c r="N131" s="3">
        <v>107630.67</v>
      </c>
      <c r="O131" s="3">
        <v>44293.73</v>
      </c>
      <c r="P131" s="3" t="s">
        <v>26</v>
      </c>
    </row>
    <row r="132" spans="1:16" x14ac:dyDescent="0.35">
      <c r="A132" s="3" t="s">
        <v>451</v>
      </c>
      <c r="B132" s="3" t="s">
        <v>452</v>
      </c>
      <c r="C132" s="3" t="s">
        <v>114</v>
      </c>
      <c r="D132" s="3" t="s">
        <v>19</v>
      </c>
      <c r="E132" s="3" t="s">
        <v>20</v>
      </c>
      <c r="F132" s="3" t="s">
        <v>21</v>
      </c>
      <c r="G132" s="3" t="s">
        <v>51</v>
      </c>
      <c r="H132" s="3" t="s">
        <v>145</v>
      </c>
      <c r="I132" s="3" t="s">
        <v>453</v>
      </c>
      <c r="J132" s="3" t="s">
        <v>131</v>
      </c>
      <c r="K132" s="3">
        <v>8</v>
      </c>
      <c r="L132" s="3">
        <v>116.15</v>
      </c>
      <c r="M132" s="3">
        <v>929.2</v>
      </c>
      <c r="N132" s="3">
        <v>491.75</v>
      </c>
      <c r="O132" s="3">
        <v>437.45</v>
      </c>
      <c r="P132" s="3" t="s">
        <v>45</v>
      </c>
    </row>
    <row r="133" spans="1:16" x14ac:dyDescent="0.35">
      <c r="A133" s="3" t="s">
        <v>454</v>
      </c>
      <c r="B133" s="3" t="s">
        <v>455</v>
      </c>
      <c r="C133" s="3" t="s">
        <v>18</v>
      </c>
      <c r="D133" s="3" t="s">
        <v>90</v>
      </c>
      <c r="E133" s="3" t="s">
        <v>119</v>
      </c>
      <c r="F133" s="3" t="s">
        <v>120</v>
      </c>
      <c r="G133" s="3" t="s">
        <v>41</v>
      </c>
      <c r="H133" s="3" t="s">
        <v>61</v>
      </c>
      <c r="I133" s="3" t="s">
        <v>456</v>
      </c>
      <c r="J133" s="3" t="s">
        <v>217</v>
      </c>
      <c r="K133" s="3">
        <v>4</v>
      </c>
      <c r="L133" s="3">
        <v>2747.92</v>
      </c>
      <c r="M133" s="3">
        <v>10991.68</v>
      </c>
      <c r="N133" s="3">
        <v>6298.74</v>
      </c>
      <c r="O133" s="3">
        <v>4692.9399999999996</v>
      </c>
      <c r="P133" s="3" t="s">
        <v>86</v>
      </c>
    </row>
    <row r="134" spans="1:16" x14ac:dyDescent="0.35">
      <c r="A134" s="3" t="s">
        <v>457</v>
      </c>
      <c r="B134" s="3" t="s">
        <v>458</v>
      </c>
      <c r="C134" s="3" t="s">
        <v>18</v>
      </c>
      <c r="D134" s="3" t="s">
        <v>19</v>
      </c>
      <c r="E134" s="3" t="s">
        <v>49</v>
      </c>
      <c r="F134" s="3" t="s">
        <v>50</v>
      </c>
      <c r="G134" s="3" t="s">
        <v>41</v>
      </c>
      <c r="H134" s="3" t="s">
        <v>61</v>
      </c>
      <c r="I134" s="3" t="s">
        <v>459</v>
      </c>
      <c r="J134" s="3" t="s">
        <v>217</v>
      </c>
      <c r="K134" s="3">
        <v>2</v>
      </c>
      <c r="L134" s="3">
        <v>2393.16</v>
      </c>
      <c r="M134" s="3">
        <v>4786.32</v>
      </c>
      <c r="N134" s="3">
        <v>3168.12</v>
      </c>
      <c r="O134" s="3">
        <v>1618.2</v>
      </c>
      <c r="P134" s="3" t="s">
        <v>86</v>
      </c>
    </row>
    <row r="135" spans="1:16" x14ac:dyDescent="0.35">
      <c r="A135" s="3" t="s">
        <v>460</v>
      </c>
      <c r="B135" s="3" t="s">
        <v>395</v>
      </c>
      <c r="C135" s="3" t="s">
        <v>29</v>
      </c>
      <c r="D135" s="3" t="s">
        <v>19</v>
      </c>
      <c r="E135" s="3" t="s">
        <v>20</v>
      </c>
      <c r="F135" s="3" t="s">
        <v>21</v>
      </c>
      <c r="G135" s="3" t="s">
        <v>41</v>
      </c>
      <c r="H135" s="3" t="s">
        <v>61</v>
      </c>
      <c r="I135" s="3" t="s">
        <v>461</v>
      </c>
      <c r="J135" s="3" t="s">
        <v>217</v>
      </c>
      <c r="K135" s="3">
        <v>8</v>
      </c>
      <c r="L135" s="3">
        <v>2535.12</v>
      </c>
      <c r="M135" s="3">
        <v>20280.96</v>
      </c>
      <c r="N135" s="3">
        <v>12906.73</v>
      </c>
      <c r="O135" s="3">
        <v>7374.23</v>
      </c>
      <c r="P135" s="3" t="s">
        <v>86</v>
      </c>
    </row>
    <row r="136" spans="1:16" x14ac:dyDescent="0.35">
      <c r="A136" s="3" t="s">
        <v>462</v>
      </c>
      <c r="B136" s="3" t="s">
        <v>463</v>
      </c>
      <c r="C136" s="3" t="s">
        <v>29</v>
      </c>
      <c r="D136" s="3" t="s">
        <v>90</v>
      </c>
      <c r="E136" s="3" t="s">
        <v>119</v>
      </c>
      <c r="F136" s="3" t="s">
        <v>120</v>
      </c>
      <c r="G136" s="3" t="s">
        <v>30</v>
      </c>
      <c r="H136" s="3" t="s">
        <v>73</v>
      </c>
      <c r="I136" s="3" t="s">
        <v>464</v>
      </c>
      <c r="J136" s="3" t="s">
        <v>161</v>
      </c>
      <c r="K136" s="3">
        <v>4</v>
      </c>
      <c r="L136" s="3">
        <v>3493.6</v>
      </c>
      <c r="M136" s="3">
        <v>13974.4</v>
      </c>
      <c r="N136" s="3">
        <v>9714.2999999999993</v>
      </c>
      <c r="O136" s="3">
        <v>4260.1000000000004</v>
      </c>
      <c r="P136" s="3" t="s">
        <v>86</v>
      </c>
    </row>
    <row r="137" spans="1:16" x14ac:dyDescent="0.35">
      <c r="A137" s="3" t="s">
        <v>465</v>
      </c>
      <c r="B137" s="3" t="s">
        <v>344</v>
      </c>
      <c r="C137" s="3" t="s">
        <v>48</v>
      </c>
      <c r="D137" s="3" t="s">
        <v>90</v>
      </c>
      <c r="E137" s="3" t="s">
        <v>97</v>
      </c>
      <c r="F137" s="3" t="s">
        <v>98</v>
      </c>
      <c r="G137" s="3" t="s">
        <v>30</v>
      </c>
      <c r="H137" s="3" t="s">
        <v>73</v>
      </c>
      <c r="I137" s="3" t="s">
        <v>466</v>
      </c>
      <c r="J137" s="3" t="s">
        <v>171</v>
      </c>
      <c r="K137" s="3">
        <v>2</v>
      </c>
      <c r="L137" s="3">
        <v>3443.53</v>
      </c>
      <c r="M137" s="3">
        <v>6887.06</v>
      </c>
      <c r="N137" s="3">
        <v>4770.57</v>
      </c>
      <c r="O137" s="3">
        <v>2116.4899999999998</v>
      </c>
      <c r="P137" s="3" t="s">
        <v>86</v>
      </c>
    </row>
    <row r="138" spans="1:16" x14ac:dyDescent="0.35">
      <c r="A138" s="3" t="s">
        <v>467</v>
      </c>
      <c r="B138" s="3" t="s">
        <v>468</v>
      </c>
      <c r="C138" s="3" t="s">
        <v>82</v>
      </c>
      <c r="D138" s="3" t="s">
        <v>58</v>
      </c>
      <c r="E138" s="3" t="s">
        <v>176</v>
      </c>
      <c r="F138" s="3" t="s">
        <v>177</v>
      </c>
      <c r="G138" s="3" t="s">
        <v>30</v>
      </c>
      <c r="H138" s="3" t="s">
        <v>67</v>
      </c>
      <c r="I138" s="3" t="s">
        <v>469</v>
      </c>
      <c r="J138" s="3" t="s">
        <v>131</v>
      </c>
      <c r="K138" s="3">
        <v>7</v>
      </c>
      <c r="L138" s="3">
        <v>9739.39</v>
      </c>
      <c r="M138" s="3">
        <v>68175.73</v>
      </c>
      <c r="N138" s="3">
        <v>54653.08</v>
      </c>
      <c r="O138" s="3">
        <v>13522.65</v>
      </c>
      <c r="P138" s="3" t="s">
        <v>45</v>
      </c>
    </row>
    <row r="139" spans="1:16" x14ac:dyDescent="0.35">
      <c r="A139" s="3" t="s">
        <v>470</v>
      </c>
      <c r="B139" s="3" t="s">
        <v>330</v>
      </c>
      <c r="C139" s="3" t="s">
        <v>18</v>
      </c>
      <c r="D139" s="3" t="s">
        <v>38</v>
      </c>
      <c r="E139" s="3" t="s">
        <v>109</v>
      </c>
      <c r="F139" s="3" t="s">
        <v>110</v>
      </c>
      <c r="G139" s="3" t="s">
        <v>30</v>
      </c>
      <c r="H139" s="3" t="s">
        <v>73</v>
      </c>
      <c r="I139" s="3" t="s">
        <v>471</v>
      </c>
      <c r="J139" s="3" t="s">
        <v>188</v>
      </c>
      <c r="K139" s="3">
        <v>1</v>
      </c>
      <c r="L139" s="3">
        <v>3023.16</v>
      </c>
      <c r="M139" s="3">
        <v>3023.16</v>
      </c>
      <c r="N139" s="3">
        <v>2345.92</v>
      </c>
      <c r="O139" s="3">
        <v>677.24</v>
      </c>
      <c r="P139" s="3" t="s">
        <v>86</v>
      </c>
    </row>
    <row r="140" spans="1:16" x14ac:dyDescent="0.35">
      <c r="A140" s="3" t="s">
        <v>472</v>
      </c>
      <c r="B140" s="3" t="s">
        <v>387</v>
      </c>
      <c r="C140" s="3" t="s">
        <v>82</v>
      </c>
      <c r="D140" s="3" t="s">
        <v>58</v>
      </c>
      <c r="E140" s="3" t="s">
        <v>65</v>
      </c>
      <c r="F140" s="3" t="s">
        <v>66</v>
      </c>
      <c r="G140" s="3" t="s">
        <v>41</v>
      </c>
      <c r="H140" s="3" t="s">
        <v>138</v>
      </c>
      <c r="I140" s="3" t="s">
        <v>473</v>
      </c>
      <c r="J140" s="3" t="s">
        <v>85</v>
      </c>
      <c r="K140" s="3">
        <v>1</v>
      </c>
      <c r="L140" s="3">
        <v>18093.39</v>
      </c>
      <c r="M140" s="3">
        <v>18093.39</v>
      </c>
      <c r="N140" s="3">
        <v>14104.84</v>
      </c>
      <c r="O140" s="3">
        <v>3988.55</v>
      </c>
      <c r="P140" s="3" t="s">
        <v>86</v>
      </c>
    </row>
    <row r="141" spans="1:16" x14ac:dyDescent="0.35">
      <c r="A141" s="3" t="s">
        <v>474</v>
      </c>
      <c r="B141" s="3" t="s">
        <v>318</v>
      </c>
      <c r="C141" s="3" t="s">
        <v>37</v>
      </c>
      <c r="D141" s="3" t="s">
        <v>19</v>
      </c>
      <c r="E141" s="3" t="s">
        <v>20</v>
      </c>
      <c r="F141" s="3" t="s">
        <v>21</v>
      </c>
      <c r="G141" s="3" t="s">
        <v>51</v>
      </c>
      <c r="H141" s="3" t="s">
        <v>77</v>
      </c>
      <c r="I141" s="3" t="s">
        <v>475</v>
      </c>
      <c r="J141" s="3" t="s">
        <v>33</v>
      </c>
      <c r="K141" s="3">
        <v>7</v>
      </c>
      <c r="L141" s="3">
        <v>11348.34</v>
      </c>
      <c r="M141" s="3">
        <v>79438.38</v>
      </c>
      <c r="N141" s="3">
        <v>62023</v>
      </c>
      <c r="O141" s="3">
        <v>17415.38</v>
      </c>
      <c r="P141" s="3" t="s">
        <v>26</v>
      </c>
    </row>
    <row r="142" spans="1:16" x14ac:dyDescent="0.35">
      <c r="A142" s="3" t="s">
        <v>476</v>
      </c>
      <c r="B142" s="3" t="s">
        <v>271</v>
      </c>
      <c r="C142" s="3" t="s">
        <v>82</v>
      </c>
      <c r="D142" s="3" t="s">
        <v>19</v>
      </c>
      <c r="E142" s="3" t="s">
        <v>49</v>
      </c>
      <c r="F142" s="3" t="s">
        <v>50</v>
      </c>
      <c r="G142" s="3" t="s">
        <v>22</v>
      </c>
      <c r="H142" s="3" t="s">
        <v>23</v>
      </c>
      <c r="I142" s="3" t="s">
        <v>456</v>
      </c>
      <c r="J142" s="3" t="s">
        <v>44</v>
      </c>
      <c r="K142" s="3">
        <v>3</v>
      </c>
      <c r="L142" s="3">
        <v>3431.89</v>
      </c>
      <c r="M142" s="3">
        <v>10295.67</v>
      </c>
      <c r="N142" s="3">
        <v>6769.17</v>
      </c>
      <c r="O142" s="3">
        <v>3526.5</v>
      </c>
      <c r="P142" s="3" t="s">
        <v>34</v>
      </c>
    </row>
    <row r="143" spans="1:16" x14ac:dyDescent="0.35">
      <c r="A143" s="3" t="s">
        <v>477</v>
      </c>
      <c r="B143" s="3" t="s">
        <v>478</v>
      </c>
      <c r="C143" s="3" t="s">
        <v>82</v>
      </c>
      <c r="D143" s="3" t="s">
        <v>58</v>
      </c>
      <c r="E143" s="3" t="s">
        <v>59</v>
      </c>
      <c r="F143" s="3" t="s">
        <v>60</v>
      </c>
      <c r="G143" s="3" t="s">
        <v>22</v>
      </c>
      <c r="H143" s="3" t="s">
        <v>23</v>
      </c>
      <c r="I143" s="3" t="s">
        <v>479</v>
      </c>
      <c r="J143" s="3" t="s">
        <v>131</v>
      </c>
      <c r="K143" s="3">
        <v>4</v>
      </c>
      <c r="L143" s="3">
        <v>3790.41</v>
      </c>
      <c r="M143" s="3">
        <v>15161.64</v>
      </c>
      <c r="N143" s="3">
        <v>8770.01</v>
      </c>
      <c r="O143" s="3">
        <v>6391.63</v>
      </c>
      <c r="P143" s="3" t="s">
        <v>86</v>
      </c>
    </row>
    <row r="144" spans="1:16" x14ac:dyDescent="0.35">
      <c r="A144" s="3" t="s">
        <v>480</v>
      </c>
      <c r="B144" s="3" t="s">
        <v>149</v>
      </c>
      <c r="C144" s="3" t="s">
        <v>118</v>
      </c>
      <c r="D144" s="3" t="s">
        <v>19</v>
      </c>
      <c r="E144" s="3" t="s">
        <v>49</v>
      </c>
      <c r="F144" s="3" t="s">
        <v>50</v>
      </c>
      <c r="G144" s="3" t="s">
        <v>51</v>
      </c>
      <c r="H144" s="3" t="s">
        <v>77</v>
      </c>
      <c r="I144" s="3" t="s">
        <v>481</v>
      </c>
      <c r="J144" s="3" t="s">
        <v>188</v>
      </c>
      <c r="K144" s="3">
        <v>5</v>
      </c>
      <c r="L144" s="3">
        <v>11256.92</v>
      </c>
      <c r="M144" s="3">
        <v>56284.6</v>
      </c>
      <c r="N144" s="3">
        <v>46816.15</v>
      </c>
      <c r="O144" s="3">
        <v>9468.4500000000007</v>
      </c>
      <c r="P144" s="3" t="s">
        <v>34</v>
      </c>
    </row>
    <row r="145" spans="1:16" x14ac:dyDescent="0.35">
      <c r="A145" s="3" t="s">
        <v>482</v>
      </c>
      <c r="B145" s="3" t="s">
        <v>458</v>
      </c>
      <c r="C145" s="3" t="s">
        <v>18</v>
      </c>
      <c r="D145" s="3" t="s">
        <v>38</v>
      </c>
      <c r="E145" s="3" t="s">
        <v>109</v>
      </c>
      <c r="F145" s="3" t="s">
        <v>110</v>
      </c>
      <c r="G145" s="3" t="s">
        <v>51</v>
      </c>
      <c r="H145" s="3" t="s">
        <v>52</v>
      </c>
      <c r="I145" s="3" t="s">
        <v>483</v>
      </c>
      <c r="J145" s="3" t="s">
        <v>147</v>
      </c>
      <c r="K145" s="3">
        <v>4</v>
      </c>
      <c r="L145" s="3">
        <v>25.83</v>
      </c>
      <c r="M145" s="3">
        <v>103.32</v>
      </c>
      <c r="N145" s="3">
        <v>41.22</v>
      </c>
      <c r="O145" s="3">
        <v>62.1</v>
      </c>
      <c r="P145" s="3" t="s">
        <v>26</v>
      </c>
    </row>
    <row r="146" spans="1:16" x14ac:dyDescent="0.35">
      <c r="A146" s="3" t="s">
        <v>484</v>
      </c>
      <c r="B146" s="3" t="s">
        <v>485</v>
      </c>
      <c r="C146" s="3" t="s">
        <v>114</v>
      </c>
      <c r="D146" s="3" t="s">
        <v>38</v>
      </c>
      <c r="E146" s="3" t="s">
        <v>39</v>
      </c>
      <c r="F146" s="3" t="s">
        <v>40</v>
      </c>
      <c r="G146" s="3" t="s">
        <v>41</v>
      </c>
      <c r="H146" s="3" t="s">
        <v>138</v>
      </c>
      <c r="I146" s="3" t="s">
        <v>486</v>
      </c>
      <c r="J146" s="3" t="s">
        <v>131</v>
      </c>
      <c r="K146" s="3">
        <v>7</v>
      </c>
      <c r="L146" s="3">
        <v>16438.36</v>
      </c>
      <c r="M146" s="3">
        <v>115068.52</v>
      </c>
      <c r="N146" s="3">
        <v>96653.27</v>
      </c>
      <c r="O146" s="3">
        <v>18415.25</v>
      </c>
      <c r="P146" s="3" t="s">
        <v>86</v>
      </c>
    </row>
    <row r="147" spans="1:16" x14ac:dyDescent="0.35">
      <c r="A147" s="3" t="s">
        <v>487</v>
      </c>
      <c r="B147" s="3" t="s">
        <v>488</v>
      </c>
      <c r="C147" s="3" t="s">
        <v>29</v>
      </c>
      <c r="D147" s="3" t="s">
        <v>58</v>
      </c>
      <c r="E147" s="3" t="s">
        <v>65</v>
      </c>
      <c r="F147" s="3" t="s">
        <v>66</v>
      </c>
      <c r="G147" s="3" t="s">
        <v>22</v>
      </c>
      <c r="H147" s="3" t="s">
        <v>83</v>
      </c>
      <c r="I147" s="3" t="s">
        <v>489</v>
      </c>
      <c r="J147" s="3" t="s">
        <v>100</v>
      </c>
      <c r="K147" s="3">
        <v>7</v>
      </c>
      <c r="L147" s="3">
        <v>21407.23</v>
      </c>
      <c r="M147" s="3">
        <v>149850.60999999999</v>
      </c>
      <c r="N147" s="3">
        <v>116456.31</v>
      </c>
      <c r="O147" s="3">
        <v>33394.300000000003</v>
      </c>
      <c r="P147" s="3" t="s">
        <v>34</v>
      </c>
    </row>
    <row r="148" spans="1:16" x14ac:dyDescent="0.35">
      <c r="A148" s="3" t="s">
        <v>490</v>
      </c>
      <c r="B148" s="3" t="s">
        <v>415</v>
      </c>
      <c r="C148" s="3" t="s">
        <v>18</v>
      </c>
      <c r="D148" s="3" t="s">
        <v>19</v>
      </c>
      <c r="E148" s="3" t="s">
        <v>20</v>
      </c>
      <c r="F148" s="3" t="s">
        <v>21</v>
      </c>
      <c r="G148" s="3" t="s">
        <v>30</v>
      </c>
      <c r="H148" s="3" t="s">
        <v>73</v>
      </c>
      <c r="I148" s="3" t="s">
        <v>491</v>
      </c>
      <c r="J148" s="3" t="s">
        <v>106</v>
      </c>
      <c r="K148" s="3">
        <v>2</v>
      </c>
      <c r="L148" s="3">
        <v>3042.03</v>
      </c>
      <c r="M148" s="3">
        <v>6084.06</v>
      </c>
      <c r="N148" s="3">
        <v>4597.83</v>
      </c>
      <c r="O148" s="3">
        <v>1486.23</v>
      </c>
      <c r="P148" s="3" t="s">
        <v>69</v>
      </c>
    </row>
    <row r="149" spans="1:16" x14ac:dyDescent="0.35">
      <c r="A149" s="3" t="s">
        <v>492</v>
      </c>
      <c r="B149" s="3" t="s">
        <v>435</v>
      </c>
      <c r="C149" s="3" t="s">
        <v>18</v>
      </c>
      <c r="D149" s="3" t="s">
        <v>38</v>
      </c>
      <c r="E149" s="3" t="s">
        <v>109</v>
      </c>
      <c r="F149" s="3" t="s">
        <v>110</v>
      </c>
      <c r="G149" s="3" t="s">
        <v>30</v>
      </c>
      <c r="H149" s="3" t="s">
        <v>67</v>
      </c>
      <c r="I149" s="3" t="s">
        <v>493</v>
      </c>
      <c r="J149" s="3" t="s">
        <v>147</v>
      </c>
      <c r="K149" s="3">
        <v>6</v>
      </c>
      <c r="L149" s="3">
        <v>9270.75</v>
      </c>
      <c r="M149" s="3">
        <v>55624.5</v>
      </c>
      <c r="N149" s="3">
        <v>44076.83</v>
      </c>
      <c r="O149" s="3">
        <v>11547.67</v>
      </c>
      <c r="P149" s="3" t="s">
        <v>69</v>
      </c>
    </row>
    <row r="150" spans="1:16" x14ac:dyDescent="0.35">
      <c r="A150" s="3" t="s">
        <v>494</v>
      </c>
      <c r="B150" s="3" t="s">
        <v>248</v>
      </c>
      <c r="C150" s="3" t="s">
        <v>82</v>
      </c>
      <c r="D150" s="3" t="s">
        <v>38</v>
      </c>
      <c r="E150" s="3" t="s">
        <v>39</v>
      </c>
      <c r="F150" s="3" t="s">
        <v>40</v>
      </c>
      <c r="G150" s="3" t="s">
        <v>22</v>
      </c>
      <c r="H150" s="3" t="s">
        <v>93</v>
      </c>
      <c r="I150" s="3" t="s">
        <v>495</v>
      </c>
      <c r="J150" s="3" t="s">
        <v>33</v>
      </c>
      <c r="K150" s="3">
        <v>4</v>
      </c>
      <c r="L150" s="3">
        <v>6876.59</v>
      </c>
      <c r="M150" s="3">
        <v>27506.36</v>
      </c>
      <c r="N150" s="3">
        <v>19978.39</v>
      </c>
      <c r="O150" s="3">
        <v>7527.97</v>
      </c>
      <c r="P150" s="3" t="s">
        <v>34</v>
      </c>
    </row>
    <row r="151" spans="1:16" x14ac:dyDescent="0.35">
      <c r="A151" s="3" t="s">
        <v>496</v>
      </c>
      <c r="B151" s="3" t="s">
        <v>302</v>
      </c>
      <c r="C151" s="3" t="s">
        <v>103</v>
      </c>
      <c r="D151" s="3" t="s">
        <v>19</v>
      </c>
      <c r="E151" s="3" t="s">
        <v>20</v>
      </c>
      <c r="F151" s="3" t="s">
        <v>21</v>
      </c>
      <c r="G151" s="3" t="s">
        <v>41</v>
      </c>
      <c r="H151" s="3" t="s">
        <v>42</v>
      </c>
      <c r="I151" s="3" t="s">
        <v>422</v>
      </c>
      <c r="J151" s="3" t="s">
        <v>79</v>
      </c>
      <c r="K151" s="3">
        <v>5</v>
      </c>
      <c r="L151" s="3">
        <v>42894.11</v>
      </c>
      <c r="M151" s="3">
        <v>214470.55</v>
      </c>
      <c r="N151" s="3">
        <v>171484.78</v>
      </c>
      <c r="O151" s="3">
        <v>42985.77</v>
      </c>
      <c r="P151" s="3" t="s">
        <v>86</v>
      </c>
    </row>
    <row r="152" spans="1:16" x14ac:dyDescent="0.35">
      <c r="A152" s="3" t="s">
        <v>497</v>
      </c>
      <c r="B152" s="3" t="s">
        <v>407</v>
      </c>
      <c r="C152" s="3" t="s">
        <v>48</v>
      </c>
      <c r="D152" s="3" t="s">
        <v>58</v>
      </c>
      <c r="E152" s="3" t="s">
        <v>65</v>
      </c>
      <c r="F152" s="3" t="s">
        <v>66</v>
      </c>
      <c r="G152" s="3" t="s">
        <v>51</v>
      </c>
      <c r="H152" s="3" t="s">
        <v>77</v>
      </c>
      <c r="I152" s="3" t="s">
        <v>261</v>
      </c>
      <c r="J152" s="3" t="s">
        <v>33</v>
      </c>
      <c r="K152" s="3">
        <v>2</v>
      </c>
      <c r="L152" s="3">
        <v>12310.38</v>
      </c>
      <c r="M152" s="3">
        <v>24620.76</v>
      </c>
      <c r="N152" s="3">
        <v>18850.23</v>
      </c>
      <c r="O152" s="3">
        <v>5770.53</v>
      </c>
      <c r="P152" s="3" t="s">
        <v>26</v>
      </c>
    </row>
    <row r="153" spans="1:16" x14ac:dyDescent="0.35">
      <c r="A153" s="3" t="s">
        <v>498</v>
      </c>
      <c r="B153" s="3" t="s">
        <v>499</v>
      </c>
      <c r="C153" s="3" t="s">
        <v>103</v>
      </c>
      <c r="D153" s="3" t="s">
        <v>90</v>
      </c>
      <c r="E153" s="3" t="s">
        <v>97</v>
      </c>
      <c r="F153" s="3" t="s">
        <v>98</v>
      </c>
      <c r="G153" s="3" t="s">
        <v>30</v>
      </c>
      <c r="H153" s="3" t="s">
        <v>67</v>
      </c>
      <c r="I153" s="3" t="s">
        <v>500</v>
      </c>
      <c r="J153" s="3" t="s">
        <v>147</v>
      </c>
      <c r="K153" s="3">
        <v>1</v>
      </c>
      <c r="L153" s="3">
        <v>10176.89</v>
      </c>
      <c r="M153" s="3">
        <v>10176.89</v>
      </c>
      <c r="N153" s="3">
        <v>7970.3</v>
      </c>
      <c r="O153" s="3">
        <v>2206.59</v>
      </c>
      <c r="P153" s="3" t="s">
        <v>45</v>
      </c>
    </row>
    <row r="154" spans="1:16" x14ac:dyDescent="0.35">
      <c r="A154" s="3" t="s">
        <v>501</v>
      </c>
      <c r="B154" s="3" t="s">
        <v>502</v>
      </c>
      <c r="C154" s="3" t="s">
        <v>48</v>
      </c>
      <c r="D154" s="3" t="s">
        <v>90</v>
      </c>
      <c r="E154" s="3" t="s">
        <v>97</v>
      </c>
      <c r="F154" s="3" t="s">
        <v>98</v>
      </c>
      <c r="G154" s="3" t="s">
        <v>51</v>
      </c>
      <c r="H154" s="3" t="s">
        <v>52</v>
      </c>
      <c r="I154" s="3" t="s">
        <v>503</v>
      </c>
      <c r="J154" s="3" t="s">
        <v>106</v>
      </c>
      <c r="K154" s="3">
        <v>3</v>
      </c>
      <c r="L154" s="3">
        <v>22.92</v>
      </c>
      <c r="M154" s="3">
        <v>68.760000000000005</v>
      </c>
      <c r="N154" s="3">
        <v>29.91</v>
      </c>
      <c r="O154" s="3">
        <v>38.85</v>
      </c>
      <c r="P154" s="3" t="s">
        <v>45</v>
      </c>
    </row>
    <row r="155" spans="1:16" x14ac:dyDescent="0.35">
      <c r="A155" s="3" t="s">
        <v>504</v>
      </c>
      <c r="B155" s="3" t="s">
        <v>215</v>
      </c>
      <c r="C155" s="3" t="s">
        <v>37</v>
      </c>
      <c r="D155" s="3" t="s">
        <v>19</v>
      </c>
      <c r="E155" s="3" t="s">
        <v>20</v>
      </c>
      <c r="F155" s="3" t="s">
        <v>21</v>
      </c>
      <c r="G155" s="3" t="s">
        <v>51</v>
      </c>
      <c r="H155" s="3" t="s">
        <v>145</v>
      </c>
      <c r="I155" s="3" t="s">
        <v>505</v>
      </c>
      <c r="J155" s="3" t="s">
        <v>54</v>
      </c>
      <c r="K155" s="3">
        <v>8</v>
      </c>
      <c r="L155" s="3">
        <v>121.14</v>
      </c>
      <c r="M155" s="3">
        <v>969.12</v>
      </c>
      <c r="N155" s="3">
        <v>487.51</v>
      </c>
      <c r="O155" s="3">
        <v>481.61</v>
      </c>
      <c r="P155" s="3" t="s">
        <v>45</v>
      </c>
    </row>
    <row r="156" spans="1:16" x14ac:dyDescent="0.35">
      <c r="A156" s="3" t="s">
        <v>506</v>
      </c>
      <c r="B156" s="3" t="s">
        <v>507</v>
      </c>
      <c r="C156" s="3" t="s">
        <v>118</v>
      </c>
      <c r="D156" s="3" t="s">
        <v>19</v>
      </c>
      <c r="E156" s="3" t="s">
        <v>49</v>
      </c>
      <c r="F156" s="3" t="s">
        <v>50</v>
      </c>
      <c r="G156" s="3" t="s">
        <v>41</v>
      </c>
      <c r="H156" s="3" t="s">
        <v>61</v>
      </c>
      <c r="I156" s="3" t="s">
        <v>508</v>
      </c>
      <c r="J156" s="3" t="s">
        <v>161</v>
      </c>
      <c r="K156" s="3">
        <v>2</v>
      </c>
      <c r="L156" s="3">
        <v>2383.17</v>
      </c>
      <c r="M156" s="3">
        <v>4766.34</v>
      </c>
      <c r="N156" s="3">
        <v>3195.1</v>
      </c>
      <c r="O156" s="3">
        <v>1571.24</v>
      </c>
      <c r="P156" s="3" t="s">
        <v>69</v>
      </c>
    </row>
    <row r="157" spans="1:16" x14ac:dyDescent="0.35">
      <c r="A157" s="3" t="s">
        <v>509</v>
      </c>
      <c r="B157" s="3" t="s">
        <v>336</v>
      </c>
      <c r="C157" s="3" t="s">
        <v>29</v>
      </c>
      <c r="D157" s="3" t="s">
        <v>58</v>
      </c>
      <c r="E157" s="3" t="s">
        <v>59</v>
      </c>
      <c r="F157" s="3" t="s">
        <v>60</v>
      </c>
      <c r="G157" s="3" t="s">
        <v>51</v>
      </c>
      <c r="H157" s="3" t="s">
        <v>77</v>
      </c>
      <c r="I157" s="3" t="s">
        <v>316</v>
      </c>
      <c r="J157" s="3" t="s">
        <v>54</v>
      </c>
      <c r="K157" s="3">
        <v>5</v>
      </c>
      <c r="L157" s="3">
        <v>12964.55</v>
      </c>
      <c r="M157" s="3">
        <v>64822.75</v>
      </c>
      <c r="N157" s="3">
        <v>44687.22</v>
      </c>
      <c r="O157" s="3">
        <v>20135.53</v>
      </c>
      <c r="P157" s="3" t="s">
        <v>45</v>
      </c>
    </row>
    <row r="158" spans="1:16" x14ac:dyDescent="0.35">
      <c r="A158" s="3" t="s">
        <v>510</v>
      </c>
      <c r="B158" s="3" t="s">
        <v>511</v>
      </c>
      <c r="C158" s="3" t="s">
        <v>29</v>
      </c>
      <c r="D158" s="3" t="s">
        <v>58</v>
      </c>
      <c r="E158" s="3" t="s">
        <v>65</v>
      </c>
      <c r="F158" s="3" t="s">
        <v>66</v>
      </c>
      <c r="G158" s="3" t="s">
        <v>30</v>
      </c>
      <c r="H158" s="3" t="s">
        <v>67</v>
      </c>
      <c r="I158" s="3" t="s">
        <v>512</v>
      </c>
      <c r="J158" s="3" t="s">
        <v>44</v>
      </c>
      <c r="K158" s="3">
        <v>1</v>
      </c>
      <c r="L158" s="3">
        <v>9373.07</v>
      </c>
      <c r="M158" s="3">
        <v>9373.07</v>
      </c>
      <c r="N158" s="3">
        <v>7925.95</v>
      </c>
      <c r="O158" s="3">
        <v>1447.12</v>
      </c>
      <c r="P158" s="3" t="s">
        <v>34</v>
      </c>
    </row>
    <row r="159" spans="1:16" x14ac:dyDescent="0.35">
      <c r="A159" s="3" t="s">
        <v>513</v>
      </c>
      <c r="B159" s="3" t="s">
        <v>257</v>
      </c>
      <c r="C159" s="3" t="s">
        <v>72</v>
      </c>
      <c r="D159" s="3" t="s">
        <v>58</v>
      </c>
      <c r="E159" s="3" t="s">
        <v>176</v>
      </c>
      <c r="F159" s="3" t="s">
        <v>177</v>
      </c>
      <c r="G159" s="3" t="s">
        <v>30</v>
      </c>
      <c r="H159" s="3" t="s">
        <v>31</v>
      </c>
      <c r="I159" s="3" t="s">
        <v>514</v>
      </c>
      <c r="J159" s="3" t="s">
        <v>85</v>
      </c>
      <c r="K159" s="3">
        <v>1</v>
      </c>
      <c r="L159" s="3">
        <v>2554.4499999999998</v>
      </c>
      <c r="M159" s="3">
        <v>2554.4499999999998</v>
      </c>
      <c r="N159" s="3">
        <v>1907.82</v>
      </c>
      <c r="O159" s="3">
        <v>646.63</v>
      </c>
      <c r="P159" s="3" t="s">
        <v>34</v>
      </c>
    </row>
    <row r="160" spans="1:16" x14ac:dyDescent="0.35">
      <c r="A160" s="3" t="s">
        <v>515</v>
      </c>
      <c r="B160" s="3" t="s">
        <v>126</v>
      </c>
      <c r="C160" s="3" t="s">
        <v>103</v>
      </c>
      <c r="D160" s="3" t="s">
        <v>38</v>
      </c>
      <c r="E160" s="3" t="s">
        <v>39</v>
      </c>
      <c r="F160" s="3" t="s">
        <v>40</v>
      </c>
      <c r="G160" s="3" t="s">
        <v>41</v>
      </c>
      <c r="H160" s="3" t="s">
        <v>61</v>
      </c>
      <c r="I160" s="3" t="s">
        <v>516</v>
      </c>
      <c r="J160" s="3" t="s">
        <v>85</v>
      </c>
      <c r="K160" s="3">
        <v>7</v>
      </c>
      <c r="L160" s="3">
        <v>2373.1799999999998</v>
      </c>
      <c r="M160" s="3">
        <v>16612.259999999998</v>
      </c>
      <c r="N160" s="3">
        <v>10664.16</v>
      </c>
      <c r="O160" s="3">
        <v>5948.1</v>
      </c>
      <c r="P160" s="3" t="s">
        <v>26</v>
      </c>
    </row>
    <row r="161" spans="1:16" x14ac:dyDescent="0.35">
      <c r="A161" s="3" t="s">
        <v>517</v>
      </c>
      <c r="B161" s="3" t="s">
        <v>518</v>
      </c>
      <c r="C161" s="3" t="s">
        <v>89</v>
      </c>
      <c r="D161" s="3" t="s">
        <v>19</v>
      </c>
      <c r="E161" s="3" t="s">
        <v>199</v>
      </c>
      <c r="F161" s="3" t="s">
        <v>200</v>
      </c>
      <c r="G161" s="3" t="s">
        <v>22</v>
      </c>
      <c r="H161" s="3" t="s">
        <v>93</v>
      </c>
      <c r="I161" s="3" t="s">
        <v>519</v>
      </c>
      <c r="J161" s="3" t="s">
        <v>147</v>
      </c>
      <c r="K161" s="3">
        <v>1</v>
      </c>
      <c r="L161" s="3">
        <v>7432.9</v>
      </c>
      <c r="M161" s="3">
        <v>7432.9</v>
      </c>
      <c r="N161" s="3">
        <v>4863.82</v>
      </c>
      <c r="O161" s="3">
        <v>2569.08</v>
      </c>
      <c r="P161" s="3" t="s">
        <v>86</v>
      </c>
    </row>
    <row r="162" spans="1:16" x14ac:dyDescent="0.35">
      <c r="A162" s="3" t="s">
        <v>520</v>
      </c>
      <c r="B162" s="3" t="s">
        <v>521</v>
      </c>
      <c r="C162" s="3" t="s">
        <v>18</v>
      </c>
      <c r="D162" s="3" t="s">
        <v>19</v>
      </c>
      <c r="E162" s="3" t="s">
        <v>199</v>
      </c>
      <c r="F162" s="3" t="s">
        <v>200</v>
      </c>
      <c r="G162" s="3" t="s">
        <v>22</v>
      </c>
      <c r="H162" s="3" t="s">
        <v>83</v>
      </c>
      <c r="I162" s="3" t="s">
        <v>522</v>
      </c>
      <c r="J162" s="3" t="s">
        <v>154</v>
      </c>
      <c r="K162" s="3">
        <v>8</v>
      </c>
      <c r="L162" s="3">
        <v>20866.009999999998</v>
      </c>
      <c r="M162" s="3">
        <v>166928.07999999999</v>
      </c>
      <c r="N162" s="3">
        <v>133228.22</v>
      </c>
      <c r="O162" s="3">
        <v>33699.86</v>
      </c>
      <c r="P162" s="3" t="s">
        <v>26</v>
      </c>
    </row>
    <row r="163" spans="1:16" x14ac:dyDescent="0.35">
      <c r="A163" s="3" t="s">
        <v>523</v>
      </c>
      <c r="B163" s="3" t="s">
        <v>524</v>
      </c>
      <c r="C163" s="3" t="s">
        <v>89</v>
      </c>
      <c r="D163" s="3" t="s">
        <v>90</v>
      </c>
      <c r="E163" s="3" t="s">
        <v>91</v>
      </c>
      <c r="F163" s="3" t="s">
        <v>92</v>
      </c>
      <c r="G163" s="3" t="s">
        <v>41</v>
      </c>
      <c r="H163" s="3" t="s">
        <v>42</v>
      </c>
      <c r="I163" s="3" t="s">
        <v>525</v>
      </c>
      <c r="J163" s="3" t="s">
        <v>161</v>
      </c>
      <c r="K163" s="3">
        <v>3</v>
      </c>
      <c r="L163" s="3">
        <v>46943.1</v>
      </c>
      <c r="M163" s="3">
        <v>140829.29999999999</v>
      </c>
      <c r="N163" s="3">
        <v>110045.13</v>
      </c>
      <c r="O163" s="3">
        <v>30784.17</v>
      </c>
      <c r="P163" s="3" t="s">
        <v>26</v>
      </c>
    </row>
    <row r="164" spans="1:16" x14ac:dyDescent="0.35">
      <c r="A164" s="3" t="s">
        <v>526</v>
      </c>
      <c r="B164" s="3" t="s">
        <v>527</v>
      </c>
      <c r="C164" s="3" t="s">
        <v>82</v>
      </c>
      <c r="D164" s="3" t="s">
        <v>19</v>
      </c>
      <c r="E164" s="3" t="s">
        <v>49</v>
      </c>
      <c r="F164" s="3" t="s">
        <v>50</v>
      </c>
      <c r="G164" s="3" t="s">
        <v>30</v>
      </c>
      <c r="H164" s="3" t="s">
        <v>67</v>
      </c>
      <c r="I164" s="3" t="s">
        <v>450</v>
      </c>
      <c r="J164" s="3" t="s">
        <v>171</v>
      </c>
      <c r="K164" s="3">
        <v>7</v>
      </c>
      <c r="L164" s="3">
        <v>10088.030000000001</v>
      </c>
      <c r="M164" s="3">
        <v>70616.210000000006</v>
      </c>
      <c r="N164" s="3">
        <v>52809.96</v>
      </c>
      <c r="O164" s="3">
        <v>17806.25</v>
      </c>
      <c r="P164" s="3" t="s">
        <v>86</v>
      </c>
    </row>
    <row r="165" spans="1:16" x14ac:dyDescent="0.35">
      <c r="A165" s="3" t="s">
        <v>528</v>
      </c>
      <c r="B165" s="3" t="s">
        <v>395</v>
      </c>
      <c r="C165" s="3" t="s">
        <v>29</v>
      </c>
      <c r="D165" s="3" t="s">
        <v>58</v>
      </c>
      <c r="E165" s="3" t="s">
        <v>176</v>
      </c>
      <c r="F165" s="3" t="s">
        <v>177</v>
      </c>
      <c r="G165" s="3" t="s">
        <v>51</v>
      </c>
      <c r="H165" s="3" t="s">
        <v>145</v>
      </c>
      <c r="I165" s="3" t="s">
        <v>529</v>
      </c>
      <c r="J165" s="3" t="s">
        <v>188</v>
      </c>
      <c r="K165" s="3">
        <v>6</v>
      </c>
      <c r="L165" s="3">
        <v>123.99</v>
      </c>
      <c r="M165" s="3">
        <v>743.94</v>
      </c>
      <c r="N165" s="3">
        <v>354.93</v>
      </c>
      <c r="O165" s="3">
        <v>389.01</v>
      </c>
      <c r="P165" s="3" t="s">
        <v>69</v>
      </c>
    </row>
    <row r="166" spans="1:16" x14ac:dyDescent="0.35">
      <c r="A166" s="3" t="s">
        <v>530</v>
      </c>
      <c r="B166" s="3" t="s">
        <v>531</v>
      </c>
      <c r="C166" s="3" t="s">
        <v>137</v>
      </c>
      <c r="D166" s="3" t="s">
        <v>19</v>
      </c>
      <c r="E166" s="3" t="s">
        <v>49</v>
      </c>
      <c r="F166" s="3" t="s">
        <v>50</v>
      </c>
      <c r="G166" s="3" t="s">
        <v>22</v>
      </c>
      <c r="H166" s="3" t="s">
        <v>93</v>
      </c>
      <c r="I166" s="3" t="s">
        <v>532</v>
      </c>
      <c r="J166" s="3" t="s">
        <v>147</v>
      </c>
      <c r="K166" s="3">
        <v>1</v>
      </c>
      <c r="L166" s="3">
        <v>6870.1</v>
      </c>
      <c r="M166" s="3">
        <v>6870.1</v>
      </c>
      <c r="N166" s="3">
        <v>5001.34</v>
      </c>
      <c r="O166" s="3">
        <v>1868.76</v>
      </c>
      <c r="P166" s="3" t="s">
        <v>34</v>
      </c>
    </row>
    <row r="167" spans="1:16" x14ac:dyDescent="0.35">
      <c r="A167" s="3" t="s">
        <v>533</v>
      </c>
      <c r="B167" s="3" t="s">
        <v>534</v>
      </c>
      <c r="C167" s="3" t="s">
        <v>29</v>
      </c>
      <c r="D167" s="3" t="s">
        <v>90</v>
      </c>
      <c r="E167" s="3" t="s">
        <v>91</v>
      </c>
      <c r="F167" s="3" t="s">
        <v>92</v>
      </c>
      <c r="G167" s="3" t="s">
        <v>51</v>
      </c>
      <c r="H167" s="3" t="s">
        <v>145</v>
      </c>
      <c r="I167" s="3" t="s">
        <v>489</v>
      </c>
      <c r="J167" s="3" t="s">
        <v>25</v>
      </c>
      <c r="K167" s="3">
        <v>8</v>
      </c>
      <c r="L167" s="3">
        <v>120.18</v>
      </c>
      <c r="M167" s="3">
        <v>961.44</v>
      </c>
      <c r="N167" s="3">
        <v>480.36</v>
      </c>
      <c r="O167" s="3">
        <v>481.08</v>
      </c>
      <c r="P167" s="3" t="s">
        <v>34</v>
      </c>
    </row>
    <row r="168" spans="1:16" x14ac:dyDescent="0.35">
      <c r="A168" s="3" t="s">
        <v>535</v>
      </c>
      <c r="B168" s="3" t="s">
        <v>536</v>
      </c>
      <c r="C168" s="3" t="s">
        <v>18</v>
      </c>
      <c r="D168" s="3" t="s">
        <v>19</v>
      </c>
      <c r="E168" s="3" t="s">
        <v>20</v>
      </c>
      <c r="F168" s="3" t="s">
        <v>21</v>
      </c>
      <c r="G168" s="3" t="s">
        <v>22</v>
      </c>
      <c r="H168" s="3" t="s">
        <v>23</v>
      </c>
      <c r="I168" s="3" t="s">
        <v>537</v>
      </c>
      <c r="J168" s="3" t="s">
        <v>25</v>
      </c>
      <c r="K168" s="3">
        <v>5</v>
      </c>
      <c r="L168" s="3">
        <v>3368.07</v>
      </c>
      <c r="M168" s="3">
        <v>16840.349999999999</v>
      </c>
      <c r="N168" s="3">
        <v>11113.07</v>
      </c>
      <c r="O168" s="3">
        <v>5727.28</v>
      </c>
      <c r="P168" s="3" t="s">
        <v>34</v>
      </c>
    </row>
    <row r="169" spans="1:16" x14ac:dyDescent="0.35">
      <c r="A169" s="3" t="s">
        <v>538</v>
      </c>
      <c r="B169" s="3" t="s">
        <v>539</v>
      </c>
      <c r="C169" s="3" t="s">
        <v>89</v>
      </c>
      <c r="D169" s="3" t="s">
        <v>90</v>
      </c>
      <c r="E169" s="3" t="s">
        <v>91</v>
      </c>
      <c r="F169" s="3" t="s">
        <v>92</v>
      </c>
      <c r="G169" s="3" t="s">
        <v>30</v>
      </c>
      <c r="H169" s="3" t="s">
        <v>73</v>
      </c>
      <c r="I169" s="3" t="s">
        <v>540</v>
      </c>
      <c r="J169" s="3" t="s">
        <v>44</v>
      </c>
      <c r="K169" s="3">
        <v>4</v>
      </c>
      <c r="L169" s="3">
        <v>3007.61</v>
      </c>
      <c r="M169" s="3">
        <v>12030.44</v>
      </c>
      <c r="N169" s="3">
        <v>9737.57</v>
      </c>
      <c r="O169" s="3">
        <v>2292.87</v>
      </c>
      <c r="P169" s="3" t="s">
        <v>45</v>
      </c>
    </row>
    <row r="170" spans="1:16" x14ac:dyDescent="0.35">
      <c r="A170" s="3" t="s">
        <v>541</v>
      </c>
      <c r="B170" s="3" t="s">
        <v>373</v>
      </c>
      <c r="C170" s="3" t="s">
        <v>137</v>
      </c>
      <c r="D170" s="3" t="s">
        <v>90</v>
      </c>
      <c r="E170" s="3" t="s">
        <v>119</v>
      </c>
      <c r="F170" s="3" t="s">
        <v>120</v>
      </c>
      <c r="G170" s="3" t="s">
        <v>51</v>
      </c>
      <c r="H170" s="3" t="s">
        <v>77</v>
      </c>
      <c r="I170" s="3" t="s">
        <v>542</v>
      </c>
      <c r="J170" s="3" t="s">
        <v>100</v>
      </c>
      <c r="K170" s="3">
        <v>7</v>
      </c>
      <c r="L170" s="3">
        <v>12630.28</v>
      </c>
      <c r="M170" s="3">
        <v>88411.96</v>
      </c>
      <c r="N170" s="3">
        <v>60810.47</v>
      </c>
      <c r="O170" s="3">
        <v>27601.49</v>
      </c>
      <c r="P170" s="3" t="s">
        <v>34</v>
      </c>
    </row>
    <row r="171" spans="1:16" x14ac:dyDescent="0.35">
      <c r="A171" s="3" t="s">
        <v>543</v>
      </c>
      <c r="B171" s="3" t="s">
        <v>279</v>
      </c>
      <c r="C171" s="3" t="s">
        <v>37</v>
      </c>
      <c r="D171" s="3" t="s">
        <v>38</v>
      </c>
      <c r="E171" s="3" t="s">
        <v>109</v>
      </c>
      <c r="F171" s="3" t="s">
        <v>110</v>
      </c>
      <c r="G171" s="3" t="s">
        <v>51</v>
      </c>
      <c r="H171" s="3" t="s">
        <v>77</v>
      </c>
      <c r="I171" s="3" t="s">
        <v>544</v>
      </c>
      <c r="J171" s="3" t="s">
        <v>131</v>
      </c>
      <c r="K171" s="3">
        <v>4</v>
      </c>
      <c r="L171" s="3">
        <v>11492.5</v>
      </c>
      <c r="M171" s="3">
        <v>45970</v>
      </c>
      <c r="N171" s="3">
        <v>35409.89</v>
      </c>
      <c r="O171" s="3">
        <v>10560.11</v>
      </c>
      <c r="P171" s="3" t="s">
        <v>26</v>
      </c>
    </row>
    <row r="172" spans="1:16" x14ac:dyDescent="0.35">
      <c r="A172" s="3" t="s">
        <v>545</v>
      </c>
      <c r="B172" s="3" t="s">
        <v>141</v>
      </c>
      <c r="C172" s="3" t="s">
        <v>57</v>
      </c>
      <c r="D172" s="3" t="s">
        <v>19</v>
      </c>
      <c r="E172" s="3" t="s">
        <v>20</v>
      </c>
      <c r="F172" s="3" t="s">
        <v>21</v>
      </c>
      <c r="G172" s="3" t="s">
        <v>41</v>
      </c>
      <c r="H172" s="3" t="s">
        <v>61</v>
      </c>
      <c r="I172" s="3" t="s">
        <v>243</v>
      </c>
      <c r="J172" s="3" t="s">
        <v>100</v>
      </c>
      <c r="K172" s="3">
        <v>3</v>
      </c>
      <c r="L172" s="3">
        <v>2311.29</v>
      </c>
      <c r="M172" s="3">
        <v>6933.87</v>
      </c>
      <c r="N172" s="3">
        <v>4874.8100000000004</v>
      </c>
      <c r="O172" s="3">
        <v>2059.06</v>
      </c>
      <c r="P172" s="3" t="s">
        <v>26</v>
      </c>
    </row>
    <row r="173" spans="1:16" x14ac:dyDescent="0.35">
      <c r="A173" s="3" t="s">
        <v>546</v>
      </c>
      <c r="B173" s="3" t="s">
        <v>547</v>
      </c>
      <c r="C173" s="3" t="s">
        <v>89</v>
      </c>
      <c r="D173" s="3" t="s">
        <v>19</v>
      </c>
      <c r="E173" s="3" t="s">
        <v>20</v>
      </c>
      <c r="F173" s="3" t="s">
        <v>21</v>
      </c>
      <c r="G173" s="3" t="s">
        <v>22</v>
      </c>
      <c r="H173" s="3" t="s">
        <v>83</v>
      </c>
      <c r="I173" s="3" t="s">
        <v>548</v>
      </c>
      <c r="J173" s="3" t="s">
        <v>147</v>
      </c>
      <c r="K173" s="3">
        <v>7</v>
      </c>
      <c r="L173" s="3">
        <v>20854.11</v>
      </c>
      <c r="M173" s="3">
        <v>145978.76999999999</v>
      </c>
      <c r="N173" s="3">
        <v>116360.57</v>
      </c>
      <c r="O173" s="3">
        <v>29618.2</v>
      </c>
      <c r="P173" s="3" t="s">
        <v>69</v>
      </c>
    </row>
    <row r="174" spans="1:16" x14ac:dyDescent="0.35">
      <c r="A174" s="3" t="s">
        <v>549</v>
      </c>
      <c r="B174" s="3" t="s">
        <v>417</v>
      </c>
      <c r="C174" s="3" t="s">
        <v>37</v>
      </c>
      <c r="D174" s="3" t="s">
        <v>90</v>
      </c>
      <c r="E174" s="3" t="s">
        <v>97</v>
      </c>
      <c r="F174" s="3" t="s">
        <v>98</v>
      </c>
      <c r="G174" s="3" t="s">
        <v>30</v>
      </c>
      <c r="H174" s="3" t="s">
        <v>73</v>
      </c>
      <c r="I174" s="3" t="s">
        <v>550</v>
      </c>
      <c r="J174" s="3" t="s">
        <v>154</v>
      </c>
      <c r="K174" s="3">
        <v>4</v>
      </c>
      <c r="L174" s="3">
        <v>2930.95</v>
      </c>
      <c r="M174" s="3">
        <v>11723.8</v>
      </c>
      <c r="N174" s="3">
        <v>9974.7900000000009</v>
      </c>
      <c r="O174" s="3">
        <v>1749.01</v>
      </c>
      <c r="P174" s="3" t="s">
        <v>45</v>
      </c>
    </row>
    <row r="175" spans="1:16" x14ac:dyDescent="0.35">
      <c r="A175" s="3" t="s">
        <v>551</v>
      </c>
      <c r="B175" s="3" t="s">
        <v>552</v>
      </c>
      <c r="C175" s="3" t="s">
        <v>89</v>
      </c>
      <c r="D175" s="3" t="s">
        <v>58</v>
      </c>
      <c r="E175" s="3" t="s">
        <v>65</v>
      </c>
      <c r="F175" s="3" t="s">
        <v>66</v>
      </c>
      <c r="G175" s="3" t="s">
        <v>30</v>
      </c>
      <c r="H175" s="3" t="s">
        <v>31</v>
      </c>
      <c r="I175" s="3" t="s">
        <v>553</v>
      </c>
      <c r="J175" s="3" t="s">
        <v>25</v>
      </c>
      <c r="K175" s="3">
        <v>8</v>
      </c>
      <c r="L175" s="3">
        <v>2629.88</v>
      </c>
      <c r="M175" s="3">
        <v>21039.040000000001</v>
      </c>
      <c r="N175" s="3">
        <v>14995.22</v>
      </c>
      <c r="O175" s="3">
        <v>6043.82</v>
      </c>
      <c r="P175" s="3" t="s">
        <v>34</v>
      </c>
    </row>
    <row r="176" spans="1:16" x14ac:dyDescent="0.35">
      <c r="A176" s="3" t="s">
        <v>554</v>
      </c>
      <c r="B176" s="3" t="s">
        <v>555</v>
      </c>
      <c r="C176" s="3" t="s">
        <v>137</v>
      </c>
      <c r="D176" s="3" t="s">
        <v>90</v>
      </c>
      <c r="E176" s="3" t="s">
        <v>119</v>
      </c>
      <c r="F176" s="3" t="s">
        <v>120</v>
      </c>
      <c r="G176" s="3" t="s">
        <v>41</v>
      </c>
      <c r="H176" s="3" t="s">
        <v>42</v>
      </c>
      <c r="I176" s="3" t="s">
        <v>486</v>
      </c>
      <c r="J176" s="3" t="s">
        <v>79</v>
      </c>
      <c r="K176" s="3">
        <v>5</v>
      </c>
      <c r="L176" s="3">
        <v>43436.5</v>
      </c>
      <c r="M176" s="3">
        <v>217182.5</v>
      </c>
      <c r="N176" s="3">
        <v>169438.9</v>
      </c>
      <c r="O176" s="3">
        <v>47743.6</v>
      </c>
      <c r="P176" s="3" t="s">
        <v>26</v>
      </c>
    </row>
    <row r="177" spans="1:16" x14ac:dyDescent="0.35">
      <c r="A177" s="3" t="s">
        <v>556</v>
      </c>
      <c r="B177" s="3" t="s">
        <v>28</v>
      </c>
      <c r="C177" s="3" t="s">
        <v>29</v>
      </c>
      <c r="D177" s="3" t="s">
        <v>58</v>
      </c>
      <c r="E177" s="3" t="s">
        <v>176</v>
      </c>
      <c r="F177" s="3" t="s">
        <v>177</v>
      </c>
      <c r="G177" s="3" t="s">
        <v>51</v>
      </c>
      <c r="H177" s="3" t="s">
        <v>77</v>
      </c>
      <c r="I177" s="3" t="s">
        <v>557</v>
      </c>
      <c r="J177" s="3" t="s">
        <v>217</v>
      </c>
      <c r="K177" s="3">
        <v>6</v>
      </c>
      <c r="L177" s="3">
        <v>11497.8</v>
      </c>
      <c r="M177" s="3">
        <v>68986.8</v>
      </c>
      <c r="N177" s="3">
        <v>51351.08</v>
      </c>
      <c r="O177" s="3">
        <v>17635.72</v>
      </c>
      <c r="P177" s="3" t="s">
        <v>34</v>
      </c>
    </row>
    <row r="178" spans="1:16" x14ac:dyDescent="0.35">
      <c r="A178" s="3" t="s">
        <v>558</v>
      </c>
      <c r="B178" s="3" t="s">
        <v>559</v>
      </c>
      <c r="C178" s="3" t="s">
        <v>89</v>
      </c>
      <c r="D178" s="3" t="s">
        <v>58</v>
      </c>
      <c r="E178" s="3" t="s">
        <v>59</v>
      </c>
      <c r="F178" s="3" t="s">
        <v>60</v>
      </c>
      <c r="G178" s="3" t="s">
        <v>30</v>
      </c>
      <c r="H178" s="3" t="s">
        <v>73</v>
      </c>
      <c r="I178" s="3" t="s">
        <v>560</v>
      </c>
      <c r="J178" s="3" t="s">
        <v>161</v>
      </c>
      <c r="K178" s="3">
        <v>1</v>
      </c>
      <c r="L178" s="3">
        <v>3048.79</v>
      </c>
      <c r="M178" s="3">
        <v>3048.79</v>
      </c>
      <c r="N178" s="3">
        <v>2343.86</v>
      </c>
      <c r="O178" s="3">
        <v>704.93</v>
      </c>
      <c r="P178" s="3" t="s">
        <v>26</v>
      </c>
    </row>
    <row r="179" spans="1:16" x14ac:dyDescent="0.35">
      <c r="A179" s="3" t="s">
        <v>561</v>
      </c>
      <c r="B179" s="3" t="s">
        <v>562</v>
      </c>
      <c r="C179" s="3" t="s">
        <v>82</v>
      </c>
      <c r="D179" s="3" t="s">
        <v>19</v>
      </c>
      <c r="E179" s="3" t="s">
        <v>20</v>
      </c>
      <c r="F179" s="3" t="s">
        <v>21</v>
      </c>
      <c r="G179" s="3" t="s">
        <v>51</v>
      </c>
      <c r="H179" s="3" t="s">
        <v>77</v>
      </c>
      <c r="I179" s="3" t="s">
        <v>563</v>
      </c>
      <c r="J179" s="3" t="s">
        <v>154</v>
      </c>
      <c r="K179" s="3">
        <v>1</v>
      </c>
      <c r="L179" s="3">
        <v>12239.11</v>
      </c>
      <c r="M179" s="3">
        <v>12239.11</v>
      </c>
      <c r="N179" s="3">
        <v>8907.1200000000008</v>
      </c>
      <c r="O179" s="3">
        <v>3331.99</v>
      </c>
      <c r="P179" s="3" t="s">
        <v>45</v>
      </c>
    </row>
    <row r="180" spans="1:16" x14ac:dyDescent="0.35">
      <c r="A180" s="3" t="s">
        <v>564</v>
      </c>
      <c r="B180" s="3" t="s">
        <v>565</v>
      </c>
      <c r="C180" s="3" t="s">
        <v>137</v>
      </c>
      <c r="D180" s="3" t="s">
        <v>19</v>
      </c>
      <c r="E180" s="3" t="s">
        <v>49</v>
      </c>
      <c r="F180" s="3" t="s">
        <v>50</v>
      </c>
      <c r="G180" s="3" t="s">
        <v>51</v>
      </c>
      <c r="H180" s="3" t="s">
        <v>77</v>
      </c>
      <c r="I180" s="3" t="s">
        <v>566</v>
      </c>
      <c r="J180" s="3" t="s">
        <v>85</v>
      </c>
      <c r="K180" s="3">
        <v>2</v>
      </c>
      <c r="L180" s="3">
        <v>11490.54</v>
      </c>
      <c r="M180" s="3">
        <v>22981.08</v>
      </c>
      <c r="N180" s="3">
        <v>17560.419999999998</v>
      </c>
      <c r="O180" s="3">
        <v>5420.66</v>
      </c>
      <c r="P180" s="3" t="s">
        <v>86</v>
      </c>
    </row>
    <row r="181" spans="1:16" x14ac:dyDescent="0.35">
      <c r="A181" s="3" t="s">
        <v>567</v>
      </c>
      <c r="B181" s="3" t="s">
        <v>180</v>
      </c>
      <c r="C181" s="3" t="s">
        <v>48</v>
      </c>
      <c r="D181" s="3" t="s">
        <v>38</v>
      </c>
      <c r="E181" s="3" t="s">
        <v>39</v>
      </c>
      <c r="F181" s="3" t="s">
        <v>40</v>
      </c>
      <c r="G181" s="3" t="s">
        <v>51</v>
      </c>
      <c r="H181" s="3" t="s">
        <v>52</v>
      </c>
      <c r="I181" s="3" t="s">
        <v>568</v>
      </c>
      <c r="J181" s="3" t="s">
        <v>54</v>
      </c>
      <c r="K181" s="3">
        <v>1</v>
      </c>
      <c r="L181" s="3">
        <v>25.53</v>
      </c>
      <c r="M181" s="3">
        <v>25.53</v>
      </c>
      <c r="N181" s="3">
        <v>10.14</v>
      </c>
      <c r="O181" s="3">
        <v>15.39</v>
      </c>
      <c r="P181" s="3" t="s">
        <v>69</v>
      </c>
    </row>
    <row r="182" spans="1:16" x14ac:dyDescent="0.35">
      <c r="A182" s="3" t="s">
        <v>569</v>
      </c>
      <c r="B182" s="3" t="s">
        <v>570</v>
      </c>
      <c r="C182" s="3" t="s">
        <v>18</v>
      </c>
      <c r="D182" s="3" t="s">
        <v>90</v>
      </c>
      <c r="E182" s="3" t="s">
        <v>91</v>
      </c>
      <c r="F182" s="3" t="s">
        <v>92</v>
      </c>
      <c r="G182" s="3" t="s">
        <v>41</v>
      </c>
      <c r="H182" s="3" t="s">
        <v>61</v>
      </c>
      <c r="I182" s="3" t="s">
        <v>187</v>
      </c>
      <c r="J182" s="3" t="s">
        <v>54</v>
      </c>
      <c r="K182" s="3">
        <v>7</v>
      </c>
      <c r="L182" s="3">
        <v>2467.4699999999998</v>
      </c>
      <c r="M182" s="3">
        <v>17272.29</v>
      </c>
      <c r="N182" s="3">
        <v>11042.42</v>
      </c>
      <c r="O182" s="3">
        <v>6229.87</v>
      </c>
      <c r="P182" s="3" t="s">
        <v>69</v>
      </c>
    </row>
    <row r="183" spans="1:16" x14ac:dyDescent="0.35">
      <c r="A183" s="3" t="s">
        <v>571</v>
      </c>
      <c r="B183" s="3" t="s">
        <v>572</v>
      </c>
      <c r="C183" s="3" t="s">
        <v>72</v>
      </c>
      <c r="D183" s="3" t="s">
        <v>58</v>
      </c>
      <c r="E183" s="3" t="s">
        <v>65</v>
      </c>
      <c r="F183" s="3" t="s">
        <v>66</v>
      </c>
      <c r="G183" s="3" t="s">
        <v>51</v>
      </c>
      <c r="H183" s="3" t="s">
        <v>77</v>
      </c>
      <c r="I183" s="3" t="s">
        <v>573</v>
      </c>
      <c r="J183" s="3" t="s">
        <v>154</v>
      </c>
      <c r="K183" s="3">
        <v>5</v>
      </c>
      <c r="L183" s="3">
        <v>12146.54</v>
      </c>
      <c r="M183" s="3">
        <v>60732.7</v>
      </c>
      <c r="N183" s="3">
        <v>45302.85</v>
      </c>
      <c r="O183" s="3">
        <v>15429.85</v>
      </c>
      <c r="P183" s="3" t="s">
        <v>34</v>
      </c>
    </row>
    <row r="184" spans="1:16" x14ac:dyDescent="0.35">
      <c r="A184" s="3" t="s">
        <v>574</v>
      </c>
      <c r="B184" s="3" t="s">
        <v>575</v>
      </c>
      <c r="C184" s="3" t="s">
        <v>137</v>
      </c>
      <c r="D184" s="3" t="s">
        <v>90</v>
      </c>
      <c r="E184" s="3" t="s">
        <v>97</v>
      </c>
      <c r="F184" s="3" t="s">
        <v>98</v>
      </c>
      <c r="G184" s="3" t="s">
        <v>41</v>
      </c>
      <c r="H184" s="3" t="s">
        <v>61</v>
      </c>
      <c r="I184" s="3" t="s">
        <v>576</v>
      </c>
      <c r="J184" s="3" t="s">
        <v>54</v>
      </c>
      <c r="K184" s="3">
        <v>4</v>
      </c>
      <c r="L184" s="3">
        <v>2270.6</v>
      </c>
      <c r="M184" s="3">
        <v>9082.4</v>
      </c>
      <c r="N184" s="3">
        <v>6671.2</v>
      </c>
      <c r="O184" s="3">
        <v>2411.1999999999998</v>
      </c>
      <c r="P184" s="3" t="s">
        <v>45</v>
      </c>
    </row>
    <row r="185" spans="1:16" x14ac:dyDescent="0.35">
      <c r="A185" s="3" t="s">
        <v>577</v>
      </c>
      <c r="B185" s="3" t="s">
        <v>435</v>
      </c>
      <c r="C185" s="3" t="s">
        <v>18</v>
      </c>
      <c r="D185" s="3" t="s">
        <v>90</v>
      </c>
      <c r="E185" s="3" t="s">
        <v>91</v>
      </c>
      <c r="F185" s="3" t="s">
        <v>92</v>
      </c>
      <c r="G185" s="3" t="s">
        <v>22</v>
      </c>
      <c r="H185" s="3" t="s">
        <v>83</v>
      </c>
      <c r="I185" s="3" t="s">
        <v>578</v>
      </c>
      <c r="J185" s="3" t="s">
        <v>44</v>
      </c>
      <c r="K185" s="3">
        <v>6</v>
      </c>
      <c r="L185" s="3">
        <v>23252.37</v>
      </c>
      <c r="M185" s="3">
        <v>139514.22</v>
      </c>
      <c r="N185" s="3">
        <v>106547.81</v>
      </c>
      <c r="O185" s="3">
        <v>32966.410000000003</v>
      </c>
      <c r="P185" s="3" t="s">
        <v>69</v>
      </c>
    </row>
    <row r="186" spans="1:16" x14ac:dyDescent="0.35">
      <c r="A186" s="3" t="s">
        <v>579</v>
      </c>
      <c r="B186" s="3" t="s">
        <v>580</v>
      </c>
      <c r="C186" s="3" t="s">
        <v>57</v>
      </c>
      <c r="D186" s="3" t="s">
        <v>58</v>
      </c>
      <c r="E186" s="3" t="s">
        <v>65</v>
      </c>
      <c r="F186" s="3" t="s">
        <v>66</v>
      </c>
      <c r="G186" s="3" t="s">
        <v>30</v>
      </c>
      <c r="H186" s="3" t="s">
        <v>67</v>
      </c>
      <c r="I186" s="3" t="s">
        <v>581</v>
      </c>
      <c r="J186" s="3" t="s">
        <v>217</v>
      </c>
      <c r="K186" s="3">
        <v>3</v>
      </c>
      <c r="L186" s="3">
        <v>10288.41</v>
      </c>
      <c r="M186" s="3">
        <v>30865.23</v>
      </c>
      <c r="N186" s="3">
        <v>23795.42</v>
      </c>
      <c r="O186" s="3">
        <v>7069.81</v>
      </c>
      <c r="P186" s="3" t="s">
        <v>34</v>
      </c>
    </row>
    <row r="187" spans="1:16" x14ac:dyDescent="0.35">
      <c r="A187" s="3" t="s">
        <v>582</v>
      </c>
      <c r="B187" s="3" t="s">
        <v>583</v>
      </c>
      <c r="C187" s="3" t="s">
        <v>89</v>
      </c>
      <c r="D187" s="3" t="s">
        <v>38</v>
      </c>
      <c r="E187" s="3" t="s">
        <v>109</v>
      </c>
      <c r="F187" s="3" t="s">
        <v>110</v>
      </c>
      <c r="G187" s="3" t="s">
        <v>51</v>
      </c>
      <c r="H187" s="3" t="s">
        <v>52</v>
      </c>
      <c r="I187" s="3" t="s">
        <v>584</v>
      </c>
      <c r="J187" s="3" t="s">
        <v>33</v>
      </c>
      <c r="K187" s="3">
        <v>1</v>
      </c>
      <c r="L187" s="3">
        <v>26.17</v>
      </c>
      <c r="M187" s="3">
        <v>26.17</v>
      </c>
      <c r="N187" s="3">
        <v>10.06</v>
      </c>
      <c r="O187" s="3">
        <v>16.11</v>
      </c>
      <c r="P187" s="3" t="s">
        <v>69</v>
      </c>
    </row>
    <row r="188" spans="1:16" x14ac:dyDescent="0.35">
      <c r="A188" s="3" t="s">
        <v>585</v>
      </c>
      <c r="B188" s="3" t="s">
        <v>586</v>
      </c>
      <c r="C188" s="3" t="s">
        <v>57</v>
      </c>
      <c r="D188" s="3" t="s">
        <v>58</v>
      </c>
      <c r="E188" s="3" t="s">
        <v>176</v>
      </c>
      <c r="F188" s="3" t="s">
        <v>177</v>
      </c>
      <c r="G188" s="3" t="s">
        <v>41</v>
      </c>
      <c r="H188" s="3" t="s">
        <v>138</v>
      </c>
      <c r="I188" s="3" t="s">
        <v>587</v>
      </c>
      <c r="J188" s="3" t="s">
        <v>217</v>
      </c>
      <c r="K188" s="3">
        <v>3</v>
      </c>
      <c r="L188" s="3">
        <v>17480.259999999998</v>
      </c>
      <c r="M188" s="3">
        <v>52440.78</v>
      </c>
      <c r="N188" s="3">
        <v>42307.89</v>
      </c>
      <c r="O188" s="3">
        <v>10132.89</v>
      </c>
      <c r="P188" s="3" t="s">
        <v>69</v>
      </c>
    </row>
    <row r="189" spans="1:16" x14ac:dyDescent="0.35">
      <c r="A189" s="3" t="s">
        <v>588</v>
      </c>
      <c r="B189" s="3" t="s">
        <v>589</v>
      </c>
      <c r="C189" s="3" t="s">
        <v>137</v>
      </c>
      <c r="D189" s="3" t="s">
        <v>90</v>
      </c>
      <c r="E189" s="3" t="s">
        <v>97</v>
      </c>
      <c r="F189" s="3" t="s">
        <v>98</v>
      </c>
      <c r="G189" s="3" t="s">
        <v>41</v>
      </c>
      <c r="H189" s="3" t="s">
        <v>61</v>
      </c>
      <c r="I189" s="3" t="s">
        <v>590</v>
      </c>
      <c r="J189" s="3" t="s">
        <v>106</v>
      </c>
      <c r="K189" s="3">
        <v>1</v>
      </c>
      <c r="L189" s="3">
        <v>2487.87</v>
      </c>
      <c r="M189" s="3">
        <v>2487.87</v>
      </c>
      <c r="N189" s="3">
        <v>1582.35</v>
      </c>
      <c r="O189" s="3">
        <v>905.52</v>
      </c>
      <c r="P189" s="3" t="s">
        <v>86</v>
      </c>
    </row>
    <row r="190" spans="1:16" x14ac:dyDescent="0.35">
      <c r="A190" s="3" t="s">
        <v>591</v>
      </c>
      <c r="B190" s="3" t="s">
        <v>592</v>
      </c>
      <c r="C190" s="3" t="s">
        <v>103</v>
      </c>
      <c r="D190" s="3" t="s">
        <v>58</v>
      </c>
      <c r="E190" s="3" t="s">
        <v>65</v>
      </c>
      <c r="F190" s="3" t="s">
        <v>66</v>
      </c>
      <c r="G190" s="3" t="s">
        <v>22</v>
      </c>
      <c r="H190" s="3" t="s">
        <v>23</v>
      </c>
      <c r="I190" s="3" t="s">
        <v>593</v>
      </c>
      <c r="J190" s="3" t="s">
        <v>147</v>
      </c>
      <c r="K190" s="3">
        <v>7</v>
      </c>
      <c r="L190" s="3">
        <v>3534.04</v>
      </c>
      <c r="M190" s="3">
        <v>24738.28</v>
      </c>
      <c r="N190" s="3">
        <v>16058.67</v>
      </c>
      <c r="O190" s="3">
        <v>8679.61</v>
      </c>
      <c r="P190" s="3" t="s">
        <v>45</v>
      </c>
    </row>
    <row r="191" spans="1:16" x14ac:dyDescent="0.35">
      <c r="A191" s="3" t="s">
        <v>594</v>
      </c>
      <c r="B191" s="3" t="s">
        <v>570</v>
      </c>
      <c r="C191" s="3" t="s">
        <v>18</v>
      </c>
      <c r="D191" s="3" t="s">
        <v>19</v>
      </c>
      <c r="E191" s="3" t="s">
        <v>49</v>
      </c>
      <c r="F191" s="3" t="s">
        <v>50</v>
      </c>
      <c r="G191" s="3" t="s">
        <v>51</v>
      </c>
      <c r="H191" s="3" t="s">
        <v>52</v>
      </c>
      <c r="I191" s="3" t="s">
        <v>595</v>
      </c>
      <c r="J191" s="3" t="s">
        <v>188</v>
      </c>
      <c r="K191" s="3">
        <v>5</v>
      </c>
      <c r="L191" s="3">
        <v>23.37</v>
      </c>
      <c r="M191" s="3">
        <v>116.85</v>
      </c>
      <c r="N191" s="3">
        <v>51.59</v>
      </c>
      <c r="O191" s="3">
        <v>65.260000000000005</v>
      </c>
      <c r="P191" s="3" t="s">
        <v>34</v>
      </c>
    </row>
    <row r="192" spans="1:16" x14ac:dyDescent="0.35">
      <c r="A192" s="3" t="s">
        <v>596</v>
      </c>
      <c r="B192" s="3" t="s">
        <v>271</v>
      </c>
      <c r="C192" s="3" t="s">
        <v>82</v>
      </c>
      <c r="D192" s="3" t="s">
        <v>19</v>
      </c>
      <c r="E192" s="3" t="s">
        <v>199</v>
      </c>
      <c r="F192" s="3" t="s">
        <v>200</v>
      </c>
      <c r="G192" s="3" t="s">
        <v>22</v>
      </c>
      <c r="H192" s="3" t="s">
        <v>83</v>
      </c>
      <c r="I192" s="3" t="s">
        <v>597</v>
      </c>
      <c r="J192" s="3" t="s">
        <v>131</v>
      </c>
      <c r="K192" s="3">
        <v>1</v>
      </c>
      <c r="L192" s="3">
        <v>21164.39</v>
      </c>
      <c r="M192" s="3">
        <v>21164.39</v>
      </c>
      <c r="N192" s="3">
        <v>17217.490000000002</v>
      </c>
      <c r="O192" s="3">
        <v>3946.9</v>
      </c>
      <c r="P192" s="3" t="s">
        <v>34</v>
      </c>
    </row>
    <row r="193" spans="1:16" x14ac:dyDescent="0.35">
      <c r="A193" s="3" t="s">
        <v>598</v>
      </c>
      <c r="B193" s="3" t="s">
        <v>599</v>
      </c>
      <c r="C193" s="3" t="s">
        <v>82</v>
      </c>
      <c r="D193" s="3" t="s">
        <v>90</v>
      </c>
      <c r="E193" s="3" t="s">
        <v>119</v>
      </c>
      <c r="F193" s="3" t="s">
        <v>120</v>
      </c>
      <c r="G193" s="3" t="s">
        <v>22</v>
      </c>
      <c r="H193" s="3" t="s">
        <v>83</v>
      </c>
      <c r="I193" s="3" t="s">
        <v>464</v>
      </c>
      <c r="J193" s="3" t="s">
        <v>161</v>
      </c>
      <c r="K193" s="3">
        <v>3</v>
      </c>
      <c r="L193" s="3">
        <v>24113.23</v>
      </c>
      <c r="M193" s="3">
        <v>72339.69</v>
      </c>
      <c r="N193" s="3">
        <v>52643.98</v>
      </c>
      <c r="O193" s="3">
        <v>19695.71</v>
      </c>
      <c r="P193" s="3" t="s">
        <v>26</v>
      </c>
    </row>
    <row r="194" spans="1:16" x14ac:dyDescent="0.35">
      <c r="A194" s="3" t="s">
        <v>600</v>
      </c>
      <c r="B194" s="3" t="s">
        <v>601</v>
      </c>
      <c r="C194" s="3" t="s">
        <v>82</v>
      </c>
      <c r="D194" s="3" t="s">
        <v>38</v>
      </c>
      <c r="E194" s="3" t="s">
        <v>104</v>
      </c>
      <c r="F194" s="3" t="s">
        <v>104</v>
      </c>
      <c r="G194" s="3" t="s">
        <v>30</v>
      </c>
      <c r="H194" s="3" t="s">
        <v>67</v>
      </c>
      <c r="I194" s="3" t="s">
        <v>602</v>
      </c>
      <c r="J194" s="3" t="s">
        <v>171</v>
      </c>
      <c r="K194" s="3">
        <v>2</v>
      </c>
      <c r="L194" s="3">
        <v>9617.9500000000007</v>
      </c>
      <c r="M194" s="3">
        <v>19235.900000000001</v>
      </c>
      <c r="N194" s="3">
        <v>15188.34</v>
      </c>
      <c r="O194" s="3">
        <v>4047.56</v>
      </c>
      <c r="P194" s="3" t="s">
        <v>69</v>
      </c>
    </row>
    <row r="195" spans="1:16" x14ac:dyDescent="0.35">
      <c r="A195" s="3" t="s">
        <v>603</v>
      </c>
      <c r="B195" s="3" t="s">
        <v>604</v>
      </c>
      <c r="C195" s="3" t="s">
        <v>118</v>
      </c>
      <c r="D195" s="3" t="s">
        <v>90</v>
      </c>
      <c r="E195" s="3" t="s">
        <v>91</v>
      </c>
      <c r="F195" s="3" t="s">
        <v>92</v>
      </c>
      <c r="G195" s="3" t="s">
        <v>51</v>
      </c>
      <c r="H195" s="3" t="s">
        <v>145</v>
      </c>
      <c r="I195" s="3" t="s">
        <v>605</v>
      </c>
      <c r="J195" s="3" t="s">
        <v>154</v>
      </c>
      <c r="K195" s="3">
        <v>2</v>
      </c>
      <c r="L195" s="3">
        <v>109.08</v>
      </c>
      <c r="M195" s="3">
        <v>218.16</v>
      </c>
      <c r="N195" s="3">
        <v>115.91</v>
      </c>
      <c r="O195" s="3">
        <v>102.25</v>
      </c>
      <c r="P195" s="3" t="s">
        <v>45</v>
      </c>
    </row>
    <row r="196" spans="1:16" x14ac:dyDescent="0.35">
      <c r="A196" s="3" t="s">
        <v>606</v>
      </c>
      <c r="B196" s="3" t="s">
        <v>607</v>
      </c>
      <c r="C196" s="3" t="s">
        <v>114</v>
      </c>
      <c r="D196" s="3" t="s">
        <v>38</v>
      </c>
      <c r="E196" s="3" t="s">
        <v>104</v>
      </c>
      <c r="F196" s="3" t="s">
        <v>104</v>
      </c>
      <c r="G196" s="3" t="s">
        <v>41</v>
      </c>
      <c r="H196" s="3" t="s">
        <v>61</v>
      </c>
      <c r="I196" s="3" t="s">
        <v>608</v>
      </c>
      <c r="J196" s="3" t="s">
        <v>188</v>
      </c>
      <c r="K196" s="3">
        <v>7</v>
      </c>
      <c r="L196" s="3">
        <v>2678.03</v>
      </c>
      <c r="M196" s="3">
        <v>18746.21</v>
      </c>
      <c r="N196" s="3">
        <v>11357.84</v>
      </c>
      <c r="O196" s="3">
        <v>7388.37</v>
      </c>
      <c r="P196" s="3" t="s">
        <v>26</v>
      </c>
    </row>
    <row r="197" spans="1:16" x14ac:dyDescent="0.35">
      <c r="A197" s="3" t="s">
        <v>609</v>
      </c>
      <c r="B197" s="3" t="s">
        <v>384</v>
      </c>
      <c r="C197" s="3" t="s">
        <v>57</v>
      </c>
      <c r="D197" s="3" t="s">
        <v>90</v>
      </c>
      <c r="E197" s="3" t="s">
        <v>97</v>
      </c>
      <c r="F197" s="3" t="s">
        <v>98</v>
      </c>
      <c r="G197" s="3" t="s">
        <v>41</v>
      </c>
      <c r="H197" s="3" t="s">
        <v>61</v>
      </c>
      <c r="I197" s="3" t="s">
        <v>610</v>
      </c>
      <c r="J197" s="3" t="s">
        <v>54</v>
      </c>
      <c r="K197" s="3">
        <v>3</v>
      </c>
      <c r="L197" s="3">
        <v>2434.84</v>
      </c>
      <c r="M197" s="3">
        <v>7304.52</v>
      </c>
      <c r="N197" s="3">
        <v>4572.83</v>
      </c>
      <c r="O197" s="3">
        <v>2731.69</v>
      </c>
      <c r="P197" s="3" t="s">
        <v>45</v>
      </c>
    </row>
    <row r="198" spans="1:16" x14ac:dyDescent="0.35">
      <c r="A198" s="3" t="s">
        <v>611</v>
      </c>
      <c r="B198" s="3" t="s">
        <v>612</v>
      </c>
      <c r="C198" s="3" t="s">
        <v>57</v>
      </c>
      <c r="D198" s="3" t="s">
        <v>58</v>
      </c>
      <c r="E198" s="3" t="s">
        <v>65</v>
      </c>
      <c r="F198" s="3" t="s">
        <v>66</v>
      </c>
      <c r="G198" s="3" t="s">
        <v>41</v>
      </c>
      <c r="H198" s="3" t="s">
        <v>42</v>
      </c>
      <c r="I198" s="3" t="s">
        <v>289</v>
      </c>
      <c r="J198" s="3" t="s">
        <v>54</v>
      </c>
      <c r="K198" s="3">
        <v>1</v>
      </c>
      <c r="L198" s="3">
        <v>45588.480000000003</v>
      </c>
      <c r="M198" s="3">
        <v>45588.480000000003</v>
      </c>
      <c r="N198" s="3">
        <v>36100.44</v>
      </c>
      <c r="O198" s="3">
        <v>9488.0400000000009</v>
      </c>
      <c r="P198" s="3" t="s">
        <v>26</v>
      </c>
    </row>
    <row r="199" spans="1:16" x14ac:dyDescent="0.35">
      <c r="A199" s="3" t="s">
        <v>613</v>
      </c>
      <c r="B199" s="3" t="s">
        <v>233</v>
      </c>
      <c r="C199" s="3" t="s">
        <v>103</v>
      </c>
      <c r="D199" s="3" t="s">
        <v>38</v>
      </c>
      <c r="E199" s="3" t="s">
        <v>39</v>
      </c>
      <c r="F199" s="3" t="s">
        <v>40</v>
      </c>
      <c r="G199" s="3" t="s">
        <v>51</v>
      </c>
      <c r="H199" s="3" t="s">
        <v>52</v>
      </c>
      <c r="I199" s="3" t="s">
        <v>614</v>
      </c>
      <c r="J199" s="3" t="s">
        <v>100</v>
      </c>
      <c r="K199" s="3">
        <v>3</v>
      </c>
      <c r="L199" s="3">
        <v>23.81</v>
      </c>
      <c r="M199" s="3">
        <v>71.430000000000007</v>
      </c>
      <c r="N199" s="3">
        <v>31.48</v>
      </c>
      <c r="O199" s="3">
        <v>39.950000000000003</v>
      </c>
      <c r="P199" s="3" t="s">
        <v>86</v>
      </c>
    </row>
    <row r="200" spans="1:16" x14ac:dyDescent="0.35">
      <c r="A200" s="3" t="s">
        <v>615</v>
      </c>
      <c r="B200" s="3" t="s">
        <v>435</v>
      </c>
      <c r="C200" s="3" t="s">
        <v>18</v>
      </c>
      <c r="D200" s="3" t="s">
        <v>58</v>
      </c>
      <c r="E200" s="3" t="s">
        <v>65</v>
      </c>
      <c r="F200" s="3" t="s">
        <v>66</v>
      </c>
      <c r="G200" s="3" t="s">
        <v>41</v>
      </c>
      <c r="H200" s="3" t="s">
        <v>61</v>
      </c>
      <c r="I200" s="3" t="s">
        <v>616</v>
      </c>
      <c r="J200" s="3" t="s">
        <v>217</v>
      </c>
      <c r="K200" s="3">
        <v>7</v>
      </c>
      <c r="L200" s="3">
        <v>2460.17</v>
      </c>
      <c r="M200" s="3">
        <v>17221.189999999999</v>
      </c>
      <c r="N200" s="3">
        <v>10695.05</v>
      </c>
      <c r="O200" s="3">
        <v>6526.14</v>
      </c>
      <c r="P200" s="3" t="s">
        <v>34</v>
      </c>
    </row>
    <row r="201" spans="1:16" x14ac:dyDescent="0.35">
      <c r="A201" s="3" t="s">
        <v>617</v>
      </c>
      <c r="B201" s="3" t="s">
        <v>618</v>
      </c>
      <c r="C201" s="3" t="s">
        <v>72</v>
      </c>
      <c r="D201" s="3" t="s">
        <v>19</v>
      </c>
      <c r="E201" s="3" t="s">
        <v>199</v>
      </c>
      <c r="F201" s="3" t="s">
        <v>200</v>
      </c>
      <c r="G201" s="3" t="s">
        <v>30</v>
      </c>
      <c r="H201" s="3" t="s">
        <v>73</v>
      </c>
      <c r="I201" s="3" t="s">
        <v>619</v>
      </c>
      <c r="J201" s="3" t="s">
        <v>54</v>
      </c>
      <c r="K201" s="3">
        <v>8</v>
      </c>
      <c r="L201" s="3">
        <v>3388.7</v>
      </c>
      <c r="M201" s="3">
        <v>27109.599999999999</v>
      </c>
      <c r="N201" s="3">
        <v>19149.21</v>
      </c>
      <c r="O201" s="3">
        <v>7960.39</v>
      </c>
      <c r="P201" s="3" t="s">
        <v>26</v>
      </c>
    </row>
    <row r="202" spans="1:16" x14ac:dyDescent="0.35">
      <c r="A202" s="3" t="s">
        <v>620</v>
      </c>
      <c r="B202" s="3" t="s">
        <v>621</v>
      </c>
      <c r="C202" s="3" t="s">
        <v>118</v>
      </c>
      <c r="D202" s="3" t="s">
        <v>38</v>
      </c>
      <c r="E202" s="3" t="s">
        <v>104</v>
      </c>
      <c r="F202" s="3" t="s">
        <v>104</v>
      </c>
      <c r="G202" s="3" t="s">
        <v>30</v>
      </c>
      <c r="H202" s="3" t="s">
        <v>67</v>
      </c>
      <c r="I202" s="3" t="s">
        <v>622</v>
      </c>
      <c r="J202" s="3" t="s">
        <v>154</v>
      </c>
      <c r="K202" s="3">
        <v>2</v>
      </c>
      <c r="L202" s="3">
        <v>9626.82</v>
      </c>
      <c r="M202" s="3">
        <v>19253.64</v>
      </c>
      <c r="N202" s="3">
        <v>15834.83</v>
      </c>
      <c r="O202" s="3">
        <v>3418.81</v>
      </c>
      <c r="P202" s="3" t="s">
        <v>34</v>
      </c>
    </row>
    <row r="203" spans="1:16" x14ac:dyDescent="0.35">
      <c r="A203" s="3" t="s">
        <v>623</v>
      </c>
      <c r="B203" s="3" t="s">
        <v>624</v>
      </c>
      <c r="C203" s="3" t="s">
        <v>18</v>
      </c>
      <c r="D203" s="3" t="s">
        <v>58</v>
      </c>
      <c r="E203" s="3" t="s">
        <v>65</v>
      </c>
      <c r="F203" s="3" t="s">
        <v>66</v>
      </c>
      <c r="G203" s="3" t="s">
        <v>51</v>
      </c>
      <c r="H203" s="3" t="s">
        <v>77</v>
      </c>
      <c r="I203" s="3" t="s">
        <v>625</v>
      </c>
      <c r="J203" s="3" t="s">
        <v>44</v>
      </c>
      <c r="K203" s="3">
        <v>7</v>
      </c>
      <c r="L203" s="3">
        <v>12838.62</v>
      </c>
      <c r="M203" s="3">
        <v>89870.34</v>
      </c>
      <c r="N203" s="3">
        <v>63767.24</v>
      </c>
      <c r="O203" s="3">
        <v>26103.1</v>
      </c>
      <c r="P203" s="3" t="s">
        <v>86</v>
      </c>
    </row>
    <row r="204" spans="1:16" x14ac:dyDescent="0.35">
      <c r="A204" s="3" t="s">
        <v>626</v>
      </c>
      <c r="B204" s="3" t="s">
        <v>173</v>
      </c>
      <c r="C204" s="3" t="s">
        <v>118</v>
      </c>
      <c r="D204" s="3" t="s">
        <v>90</v>
      </c>
      <c r="E204" s="3" t="s">
        <v>119</v>
      </c>
      <c r="F204" s="3" t="s">
        <v>120</v>
      </c>
      <c r="G204" s="3" t="s">
        <v>41</v>
      </c>
      <c r="H204" s="3" t="s">
        <v>138</v>
      </c>
      <c r="I204" s="3" t="s">
        <v>627</v>
      </c>
      <c r="J204" s="3" t="s">
        <v>33</v>
      </c>
      <c r="K204" s="3">
        <v>6</v>
      </c>
      <c r="L204" s="3">
        <v>16966.25</v>
      </c>
      <c r="M204" s="3">
        <v>101797.5</v>
      </c>
      <c r="N204" s="3">
        <v>85434.68</v>
      </c>
      <c r="O204" s="3">
        <v>16362.82</v>
      </c>
      <c r="P204" s="3" t="s">
        <v>45</v>
      </c>
    </row>
    <row r="205" spans="1:16" x14ac:dyDescent="0.35">
      <c r="A205" s="3" t="s">
        <v>628</v>
      </c>
      <c r="B205" s="3" t="s">
        <v>629</v>
      </c>
      <c r="C205" s="3" t="s">
        <v>29</v>
      </c>
      <c r="D205" s="3" t="s">
        <v>38</v>
      </c>
      <c r="E205" s="3" t="s">
        <v>39</v>
      </c>
      <c r="F205" s="3" t="s">
        <v>40</v>
      </c>
      <c r="G205" s="3" t="s">
        <v>30</v>
      </c>
      <c r="H205" s="3" t="s">
        <v>67</v>
      </c>
      <c r="I205" s="3" t="s">
        <v>630</v>
      </c>
      <c r="J205" s="3" t="s">
        <v>154</v>
      </c>
      <c r="K205" s="3">
        <v>3</v>
      </c>
      <c r="L205" s="3">
        <v>9421.73</v>
      </c>
      <c r="M205" s="3">
        <v>28265.19</v>
      </c>
      <c r="N205" s="3">
        <v>23602.49</v>
      </c>
      <c r="O205" s="3">
        <v>4662.7</v>
      </c>
      <c r="P205" s="3" t="s">
        <v>69</v>
      </c>
    </row>
    <row r="206" spans="1:16" x14ac:dyDescent="0.35">
      <c r="A206" s="3" t="s">
        <v>631</v>
      </c>
      <c r="B206" s="3" t="s">
        <v>113</v>
      </c>
      <c r="C206" s="3" t="s">
        <v>114</v>
      </c>
      <c r="D206" s="3" t="s">
        <v>58</v>
      </c>
      <c r="E206" s="3" t="s">
        <v>176</v>
      </c>
      <c r="F206" s="3" t="s">
        <v>177</v>
      </c>
      <c r="G206" s="3" t="s">
        <v>30</v>
      </c>
      <c r="H206" s="3" t="s">
        <v>31</v>
      </c>
      <c r="I206" s="3" t="s">
        <v>632</v>
      </c>
      <c r="J206" s="3" t="s">
        <v>106</v>
      </c>
      <c r="K206" s="3">
        <v>4</v>
      </c>
      <c r="L206" s="3">
        <v>2996.84</v>
      </c>
      <c r="M206" s="3">
        <v>11987.36</v>
      </c>
      <c r="N206" s="3">
        <v>7434.05</v>
      </c>
      <c r="O206" s="3">
        <v>4553.3100000000004</v>
      </c>
      <c r="P206" s="3" t="s">
        <v>69</v>
      </c>
    </row>
    <row r="207" spans="1:16" x14ac:dyDescent="0.35">
      <c r="A207" s="3" t="s">
        <v>633</v>
      </c>
      <c r="B207" s="3" t="s">
        <v>634</v>
      </c>
      <c r="C207" s="3" t="s">
        <v>29</v>
      </c>
      <c r="D207" s="3" t="s">
        <v>19</v>
      </c>
      <c r="E207" s="3" t="s">
        <v>49</v>
      </c>
      <c r="F207" s="3" t="s">
        <v>50</v>
      </c>
      <c r="G207" s="3" t="s">
        <v>41</v>
      </c>
      <c r="H207" s="3" t="s">
        <v>42</v>
      </c>
      <c r="I207" s="3" t="s">
        <v>187</v>
      </c>
      <c r="J207" s="3" t="s">
        <v>100</v>
      </c>
      <c r="K207" s="3">
        <v>6</v>
      </c>
      <c r="L207" s="3">
        <v>41365.279999999999</v>
      </c>
      <c r="M207" s="3">
        <v>248191.68</v>
      </c>
      <c r="N207" s="3">
        <v>200319.24</v>
      </c>
      <c r="O207" s="3">
        <v>47872.44</v>
      </c>
      <c r="P207" s="3" t="s">
        <v>26</v>
      </c>
    </row>
    <row r="208" spans="1:16" x14ac:dyDescent="0.35">
      <c r="A208" s="3" t="s">
        <v>635</v>
      </c>
      <c r="B208" s="3" t="s">
        <v>636</v>
      </c>
      <c r="C208" s="3" t="s">
        <v>57</v>
      </c>
      <c r="D208" s="3" t="s">
        <v>90</v>
      </c>
      <c r="E208" s="3" t="s">
        <v>119</v>
      </c>
      <c r="F208" s="3" t="s">
        <v>120</v>
      </c>
      <c r="G208" s="3" t="s">
        <v>30</v>
      </c>
      <c r="H208" s="3" t="s">
        <v>73</v>
      </c>
      <c r="I208" s="3" t="s">
        <v>637</v>
      </c>
      <c r="J208" s="3" t="s">
        <v>79</v>
      </c>
      <c r="K208" s="3">
        <v>6</v>
      </c>
      <c r="L208" s="3">
        <v>3465.05</v>
      </c>
      <c r="M208" s="3">
        <v>20790.3</v>
      </c>
      <c r="N208" s="3">
        <v>14565.7</v>
      </c>
      <c r="O208" s="3">
        <v>6224.6</v>
      </c>
      <c r="P208" s="3" t="s">
        <v>34</v>
      </c>
    </row>
    <row r="209" spans="1:16" x14ac:dyDescent="0.35">
      <c r="A209" s="3" t="s">
        <v>638</v>
      </c>
      <c r="B209" s="3" t="s">
        <v>639</v>
      </c>
      <c r="C209" s="3" t="s">
        <v>72</v>
      </c>
      <c r="D209" s="3" t="s">
        <v>90</v>
      </c>
      <c r="E209" s="3" t="s">
        <v>91</v>
      </c>
      <c r="F209" s="3" t="s">
        <v>92</v>
      </c>
      <c r="G209" s="3" t="s">
        <v>22</v>
      </c>
      <c r="H209" s="3" t="s">
        <v>23</v>
      </c>
      <c r="I209" s="3" t="s">
        <v>640</v>
      </c>
      <c r="J209" s="3" t="s">
        <v>131</v>
      </c>
      <c r="K209" s="3">
        <v>2</v>
      </c>
      <c r="L209" s="3">
        <v>3577.78</v>
      </c>
      <c r="M209" s="3">
        <v>7155.56</v>
      </c>
      <c r="N209" s="3">
        <v>4400.3500000000004</v>
      </c>
      <c r="O209" s="3">
        <v>2755.21</v>
      </c>
      <c r="P209" s="3" t="s">
        <v>69</v>
      </c>
    </row>
    <row r="210" spans="1:16" x14ac:dyDescent="0.35">
      <c r="A210" s="3" t="s">
        <v>641</v>
      </c>
      <c r="B210" s="3" t="s">
        <v>642</v>
      </c>
      <c r="C210" s="3" t="s">
        <v>18</v>
      </c>
      <c r="D210" s="3" t="s">
        <v>90</v>
      </c>
      <c r="E210" s="3" t="s">
        <v>91</v>
      </c>
      <c r="F210" s="3" t="s">
        <v>92</v>
      </c>
      <c r="G210" s="3" t="s">
        <v>22</v>
      </c>
      <c r="H210" s="3" t="s">
        <v>23</v>
      </c>
      <c r="I210" s="3" t="s">
        <v>643</v>
      </c>
      <c r="J210" s="3" t="s">
        <v>147</v>
      </c>
      <c r="K210" s="3">
        <v>4</v>
      </c>
      <c r="L210" s="3">
        <v>3745.33</v>
      </c>
      <c r="M210" s="3">
        <v>14981.32</v>
      </c>
      <c r="N210" s="3">
        <v>8562.77</v>
      </c>
      <c r="O210" s="3">
        <v>6418.55</v>
      </c>
      <c r="P210" s="3" t="s">
        <v>26</v>
      </c>
    </row>
    <row r="211" spans="1:16" x14ac:dyDescent="0.35">
      <c r="A211" s="3" t="s">
        <v>644</v>
      </c>
      <c r="B211" s="3" t="s">
        <v>344</v>
      </c>
      <c r="C211" s="3" t="s">
        <v>48</v>
      </c>
      <c r="D211" s="3" t="s">
        <v>90</v>
      </c>
      <c r="E211" s="3" t="s">
        <v>97</v>
      </c>
      <c r="F211" s="3" t="s">
        <v>98</v>
      </c>
      <c r="G211" s="3" t="s">
        <v>30</v>
      </c>
      <c r="H211" s="3" t="s">
        <v>67</v>
      </c>
      <c r="I211" s="3" t="s">
        <v>645</v>
      </c>
      <c r="J211" s="3" t="s">
        <v>171</v>
      </c>
      <c r="K211" s="3">
        <v>1</v>
      </c>
      <c r="L211" s="3">
        <v>9555.82</v>
      </c>
      <c r="M211" s="3">
        <v>9555.82</v>
      </c>
      <c r="N211" s="3">
        <v>7975.4</v>
      </c>
      <c r="O211" s="3">
        <v>1580.42</v>
      </c>
      <c r="P211" s="3" t="s">
        <v>34</v>
      </c>
    </row>
    <row r="212" spans="1:16" x14ac:dyDescent="0.35">
      <c r="A212" s="3" t="s">
        <v>646</v>
      </c>
      <c r="B212" s="3" t="s">
        <v>589</v>
      </c>
      <c r="C212" s="3" t="s">
        <v>137</v>
      </c>
      <c r="D212" s="3" t="s">
        <v>38</v>
      </c>
      <c r="E212" s="3" t="s">
        <v>109</v>
      </c>
      <c r="F212" s="3" t="s">
        <v>110</v>
      </c>
      <c r="G212" s="3" t="s">
        <v>41</v>
      </c>
      <c r="H212" s="3" t="s">
        <v>61</v>
      </c>
      <c r="I212" s="3" t="s">
        <v>647</v>
      </c>
      <c r="J212" s="3" t="s">
        <v>188</v>
      </c>
      <c r="K212" s="3">
        <v>4</v>
      </c>
      <c r="L212" s="3">
        <v>2356.36</v>
      </c>
      <c r="M212" s="3">
        <v>9425.44</v>
      </c>
      <c r="N212" s="3">
        <v>6196.26</v>
      </c>
      <c r="O212" s="3">
        <v>3229.18</v>
      </c>
      <c r="P212" s="3" t="s">
        <v>26</v>
      </c>
    </row>
    <row r="213" spans="1:16" x14ac:dyDescent="0.35">
      <c r="A213" s="3" t="s">
        <v>648</v>
      </c>
      <c r="B213" s="3" t="s">
        <v>649</v>
      </c>
      <c r="C213" s="3" t="s">
        <v>29</v>
      </c>
      <c r="D213" s="3" t="s">
        <v>19</v>
      </c>
      <c r="E213" s="3" t="s">
        <v>199</v>
      </c>
      <c r="F213" s="3" t="s">
        <v>200</v>
      </c>
      <c r="G213" s="3" t="s">
        <v>22</v>
      </c>
      <c r="H213" s="3" t="s">
        <v>93</v>
      </c>
      <c r="I213" s="3" t="s">
        <v>650</v>
      </c>
      <c r="J213" s="3" t="s">
        <v>44</v>
      </c>
      <c r="K213" s="3">
        <v>8</v>
      </c>
      <c r="L213" s="3">
        <v>6474.6</v>
      </c>
      <c r="M213" s="3">
        <v>51796.800000000003</v>
      </c>
      <c r="N213" s="3">
        <v>38406.83</v>
      </c>
      <c r="O213" s="3">
        <v>13389.97</v>
      </c>
      <c r="P213" s="3" t="s">
        <v>69</v>
      </c>
    </row>
    <row r="214" spans="1:16" x14ac:dyDescent="0.35">
      <c r="A214" s="3" t="s">
        <v>651</v>
      </c>
      <c r="B214" s="3" t="s">
        <v>108</v>
      </c>
      <c r="C214" s="3" t="s">
        <v>72</v>
      </c>
      <c r="D214" s="3" t="s">
        <v>58</v>
      </c>
      <c r="E214" s="3" t="s">
        <v>176</v>
      </c>
      <c r="F214" s="3" t="s">
        <v>177</v>
      </c>
      <c r="G214" s="3" t="s">
        <v>30</v>
      </c>
      <c r="H214" s="3" t="s">
        <v>67</v>
      </c>
      <c r="I214" s="3" t="s">
        <v>652</v>
      </c>
      <c r="J214" s="3" t="s">
        <v>100</v>
      </c>
      <c r="K214" s="3">
        <v>3</v>
      </c>
      <c r="L214" s="3">
        <v>9835.19</v>
      </c>
      <c r="M214" s="3">
        <v>29505.57</v>
      </c>
      <c r="N214" s="3">
        <v>23579.11</v>
      </c>
      <c r="O214" s="3">
        <v>5926.46</v>
      </c>
      <c r="P214" s="3" t="s">
        <v>26</v>
      </c>
    </row>
    <row r="215" spans="1:16" x14ac:dyDescent="0.35">
      <c r="A215" s="3" t="s">
        <v>653</v>
      </c>
      <c r="B215" s="3" t="s">
        <v>654</v>
      </c>
      <c r="C215" s="3" t="s">
        <v>103</v>
      </c>
      <c r="D215" s="3" t="s">
        <v>38</v>
      </c>
      <c r="E215" s="3" t="s">
        <v>39</v>
      </c>
      <c r="F215" s="3" t="s">
        <v>40</v>
      </c>
      <c r="G215" s="3" t="s">
        <v>30</v>
      </c>
      <c r="H215" s="3" t="s">
        <v>73</v>
      </c>
      <c r="I215" s="3" t="s">
        <v>134</v>
      </c>
      <c r="J215" s="3" t="s">
        <v>171</v>
      </c>
      <c r="K215" s="3">
        <v>7</v>
      </c>
      <c r="L215" s="3">
        <v>2992.8</v>
      </c>
      <c r="M215" s="3">
        <v>20949.599999999999</v>
      </c>
      <c r="N215" s="3">
        <v>17103.349999999999</v>
      </c>
      <c r="O215" s="3">
        <v>3846.25</v>
      </c>
      <c r="P215" s="3" t="s">
        <v>86</v>
      </c>
    </row>
    <row r="216" spans="1:16" x14ac:dyDescent="0.35">
      <c r="A216" s="3" t="s">
        <v>655</v>
      </c>
      <c r="B216" s="3" t="s">
        <v>656</v>
      </c>
      <c r="C216" s="3" t="s">
        <v>89</v>
      </c>
      <c r="D216" s="3" t="s">
        <v>90</v>
      </c>
      <c r="E216" s="3" t="s">
        <v>91</v>
      </c>
      <c r="F216" s="3" t="s">
        <v>92</v>
      </c>
      <c r="G216" s="3" t="s">
        <v>51</v>
      </c>
      <c r="H216" s="3" t="s">
        <v>77</v>
      </c>
      <c r="I216" s="3" t="s">
        <v>657</v>
      </c>
      <c r="J216" s="3" t="s">
        <v>171</v>
      </c>
      <c r="K216" s="3">
        <v>1</v>
      </c>
      <c r="L216" s="3">
        <v>12851.24</v>
      </c>
      <c r="M216" s="3">
        <v>12851.24</v>
      </c>
      <c r="N216" s="3">
        <v>8614.24</v>
      </c>
      <c r="O216" s="3">
        <v>4237</v>
      </c>
      <c r="P216" s="3" t="s">
        <v>34</v>
      </c>
    </row>
    <row r="217" spans="1:16" x14ac:dyDescent="0.35">
      <c r="A217" s="3" t="s">
        <v>658</v>
      </c>
      <c r="B217" s="3" t="s">
        <v>198</v>
      </c>
      <c r="C217" s="3" t="s">
        <v>29</v>
      </c>
      <c r="D217" s="3" t="s">
        <v>19</v>
      </c>
      <c r="E217" s="3" t="s">
        <v>199</v>
      </c>
      <c r="F217" s="3" t="s">
        <v>200</v>
      </c>
      <c r="G217" s="3" t="s">
        <v>41</v>
      </c>
      <c r="H217" s="3" t="s">
        <v>61</v>
      </c>
      <c r="I217" s="3" t="s">
        <v>659</v>
      </c>
      <c r="J217" s="3" t="s">
        <v>188</v>
      </c>
      <c r="K217" s="3">
        <v>3</v>
      </c>
      <c r="L217" s="3">
        <v>2609.16</v>
      </c>
      <c r="M217" s="3">
        <v>7827.48</v>
      </c>
      <c r="N217" s="3">
        <v>4856.1099999999997</v>
      </c>
      <c r="O217" s="3">
        <v>2971.37</v>
      </c>
      <c r="P217" s="3" t="s">
        <v>86</v>
      </c>
    </row>
    <row r="218" spans="1:16" x14ac:dyDescent="0.35">
      <c r="A218" s="3" t="s">
        <v>660</v>
      </c>
      <c r="B218" s="3" t="s">
        <v>661</v>
      </c>
      <c r="C218" s="3" t="s">
        <v>114</v>
      </c>
      <c r="D218" s="3" t="s">
        <v>58</v>
      </c>
      <c r="E218" s="3" t="s">
        <v>59</v>
      </c>
      <c r="F218" s="3" t="s">
        <v>60</v>
      </c>
      <c r="G218" s="3" t="s">
        <v>41</v>
      </c>
      <c r="H218" s="3" t="s">
        <v>42</v>
      </c>
      <c r="I218" s="3" t="s">
        <v>662</v>
      </c>
      <c r="J218" s="3" t="s">
        <v>188</v>
      </c>
      <c r="K218" s="3">
        <v>2</v>
      </c>
      <c r="L218" s="3">
        <v>42202</v>
      </c>
      <c r="M218" s="3">
        <v>84404</v>
      </c>
      <c r="N218" s="3">
        <v>70843.149999999994</v>
      </c>
      <c r="O218" s="3">
        <v>13560.85</v>
      </c>
      <c r="P218" s="3" t="s">
        <v>69</v>
      </c>
    </row>
    <row r="219" spans="1:16" x14ac:dyDescent="0.35">
      <c r="A219" s="3" t="s">
        <v>663</v>
      </c>
      <c r="B219" s="3" t="s">
        <v>274</v>
      </c>
      <c r="C219" s="3" t="s">
        <v>57</v>
      </c>
      <c r="D219" s="3" t="s">
        <v>19</v>
      </c>
      <c r="E219" s="3" t="s">
        <v>20</v>
      </c>
      <c r="F219" s="3" t="s">
        <v>21</v>
      </c>
      <c r="G219" s="3" t="s">
        <v>22</v>
      </c>
      <c r="H219" s="3" t="s">
        <v>93</v>
      </c>
      <c r="I219" s="3" t="s">
        <v>664</v>
      </c>
      <c r="J219" s="3" t="s">
        <v>161</v>
      </c>
      <c r="K219" s="3">
        <v>1</v>
      </c>
      <c r="L219" s="3">
        <v>6374.6</v>
      </c>
      <c r="M219" s="3">
        <v>6374.6</v>
      </c>
      <c r="N219" s="3">
        <v>5239.9399999999996</v>
      </c>
      <c r="O219" s="3">
        <v>1134.6600000000001</v>
      </c>
      <c r="P219" s="3" t="s">
        <v>34</v>
      </c>
    </row>
    <row r="220" spans="1:16" x14ac:dyDescent="0.35">
      <c r="A220" s="3" t="s">
        <v>665</v>
      </c>
      <c r="B220" s="3" t="s">
        <v>666</v>
      </c>
      <c r="C220" s="3" t="s">
        <v>37</v>
      </c>
      <c r="D220" s="3" t="s">
        <v>58</v>
      </c>
      <c r="E220" s="3" t="s">
        <v>176</v>
      </c>
      <c r="F220" s="3" t="s">
        <v>177</v>
      </c>
      <c r="G220" s="3" t="s">
        <v>30</v>
      </c>
      <c r="H220" s="3" t="s">
        <v>67</v>
      </c>
      <c r="I220" s="3" t="s">
        <v>667</v>
      </c>
      <c r="J220" s="3" t="s">
        <v>171</v>
      </c>
      <c r="K220" s="3">
        <v>2</v>
      </c>
      <c r="L220" s="3">
        <v>9761.41</v>
      </c>
      <c r="M220" s="3">
        <v>19522.82</v>
      </c>
      <c r="N220" s="3">
        <v>15271.16</v>
      </c>
      <c r="O220" s="3">
        <v>4251.66</v>
      </c>
      <c r="P220" s="3" t="s">
        <v>86</v>
      </c>
    </row>
    <row r="221" spans="1:16" x14ac:dyDescent="0.35">
      <c r="A221" s="3" t="s">
        <v>668</v>
      </c>
      <c r="B221" s="3" t="s">
        <v>669</v>
      </c>
      <c r="C221" s="3" t="s">
        <v>57</v>
      </c>
      <c r="D221" s="3" t="s">
        <v>19</v>
      </c>
      <c r="E221" s="3" t="s">
        <v>49</v>
      </c>
      <c r="F221" s="3" t="s">
        <v>50</v>
      </c>
      <c r="G221" s="3" t="s">
        <v>22</v>
      </c>
      <c r="H221" s="3" t="s">
        <v>93</v>
      </c>
      <c r="I221" s="3" t="s">
        <v>670</v>
      </c>
      <c r="J221" s="3" t="s">
        <v>85</v>
      </c>
      <c r="K221" s="3">
        <v>5</v>
      </c>
      <c r="L221" s="3">
        <v>6623.29</v>
      </c>
      <c r="M221" s="3">
        <v>33116.449999999997</v>
      </c>
      <c r="N221" s="3">
        <v>24787.55</v>
      </c>
      <c r="O221" s="3">
        <v>8328.9</v>
      </c>
      <c r="P221" s="3" t="s">
        <v>86</v>
      </c>
    </row>
    <row r="222" spans="1:16" x14ac:dyDescent="0.35">
      <c r="A222" s="3" t="s">
        <v>671</v>
      </c>
      <c r="B222" s="3" t="s">
        <v>672</v>
      </c>
      <c r="C222" s="3" t="s">
        <v>118</v>
      </c>
      <c r="D222" s="3" t="s">
        <v>19</v>
      </c>
      <c r="E222" s="3" t="s">
        <v>49</v>
      </c>
      <c r="F222" s="3" t="s">
        <v>50</v>
      </c>
      <c r="G222" s="3" t="s">
        <v>22</v>
      </c>
      <c r="H222" s="3" t="s">
        <v>93</v>
      </c>
      <c r="I222" s="3" t="s">
        <v>313</v>
      </c>
      <c r="J222" s="3" t="s">
        <v>85</v>
      </c>
      <c r="K222" s="3">
        <v>7</v>
      </c>
      <c r="L222" s="3">
        <v>7085.65</v>
      </c>
      <c r="M222" s="3">
        <v>49599.55</v>
      </c>
      <c r="N222" s="3">
        <v>35406.42</v>
      </c>
      <c r="O222" s="3">
        <v>14193.13</v>
      </c>
      <c r="P222" s="3" t="s">
        <v>45</v>
      </c>
    </row>
    <row r="223" spans="1:16" x14ac:dyDescent="0.35">
      <c r="A223" s="3" t="s">
        <v>673</v>
      </c>
      <c r="B223" s="3" t="s">
        <v>282</v>
      </c>
      <c r="C223" s="3" t="s">
        <v>114</v>
      </c>
      <c r="D223" s="3" t="s">
        <v>90</v>
      </c>
      <c r="E223" s="3" t="s">
        <v>119</v>
      </c>
      <c r="F223" s="3" t="s">
        <v>120</v>
      </c>
      <c r="G223" s="3" t="s">
        <v>51</v>
      </c>
      <c r="H223" s="3" t="s">
        <v>77</v>
      </c>
      <c r="I223" s="3" t="s">
        <v>632</v>
      </c>
      <c r="J223" s="3" t="s">
        <v>79</v>
      </c>
      <c r="K223" s="3">
        <v>2</v>
      </c>
      <c r="L223" s="3">
        <v>11566.97</v>
      </c>
      <c r="M223" s="3">
        <v>23133.94</v>
      </c>
      <c r="N223" s="3">
        <v>17780.7</v>
      </c>
      <c r="O223" s="3">
        <v>5353.24</v>
      </c>
      <c r="P223" s="3" t="s">
        <v>69</v>
      </c>
    </row>
    <row r="224" spans="1:16" x14ac:dyDescent="0.35">
      <c r="A224" s="3" t="s">
        <v>674</v>
      </c>
      <c r="B224" s="3" t="s">
        <v>675</v>
      </c>
      <c r="C224" s="3" t="s">
        <v>82</v>
      </c>
      <c r="D224" s="3" t="s">
        <v>38</v>
      </c>
      <c r="E224" s="3" t="s">
        <v>39</v>
      </c>
      <c r="F224" s="3" t="s">
        <v>40</v>
      </c>
      <c r="G224" s="3" t="s">
        <v>30</v>
      </c>
      <c r="H224" s="3" t="s">
        <v>67</v>
      </c>
      <c r="I224" s="3" t="s">
        <v>676</v>
      </c>
      <c r="J224" s="3" t="s">
        <v>100</v>
      </c>
      <c r="K224" s="3">
        <v>3</v>
      </c>
      <c r="L224" s="3">
        <v>9899.14</v>
      </c>
      <c r="M224" s="3">
        <v>29697.42</v>
      </c>
      <c r="N224" s="3">
        <v>22356.97</v>
      </c>
      <c r="O224" s="3">
        <v>7340.45</v>
      </c>
      <c r="P224" s="3" t="s">
        <v>69</v>
      </c>
    </row>
    <row r="225" spans="1:16" x14ac:dyDescent="0.35">
      <c r="A225" s="3" t="s">
        <v>677</v>
      </c>
      <c r="B225" s="3" t="s">
        <v>678</v>
      </c>
      <c r="C225" s="3" t="s">
        <v>137</v>
      </c>
      <c r="D225" s="3" t="s">
        <v>19</v>
      </c>
      <c r="E225" s="3" t="s">
        <v>199</v>
      </c>
      <c r="F225" s="3" t="s">
        <v>200</v>
      </c>
      <c r="G225" s="3" t="s">
        <v>51</v>
      </c>
      <c r="H225" s="3" t="s">
        <v>145</v>
      </c>
      <c r="I225" s="3" t="s">
        <v>679</v>
      </c>
      <c r="J225" s="3" t="s">
        <v>85</v>
      </c>
      <c r="K225" s="3">
        <v>8</v>
      </c>
      <c r="L225" s="3">
        <v>126.49</v>
      </c>
      <c r="M225" s="3">
        <v>1011.92</v>
      </c>
      <c r="N225" s="3">
        <v>458.77</v>
      </c>
      <c r="O225" s="3">
        <v>553.15</v>
      </c>
      <c r="P225" s="3" t="s">
        <v>34</v>
      </c>
    </row>
    <row r="226" spans="1:16" x14ac:dyDescent="0.35">
      <c r="A226" s="3" t="s">
        <v>680</v>
      </c>
      <c r="B226" s="3" t="s">
        <v>518</v>
      </c>
      <c r="C226" s="3" t="s">
        <v>89</v>
      </c>
      <c r="D226" s="3" t="s">
        <v>58</v>
      </c>
      <c r="E226" s="3" t="s">
        <v>65</v>
      </c>
      <c r="F226" s="3" t="s">
        <v>66</v>
      </c>
      <c r="G226" s="3" t="s">
        <v>51</v>
      </c>
      <c r="H226" s="3" t="s">
        <v>77</v>
      </c>
      <c r="I226" s="3" t="s">
        <v>374</v>
      </c>
      <c r="J226" s="3" t="s">
        <v>147</v>
      </c>
      <c r="K226" s="3">
        <v>8</v>
      </c>
      <c r="L226" s="3">
        <v>13110.25</v>
      </c>
      <c r="M226" s="3">
        <v>104882</v>
      </c>
      <c r="N226" s="3">
        <v>70665.56</v>
      </c>
      <c r="O226" s="3">
        <v>34216.44</v>
      </c>
      <c r="P226" s="3" t="s">
        <v>69</v>
      </c>
    </row>
    <row r="227" spans="1:16" x14ac:dyDescent="0.35">
      <c r="A227" s="3" t="s">
        <v>681</v>
      </c>
      <c r="B227" s="3" t="s">
        <v>682</v>
      </c>
      <c r="C227" s="3" t="s">
        <v>114</v>
      </c>
      <c r="D227" s="3" t="s">
        <v>90</v>
      </c>
      <c r="E227" s="3" t="s">
        <v>91</v>
      </c>
      <c r="F227" s="3" t="s">
        <v>92</v>
      </c>
      <c r="G227" s="3" t="s">
        <v>41</v>
      </c>
      <c r="H227" s="3" t="s">
        <v>42</v>
      </c>
      <c r="I227" s="3" t="s">
        <v>683</v>
      </c>
      <c r="J227" s="3" t="s">
        <v>100</v>
      </c>
      <c r="K227" s="3">
        <v>8</v>
      </c>
      <c r="L227" s="3">
        <v>48622.63</v>
      </c>
      <c r="M227" s="3">
        <v>388981.04</v>
      </c>
      <c r="N227" s="3">
        <v>272054.27</v>
      </c>
      <c r="O227" s="3">
        <v>116926.77</v>
      </c>
      <c r="P227" s="3" t="s">
        <v>86</v>
      </c>
    </row>
    <row r="228" spans="1:16" x14ac:dyDescent="0.35">
      <c r="A228" s="3" t="s">
        <v>684</v>
      </c>
      <c r="B228" s="3" t="s">
        <v>685</v>
      </c>
      <c r="C228" s="3" t="s">
        <v>137</v>
      </c>
      <c r="D228" s="3" t="s">
        <v>19</v>
      </c>
      <c r="E228" s="3" t="s">
        <v>49</v>
      </c>
      <c r="F228" s="3" t="s">
        <v>50</v>
      </c>
      <c r="G228" s="3" t="s">
        <v>51</v>
      </c>
      <c r="H228" s="3" t="s">
        <v>52</v>
      </c>
      <c r="I228" s="3" t="s">
        <v>686</v>
      </c>
      <c r="J228" s="3" t="s">
        <v>217</v>
      </c>
      <c r="K228" s="3">
        <v>1</v>
      </c>
      <c r="L228" s="3">
        <v>27.44</v>
      </c>
      <c r="M228" s="3">
        <v>27.44</v>
      </c>
      <c r="N228" s="3">
        <v>9.52</v>
      </c>
      <c r="O228" s="3">
        <v>17.920000000000002</v>
      </c>
      <c r="P228" s="3" t="s">
        <v>69</v>
      </c>
    </row>
    <row r="229" spans="1:16" x14ac:dyDescent="0.35">
      <c r="A229" s="3" t="s">
        <v>687</v>
      </c>
      <c r="B229" s="3" t="s">
        <v>688</v>
      </c>
      <c r="C229" s="3" t="s">
        <v>118</v>
      </c>
      <c r="D229" s="3" t="s">
        <v>90</v>
      </c>
      <c r="E229" s="3" t="s">
        <v>91</v>
      </c>
      <c r="F229" s="3" t="s">
        <v>92</v>
      </c>
      <c r="G229" s="3" t="s">
        <v>30</v>
      </c>
      <c r="H229" s="3" t="s">
        <v>73</v>
      </c>
      <c r="I229" s="3" t="s">
        <v>444</v>
      </c>
      <c r="J229" s="3" t="s">
        <v>147</v>
      </c>
      <c r="K229" s="3">
        <v>1</v>
      </c>
      <c r="L229" s="3">
        <v>3199.27</v>
      </c>
      <c r="M229" s="3">
        <v>3199.27</v>
      </c>
      <c r="N229" s="3">
        <v>2487</v>
      </c>
      <c r="O229" s="3">
        <v>712.27</v>
      </c>
      <c r="P229" s="3" t="s">
        <v>34</v>
      </c>
    </row>
    <row r="230" spans="1:16" x14ac:dyDescent="0.35">
      <c r="A230" s="3" t="s">
        <v>689</v>
      </c>
      <c r="B230" s="3" t="s">
        <v>690</v>
      </c>
      <c r="C230" s="3" t="s">
        <v>82</v>
      </c>
      <c r="D230" s="3" t="s">
        <v>58</v>
      </c>
      <c r="E230" s="3" t="s">
        <v>59</v>
      </c>
      <c r="F230" s="3" t="s">
        <v>60</v>
      </c>
      <c r="G230" s="3" t="s">
        <v>22</v>
      </c>
      <c r="H230" s="3" t="s">
        <v>83</v>
      </c>
      <c r="I230" s="3" t="s">
        <v>283</v>
      </c>
      <c r="J230" s="3" t="s">
        <v>25</v>
      </c>
      <c r="K230" s="3">
        <v>2</v>
      </c>
      <c r="L230" s="3">
        <v>20740.16</v>
      </c>
      <c r="M230" s="3">
        <v>41480.32</v>
      </c>
      <c r="N230" s="3">
        <v>32535.79</v>
      </c>
      <c r="O230" s="3">
        <v>8944.5300000000007</v>
      </c>
      <c r="P230" s="3" t="s">
        <v>69</v>
      </c>
    </row>
    <row r="231" spans="1:16" x14ac:dyDescent="0.35">
      <c r="A231" s="3" t="s">
        <v>691</v>
      </c>
      <c r="B231" s="3" t="s">
        <v>169</v>
      </c>
      <c r="C231" s="3" t="s">
        <v>37</v>
      </c>
      <c r="D231" s="3" t="s">
        <v>90</v>
      </c>
      <c r="E231" s="3" t="s">
        <v>91</v>
      </c>
      <c r="F231" s="3" t="s">
        <v>92</v>
      </c>
      <c r="G231" s="3" t="s">
        <v>22</v>
      </c>
      <c r="H231" s="3" t="s">
        <v>23</v>
      </c>
      <c r="I231" s="3" t="s">
        <v>692</v>
      </c>
      <c r="J231" s="3" t="s">
        <v>217</v>
      </c>
      <c r="K231" s="3">
        <v>1</v>
      </c>
      <c r="L231" s="3">
        <v>3273.03</v>
      </c>
      <c r="M231" s="3">
        <v>3273.03</v>
      </c>
      <c r="N231" s="3">
        <v>2278.81</v>
      </c>
      <c r="O231" s="3">
        <v>994.22</v>
      </c>
      <c r="P231" s="3" t="s">
        <v>45</v>
      </c>
    </row>
    <row r="232" spans="1:16" x14ac:dyDescent="0.35">
      <c r="A232" s="3" t="s">
        <v>693</v>
      </c>
      <c r="B232" s="3" t="s">
        <v>570</v>
      </c>
      <c r="C232" s="3" t="s">
        <v>18</v>
      </c>
      <c r="D232" s="3" t="s">
        <v>58</v>
      </c>
      <c r="E232" s="3" t="s">
        <v>65</v>
      </c>
      <c r="F232" s="3" t="s">
        <v>66</v>
      </c>
      <c r="G232" s="3" t="s">
        <v>22</v>
      </c>
      <c r="H232" s="3" t="s">
        <v>83</v>
      </c>
      <c r="I232" s="3" t="s">
        <v>694</v>
      </c>
      <c r="J232" s="3" t="s">
        <v>79</v>
      </c>
      <c r="K232" s="3">
        <v>2</v>
      </c>
      <c r="L232" s="3">
        <v>21054.14</v>
      </c>
      <c r="M232" s="3">
        <v>42108.28</v>
      </c>
      <c r="N232" s="3">
        <v>34692.47</v>
      </c>
      <c r="O232" s="3">
        <v>7415.81</v>
      </c>
      <c r="P232" s="3" t="s">
        <v>34</v>
      </c>
    </row>
    <row r="233" spans="1:16" x14ac:dyDescent="0.35">
      <c r="A233" s="3" t="s">
        <v>695</v>
      </c>
      <c r="B233" s="3" t="s">
        <v>696</v>
      </c>
      <c r="C233" s="3" t="s">
        <v>82</v>
      </c>
      <c r="D233" s="3" t="s">
        <v>38</v>
      </c>
      <c r="E233" s="3" t="s">
        <v>39</v>
      </c>
      <c r="F233" s="3" t="s">
        <v>40</v>
      </c>
      <c r="G233" s="3" t="s">
        <v>41</v>
      </c>
      <c r="H233" s="3" t="s">
        <v>61</v>
      </c>
      <c r="I233" s="3" t="s">
        <v>697</v>
      </c>
      <c r="J233" s="3" t="s">
        <v>161</v>
      </c>
      <c r="K233" s="3">
        <v>1</v>
      </c>
      <c r="L233" s="3">
        <v>2419.4499999999998</v>
      </c>
      <c r="M233" s="3">
        <v>2419.4499999999998</v>
      </c>
      <c r="N233" s="3">
        <v>1554.01</v>
      </c>
      <c r="O233" s="3">
        <v>865.44</v>
      </c>
      <c r="P233" s="3" t="s">
        <v>86</v>
      </c>
    </row>
    <row r="234" spans="1:16" x14ac:dyDescent="0.35">
      <c r="A234" s="3" t="s">
        <v>698</v>
      </c>
      <c r="B234" s="3" t="s">
        <v>699</v>
      </c>
      <c r="C234" s="3" t="s">
        <v>137</v>
      </c>
      <c r="D234" s="3" t="s">
        <v>38</v>
      </c>
      <c r="E234" s="3" t="s">
        <v>109</v>
      </c>
      <c r="F234" s="3" t="s">
        <v>110</v>
      </c>
      <c r="G234" s="3" t="s">
        <v>30</v>
      </c>
      <c r="H234" s="3" t="s">
        <v>73</v>
      </c>
      <c r="I234" s="3" t="s">
        <v>700</v>
      </c>
      <c r="J234" s="3" t="s">
        <v>25</v>
      </c>
      <c r="K234" s="3">
        <v>5</v>
      </c>
      <c r="L234" s="3">
        <v>3213.86</v>
      </c>
      <c r="M234" s="3">
        <v>16069.3</v>
      </c>
      <c r="N234" s="3">
        <v>11698.08</v>
      </c>
      <c r="O234" s="3">
        <v>4371.22</v>
      </c>
      <c r="P234" s="3" t="s">
        <v>69</v>
      </c>
    </row>
    <row r="235" spans="1:16" x14ac:dyDescent="0.35">
      <c r="A235" s="3" t="s">
        <v>701</v>
      </c>
      <c r="B235" s="3" t="s">
        <v>702</v>
      </c>
      <c r="C235" s="3" t="s">
        <v>57</v>
      </c>
      <c r="D235" s="3" t="s">
        <v>19</v>
      </c>
      <c r="E235" s="3" t="s">
        <v>20</v>
      </c>
      <c r="F235" s="3" t="s">
        <v>21</v>
      </c>
      <c r="G235" s="3" t="s">
        <v>22</v>
      </c>
      <c r="H235" s="3" t="s">
        <v>23</v>
      </c>
      <c r="I235" s="3" t="s">
        <v>703</v>
      </c>
      <c r="J235" s="3" t="s">
        <v>44</v>
      </c>
      <c r="K235" s="3">
        <v>5</v>
      </c>
      <c r="L235" s="3">
        <v>3323.04</v>
      </c>
      <c r="M235" s="3">
        <v>16615.2</v>
      </c>
      <c r="N235" s="3">
        <v>11211.9</v>
      </c>
      <c r="O235" s="3">
        <v>5403.3</v>
      </c>
      <c r="P235" s="3" t="s">
        <v>26</v>
      </c>
    </row>
    <row r="236" spans="1:16" x14ac:dyDescent="0.35">
      <c r="A236" s="3" t="s">
        <v>704</v>
      </c>
      <c r="B236" s="3" t="s">
        <v>705</v>
      </c>
      <c r="C236" s="3" t="s">
        <v>82</v>
      </c>
      <c r="D236" s="3" t="s">
        <v>38</v>
      </c>
      <c r="E236" s="3" t="s">
        <v>109</v>
      </c>
      <c r="F236" s="3" t="s">
        <v>110</v>
      </c>
      <c r="G236" s="3" t="s">
        <v>22</v>
      </c>
      <c r="H236" s="3" t="s">
        <v>93</v>
      </c>
      <c r="I236" s="3" t="s">
        <v>706</v>
      </c>
      <c r="J236" s="3" t="s">
        <v>171</v>
      </c>
      <c r="K236" s="3">
        <v>2</v>
      </c>
      <c r="L236" s="3">
        <v>6683.39</v>
      </c>
      <c r="M236" s="3">
        <v>13366.78</v>
      </c>
      <c r="N236" s="3">
        <v>9735.35</v>
      </c>
      <c r="O236" s="3">
        <v>3631.43</v>
      </c>
      <c r="P236" s="3" t="s">
        <v>26</v>
      </c>
    </row>
    <row r="237" spans="1:16" x14ac:dyDescent="0.35">
      <c r="A237" s="3" t="s">
        <v>707</v>
      </c>
      <c r="B237" s="3" t="s">
        <v>547</v>
      </c>
      <c r="C237" s="3" t="s">
        <v>89</v>
      </c>
      <c r="D237" s="3" t="s">
        <v>38</v>
      </c>
      <c r="E237" s="3" t="s">
        <v>104</v>
      </c>
      <c r="F237" s="3" t="s">
        <v>104</v>
      </c>
      <c r="G237" s="3" t="s">
        <v>22</v>
      </c>
      <c r="H237" s="3" t="s">
        <v>83</v>
      </c>
      <c r="I237" s="3" t="s">
        <v>708</v>
      </c>
      <c r="J237" s="3" t="s">
        <v>161</v>
      </c>
      <c r="K237" s="3">
        <v>1</v>
      </c>
      <c r="L237" s="3">
        <v>20144.25</v>
      </c>
      <c r="M237" s="3">
        <v>20144.25</v>
      </c>
      <c r="N237" s="3">
        <v>17576.810000000001</v>
      </c>
      <c r="O237" s="3">
        <v>2567.44</v>
      </c>
      <c r="P237" s="3" t="s">
        <v>86</v>
      </c>
    </row>
    <row r="238" spans="1:16" x14ac:dyDescent="0.35">
      <c r="A238" s="3" t="s">
        <v>709</v>
      </c>
      <c r="B238" s="3" t="s">
        <v>586</v>
      </c>
      <c r="C238" s="3" t="s">
        <v>57</v>
      </c>
      <c r="D238" s="3" t="s">
        <v>19</v>
      </c>
      <c r="E238" s="3" t="s">
        <v>49</v>
      </c>
      <c r="F238" s="3" t="s">
        <v>50</v>
      </c>
      <c r="G238" s="3" t="s">
        <v>51</v>
      </c>
      <c r="H238" s="3" t="s">
        <v>77</v>
      </c>
      <c r="I238" s="3" t="s">
        <v>710</v>
      </c>
      <c r="J238" s="3" t="s">
        <v>100</v>
      </c>
      <c r="K238" s="3">
        <v>2</v>
      </c>
      <c r="L238" s="3">
        <v>10803.31</v>
      </c>
      <c r="M238" s="3">
        <v>21606.62</v>
      </c>
      <c r="N238" s="3">
        <v>18612.080000000002</v>
      </c>
      <c r="O238" s="3">
        <v>2994.54</v>
      </c>
      <c r="P238" s="3" t="s">
        <v>34</v>
      </c>
    </row>
    <row r="239" spans="1:16" x14ac:dyDescent="0.35">
      <c r="A239" s="3" t="s">
        <v>711</v>
      </c>
      <c r="B239" s="3" t="s">
        <v>712</v>
      </c>
      <c r="C239" s="3" t="s">
        <v>37</v>
      </c>
      <c r="D239" s="3" t="s">
        <v>90</v>
      </c>
      <c r="E239" s="3" t="s">
        <v>91</v>
      </c>
      <c r="F239" s="3" t="s">
        <v>92</v>
      </c>
      <c r="G239" s="3" t="s">
        <v>41</v>
      </c>
      <c r="H239" s="3" t="s">
        <v>61</v>
      </c>
      <c r="I239" s="3" t="s">
        <v>713</v>
      </c>
      <c r="J239" s="3" t="s">
        <v>147</v>
      </c>
      <c r="K239" s="3">
        <v>1</v>
      </c>
      <c r="L239" s="3">
        <v>2315.6999999999998</v>
      </c>
      <c r="M239" s="3">
        <v>2315.6999999999998</v>
      </c>
      <c r="N239" s="3">
        <v>1566.61</v>
      </c>
      <c r="O239" s="3">
        <v>749.09</v>
      </c>
      <c r="P239" s="3" t="s">
        <v>26</v>
      </c>
    </row>
    <row r="240" spans="1:16" x14ac:dyDescent="0.35">
      <c r="A240" s="3" t="s">
        <v>714</v>
      </c>
      <c r="B240" s="3" t="s">
        <v>599</v>
      </c>
      <c r="C240" s="3" t="s">
        <v>82</v>
      </c>
      <c r="D240" s="3" t="s">
        <v>90</v>
      </c>
      <c r="E240" s="3" t="s">
        <v>119</v>
      </c>
      <c r="F240" s="3" t="s">
        <v>120</v>
      </c>
      <c r="G240" s="3" t="s">
        <v>41</v>
      </c>
      <c r="H240" s="3" t="s">
        <v>61</v>
      </c>
      <c r="I240" s="3" t="s">
        <v>715</v>
      </c>
      <c r="J240" s="3" t="s">
        <v>147</v>
      </c>
      <c r="K240" s="3">
        <v>1</v>
      </c>
      <c r="L240" s="3">
        <v>2435.9899999999998</v>
      </c>
      <c r="M240" s="3">
        <v>2435.9899999999998</v>
      </c>
      <c r="N240" s="3">
        <v>1661.83</v>
      </c>
      <c r="O240" s="3">
        <v>774.16</v>
      </c>
      <c r="P240" s="3" t="s">
        <v>45</v>
      </c>
    </row>
    <row r="241" spans="1:16" x14ac:dyDescent="0.35">
      <c r="A241" s="3" t="s">
        <v>716</v>
      </c>
      <c r="B241" s="3" t="s">
        <v>717</v>
      </c>
      <c r="C241" s="3" t="s">
        <v>114</v>
      </c>
      <c r="D241" s="3" t="s">
        <v>90</v>
      </c>
      <c r="E241" s="3" t="s">
        <v>119</v>
      </c>
      <c r="F241" s="3" t="s">
        <v>120</v>
      </c>
      <c r="G241" s="3" t="s">
        <v>51</v>
      </c>
      <c r="H241" s="3" t="s">
        <v>145</v>
      </c>
      <c r="I241" s="3" t="s">
        <v>718</v>
      </c>
      <c r="J241" s="3" t="s">
        <v>85</v>
      </c>
      <c r="K241" s="3">
        <v>2</v>
      </c>
      <c r="L241" s="3">
        <v>119.41</v>
      </c>
      <c r="M241" s="3">
        <v>238.82</v>
      </c>
      <c r="N241" s="3">
        <v>123.89</v>
      </c>
      <c r="O241" s="3">
        <v>114.93</v>
      </c>
      <c r="P241" s="3" t="s">
        <v>34</v>
      </c>
    </row>
    <row r="242" spans="1:16" x14ac:dyDescent="0.35">
      <c r="A242" s="3" t="s">
        <v>719</v>
      </c>
      <c r="B242" s="3" t="s">
        <v>463</v>
      </c>
      <c r="C242" s="3" t="s">
        <v>29</v>
      </c>
      <c r="D242" s="3" t="s">
        <v>19</v>
      </c>
      <c r="E242" s="3" t="s">
        <v>49</v>
      </c>
      <c r="F242" s="3" t="s">
        <v>50</v>
      </c>
      <c r="G242" s="3" t="s">
        <v>22</v>
      </c>
      <c r="H242" s="3" t="s">
        <v>83</v>
      </c>
      <c r="I242" s="3" t="s">
        <v>223</v>
      </c>
      <c r="J242" s="3" t="s">
        <v>44</v>
      </c>
      <c r="K242" s="3">
        <v>5</v>
      </c>
      <c r="L242" s="3">
        <v>23969.21</v>
      </c>
      <c r="M242" s="3">
        <v>119846.05</v>
      </c>
      <c r="N242" s="3">
        <v>82700.14</v>
      </c>
      <c r="O242" s="3">
        <v>37145.910000000003</v>
      </c>
      <c r="P242" s="3" t="s">
        <v>86</v>
      </c>
    </row>
    <row r="243" spans="1:16" x14ac:dyDescent="0.35">
      <c r="A243" s="3" t="s">
        <v>720</v>
      </c>
      <c r="B243" s="3" t="s">
        <v>420</v>
      </c>
      <c r="C243" s="3" t="s">
        <v>89</v>
      </c>
      <c r="D243" s="3" t="s">
        <v>58</v>
      </c>
      <c r="E243" s="3" t="s">
        <v>65</v>
      </c>
      <c r="F243" s="3" t="s">
        <v>66</v>
      </c>
      <c r="G243" s="3" t="s">
        <v>51</v>
      </c>
      <c r="H243" s="3" t="s">
        <v>52</v>
      </c>
      <c r="I243" s="3" t="s">
        <v>721</v>
      </c>
      <c r="J243" s="3" t="s">
        <v>131</v>
      </c>
      <c r="K243" s="3">
        <v>6</v>
      </c>
      <c r="L243" s="3">
        <v>25.42</v>
      </c>
      <c r="M243" s="3">
        <v>152.52000000000001</v>
      </c>
      <c r="N243" s="3">
        <v>62.01</v>
      </c>
      <c r="O243" s="3">
        <v>90.51</v>
      </c>
      <c r="P243" s="3" t="s">
        <v>69</v>
      </c>
    </row>
    <row r="244" spans="1:16" x14ac:dyDescent="0.35">
      <c r="A244" s="3" t="s">
        <v>722</v>
      </c>
      <c r="B244" s="3" t="s">
        <v>723</v>
      </c>
      <c r="C244" s="3" t="s">
        <v>137</v>
      </c>
      <c r="D244" s="3" t="s">
        <v>90</v>
      </c>
      <c r="E244" s="3" t="s">
        <v>91</v>
      </c>
      <c r="F244" s="3" t="s">
        <v>92</v>
      </c>
      <c r="G244" s="3" t="s">
        <v>41</v>
      </c>
      <c r="H244" s="3" t="s">
        <v>42</v>
      </c>
      <c r="I244" s="3" t="s">
        <v>724</v>
      </c>
      <c r="J244" s="3" t="s">
        <v>106</v>
      </c>
      <c r="K244" s="3">
        <v>6</v>
      </c>
      <c r="L244" s="3">
        <v>46062.34</v>
      </c>
      <c r="M244" s="3">
        <v>276374.03999999998</v>
      </c>
      <c r="N244" s="3">
        <v>210842.72</v>
      </c>
      <c r="O244" s="3">
        <v>65531.32</v>
      </c>
      <c r="P244" s="3" t="s">
        <v>34</v>
      </c>
    </row>
    <row r="245" spans="1:16" x14ac:dyDescent="0.35">
      <c r="A245" s="3" t="s">
        <v>725</v>
      </c>
      <c r="B245" s="3" t="s">
        <v>575</v>
      </c>
      <c r="C245" s="3" t="s">
        <v>137</v>
      </c>
      <c r="D245" s="3" t="s">
        <v>58</v>
      </c>
      <c r="E245" s="3" t="s">
        <v>176</v>
      </c>
      <c r="F245" s="3" t="s">
        <v>177</v>
      </c>
      <c r="G245" s="3" t="s">
        <v>22</v>
      </c>
      <c r="H245" s="3" t="s">
        <v>83</v>
      </c>
      <c r="I245" s="3" t="s">
        <v>726</v>
      </c>
      <c r="J245" s="3" t="s">
        <v>154</v>
      </c>
      <c r="K245" s="3">
        <v>3</v>
      </c>
      <c r="L245" s="3">
        <v>22335.91</v>
      </c>
      <c r="M245" s="3">
        <v>67007.73</v>
      </c>
      <c r="N245" s="3">
        <v>48882.97</v>
      </c>
      <c r="O245" s="3">
        <v>18124.759999999998</v>
      </c>
      <c r="P245" s="3" t="s">
        <v>26</v>
      </c>
    </row>
    <row r="246" spans="1:16" x14ac:dyDescent="0.35">
      <c r="A246" s="3" t="s">
        <v>727</v>
      </c>
      <c r="B246" s="3" t="s">
        <v>728</v>
      </c>
      <c r="C246" s="3" t="s">
        <v>82</v>
      </c>
      <c r="D246" s="3" t="s">
        <v>19</v>
      </c>
      <c r="E246" s="3" t="s">
        <v>20</v>
      </c>
      <c r="F246" s="3" t="s">
        <v>21</v>
      </c>
      <c r="G246" s="3" t="s">
        <v>30</v>
      </c>
      <c r="H246" s="3" t="s">
        <v>67</v>
      </c>
      <c r="I246" s="3" t="s">
        <v>729</v>
      </c>
      <c r="J246" s="3" t="s">
        <v>131</v>
      </c>
      <c r="K246" s="3">
        <v>8</v>
      </c>
      <c r="L246" s="3">
        <v>10108.17</v>
      </c>
      <c r="M246" s="3">
        <v>80865.36</v>
      </c>
      <c r="N246" s="3">
        <v>61345.36</v>
      </c>
      <c r="O246" s="3">
        <v>19520</v>
      </c>
      <c r="P246" s="3" t="s">
        <v>86</v>
      </c>
    </row>
    <row r="247" spans="1:16" x14ac:dyDescent="0.35">
      <c r="A247" s="3" t="s">
        <v>730</v>
      </c>
      <c r="B247" s="3" t="s">
        <v>661</v>
      </c>
      <c r="C247" s="3" t="s">
        <v>114</v>
      </c>
      <c r="D247" s="3" t="s">
        <v>58</v>
      </c>
      <c r="E247" s="3" t="s">
        <v>176</v>
      </c>
      <c r="F247" s="3" t="s">
        <v>177</v>
      </c>
      <c r="G247" s="3" t="s">
        <v>41</v>
      </c>
      <c r="H247" s="3" t="s">
        <v>138</v>
      </c>
      <c r="I247" s="3" t="s">
        <v>731</v>
      </c>
      <c r="J247" s="3" t="s">
        <v>147</v>
      </c>
      <c r="K247" s="3">
        <v>4</v>
      </c>
      <c r="L247" s="3">
        <v>16912.41</v>
      </c>
      <c r="M247" s="3">
        <v>67649.64</v>
      </c>
      <c r="N247" s="3">
        <v>54213.09</v>
      </c>
      <c r="O247" s="3">
        <v>13436.55</v>
      </c>
      <c r="P247" s="3" t="s">
        <v>45</v>
      </c>
    </row>
    <row r="248" spans="1:16" x14ac:dyDescent="0.35">
      <c r="A248" s="3" t="s">
        <v>732</v>
      </c>
      <c r="B248" s="3" t="s">
        <v>733</v>
      </c>
      <c r="C248" s="3" t="s">
        <v>89</v>
      </c>
      <c r="D248" s="3" t="s">
        <v>58</v>
      </c>
      <c r="E248" s="3" t="s">
        <v>65</v>
      </c>
      <c r="F248" s="3" t="s">
        <v>66</v>
      </c>
      <c r="G248" s="3" t="s">
        <v>41</v>
      </c>
      <c r="H248" s="3" t="s">
        <v>42</v>
      </c>
      <c r="I248" s="3" t="s">
        <v>734</v>
      </c>
      <c r="J248" s="3" t="s">
        <v>217</v>
      </c>
      <c r="K248" s="3">
        <v>8</v>
      </c>
      <c r="L248" s="3">
        <v>48988.82</v>
      </c>
      <c r="M248" s="3">
        <v>391910.56</v>
      </c>
      <c r="N248" s="3">
        <v>293056.67</v>
      </c>
      <c r="O248" s="3">
        <v>98853.89</v>
      </c>
      <c r="P248" s="3" t="s">
        <v>34</v>
      </c>
    </row>
    <row r="249" spans="1:16" x14ac:dyDescent="0.35">
      <c r="A249" s="3" t="s">
        <v>735</v>
      </c>
      <c r="B249" s="3" t="s">
        <v>307</v>
      </c>
      <c r="C249" s="3" t="s">
        <v>103</v>
      </c>
      <c r="D249" s="3" t="s">
        <v>38</v>
      </c>
      <c r="E249" s="3" t="s">
        <v>104</v>
      </c>
      <c r="F249" s="3" t="s">
        <v>104</v>
      </c>
      <c r="G249" s="3" t="s">
        <v>22</v>
      </c>
      <c r="H249" s="3" t="s">
        <v>93</v>
      </c>
      <c r="I249" s="3" t="s">
        <v>736</v>
      </c>
      <c r="J249" s="3" t="s">
        <v>54</v>
      </c>
      <c r="K249" s="3">
        <v>2</v>
      </c>
      <c r="L249" s="3">
        <v>7315.63</v>
      </c>
      <c r="M249" s="3">
        <v>14631.26</v>
      </c>
      <c r="N249" s="3">
        <v>9818.2000000000007</v>
      </c>
      <c r="O249" s="3">
        <v>4813.0600000000004</v>
      </c>
      <c r="P249" s="3" t="s">
        <v>69</v>
      </c>
    </row>
    <row r="250" spans="1:16" x14ac:dyDescent="0.35">
      <c r="A250" s="3" t="s">
        <v>737</v>
      </c>
      <c r="B250" s="3" t="s">
        <v>738</v>
      </c>
      <c r="C250" s="3" t="s">
        <v>114</v>
      </c>
      <c r="D250" s="3" t="s">
        <v>19</v>
      </c>
      <c r="E250" s="3" t="s">
        <v>20</v>
      </c>
      <c r="F250" s="3" t="s">
        <v>21</v>
      </c>
      <c r="G250" s="3" t="s">
        <v>22</v>
      </c>
      <c r="H250" s="3" t="s">
        <v>23</v>
      </c>
      <c r="I250" s="3" t="s">
        <v>471</v>
      </c>
      <c r="J250" s="3" t="s">
        <v>25</v>
      </c>
      <c r="K250" s="3">
        <v>1</v>
      </c>
      <c r="L250" s="3">
        <v>3289.35</v>
      </c>
      <c r="M250" s="3">
        <v>3289.35</v>
      </c>
      <c r="N250" s="3">
        <v>2247.09</v>
      </c>
      <c r="O250" s="3">
        <v>1042.26</v>
      </c>
      <c r="P250" s="3" t="s">
        <v>45</v>
      </c>
    </row>
    <row r="251" spans="1:16" x14ac:dyDescent="0.35">
      <c r="A251" s="3" t="s">
        <v>739</v>
      </c>
      <c r="B251" s="3" t="s">
        <v>740</v>
      </c>
      <c r="C251" s="3" t="s">
        <v>29</v>
      </c>
      <c r="D251" s="3" t="s">
        <v>38</v>
      </c>
      <c r="E251" s="3" t="s">
        <v>109</v>
      </c>
      <c r="F251" s="3" t="s">
        <v>110</v>
      </c>
      <c r="G251" s="3" t="s">
        <v>30</v>
      </c>
      <c r="H251" s="3" t="s">
        <v>31</v>
      </c>
      <c r="I251" s="3" t="s">
        <v>741</v>
      </c>
      <c r="J251" s="3" t="s">
        <v>85</v>
      </c>
      <c r="K251" s="3">
        <v>7</v>
      </c>
      <c r="L251" s="3">
        <v>2666.1</v>
      </c>
      <c r="M251" s="3">
        <v>18662.7</v>
      </c>
      <c r="N251" s="3">
        <v>12971.71</v>
      </c>
      <c r="O251" s="3">
        <v>5690.99</v>
      </c>
      <c r="P251" s="3" t="s">
        <v>34</v>
      </c>
    </row>
    <row r="252" spans="1:16" x14ac:dyDescent="0.35">
      <c r="A252" s="3" t="s">
        <v>742</v>
      </c>
      <c r="B252" s="3" t="s">
        <v>743</v>
      </c>
      <c r="C252" s="3" t="s">
        <v>72</v>
      </c>
      <c r="D252" s="3" t="s">
        <v>58</v>
      </c>
      <c r="E252" s="3" t="s">
        <v>59</v>
      </c>
      <c r="F252" s="3" t="s">
        <v>60</v>
      </c>
      <c r="G252" s="3" t="s">
        <v>41</v>
      </c>
      <c r="H252" s="3" t="s">
        <v>42</v>
      </c>
      <c r="I252" s="3" t="s">
        <v>744</v>
      </c>
      <c r="J252" s="3" t="s">
        <v>54</v>
      </c>
      <c r="K252" s="3">
        <v>5</v>
      </c>
      <c r="L252" s="3">
        <v>46684.34</v>
      </c>
      <c r="M252" s="3">
        <v>233421.7</v>
      </c>
      <c r="N252" s="3">
        <v>173303.49</v>
      </c>
      <c r="O252" s="3">
        <v>60118.21</v>
      </c>
      <c r="P252" s="3" t="s">
        <v>26</v>
      </c>
    </row>
    <row r="253" spans="1:16" x14ac:dyDescent="0.35">
      <c r="A253" s="3" t="s">
        <v>745</v>
      </c>
      <c r="B253" s="3" t="s">
        <v>589</v>
      </c>
      <c r="C253" s="3" t="s">
        <v>137</v>
      </c>
      <c r="D253" s="3" t="s">
        <v>90</v>
      </c>
      <c r="E253" s="3" t="s">
        <v>91</v>
      </c>
      <c r="F253" s="3" t="s">
        <v>92</v>
      </c>
      <c r="G253" s="3" t="s">
        <v>51</v>
      </c>
      <c r="H253" s="3" t="s">
        <v>77</v>
      </c>
      <c r="I253" s="3" t="s">
        <v>746</v>
      </c>
      <c r="J253" s="3" t="s">
        <v>54</v>
      </c>
      <c r="K253" s="3">
        <v>3</v>
      </c>
      <c r="L253" s="3">
        <v>11802.23</v>
      </c>
      <c r="M253" s="3">
        <v>35406.69</v>
      </c>
      <c r="N253" s="3">
        <v>27342.63</v>
      </c>
      <c r="O253" s="3">
        <v>8064.06</v>
      </c>
      <c r="P253" s="3" t="s">
        <v>69</v>
      </c>
    </row>
    <row r="254" spans="1:16" x14ac:dyDescent="0.35">
      <c r="A254" s="3" t="s">
        <v>747</v>
      </c>
      <c r="B254" s="3" t="s">
        <v>575</v>
      </c>
      <c r="C254" s="3" t="s">
        <v>137</v>
      </c>
      <c r="D254" s="3" t="s">
        <v>19</v>
      </c>
      <c r="E254" s="3" t="s">
        <v>199</v>
      </c>
      <c r="F254" s="3" t="s">
        <v>200</v>
      </c>
      <c r="G254" s="3" t="s">
        <v>22</v>
      </c>
      <c r="H254" s="3" t="s">
        <v>83</v>
      </c>
      <c r="I254" s="3" t="s">
        <v>748</v>
      </c>
      <c r="J254" s="3" t="s">
        <v>171</v>
      </c>
      <c r="K254" s="3">
        <v>1</v>
      </c>
      <c r="L254" s="3">
        <v>23759.02</v>
      </c>
      <c r="M254" s="3">
        <v>23759.02</v>
      </c>
      <c r="N254" s="3">
        <v>16470.45</v>
      </c>
      <c r="O254" s="3">
        <v>7288.57</v>
      </c>
      <c r="P254" s="3" t="s">
        <v>86</v>
      </c>
    </row>
    <row r="255" spans="1:16" x14ac:dyDescent="0.35">
      <c r="A255" s="3" t="s">
        <v>749</v>
      </c>
      <c r="B255" s="3" t="s">
        <v>499</v>
      </c>
      <c r="C255" s="3" t="s">
        <v>103</v>
      </c>
      <c r="D255" s="3" t="s">
        <v>58</v>
      </c>
      <c r="E255" s="3" t="s">
        <v>176</v>
      </c>
      <c r="F255" s="3" t="s">
        <v>177</v>
      </c>
      <c r="G255" s="3" t="s">
        <v>41</v>
      </c>
      <c r="H255" s="3" t="s">
        <v>138</v>
      </c>
      <c r="I255" s="3" t="s">
        <v>750</v>
      </c>
      <c r="J255" s="3" t="s">
        <v>188</v>
      </c>
      <c r="K255" s="3">
        <v>4</v>
      </c>
      <c r="L255" s="3">
        <v>19022.89</v>
      </c>
      <c r="M255" s="3">
        <v>76091.56</v>
      </c>
      <c r="N255" s="3">
        <v>57321.599999999999</v>
      </c>
      <c r="O255" s="3">
        <v>18769.96</v>
      </c>
      <c r="P255" s="3" t="s">
        <v>34</v>
      </c>
    </row>
    <row r="256" spans="1:16" x14ac:dyDescent="0.35">
      <c r="A256" s="3" t="s">
        <v>751</v>
      </c>
      <c r="B256" s="3" t="s">
        <v>752</v>
      </c>
      <c r="C256" s="3" t="s">
        <v>29</v>
      </c>
      <c r="D256" s="3" t="s">
        <v>19</v>
      </c>
      <c r="E256" s="3" t="s">
        <v>199</v>
      </c>
      <c r="F256" s="3" t="s">
        <v>200</v>
      </c>
      <c r="G256" s="3" t="s">
        <v>22</v>
      </c>
      <c r="H256" s="3" t="s">
        <v>23</v>
      </c>
      <c r="I256" s="3" t="s">
        <v>753</v>
      </c>
      <c r="J256" s="3" t="s">
        <v>147</v>
      </c>
      <c r="K256" s="3">
        <v>4</v>
      </c>
      <c r="L256" s="3">
        <v>3517.27</v>
      </c>
      <c r="M256" s="3">
        <v>14069.08</v>
      </c>
      <c r="N256" s="3">
        <v>8529.7199999999993</v>
      </c>
      <c r="O256" s="3">
        <v>5539.36</v>
      </c>
      <c r="P256" s="3" t="s">
        <v>34</v>
      </c>
    </row>
    <row r="257" spans="1:16" x14ac:dyDescent="0.35">
      <c r="A257" s="3" t="s">
        <v>754</v>
      </c>
      <c r="B257" s="3" t="s">
        <v>685</v>
      </c>
      <c r="C257" s="3" t="s">
        <v>137</v>
      </c>
      <c r="D257" s="3" t="s">
        <v>90</v>
      </c>
      <c r="E257" s="3" t="s">
        <v>119</v>
      </c>
      <c r="F257" s="3" t="s">
        <v>120</v>
      </c>
      <c r="G257" s="3" t="s">
        <v>51</v>
      </c>
      <c r="H257" s="3" t="s">
        <v>77</v>
      </c>
      <c r="I257" s="3" t="s">
        <v>755</v>
      </c>
      <c r="J257" s="3" t="s">
        <v>106</v>
      </c>
      <c r="K257" s="3">
        <v>8</v>
      </c>
      <c r="L257" s="3">
        <v>12761.19</v>
      </c>
      <c r="M257" s="3">
        <v>102089.52</v>
      </c>
      <c r="N257" s="3">
        <v>73034.02</v>
      </c>
      <c r="O257" s="3">
        <v>29055.5</v>
      </c>
      <c r="P257" s="3" t="s">
        <v>45</v>
      </c>
    </row>
    <row r="258" spans="1:16" x14ac:dyDescent="0.35">
      <c r="A258" s="3" t="s">
        <v>756</v>
      </c>
      <c r="B258" s="3" t="s">
        <v>757</v>
      </c>
      <c r="C258" s="3" t="s">
        <v>137</v>
      </c>
      <c r="D258" s="3" t="s">
        <v>90</v>
      </c>
      <c r="E258" s="3" t="s">
        <v>91</v>
      </c>
      <c r="F258" s="3" t="s">
        <v>92</v>
      </c>
      <c r="G258" s="3" t="s">
        <v>41</v>
      </c>
      <c r="H258" s="3" t="s">
        <v>61</v>
      </c>
      <c r="I258" s="3" t="s">
        <v>758</v>
      </c>
      <c r="J258" s="3" t="s">
        <v>171</v>
      </c>
      <c r="K258" s="3">
        <v>3</v>
      </c>
      <c r="L258" s="3">
        <v>2474.35</v>
      </c>
      <c r="M258" s="3">
        <v>7423.05</v>
      </c>
      <c r="N258" s="3">
        <v>4927.3100000000004</v>
      </c>
      <c r="O258" s="3">
        <v>2495.7399999999998</v>
      </c>
      <c r="P258" s="3" t="s">
        <v>86</v>
      </c>
    </row>
    <row r="259" spans="1:16" x14ac:dyDescent="0.35">
      <c r="A259" s="3" t="s">
        <v>759</v>
      </c>
      <c r="B259" s="3" t="s">
        <v>760</v>
      </c>
      <c r="C259" s="3" t="s">
        <v>114</v>
      </c>
      <c r="D259" s="3" t="s">
        <v>90</v>
      </c>
      <c r="E259" s="3" t="s">
        <v>119</v>
      </c>
      <c r="F259" s="3" t="s">
        <v>120</v>
      </c>
      <c r="G259" s="3" t="s">
        <v>51</v>
      </c>
      <c r="H259" s="3" t="s">
        <v>52</v>
      </c>
      <c r="I259" s="3" t="s">
        <v>614</v>
      </c>
      <c r="J259" s="3" t="s">
        <v>54</v>
      </c>
      <c r="K259" s="3">
        <v>2</v>
      </c>
      <c r="L259" s="3">
        <v>25.99</v>
      </c>
      <c r="M259" s="3">
        <v>51.98</v>
      </c>
      <c r="N259" s="3">
        <v>19.91</v>
      </c>
      <c r="O259" s="3">
        <v>32.07</v>
      </c>
      <c r="P259" s="3" t="s">
        <v>69</v>
      </c>
    </row>
    <row r="260" spans="1:16" x14ac:dyDescent="0.35">
      <c r="A260" s="3" t="s">
        <v>761</v>
      </c>
      <c r="B260" s="3" t="s">
        <v>762</v>
      </c>
      <c r="C260" s="3" t="s">
        <v>137</v>
      </c>
      <c r="D260" s="3" t="s">
        <v>58</v>
      </c>
      <c r="E260" s="3" t="s">
        <v>65</v>
      </c>
      <c r="F260" s="3" t="s">
        <v>66</v>
      </c>
      <c r="G260" s="3" t="s">
        <v>30</v>
      </c>
      <c r="H260" s="3" t="s">
        <v>73</v>
      </c>
      <c r="I260" s="3" t="s">
        <v>763</v>
      </c>
      <c r="J260" s="3" t="s">
        <v>85</v>
      </c>
      <c r="K260" s="3">
        <v>2</v>
      </c>
      <c r="L260" s="3">
        <v>2979.88</v>
      </c>
      <c r="M260" s="3">
        <v>5959.76</v>
      </c>
      <c r="N260" s="3">
        <v>4597.79</v>
      </c>
      <c r="O260" s="3">
        <v>1361.97</v>
      </c>
      <c r="P260" s="3" t="s">
        <v>69</v>
      </c>
    </row>
    <row r="261" spans="1:16" x14ac:dyDescent="0.35">
      <c r="A261" s="3" t="s">
        <v>764</v>
      </c>
      <c r="B261" s="3" t="s">
        <v>765</v>
      </c>
      <c r="C261" s="3" t="s">
        <v>57</v>
      </c>
      <c r="D261" s="3" t="s">
        <v>90</v>
      </c>
      <c r="E261" s="3" t="s">
        <v>119</v>
      </c>
      <c r="F261" s="3" t="s">
        <v>120</v>
      </c>
      <c r="G261" s="3" t="s">
        <v>41</v>
      </c>
      <c r="H261" s="3" t="s">
        <v>138</v>
      </c>
      <c r="I261" s="3" t="s">
        <v>726</v>
      </c>
      <c r="J261" s="3" t="s">
        <v>154</v>
      </c>
      <c r="K261" s="3">
        <v>7</v>
      </c>
      <c r="L261" s="3">
        <v>17142.72</v>
      </c>
      <c r="M261" s="3">
        <v>119999.03999999999</v>
      </c>
      <c r="N261" s="3">
        <v>93552.99</v>
      </c>
      <c r="O261" s="3">
        <v>26446.05</v>
      </c>
      <c r="P261" s="3" t="s">
        <v>69</v>
      </c>
    </row>
    <row r="262" spans="1:16" x14ac:dyDescent="0.35">
      <c r="A262" s="3" t="s">
        <v>766</v>
      </c>
      <c r="B262" s="3" t="s">
        <v>767</v>
      </c>
      <c r="C262" s="3" t="s">
        <v>82</v>
      </c>
      <c r="D262" s="3" t="s">
        <v>90</v>
      </c>
      <c r="E262" s="3" t="s">
        <v>91</v>
      </c>
      <c r="F262" s="3" t="s">
        <v>92</v>
      </c>
      <c r="G262" s="3" t="s">
        <v>41</v>
      </c>
      <c r="H262" s="3" t="s">
        <v>138</v>
      </c>
      <c r="I262" s="3" t="s">
        <v>768</v>
      </c>
      <c r="J262" s="3" t="s">
        <v>171</v>
      </c>
      <c r="K262" s="3">
        <v>5</v>
      </c>
      <c r="L262" s="3">
        <v>16299.94</v>
      </c>
      <c r="M262" s="3">
        <v>81499.7</v>
      </c>
      <c r="N262" s="3">
        <v>66638.179999999993</v>
      </c>
      <c r="O262" s="3">
        <v>14861.52</v>
      </c>
      <c r="P262" s="3" t="s">
        <v>26</v>
      </c>
    </row>
    <row r="263" spans="1:16" x14ac:dyDescent="0.35">
      <c r="A263" s="3" t="s">
        <v>769</v>
      </c>
      <c r="B263" s="3" t="s">
        <v>770</v>
      </c>
      <c r="C263" s="3" t="s">
        <v>72</v>
      </c>
      <c r="D263" s="3" t="s">
        <v>38</v>
      </c>
      <c r="E263" s="3" t="s">
        <v>109</v>
      </c>
      <c r="F263" s="3" t="s">
        <v>110</v>
      </c>
      <c r="G263" s="3" t="s">
        <v>22</v>
      </c>
      <c r="H263" s="3" t="s">
        <v>23</v>
      </c>
      <c r="I263" s="3" t="s">
        <v>771</v>
      </c>
      <c r="J263" s="3" t="s">
        <v>161</v>
      </c>
      <c r="K263" s="3">
        <v>5</v>
      </c>
      <c r="L263" s="3">
        <v>3625.6</v>
      </c>
      <c r="M263" s="3">
        <v>18128</v>
      </c>
      <c r="N263" s="3">
        <v>11199.05</v>
      </c>
      <c r="O263" s="3">
        <v>6928.95</v>
      </c>
      <c r="P263" s="3" t="s">
        <v>26</v>
      </c>
    </row>
    <row r="264" spans="1:16" x14ac:dyDescent="0.35">
      <c r="A264" s="3" t="s">
        <v>772</v>
      </c>
      <c r="B264" s="3" t="s">
        <v>123</v>
      </c>
      <c r="C264" s="3" t="s">
        <v>18</v>
      </c>
      <c r="D264" s="3" t="s">
        <v>90</v>
      </c>
      <c r="E264" s="3" t="s">
        <v>91</v>
      </c>
      <c r="F264" s="3" t="s">
        <v>92</v>
      </c>
      <c r="G264" s="3" t="s">
        <v>22</v>
      </c>
      <c r="H264" s="3" t="s">
        <v>93</v>
      </c>
      <c r="I264" s="3" t="s">
        <v>447</v>
      </c>
      <c r="J264" s="3" t="s">
        <v>147</v>
      </c>
      <c r="K264" s="3">
        <v>1</v>
      </c>
      <c r="L264" s="3">
        <v>7261.53</v>
      </c>
      <c r="M264" s="3">
        <v>7261.53</v>
      </c>
      <c r="N264" s="3">
        <v>5052.04</v>
      </c>
      <c r="O264" s="3">
        <v>2209.4899999999998</v>
      </c>
      <c r="P264" s="3" t="s">
        <v>45</v>
      </c>
    </row>
    <row r="265" spans="1:16" x14ac:dyDescent="0.35">
      <c r="A265" s="3" t="s">
        <v>773</v>
      </c>
      <c r="B265" s="3" t="s">
        <v>774</v>
      </c>
      <c r="C265" s="3" t="s">
        <v>82</v>
      </c>
      <c r="D265" s="3" t="s">
        <v>38</v>
      </c>
      <c r="E265" s="3" t="s">
        <v>104</v>
      </c>
      <c r="F265" s="3" t="s">
        <v>104</v>
      </c>
      <c r="G265" s="3" t="s">
        <v>22</v>
      </c>
      <c r="H265" s="3" t="s">
        <v>93</v>
      </c>
      <c r="I265" s="3" t="s">
        <v>775</v>
      </c>
      <c r="J265" s="3" t="s">
        <v>188</v>
      </c>
      <c r="K265" s="3">
        <v>1</v>
      </c>
      <c r="L265" s="3">
        <v>6894.08</v>
      </c>
      <c r="M265" s="3">
        <v>6894.08</v>
      </c>
      <c r="N265" s="3">
        <v>5238.46</v>
      </c>
      <c r="O265" s="3">
        <v>1655.62</v>
      </c>
      <c r="P265" s="3" t="s">
        <v>69</v>
      </c>
    </row>
    <row r="266" spans="1:16" x14ac:dyDescent="0.35">
      <c r="A266" s="3" t="s">
        <v>776</v>
      </c>
      <c r="B266" s="3" t="s">
        <v>777</v>
      </c>
      <c r="C266" s="3" t="s">
        <v>72</v>
      </c>
      <c r="D266" s="3" t="s">
        <v>19</v>
      </c>
      <c r="E266" s="3" t="s">
        <v>49</v>
      </c>
      <c r="F266" s="3" t="s">
        <v>50</v>
      </c>
      <c r="G266" s="3" t="s">
        <v>41</v>
      </c>
      <c r="H266" s="3" t="s">
        <v>61</v>
      </c>
      <c r="I266" s="3" t="s">
        <v>731</v>
      </c>
      <c r="J266" s="3" t="s">
        <v>147</v>
      </c>
      <c r="K266" s="3">
        <v>2</v>
      </c>
      <c r="L266" s="3">
        <v>2610.0500000000002</v>
      </c>
      <c r="M266" s="3">
        <v>5220.1000000000004</v>
      </c>
      <c r="N266" s="3">
        <v>3253.51</v>
      </c>
      <c r="O266" s="3">
        <v>1966.59</v>
      </c>
      <c r="P266" s="3" t="s">
        <v>69</v>
      </c>
    </row>
    <row r="267" spans="1:16" x14ac:dyDescent="0.35">
      <c r="A267" s="3" t="s">
        <v>778</v>
      </c>
      <c r="B267" s="3" t="s">
        <v>779</v>
      </c>
      <c r="C267" s="3" t="s">
        <v>114</v>
      </c>
      <c r="D267" s="3" t="s">
        <v>38</v>
      </c>
      <c r="E267" s="3" t="s">
        <v>109</v>
      </c>
      <c r="F267" s="3" t="s">
        <v>110</v>
      </c>
      <c r="G267" s="3" t="s">
        <v>41</v>
      </c>
      <c r="H267" s="3" t="s">
        <v>42</v>
      </c>
      <c r="I267" s="3" t="s">
        <v>780</v>
      </c>
      <c r="J267" s="3" t="s">
        <v>154</v>
      </c>
      <c r="K267" s="3">
        <v>4</v>
      </c>
      <c r="L267" s="3">
        <v>40933.21</v>
      </c>
      <c r="M267" s="3">
        <v>163732.84</v>
      </c>
      <c r="N267" s="3">
        <v>144256.54</v>
      </c>
      <c r="O267" s="3">
        <v>19476.3</v>
      </c>
      <c r="P267" s="3" t="s">
        <v>69</v>
      </c>
    </row>
    <row r="268" spans="1:16" x14ac:dyDescent="0.35">
      <c r="A268" s="3" t="s">
        <v>781</v>
      </c>
      <c r="B268" s="3" t="s">
        <v>782</v>
      </c>
      <c r="C268" s="3" t="s">
        <v>114</v>
      </c>
      <c r="D268" s="3" t="s">
        <v>58</v>
      </c>
      <c r="E268" s="3" t="s">
        <v>65</v>
      </c>
      <c r="F268" s="3" t="s">
        <v>66</v>
      </c>
      <c r="G268" s="3" t="s">
        <v>41</v>
      </c>
      <c r="H268" s="3" t="s">
        <v>138</v>
      </c>
      <c r="I268" s="3" t="s">
        <v>783</v>
      </c>
      <c r="J268" s="3" t="s">
        <v>188</v>
      </c>
      <c r="K268" s="3">
        <v>2</v>
      </c>
      <c r="L268" s="3">
        <v>19398.599999999999</v>
      </c>
      <c r="M268" s="3">
        <v>38797.199999999997</v>
      </c>
      <c r="N268" s="3">
        <v>28678.1</v>
      </c>
      <c r="O268" s="3">
        <v>10119.1</v>
      </c>
      <c r="P268" s="3" t="s">
        <v>34</v>
      </c>
    </row>
    <row r="269" spans="1:16" x14ac:dyDescent="0.35">
      <c r="A269" s="3" t="s">
        <v>784</v>
      </c>
      <c r="B269" s="3" t="s">
        <v>305</v>
      </c>
      <c r="C269" s="3" t="s">
        <v>18</v>
      </c>
      <c r="D269" s="3" t="s">
        <v>58</v>
      </c>
      <c r="E269" s="3" t="s">
        <v>65</v>
      </c>
      <c r="F269" s="3" t="s">
        <v>66</v>
      </c>
      <c r="G269" s="3" t="s">
        <v>22</v>
      </c>
      <c r="H269" s="3" t="s">
        <v>93</v>
      </c>
      <c r="I269" s="3" t="s">
        <v>785</v>
      </c>
      <c r="J269" s="3" t="s">
        <v>147</v>
      </c>
      <c r="K269" s="3">
        <v>3</v>
      </c>
      <c r="L269" s="3">
        <v>7514.27</v>
      </c>
      <c r="M269" s="3">
        <v>22542.81</v>
      </c>
      <c r="N269" s="3">
        <v>15608.1</v>
      </c>
      <c r="O269" s="3">
        <v>6934.71</v>
      </c>
      <c r="P269" s="3" t="s">
        <v>86</v>
      </c>
    </row>
    <row r="270" spans="1:16" x14ac:dyDescent="0.35">
      <c r="A270" s="3" t="s">
        <v>786</v>
      </c>
      <c r="B270" s="3" t="s">
        <v>787</v>
      </c>
      <c r="C270" s="3" t="s">
        <v>37</v>
      </c>
      <c r="D270" s="3" t="s">
        <v>58</v>
      </c>
      <c r="E270" s="3" t="s">
        <v>65</v>
      </c>
      <c r="F270" s="3" t="s">
        <v>66</v>
      </c>
      <c r="G270" s="3" t="s">
        <v>41</v>
      </c>
      <c r="H270" s="3" t="s">
        <v>138</v>
      </c>
      <c r="I270" s="3" t="s">
        <v>788</v>
      </c>
      <c r="J270" s="3" t="s">
        <v>188</v>
      </c>
      <c r="K270" s="3">
        <v>1</v>
      </c>
      <c r="L270" s="3">
        <v>19426.259999999998</v>
      </c>
      <c r="M270" s="3">
        <v>19426.259999999998</v>
      </c>
      <c r="N270" s="3">
        <v>13369.16</v>
      </c>
      <c r="O270" s="3">
        <v>6057.1</v>
      </c>
      <c r="P270" s="3" t="s">
        <v>69</v>
      </c>
    </row>
    <row r="271" spans="1:16" x14ac:dyDescent="0.35">
      <c r="A271" s="3" t="s">
        <v>789</v>
      </c>
      <c r="B271" s="3" t="s">
        <v>282</v>
      </c>
      <c r="C271" s="3" t="s">
        <v>114</v>
      </c>
      <c r="D271" s="3" t="s">
        <v>19</v>
      </c>
      <c r="E271" s="3" t="s">
        <v>20</v>
      </c>
      <c r="F271" s="3" t="s">
        <v>21</v>
      </c>
      <c r="G271" s="3" t="s">
        <v>51</v>
      </c>
      <c r="H271" s="3" t="s">
        <v>145</v>
      </c>
      <c r="I271" s="3" t="s">
        <v>790</v>
      </c>
      <c r="J271" s="3" t="s">
        <v>85</v>
      </c>
      <c r="K271" s="3">
        <v>4</v>
      </c>
      <c r="L271" s="3">
        <v>123.75</v>
      </c>
      <c r="M271" s="3">
        <v>495</v>
      </c>
      <c r="N271" s="3">
        <v>230.35</v>
      </c>
      <c r="O271" s="3">
        <v>264.64999999999998</v>
      </c>
      <c r="P271" s="3" t="s">
        <v>26</v>
      </c>
    </row>
    <row r="272" spans="1:16" x14ac:dyDescent="0.35">
      <c r="A272" s="3" t="s">
        <v>791</v>
      </c>
      <c r="B272" s="3" t="s">
        <v>792</v>
      </c>
      <c r="C272" s="3" t="s">
        <v>72</v>
      </c>
      <c r="D272" s="3" t="s">
        <v>90</v>
      </c>
      <c r="E272" s="3" t="s">
        <v>91</v>
      </c>
      <c r="F272" s="3" t="s">
        <v>92</v>
      </c>
      <c r="G272" s="3" t="s">
        <v>41</v>
      </c>
      <c r="H272" s="3" t="s">
        <v>61</v>
      </c>
      <c r="I272" s="3" t="s">
        <v>793</v>
      </c>
      <c r="J272" s="3" t="s">
        <v>25</v>
      </c>
      <c r="K272" s="3">
        <v>6</v>
      </c>
      <c r="L272" s="3">
        <v>2552.4499999999998</v>
      </c>
      <c r="M272" s="3">
        <v>15314.7</v>
      </c>
      <c r="N272" s="3">
        <v>9658.41</v>
      </c>
      <c r="O272" s="3">
        <v>5656.29</v>
      </c>
      <c r="P272" s="3" t="s">
        <v>69</v>
      </c>
    </row>
    <row r="273" spans="1:16" x14ac:dyDescent="0.35">
      <c r="A273" s="3" t="s">
        <v>794</v>
      </c>
      <c r="B273" s="3" t="s">
        <v>795</v>
      </c>
      <c r="C273" s="3" t="s">
        <v>82</v>
      </c>
      <c r="D273" s="3" t="s">
        <v>90</v>
      </c>
      <c r="E273" s="3" t="s">
        <v>91</v>
      </c>
      <c r="F273" s="3" t="s">
        <v>92</v>
      </c>
      <c r="G273" s="3" t="s">
        <v>41</v>
      </c>
      <c r="H273" s="3" t="s">
        <v>61</v>
      </c>
      <c r="I273" s="3" t="s">
        <v>441</v>
      </c>
      <c r="J273" s="3" t="s">
        <v>154</v>
      </c>
      <c r="K273" s="3">
        <v>8</v>
      </c>
      <c r="L273" s="3">
        <v>2405.25</v>
      </c>
      <c r="M273" s="3">
        <v>19242</v>
      </c>
      <c r="N273" s="3">
        <v>12674.2</v>
      </c>
      <c r="O273" s="3">
        <v>6567.8</v>
      </c>
      <c r="P273" s="3" t="s">
        <v>69</v>
      </c>
    </row>
    <row r="274" spans="1:16" x14ac:dyDescent="0.35">
      <c r="A274" s="3" t="s">
        <v>796</v>
      </c>
      <c r="B274" s="3" t="s">
        <v>782</v>
      </c>
      <c r="C274" s="3" t="s">
        <v>114</v>
      </c>
      <c r="D274" s="3" t="s">
        <v>19</v>
      </c>
      <c r="E274" s="3" t="s">
        <v>49</v>
      </c>
      <c r="F274" s="3" t="s">
        <v>50</v>
      </c>
      <c r="G274" s="3" t="s">
        <v>30</v>
      </c>
      <c r="H274" s="3" t="s">
        <v>31</v>
      </c>
      <c r="I274" s="3" t="s">
        <v>431</v>
      </c>
      <c r="J274" s="3" t="s">
        <v>85</v>
      </c>
      <c r="K274" s="3">
        <v>6</v>
      </c>
      <c r="L274" s="3">
        <v>2770.92</v>
      </c>
      <c r="M274" s="3">
        <v>16625.52</v>
      </c>
      <c r="N274" s="3">
        <v>11361.06</v>
      </c>
      <c r="O274" s="3">
        <v>5264.46</v>
      </c>
      <c r="P274" s="3" t="s">
        <v>45</v>
      </c>
    </row>
    <row r="275" spans="1:16" x14ac:dyDescent="0.35">
      <c r="A275" s="3" t="s">
        <v>797</v>
      </c>
      <c r="B275" s="3" t="s">
        <v>798</v>
      </c>
      <c r="C275" s="3" t="s">
        <v>18</v>
      </c>
      <c r="D275" s="3" t="s">
        <v>58</v>
      </c>
      <c r="E275" s="3" t="s">
        <v>176</v>
      </c>
      <c r="F275" s="3" t="s">
        <v>177</v>
      </c>
      <c r="G275" s="3" t="s">
        <v>22</v>
      </c>
      <c r="H275" s="3" t="s">
        <v>93</v>
      </c>
      <c r="I275" s="3" t="s">
        <v>563</v>
      </c>
      <c r="J275" s="3" t="s">
        <v>147</v>
      </c>
      <c r="K275" s="3">
        <v>6</v>
      </c>
      <c r="L275" s="3">
        <v>6931.71</v>
      </c>
      <c r="M275" s="3">
        <v>41590.26</v>
      </c>
      <c r="N275" s="3">
        <v>31145.94</v>
      </c>
      <c r="O275" s="3">
        <v>10444.32</v>
      </c>
      <c r="P275" s="3" t="s">
        <v>45</v>
      </c>
    </row>
    <row r="276" spans="1:16" x14ac:dyDescent="0.35">
      <c r="A276" s="3" t="s">
        <v>799</v>
      </c>
      <c r="B276" s="3" t="s">
        <v>696</v>
      </c>
      <c r="C276" s="3" t="s">
        <v>82</v>
      </c>
      <c r="D276" s="3" t="s">
        <v>38</v>
      </c>
      <c r="E276" s="3" t="s">
        <v>104</v>
      </c>
      <c r="F276" s="3" t="s">
        <v>104</v>
      </c>
      <c r="G276" s="3" t="s">
        <v>41</v>
      </c>
      <c r="H276" s="3" t="s">
        <v>138</v>
      </c>
      <c r="I276" s="3" t="s">
        <v>800</v>
      </c>
      <c r="J276" s="3" t="s">
        <v>161</v>
      </c>
      <c r="K276" s="3">
        <v>1</v>
      </c>
      <c r="L276" s="3">
        <v>16383.73</v>
      </c>
      <c r="M276" s="3">
        <v>16383.73</v>
      </c>
      <c r="N276" s="3">
        <v>13461.66</v>
      </c>
      <c r="O276" s="3">
        <v>2922.07</v>
      </c>
      <c r="P276" s="3" t="s">
        <v>86</v>
      </c>
    </row>
    <row r="277" spans="1:16" x14ac:dyDescent="0.35">
      <c r="A277" s="3" t="s">
        <v>801</v>
      </c>
      <c r="B277" s="3" t="s">
        <v>802</v>
      </c>
      <c r="C277" s="3" t="s">
        <v>118</v>
      </c>
      <c r="D277" s="3" t="s">
        <v>19</v>
      </c>
      <c r="E277" s="3" t="s">
        <v>49</v>
      </c>
      <c r="F277" s="3" t="s">
        <v>50</v>
      </c>
      <c r="G277" s="3" t="s">
        <v>51</v>
      </c>
      <c r="H277" s="3" t="s">
        <v>77</v>
      </c>
      <c r="I277" s="3" t="s">
        <v>803</v>
      </c>
      <c r="J277" s="3" t="s">
        <v>85</v>
      </c>
      <c r="K277" s="3">
        <v>3</v>
      </c>
      <c r="L277" s="3">
        <v>13198.54</v>
      </c>
      <c r="M277" s="3">
        <v>39595.620000000003</v>
      </c>
      <c r="N277" s="3">
        <v>26559.37</v>
      </c>
      <c r="O277" s="3">
        <v>13036.25</v>
      </c>
      <c r="P277" s="3" t="s">
        <v>34</v>
      </c>
    </row>
    <row r="278" spans="1:16" x14ac:dyDescent="0.35">
      <c r="A278" s="3" t="s">
        <v>804</v>
      </c>
      <c r="B278" s="3" t="s">
        <v>570</v>
      </c>
      <c r="C278" s="3" t="s">
        <v>18</v>
      </c>
      <c r="D278" s="3" t="s">
        <v>58</v>
      </c>
      <c r="E278" s="3" t="s">
        <v>65</v>
      </c>
      <c r="F278" s="3" t="s">
        <v>66</v>
      </c>
      <c r="G278" s="3" t="s">
        <v>51</v>
      </c>
      <c r="H278" s="3" t="s">
        <v>77</v>
      </c>
      <c r="I278" s="3" t="s">
        <v>805</v>
      </c>
      <c r="J278" s="3" t="s">
        <v>33</v>
      </c>
      <c r="K278" s="3">
        <v>8</v>
      </c>
      <c r="L278" s="3">
        <v>13159.51</v>
      </c>
      <c r="M278" s="3">
        <v>105276.08</v>
      </c>
      <c r="N278" s="3">
        <v>74700.800000000003</v>
      </c>
      <c r="O278" s="3">
        <v>30575.279999999999</v>
      </c>
      <c r="P278" s="3" t="s">
        <v>86</v>
      </c>
    </row>
    <row r="279" spans="1:16" x14ac:dyDescent="0.35">
      <c r="A279" s="3" t="s">
        <v>806</v>
      </c>
      <c r="B279" s="3" t="s">
        <v>807</v>
      </c>
      <c r="C279" s="3" t="s">
        <v>72</v>
      </c>
      <c r="D279" s="3" t="s">
        <v>38</v>
      </c>
      <c r="E279" s="3" t="s">
        <v>109</v>
      </c>
      <c r="F279" s="3" t="s">
        <v>110</v>
      </c>
      <c r="G279" s="3" t="s">
        <v>30</v>
      </c>
      <c r="H279" s="3" t="s">
        <v>31</v>
      </c>
      <c r="I279" s="3" t="s">
        <v>808</v>
      </c>
      <c r="J279" s="3" t="s">
        <v>25</v>
      </c>
      <c r="K279" s="3">
        <v>3</v>
      </c>
      <c r="L279" s="3">
        <v>2813.86</v>
      </c>
      <c r="M279" s="3">
        <v>8441.58</v>
      </c>
      <c r="N279" s="3">
        <v>5882.4</v>
      </c>
      <c r="O279" s="3">
        <v>2559.1799999999998</v>
      </c>
      <c r="P279" s="3" t="s">
        <v>45</v>
      </c>
    </row>
    <row r="280" spans="1:16" x14ac:dyDescent="0.35">
      <c r="A280" s="3" t="s">
        <v>809</v>
      </c>
      <c r="B280" s="3" t="s">
        <v>589</v>
      </c>
      <c r="C280" s="3" t="s">
        <v>137</v>
      </c>
      <c r="D280" s="3" t="s">
        <v>58</v>
      </c>
      <c r="E280" s="3" t="s">
        <v>59</v>
      </c>
      <c r="F280" s="3" t="s">
        <v>60</v>
      </c>
      <c r="G280" s="3" t="s">
        <v>41</v>
      </c>
      <c r="H280" s="3" t="s">
        <v>61</v>
      </c>
      <c r="I280" s="3" t="s">
        <v>810</v>
      </c>
      <c r="J280" s="3" t="s">
        <v>79</v>
      </c>
      <c r="K280" s="3">
        <v>7</v>
      </c>
      <c r="L280" s="3">
        <v>2265.0300000000002</v>
      </c>
      <c r="M280" s="3">
        <v>15855.21</v>
      </c>
      <c r="N280" s="3">
        <v>11184.21</v>
      </c>
      <c r="O280" s="3">
        <v>4671</v>
      </c>
      <c r="P280" s="3" t="s">
        <v>69</v>
      </c>
    </row>
    <row r="281" spans="1:16" x14ac:dyDescent="0.35">
      <c r="A281" s="3" t="s">
        <v>811</v>
      </c>
      <c r="B281" s="3" t="s">
        <v>770</v>
      </c>
      <c r="C281" s="3" t="s">
        <v>72</v>
      </c>
      <c r="D281" s="3" t="s">
        <v>90</v>
      </c>
      <c r="E281" s="3" t="s">
        <v>97</v>
      </c>
      <c r="F281" s="3" t="s">
        <v>98</v>
      </c>
      <c r="G281" s="3" t="s">
        <v>22</v>
      </c>
      <c r="H281" s="3" t="s">
        <v>83</v>
      </c>
      <c r="I281" s="3" t="s">
        <v>812</v>
      </c>
      <c r="J281" s="3" t="s">
        <v>54</v>
      </c>
      <c r="K281" s="3">
        <v>4</v>
      </c>
      <c r="L281" s="3">
        <v>21537.34</v>
      </c>
      <c r="M281" s="3">
        <v>86149.36</v>
      </c>
      <c r="N281" s="3">
        <v>67919.27</v>
      </c>
      <c r="O281" s="3">
        <v>18230.09</v>
      </c>
      <c r="P281" s="3" t="s">
        <v>34</v>
      </c>
    </row>
    <row r="282" spans="1:16" x14ac:dyDescent="0.35">
      <c r="A282" s="3" t="s">
        <v>813</v>
      </c>
      <c r="B282" s="3" t="s">
        <v>814</v>
      </c>
      <c r="C282" s="3" t="s">
        <v>103</v>
      </c>
      <c r="D282" s="3" t="s">
        <v>19</v>
      </c>
      <c r="E282" s="3" t="s">
        <v>20</v>
      </c>
      <c r="F282" s="3" t="s">
        <v>21</v>
      </c>
      <c r="G282" s="3" t="s">
        <v>22</v>
      </c>
      <c r="H282" s="3" t="s">
        <v>83</v>
      </c>
      <c r="I282" s="3" t="s">
        <v>706</v>
      </c>
      <c r="J282" s="3" t="s">
        <v>25</v>
      </c>
      <c r="K282" s="3">
        <v>7</v>
      </c>
      <c r="L282" s="3">
        <v>22259.22</v>
      </c>
      <c r="M282" s="3">
        <v>155814.54</v>
      </c>
      <c r="N282" s="3">
        <v>120768.78</v>
      </c>
      <c r="O282" s="3">
        <v>35045.760000000002</v>
      </c>
      <c r="P282" s="3" t="s">
        <v>86</v>
      </c>
    </row>
    <row r="283" spans="1:16" x14ac:dyDescent="0.35">
      <c r="A283" s="3" t="s">
        <v>815</v>
      </c>
      <c r="B283" s="3" t="s">
        <v>816</v>
      </c>
      <c r="C283" s="3" t="s">
        <v>57</v>
      </c>
      <c r="D283" s="3" t="s">
        <v>38</v>
      </c>
      <c r="E283" s="3" t="s">
        <v>104</v>
      </c>
      <c r="F283" s="3" t="s">
        <v>104</v>
      </c>
      <c r="G283" s="3" t="s">
        <v>22</v>
      </c>
      <c r="H283" s="3" t="s">
        <v>93</v>
      </c>
      <c r="I283" s="3" t="s">
        <v>319</v>
      </c>
      <c r="J283" s="3" t="s">
        <v>79</v>
      </c>
      <c r="K283" s="3">
        <v>7</v>
      </c>
      <c r="L283" s="3">
        <v>6416.15</v>
      </c>
      <c r="M283" s="3">
        <v>44913.05</v>
      </c>
      <c r="N283" s="3">
        <v>36308.25</v>
      </c>
      <c r="O283" s="3">
        <v>8604.7999999999993</v>
      </c>
      <c r="P283" s="3" t="s">
        <v>26</v>
      </c>
    </row>
    <row r="284" spans="1:16" x14ac:dyDescent="0.35">
      <c r="A284" s="3" t="s">
        <v>817</v>
      </c>
      <c r="B284" s="3" t="s">
        <v>624</v>
      </c>
      <c r="C284" s="3" t="s">
        <v>18</v>
      </c>
      <c r="D284" s="3" t="s">
        <v>58</v>
      </c>
      <c r="E284" s="3" t="s">
        <v>59</v>
      </c>
      <c r="F284" s="3" t="s">
        <v>60</v>
      </c>
      <c r="G284" s="3" t="s">
        <v>30</v>
      </c>
      <c r="H284" s="3" t="s">
        <v>67</v>
      </c>
      <c r="I284" s="3" t="s">
        <v>187</v>
      </c>
      <c r="J284" s="3" t="s">
        <v>79</v>
      </c>
      <c r="K284" s="3">
        <v>7</v>
      </c>
      <c r="L284" s="3">
        <v>9912.64</v>
      </c>
      <c r="M284" s="3">
        <v>69388.479999999996</v>
      </c>
      <c r="N284" s="3">
        <v>51711.79</v>
      </c>
      <c r="O284" s="3">
        <v>17676.689999999999</v>
      </c>
      <c r="P284" s="3" t="s">
        <v>86</v>
      </c>
    </row>
    <row r="285" spans="1:16" x14ac:dyDescent="0.35">
      <c r="A285" s="3" t="s">
        <v>818</v>
      </c>
      <c r="B285" s="3" t="s">
        <v>819</v>
      </c>
      <c r="C285" s="3" t="s">
        <v>89</v>
      </c>
      <c r="D285" s="3" t="s">
        <v>90</v>
      </c>
      <c r="E285" s="3" t="s">
        <v>119</v>
      </c>
      <c r="F285" s="3" t="s">
        <v>120</v>
      </c>
      <c r="G285" s="3" t="s">
        <v>30</v>
      </c>
      <c r="H285" s="3" t="s">
        <v>73</v>
      </c>
      <c r="I285" s="3" t="s">
        <v>820</v>
      </c>
      <c r="J285" s="3" t="s">
        <v>54</v>
      </c>
      <c r="K285" s="3">
        <v>3</v>
      </c>
      <c r="L285" s="3">
        <v>3253.35</v>
      </c>
      <c r="M285" s="3">
        <v>9760.0499999999993</v>
      </c>
      <c r="N285" s="3">
        <v>6960.84</v>
      </c>
      <c r="O285" s="3">
        <v>2799.21</v>
      </c>
      <c r="P285" s="3" t="s">
        <v>34</v>
      </c>
    </row>
    <row r="286" spans="1:16" x14ac:dyDescent="0.35">
      <c r="A286" s="3" t="s">
        <v>821</v>
      </c>
      <c r="B286" s="3" t="s">
        <v>802</v>
      </c>
      <c r="C286" s="3" t="s">
        <v>118</v>
      </c>
      <c r="D286" s="3" t="s">
        <v>38</v>
      </c>
      <c r="E286" s="3" t="s">
        <v>109</v>
      </c>
      <c r="F286" s="3" t="s">
        <v>110</v>
      </c>
      <c r="G286" s="3" t="s">
        <v>41</v>
      </c>
      <c r="H286" s="3" t="s">
        <v>138</v>
      </c>
      <c r="I286" s="3" t="s">
        <v>822</v>
      </c>
      <c r="J286" s="3" t="s">
        <v>171</v>
      </c>
      <c r="K286" s="3">
        <v>7</v>
      </c>
      <c r="L286" s="3">
        <v>18751.490000000002</v>
      </c>
      <c r="M286" s="3">
        <v>131260.43</v>
      </c>
      <c r="N286" s="3">
        <v>94478.93</v>
      </c>
      <c r="O286" s="3">
        <v>36781.5</v>
      </c>
      <c r="P286" s="3" t="s">
        <v>26</v>
      </c>
    </row>
    <row r="287" spans="1:16" x14ac:dyDescent="0.35">
      <c r="A287" s="3" t="s">
        <v>823</v>
      </c>
      <c r="B287" s="3" t="s">
        <v>230</v>
      </c>
      <c r="C287" s="3" t="s">
        <v>118</v>
      </c>
      <c r="D287" s="3" t="s">
        <v>90</v>
      </c>
      <c r="E287" s="3" t="s">
        <v>91</v>
      </c>
      <c r="F287" s="3" t="s">
        <v>92</v>
      </c>
      <c r="G287" s="3" t="s">
        <v>30</v>
      </c>
      <c r="H287" s="3" t="s">
        <v>31</v>
      </c>
      <c r="I287" s="3" t="s">
        <v>824</v>
      </c>
      <c r="J287" s="3" t="s">
        <v>54</v>
      </c>
      <c r="K287" s="3">
        <v>4</v>
      </c>
      <c r="L287" s="3">
        <v>2660.79</v>
      </c>
      <c r="M287" s="3">
        <v>10643.16</v>
      </c>
      <c r="N287" s="3">
        <v>7902.99</v>
      </c>
      <c r="O287" s="3">
        <v>2740.17</v>
      </c>
      <c r="P287" s="3" t="s">
        <v>26</v>
      </c>
    </row>
    <row r="288" spans="1:16" x14ac:dyDescent="0.35">
      <c r="A288" s="3" t="s">
        <v>825</v>
      </c>
      <c r="B288" s="3" t="s">
        <v>370</v>
      </c>
      <c r="C288" s="3" t="s">
        <v>137</v>
      </c>
      <c r="D288" s="3" t="s">
        <v>58</v>
      </c>
      <c r="E288" s="3" t="s">
        <v>176</v>
      </c>
      <c r="F288" s="3" t="s">
        <v>177</v>
      </c>
      <c r="G288" s="3" t="s">
        <v>51</v>
      </c>
      <c r="H288" s="3" t="s">
        <v>52</v>
      </c>
      <c r="I288" s="3" t="s">
        <v>826</v>
      </c>
      <c r="J288" s="3" t="s">
        <v>100</v>
      </c>
      <c r="K288" s="3">
        <v>1</v>
      </c>
      <c r="L288" s="3">
        <v>25.43</v>
      </c>
      <c r="M288" s="3">
        <v>25.43</v>
      </c>
      <c r="N288" s="3">
        <v>9.7899999999999991</v>
      </c>
      <c r="O288" s="3">
        <v>15.64</v>
      </c>
      <c r="P288" s="3" t="s">
        <v>45</v>
      </c>
    </row>
    <row r="289" spans="1:16" x14ac:dyDescent="0.35">
      <c r="A289" s="3" t="s">
        <v>827</v>
      </c>
      <c r="B289" s="3" t="s">
        <v>828</v>
      </c>
      <c r="C289" s="3" t="s">
        <v>89</v>
      </c>
      <c r="D289" s="3" t="s">
        <v>90</v>
      </c>
      <c r="E289" s="3" t="s">
        <v>97</v>
      </c>
      <c r="F289" s="3" t="s">
        <v>98</v>
      </c>
      <c r="G289" s="3" t="s">
        <v>30</v>
      </c>
      <c r="H289" s="3" t="s">
        <v>67</v>
      </c>
      <c r="I289" s="3" t="s">
        <v>829</v>
      </c>
      <c r="J289" s="3" t="s">
        <v>188</v>
      </c>
      <c r="K289" s="3">
        <v>3</v>
      </c>
      <c r="L289" s="3">
        <v>10265.56</v>
      </c>
      <c r="M289" s="3">
        <v>30796.68</v>
      </c>
      <c r="N289" s="3">
        <v>23158.03</v>
      </c>
      <c r="O289" s="3">
        <v>7638.65</v>
      </c>
      <c r="P289" s="3" t="s">
        <v>26</v>
      </c>
    </row>
    <row r="290" spans="1:16" x14ac:dyDescent="0.35">
      <c r="A290" s="3" t="s">
        <v>830</v>
      </c>
      <c r="B290" s="3" t="s">
        <v>102</v>
      </c>
      <c r="C290" s="3" t="s">
        <v>103</v>
      </c>
      <c r="D290" s="3" t="s">
        <v>19</v>
      </c>
      <c r="E290" s="3" t="s">
        <v>49</v>
      </c>
      <c r="F290" s="3" t="s">
        <v>50</v>
      </c>
      <c r="G290" s="3" t="s">
        <v>30</v>
      </c>
      <c r="H290" s="3" t="s">
        <v>31</v>
      </c>
      <c r="I290" s="3" t="s">
        <v>593</v>
      </c>
      <c r="J290" s="3" t="s">
        <v>44</v>
      </c>
      <c r="K290" s="3">
        <v>6</v>
      </c>
      <c r="L290" s="3">
        <v>2725.01</v>
      </c>
      <c r="M290" s="3">
        <v>16350.06</v>
      </c>
      <c r="N290" s="3">
        <v>11001.04</v>
      </c>
      <c r="O290" s="3">
        <v>5349.02</v>
      </c>
      <c r="P290" s="3" t="s">
        <v>45</v>
      </c>
    </row>
    <row r="291" spans="1:16" x14ac:dyDescent="0.35">
      <c r="A291" s="3" t="s">
        <v>831</v>
      </c>
      <c r="B291" s="3" t="s">
        <v>832</v>
      </c>
      <c r="C291" s="3" t="s">
        <v>72</v>
      </c>
      <c r="D291" s="3" t="s">
        <v>38</v>
      </c>
      <c r="E291" s="3" t="s">
        <v>39</v>
      </c>
      <c r="F291" s="3" t="s">
        <v>40</v>
      </c>
      <c r="G291" s="3" t="s">
        <v>41</v>
      </c>
      <c r="H291" s="3" t="s">
        <v>61</v>
      </c>
      <c r="I291" s="3" t="s">
        <v>240</v>
      </c>
      <c r="J291" s="3" t="s">
        <v>85</v>
      </c>
      <c r="K291" s="3">
        <v>7</v>
      </c>
      <c r="L291" s="3">
        <v>2354.39</v>
      </c>
      <c r="M291" s="3">
        <v>16480.73</v>
      </c>
      <c r="N291" s="3">
        <v>11109.01</v>
      </c>
      <c r="O291" s="3">
        <v>5371.72</v>
      </c>
      <c r="P291" s="3" t="s">
        <v>45</v>
      </c>
    </row>
    <row r="292" spans="1:16" x14ac:dyDescent="0.35">
      <c r="A292" s="3" t="s">
        <v>833</v>
      </c>
      <c r="B292" s="3" t="s">
        <v>834</v>
      </c>
      <c r="C292" s="3" t="s">
        <v>114</v>
      </c>
      <c r="D292" s="3" t="s">
        <v>58</v>
      </c>
      <c r="E292" s="3" t="s">
        <v>59</v>
      </c>
      <c r="F292" s="3" t="s">
        <v>60</v>
      </c>
      <c r="G292" s="3" t="s">
        <v>41</v>
      </c>
      <c r="H292" s="3" t="s">
        <v>42</v>
      </c>
      <c r="I292" s="3" t="s">
        <v>835</v>
      </c>
      <c r="J292" s="3" t="s">
        <v>161</v>
      </c>
      <c r="K292" s="3">
        <v>6</v>
      </c>
      <c r="L292" s="3">
        <v>40723.03</v>
      </c>
      <c r="M292" s="3">
        <v>244338.18</v>
      </c>
      <c r="N292" s="3">
        <v>216894.74</v>
      </c>
      <c r="O292" s="3">
        <v>27443.439999999999</v>
      </c>
      <c r="P292" s="3" t="s">
        <v>34</v>
      </c>
    </row>
    <row r="293" spans="1:16" x14ac:dyDescent="0.35">
      <c r="A293" s="3" t="s">
        <v>836</v>
      </c>
      <c r="B293" s="3" t="s">
        <v>837</v>
      </c>
      <c r="C293" s="3" t="s">
        <v>72</v>
      </c>
      <c r="D293" s="3" t="s">
        <v>38</v>
      </c>
      <c r="E293" s="3" t="s">
        <v>109</v>
      </c>
      <c r="F293" s="3" t="s">
        <v>110</v>
      </c>
      <c r="G293" s="3" t="s">
        <v>41</v>
      </c>
      <c r="H293" s="3" t="s">
        <v>61</v>
      </c>
      <c r="I293" s="3" t="s">
        <v>838</v>
      </c>
      <c r="J293" s="3" t="s">
        <v>85</v>
      </c>
      <c r="K293" s="3">
        <v>7</v>
      </c>
      <c r="L293" s="3">
        <v>2674.29</v>
      </c>
      <c r="M293" s="3">
        <v>18720.03</v>
      </c>
      <c r="N293" s="3">
        <v>10730.2</v>
      </c>
      <c r="O293" s="3">
        <v>7989.83</v>
      </c>
      <c r="P293" s="3" t="s">
        <v>86</v>
      </c>
    </row>
    <row r="294" spans="1:16" x14ac:dyDescent="0.35">
      <c r="A294" s="3" t="s">
        <v>839</v>
      </c>
      <c r="B294" s="3" t="s">
        <v>840</v>
      </c>
      <c r="C294" s="3" t="s">
        <v>57</v>
      </c>
      <c r="D294" s="3" t="s">
        <v>58</v>
      </c>
      <c r="E294" s="3" t="s">
        <v>59</v>
      </c>
      <c r="F294" s="3" t="s">
        <v>60</v>
      </c>
      <c r="G294" s="3" t="s">
        <v>22</v>
      </c>
      <c r="H294" s="3" t="s">
        <v>83</v>
      </c>
      <c r="I294" s="3" t="s">
        <v>841</v>
      </c>
      <c r="J294" s="3" t="s">
        <v>188</v>
      </c>
      <c r="K294" s="3">
        <v>7</v>
      </c>
      <c r="L294" s="3">
        <v>22494.48</v>
      </c>
      <c r="M294" s="3">
        <v>157461.35999999999</v>
      </c>
      <c r="N294" s="3">
        <v>119404.61</v>
      </c>
      <c r="O294" s="3">
        <v>38056.75</v>
      </c>
      <c r="P294" s="3" t="s">
        <v>26</v>
      </c>
    </row>
    <row r="295" spans="1:16" x14ac:dyDescent="0.35">
      <c r="A295" s="3" t="s">
        <v>842</v>
      </c>
      <c r="B295" s="3" t="s">
        <v>828</v>
      </c>
      <c r="C295" s="3" t="s">
        <v>89</v>
      </c>
      <c r="D295" s="3" t="s">
        <v>58</v>
      </c>
      <c r="E295" s="3" t="s">
        <v>65</v>
      </c>
      <c r="F295" s="3" t="s">
        <v>66</v>
      </c>
      <c r="G295" s="3" t="s">
        <v>22</v>
      </c>
      <c r="H295" s="3" t="s">
        <v>83</v>
      </c>
      <c r="I295" s="3" t="s">
        <v>843</v>
      </c>
      <c r="J295" s="3" t="s">
        <v>25</v>
      </c>
      <c r="K295" s="3">
        <v>3</v>
      </c>
      <c r="L295" s="3">
        <v>20491.580000000002</v>
      </c>
      <c r="M295" s="3">
        <v>61474.74</v>
      </c>
      <c r="N295" s="3">
        <v>53518.48</v>
      </c>
      <c r="O295" s="3">
        <v>7956.26</v>
      </c>
      <c r="P295" s="3" t="s">
        <v>69</v>
      </c>
    </row>
    <row r="296" spans="1:16" x14ac:dyDescent="0.35">
      <c r="A296" s="3" t="s">
        <v>844</v>
      </c>
      <c r="B296" s="3" t="s">
        <v>455</v>
      </c>
      <c r="C296" s="3" t="s">
        <v>18</v>
      </c>
      <c r="D296" s="3" t="s">
        <v>58</v>
      </c>
      <c r="E296" s="3" t="s">
        <v>65</v>
      </c>
      <c r="F296" s="3" t="s">
        <v>66</v>
      </c>
      <c r="G296" s="3" t="s">
        <v>22</v>
      </c>
      <c r="H296" s="3" t="s">
        <v>23</v>
      </c>
      <c r="I296" s="3" t="s">
        <v>845</v>
      </c>
      <c r="J296" s="3" t="s">
        <v>217</v>
      </c>
      <c r="K296" s="3">
        <v>5</v>
      </c>
      <c r="L296" s="3">
        <v>3555.08</v>
      </c>
      <c r="M296" s="3">
        <v>17775.400000000001</v>
      </c>
      <c r="N296" s="3">
        <v>11159.2</v>
      </c>
      <c r="O296" s="3">
        <v>6616.2</v>
      </c>
      <c r="P296" s="3" t="s">
        <v>69</v>
      </c>
    </row>
    <row r="297" spans="1:16" x14ac:dyDescent="0.35">
      <c r="A297" s="3" t="s">
        <v>846</v>
      </c>
      <c r="B297" s="3" t="s">
        <v>847</v>
      </c>
      <c r="C297" s="3" t="s">
        <v>89</v>
      </c>
      <c r="D297" s="3" t="s">
        <v>19</v>
      </c>
      <c r="E297" s="3" t="s">
        <v>20</v>
      </c>
      <c r="F297" s="3" t="s">
        <v>21</v>
      </c>
      <c r="G297" s="3" t="s">
        <v>30</v>
      </c>
      <c r="H297" s="3" t="s">
        <v>67</v>
      </c>
      <c r="I297" s="3" t="s">
        <v>848</v>
      </c>
      <c r="J297" s="3" t="s">
        <v>106</v>
      </c>
      <c r="K297" s="3">
        <v>8</v>
      </c>
      <c r="L297" s="3">
        <v>9178.6</v>
      </c>
      <c r="M297" s="3">
        <v>73428.800000000003</v>
      </c>
      <c r="N297" s="3">
        <v>60063.38</v>
      </c>
      <c r="O297" s="3">
        <v>13365.42</v>
      </c>
      <c r="P297" s="3" t="s">
        <v>69</v>
      </c>
    </row>
    <row r="298" spans="1:16" x14ac:dyDescent="0.35">
      <c r="A298" s="3" t="s">
        <v>849</v>
      </c>
      <c r="B298" s="3" t="s">
        <v>327</v>
      </c>
      <c r="C298" s="3" t="s">
        <v>48</v>
      </c>
      <c r="D298" s="3" t="s">
        <v>38</v>
      </c>
      <c r="E298" s="3" t="s">
        <v>104</v>
      </c>
      <c r="F298" s="3" t="s">
        <v>104</v>
      </c>
      <c r="G298" s="3" t="s">
        <v>22</v>
      </c>
      <c r="H298" s="3" t="s">
        <v>93</v>
      </c>
      <c r="I298" s="3" t="s">
        <v>850</v>
      </c>
      <c r="J298" s="3" t="s">
        <v>106</v>
      </c>
      <c r="K298" s="3">
        <v>3</v>
      </c>
      <c r="L298" s="3">
        <v>6807.35</v>
      </c>
      <c r="M298" s="3">
        <v>20422.05</v>
      </c>
      <c r="N298" s="3">
        <v>14347.31</v>
      </c>
      <c r="O298" s="3">
        <v>6074.74</v>
      </c>
      <c r="P298" s="3" t="s">
        <v>34</v>
      </c>
    </row>
    <row r="299" spans="1:16" x14ac:dyDescent="0.35">
      <c r="A299" s="3" t="s">
        <v>851</v>
      </c>
      <c r="B299" s="3" t="s">
        <v>852</v>
      </c>
      <c r="C299" s="3" t="s">
        <v>118</v>
      </c>
      <c r="D299" s="3" t="s">
        <v>58</v>
      </c>
      <c r="E299" s="3" t="s">
        <v>65</v>
      </c>
      <c r="F299" s="3" t="s">
        <v>66</v>
      </c>
      <c r="G299" s="3" t="s">
        <v>30</v>
      </c>
      <c r="H299" s="3" t="s">
        <v>31</v>
      </c>
      <c r="I299" s="3" t="s">
        <v>853</v>
      </c>
      <c r="J299" s="3" t="s">
        <v>161</v>
      </c>
      <c r="K299" s="3">
        <v>2</v>
      </c>
      <c r="L299" s="3">
        <v>2824.51</v>
      </c>
      <c r="M299" s="3">
        <v>5649.02</v>
      </c>
      <c r="N299" s="3">
        <v>3861.18</v>
      </c>
      <c r="O299" s="3">
        <v>1787.84</v>
      </c>
      <c r="P299" s="3" t="s">
        <v>69</v>
      </c>
    </row>
    <row r="300" spans="1:16" x14ac:dyDescent="0.35">
      <c r="A300" s="3" t="s">
        <v>854</v>
      </c>
      <c r="B300" s="3" t="s">
        <v>282</v>
      </c>
      <c r="C300" s="3" t="s">
        <v>114</v>
      </c>
      <c r="D300" s="3" t="s">
        <v>58</v>
      </c>
      <c r="E300" s="3" t="s">
        <v>176</v>
      </c>
      <c r="F300" s="3" t="s">
        <v>177</v>
      </c>
      <c r="G300" s="3" t="s">
        <v>41</v>
      </c>
      <c r="H300" s="3" t="s">
        <v>42</v>
      </c>
      <c r="I300" s="3" t="s">
        <v>667</v>
      </c>
      <c r="J300" s="3" t="s">
        <v>171</v>
      </c>
      <c r="K300" s="3">
        <v>4</v>
      </c>
      <c r="L300" s="3">
        <v>42709.2</v>
      </c>
      <c r="M300" s="3">
        <v>170836.8</v>
      </c>
      <c r="N300" s="3">
        <v>138763.6</v>
      </c>
      <c r="O300" s="3">
        <v>32073.200000000001</v>
      </c>
      <c r="P300" s="3" t="s">
        <v>26</v>
      </c>
    </row>
    <row r="301" spans="1:16" x14ac:dyDescent="0.35">
      <c r="A301" s="3" t="s">
        <v>855</v>
      </c>
      <c r="B301" s="3" t="s">
        <v>856</v>
      </c>
      <c r="C301" s="3" t="s">
        <v>103</v>
      </c>
      <c r="D301" s="3" t="s">
        <v>90</v>
      </c>
      <c r="E301" s="3" t="s">
        <v>97</v>
      </c>
      <c r="F301" s="3" t="s">
        <v>98</v>
      </c>
      <c r="G301" s="3" t="s">
        <v>22</v>
      </c>
      <c r="H301" s="3" t="s">
        <v>83</v>
      </c>
      <c r="I301" s="3" t="s">
        <v>857</v>
      </c>
      <c r="J301" s="3" t="s">
        <v>154</v>
      </c>
      <c r="K301" s="3">
        <v>7</v>
      </c>
      <c r="L301" s="3">
        <v>24000.04</v>
      </c>
      <c r="M301" s="3">
        <v>168000.28</v>
      </c>
      <c r="N301" s="3">
        <v>117875.41</v>
      </c>
      <c r="O301" s="3">
        <v>50124.87</v>
      </c>
      <c r="P301" s="3" t="s">
        <v>69</v>
      </c>
    </row>
    <row r="302" spans="1:16" x14ac:dyDescent="0.35">
      <c r="A302" s="3" t="s">
        <v>858</v>
      </c>
      <c r="B302" s="3" t="s">
        <v>859</v>
      </c>
      <c r="C302" s="3" t="s">
        <v>48</v>
      </c>
      <c r="D302" s="3" t="s">
        <v>90</v>
      </c>
      <c r="E302" s="3" t="s">
        <v>91</v>
      </c>
      <c r="F302" s="3" t="s">
        <v>92</v>
      </c>
      <c r="G302" s="3" t="s">
        <v>22</v>
      </c>
      <c r="H302" s="3" t="s">
        <v>83</v>
      </c>
      <c r="I302" s="3" t="s">
        <v>297</v>
      </c>
      <c r="J302" s="3" t="s">
        <v>54</v>
      </c>
      <c r="K302" s="3">
        <v>4</v>
      </c>
      <c r="L302" s="3">
        <v>23626.19</v>
      </c>
      <c r="M302" s="3">
        <v>94504.76</v>
      </c>
      <c r="N302" s="3">
        <v>69237.11</v>
      </c>
      <c r="O302" s="3">
        <v>25267.65</v>
      </c>
      <c r="P302" s="3" t="s">
        <v>45</v>
      </c>
    </row>
    <row r="303" spans="1:16" x14ac:dyDescent="0.35">
      <c r="A303" s="3" t="s">
        <v>860</v>
      </c>
      <c r="B303" s="3" t="s">
        <v>861</v>
      </c>
      <c r="C303" s="3" t="s">
        <v>137</v>
      </c>
      <c r="D303" s="3" t="s">
        <v>19</v>
      </c>
      <c r="E303" s="3" t="s">
        <v>199</v>
      </c>
      <c r="F303" s="3" t="s">
        <v>200</v>
      </c>
      <c r="G303" s="3" t="s">
        <v>22</v>
      </c>
      <c r="H303" s="3" t="s">
        <v>93</v>
      </c>
      <c r="I303" s="3" t="s">
        <v>862</v>
      </c>
      <c r="J303" s="3" t="s">
        <v>44</v>
      </c>
      <c r="K303" s="3">
        <v>4</v>
      </c>
      <c r="L303" s="3">
        <v>6671.94</v>
      </c>
      <c r="M303" s="3">
        <v>26687.759999999998</v>
      </c>
      <c r="N303" s="3">
        <v>20828.12</v>
      </c>
      <c r="O303" s="3">
        <v>5859.64</v>
      </c>
      <c r="P303" s="3" t="s">
        <v>26</v>
      </c>
    </row>
    <row r="304" spans="1:16" x14ac:dyDescent="0.35">
      <c r="A304" s="3" t="s">
        <v>863</v>
      </c>
      <c r="B304" s="3" t="s">
        <v>206</v>
      </c>
      <c r="C304" s="3" t="s">
        <v>137</v>
      </c>
      <c r="D304" s="3" t="s">
        <v>58</v>
      </c>
      <c r="E304" s="3" t="s">
        <v>59</v>
      </c>
      <c r="F304" s="3" t="s">
        <v>60</v>
      </c>
      <c r="G304" s="3" t="s">
        <v>22</v>
      </c>
      <c r="H304" s="3" t="s">
        <v>23</v>
      </c>
      <c r="I304" s="3" t="s">
        <v>864</v>
      </c>
      <c r="J304" s="3" t="s">
        <v>79</v>
      </c>
      <c r="K304" s="3">
        <v>2</v>
      </c>
      <c r="L304" s="3">
        <v>3505.21</v>
      </c>
      <c r="M304" s="3">
        <v>7010.42</v>
      </c>
      <c r="N304" s="3">
        <v>4303.24</v>
      </c>
      <c r="O304" s="3">
        <v>2707.18</v>
      </c>
      <c r="P304" s="3" t="s">
        <v>45</v>
      </c>
    </row>
    <row r="305" spans="1:16" x14ac:dyDescent="0.35">
      <c r="A305" s="3" t="s">
        <v>865</v>
      </c>
      <c r="B305" s="3" t="s">
        <v>866</v>
      </c>
      <c r="C305" s="3" t="s">
        <v>72</v>
      </c>
      <c r="D305" s="3" t="s">
        <v>19</v>
      </c>
      <c r="E305" s="3" t="s">
        <v>199</v>
      </c>
      <c r="F305" s="3" t="s">
        <v>200</v>
      </c>
      <c r="G305" s="3" t="s">
        <v>22</v>
      </c>
      <c r="H305" s="3" t="s">
        <v>83</v>
      </c>
      <c r="I305" s="3" t="s">
        <v>867</v>
      </c>
      <c r="J305" s="3" t="s">
        <v>171</v>
      </c>
      <c r="K305" s="3">
        <v>6</v>
      </c>
      <c r="L305" s="3">
        <v>21541.3</v>
      </c>
      <c r="M305" s="3">
        <v>129247.8</v>
      </c>
      <c r="N305" s="3">
        <v>97945.22</v>
      </c>
      <c r="O305" s="3">
        <v>31302.58</v>
      </c>
      <c r="P305" s="3" t="s">
        <v>26</v>
      </c>
    </row>
    <row r="306" spans="1:16" x14ac:dyDescent="0.35">
      <c r="A306" s="3" t="s">
        <v>868</v>
      </c>
      <c r="B306" s="3" t="s">
        <v>81</v>
      </c>
      <c r="C306" s="3" t="s">
        <v>82</v>
      </c>
      <c r="D306" s="3" t="s">
        <v>38</v>
      </c>
      <c r="E306" s="3" t="s">
        <v>104</v>
      </c>
      <c r="F306" s="3" t="s">
        <v>104</v>
      </c>
      <c r="G306" s="3" t="s">
        <v>30</v>
      </c>
      <c r="H306" s="3" t="s">
        <v>67</v>
      </c>
      <c r="I306" s="3" t="s">
        <v>869</v>
      </c>
      <c r="J306" s="3" t="s">
        <v>161</v>
      </c>
      <c r="K306" s="3">
        <v>3</v>
      </c>
      <c r="L306" s="3">
        <v>9132.11</v>
      </c>
      <c r="M306" s="3">
        <v>27396.33</v>
      </c>
      <c r="N306" s="3">
        <v>22841.78</v>
      </c>
      <c r="O306" s="3">
        <v>4554.55</v>
      </c>
      <c r="P306" s="3" t="s">
        <v>69</v>
      </c>
    </row>
    <row r="307" spans="1:16" x14ac:dyDescent="0.35">
      <c r="A307" s="3" t="s">
        <v>870</v>
      </c>
      <c r="B307" s="3" t="s">
        <v>871</v>
      </c>
      <c r="C307" s="3" t="s">
        <v>103</v>
      </c>
      <c r="D307" s="3" t="s">
        <v>90</v>
      </c>
      <c r="E307" s="3" t="s">
        <v>91</v>
      </c>
      <c r="F307" s="3" t="s">
        <v>92</v>
      </c>
      <c r="G307" s="3" t="s">
        <v>41</v>
      </c>
      <c r="H307" s="3" t="s">
        <v>138</v>
      </c>
      <c r="I307" s="3" t="s">
        <v>872</v>
      </c>
      <c r="J307" s="3" t="s">
        <v>131</v>
      </c>
      <c r="K307" s="3">
        <v>1</v>
      </c>
      <c r="L307" s="3">
        <v>17073.650000000001</v>
      </c>
      <c r="M307" s="3">
        <v>17073.650000000001</v>
      </c>
      <c r="N307" s="3">
        <v>13318.07</v>
      </c>
      <c r="O307" s="3">
        <v>3755.58</v>
      </c>
      <c r="P307" s="3" t="s">
        <v>34</v>
      </c>
    </row>
    <row r="308" spans="1:16" x14ac:dyDescent="0.35">
      <c r="A308" s="3" t="s">
        <v>873</v>
      </c>
      <c r="B308" s="3" t="s">
        <v>327</v>
      </c>
      <c r="C308" s="3" t="s">
        <v>48</v>
      </c>
      <c r="D308" s="3" t="s">
        <v>58</v>
      </c>
      <c r="E308" s="3" t="s">
        <v>176</v>
      </c>
      <c r="F308" s="3" t="s">
        <v>177</v>
      </c>
      <c r="G308" s="3" t="s">
        <v>41</v>
      </c>
      <c r="H308" s="3" t="s">
        <v>138</v>
      </c>
      <c r="I308" s="3" t="s">
        <v>874</v>
      </c>
      <c r="J308" s="3" t="s">
        <v>100</v>
      </c>
      <c r="K308" s="3">
        <v>8</v>
      </c>
      <c r="L308" s="3">
        <v>19456.53</v>
      </c>
      <c r="M308" s="3">
        <v>155652.24</v>
      </c>
      <c r="N308" s="3">
        <v>112678.63</v>
      </c>
      <c r="O308" s="3">
        <v>42973.61</v>
      </c>
      <c r="P308" s="3" t="s">
        <v>45</v>
      </c>
    </row>
    <row r="309" spans="1:16" x14ac:dyDescent="0.35">
      <c r="A309" s="3" t="s">
        <v>875</v>
      </c>
      <c r="B309" s="3" t="s">
        <v>260</v>
      </c>
      <c r="C309" s="3" t="s">
        <v>37</v>
      </c>
      <c r="D309" s="3" t="s">
        <v>38</v>
      </c>
      <c r="E309" s="3" t="s">
        <v>109</v>
      </c>
      <c r="F309" s="3" t="s">
        <v>110</v>
      </c>
      <c r="G309" s="3" t="s">
        <v>30</v>
      </c>
      <c r="H309" s="3" t="s">
        <v>73</v>
      </c>
      <c r="I309" s="3" t="s">
        <v>726</v>
      </c>
      <c r="J309" s="3" t="s">
        <v>217</v>
      </c>
      <c r="K309" s="3">
        <v>6</v>
      </c>
      <c r="L309" s="3">
        <v>3177.36</v>
      </c>
      <c r="M309" s="3">
        <v>19064.16</v>
      </c>
      <c r="N309" s="3">
        <v>14372.57</v>
      </c>
      <c r="O309" s="3">
        <v>4691.59</v>
      </c>
      <c r="P309" s="3" t="s">
        <v>69</v>
      </c>
    </row>
    <row r="310" spans="1:16" x14ac:dyDescent="0.35">
      <c r="A310" s="3" t="s">
        <v>876</v>
      </c>
      <c r="B310" s="3" t="s">
        <v>877</v>
      </c>
      <c r="C310" s="3" t="s">
        <v>114</v>
      </c>
      <c r="D310" s="3" t="s">
        <v>90</v>
      </c>
      <c r="E310" s="3" t="s">
        <v>119</v>
      </c>
      <c r="F310" s="3" t="s">
        <v>120</v>
      </c>
      <c r="G310" s="3" t="s">
        <v>51</v>
      </c>
      <c r="H310" s="3" t="s">
        <v>77</v>
      </c>
      <c r="I310" s="3" t="s">
        <v>878</v>
      </c>
      <c r="J310" s="3" t="s">
        <v>171</v>
      </c>
      <c r="K310" s="3">
        <v>2</v>
      </c>
      <c r="L310" s="3">
        <v>12268.48</v>
      </c>
      <c r="M310" s="3">
        <v>24536.959999999999</v>
      </c>
      <c r="N310" s="3">
        <v>17567.990000000002</v>
      </c>
      <c r="O310" s="3">
        <v>6968.97</v>
      </c>
      <c r="P310" s="3" t="s">
        <v>69</v>
      </c>
    </row>
    <row r="311" spans="1:16" x14ac:dyDescent="0.35">
      <c r="A311" s="3" t="s">
        <v>879</v>
      </c>
      <c r="B311" s="3" t="s">
        <v>880</v>
      </c>
      <c r="C311" s="3" t="s">
        <v>114</v>
      </c>
      <c r="D311" s="3" t="s">
        <v>38</v>
      </c>
      <c r="E311" s="3" t="s">
        <v>104</v>
      </c>
      <c r="F311" s="3" t="s">
        <v>104</v>
      </c>
      <c r="G311" s="3" t="s">
        <v>30</v>
      </c>
      <c r="H311" s="3" t="s">
        <v>31</v>
      </c>
      <c r="I311" s="3" t="s">
        <v>755</v>
      </c>
      <c r="J311" s="3" t="s">
        <v>154</v>
      </c>
      <c r="K311" s="3">
        <v>2</v>
      </c>
      <c r="L311" s="3">
        <v>3009.75</v>
      </c>
      <c r="M311" s="3">
        <v>6019.5</v>
      </c>
      <c r="N311" s="3">
        <v>3901.27</v>
      </c>
      <c r="O311" s="3">
        <v>2118.23</v>
      </c>
      <c r="P311" s="3" t="s">
        <v>45</v>
      </c>
    </row>
    <row r="312" spans="1:16" x14ac:dyDescent="0.35">
      <c r="A312" s="3" t="s">
        <v>881</v>
      </c>
      <c r="B312" s="3" t="s">
        <v>661</v>
      </c>
      <c r="C312" s="3" t="s">
        <v>114</v>
      </c>
      <c r="D312" s="3" t="s">
        <v>58</v>
      </c>
      <c r="E312" s="3" t="s">
        <v>176</v>
      </c>
      <c r="F312" s="3" t="s">
        <v>177</v>
      </c>
      <c r="G312" s="3" t="s">
        <v>30</v>
      </c>
      <c r="H312" s="3" t="s">
        <v>73</v>
      </c>
      <c r="I312" s="3" t="s">
        <v>822</v>
      </c>
      <c r="J312" s="3" t="s">
        <v>171</v>
      </c>
      <c r="K312" s="3">
        <v>8</v>
      </c>
      <c r="L312" s="3">
        <v>3127.07</v>
      </c>
      <c r="M312" s="3">
        <v>25016.560000000001</v>
      </c>
      <c r="N312" s="3">
        <v>18359.41</v>
      </c>
      <c r="O312" s="3">
        <v>6657.15</v>
      </c>
      <c r="P312" s="3" t="s">
        <v>69</v>
      </c>
    </row>
    <row r="313" spans="1:16" x14ac:dyDescent="0.35">
      <c r="A313" s="3" t="s">
        <v>882</v>
      </c>
      <c r="B313" s="3" t="s">
        <v>883</v>
      </c>
      <c r="C313" s="3" t="s">
        <v>37</v>
      </c>
      <c r="D313" s="3" t="s">
        <v>19</v>
      </c>
      <c r="E313" s="3" t="s">
        <v>49</v>
      </c>
      <c r="F313" s="3" t="s">
        <v>50</v>
      </c>
      <c r="G313" s="3" t="s">
        <v>22</v>
      </c>
      <c r="H313" s="3" t="s">
        <v>23</v>
      </c>
      <c r="I313" s="3" t="s">
        <v>884</v>
      </c>
      <c r="J313" s="3" t="s">
        <v>25</v>
      </c>
      <c r="K313" s="3">
        <v>2</v>
      </c>
      <c r="L313" s="3">
        <v>3273</v>
      </c>
      <c r="M313" s="3">
        <v>6546</v>
      </c>
      <c r="N313" s="3">
        <v>4384.3</v>
      </c>
      <c r="O313" s="3">
        <v>2161.6999999999998</v>
      </c>
      <c r="P313" s="3" t="s">
        <v>86</v>
      </c>
    </row>
    <row r="314" spans="1:16" x14ac:dyDescent="0.35">
      <c r="A314" s="3" t="s">
        <v>885</v>
      </c>
      <c r="B314" s="3" t="s">
        <v>886</v>
      </c>
      <c r="C314" s="3" t="s">
        <v>48</v>
      </c>
      <c r="D314" s="3" t="s">
        <v>58</v>
      </c>
      <c r="E314" s="3" t="s">
        <v>65</v>
      </c>
      <c r="F314" s="3" t="s">
        <v>66</v>
      </c>
      <c r="G314" s="3" t="s">
        <v>41</v>
      </c>
      <c r="H314" s="3" t="s">
        <v>42</v>
      </c>
      <c r="I314" s="3" t="s">
        <v>887</v>
      </c>
      <c r="J314" s="3" t="s">
        <v>54</v>
      </c>
      <c r="K314" s="3">
        <v>1</v>
      </c>
      <c r="L314" s="3">
        <v>44033.59</v>
      </c>
      <c r="M314" s="3">
        <v>44033.59</v>
      </c>
      <c r="N314" s="3">
        <v>33979.39</v>
      </c>
      <c r="O314" s="3">
        <v>10054.200000000001</v>
      </c>
      <c r="P314" s="3" t="s">
        <v>26</v>
      </c>
    </row>
    <row r="315" spans="1:16" x14ac:dyDescent="0.35">
      <c r="A315" s="3" t="s">
        <v>888</v>
      </c>
      <c r="B315" s="3" t="s">
        <v>889</v>
      </c>
      <c r="C315" s="3" t="s">
        <v>82</v>
      </c>
      <c r="D315" s="3" t="s">
        <v>38</v>
      </c>
      <c r="E315" s="3" t="s">
        <v>39</v>
      </c>
      <c r="F315" s="3" t="s">
        <v>40</v>
      </c>
      <c r="G315" s="3" t="s">
        <v>30</v>
      </c>
      <c r="H315" s="3" t="s">
        <v>31</v>
      </c>
      <c r="I315" s="3" t="s">
        <v>342</v>
      </c>
      <c r="J315" s="3" t="s">
        <v>171</v>
      </c>
      <c r="K315" s="3">
        <v>8</v>
      </c>
      <c r="L315" s="3">
        <v>2837</v>
      </c>
      <c r="M315" s="3">
        <v>22696</v>
      </c>
      <c r="N315" s="3">
        <v>14636.41</v>
      </c>
      <c r="O315" s="3">
        <v>8059.59</v>
      </c>
      <c r="P315" s="3" t="s">
        <v>69</v>
      </c>
    </row>
    <row r="316" spans="1:16" x14ac:dyDescent="0.35">
      <c r="A316" s="3" t="s">
        <v>890</v>
      </c>
      <c r="B316" s="3" t="s">
        <v>819</v>
      </c>
      <c r="C316" s="3" t="s">
        <v>89</v>
      </c>
      <c r="D316" s="3" t="s">
        <v>90</v>
      </c>
      <c r="E316" s="3" t="s">
        <v>119</v>
      </c>
      <c r="F316" s="3" t="s">
        <v>120</v>
      </c>
      <c r="G316" s="3" t="s">
        <v>22</v>
      </c>
      <c r="H316" s="3" t="s">
        <v>83</v>
      </c>
      <c r="I316" s="3" t="s">
        <v>891</v>
      </c>
      <c r="J316" s="3" t="s">
        <v>147</v>
      </c>
      <c r="K316" s="3">
        <v>2</v>
      </c>
      <c r="L316" s="3">
        <v>20237.78</v>
      </c>
      <c r="M316" s="3">
        <v>40475.56</v>
      </c>
      <c r="N316" s="3">
        <v>34752</v>
      </c>
      <c r="O316" s="3">
        <v>5723.56</v>
      </c>
      <c r="P316" s="3" t="s">
        <v>34</v>
      </c>
    </row>
    <row r="317" spans="1:16" x14ac:dyDescent="0.35">
      <c r="A317" s="3" t="s">
        <v>892</v>
      </c>
      <c r="B317" s="3" t="s">
        <v>893</v>
      </c>
      <c r="C317" s="3" t="s">
        <v>89</v>
      </c>
      <c r="D317" s="3" t="s">
        <v>19</v>
      </c>
      <c r="E317" s="3" t="s">
        <v>49</v>
      </c>
      <c r="F317" s="3" t="s">
        <v>50</v>
      </c>
      <c r="G317" s="3" t="s">
        <v>41</v>
      </c>
      <c r="H317" s="3" t="s">
        <v>42</v>
      </c>
      <c r="I317" s="3" t="s">
        <v>894</v>
      </c>
      <c r="J317" s="3" t="s">
        <v>131</v>
      </c>
      <c r="K317" s="3">
        <v>4</v>
      </c>
      <c r="L317" s="3">
        <v>44543.41</v>
      </c>
      <c r="M317" s="3">
        <v>178173.64</v>
      </c>
      <c r="N317" s="3">
        <v>142548.76999999999</v>
      </c>
      <c r="O317" s="3">
        <v>35624.870000000003</v>
      </c>
      <c r="P317" s="3" t="s">
        <v>45</v>
      </c>
    </row>
    <row r="318" spans="1:16" x14ac:dyDescent="0.35">
      <c r="A318" s="3" t="s">
        <v>895</v>
      </c>
      <c r="B318" s="3" t="s">
        <v>702</v>
      </c>
      <c r="C318" s="3" t="s">
        <v>57</v>
      </c>
      <c r="D318" s="3" t="s">
        <v>58</v>
      </c>
      <c r="E318" s="3" t="s">
        <v>176</v>
      </c>
      <c r="F318" s="3" t="s">
        <v>177</v>
      </c>
      <c r="G318" s="3" t="s">
        <v>22</v>
      </c>
      <c r="H318" s="3" t="s">
        <v>23</v>
      </c>
      <c r="I318" s="3" t="s">
        <v>896</v>
      </c>
      <c r="J318" s="3" t="s">
        <v>154</v>
      </c>
      <c r="K318" s="3">
        <v>8</v>
      </c>
      <c r="L318" s="3">
        <v>3742.73</v>
      </c>
      <c r="M318" s="3">
        <v>29941.84</v>
      </c>
      <c r="N318" s="3">
        <v>18219.03</v>
      </c>
      <c r="O318" s="3">
        <v>11722.81</v>
      </c>
      <c r="P318" s="3" t="s">
        <v>86</v>
      </c>
    </row>
    <row r="319" spans="1:16" x14ac:dyDescent="0.35">
      <c r="A319" s="3" t="s">
        <v>897</v>
      </c>
      <c r="B319" s="3" t="s">
        <v>682</v>
      </c>
      <c r="C319" s="3" t="s">
        <v>114</v>
      </c>
      <c r="D319" s="3" t="s">
        <v>19</v>
      </c>
      <c r="E319" s="3" t="s">
        <v>49</v>
      </c>
      <c r="F319" s="3" t="s">
        <v>50</v>
      </c>
      <c r="G319" s="3" t="s">
        <v>22</v>
      </c>
      <c r="H319" s="3" t="s">
        <v>83</v>
      </c>
      <c r="I319" s="3" t="s">
        <v>898</v>
      </c>
      <c r="J319" s="3" t="s">
        <v>33</v>
      </c>
      <c r="K319" s="3">
        <v>3</v>
      </c>
      <c r="L319" s="3">
        <v>23101.74</v>
      </c>
      <c r="M319" s="3">
        <v>69305.22</v>
      </c>
      <c r="N319" s="3">
        <v>51065.24</v>
      </c>
      <c r="O319" s="3">
        <v>18239.98</v>
      </c>
      <c r="P319" s="3" t="s">
        <v>69</v>
      </c>
    </row>
    <row r="320" spans="1:16" x14ac:dyDescent="0.35">
      <c r="A320" s="3" t="s">
        <v>899</v>
      </c>
      <c r="B320" s="3" t="s">
        <v>279</v>
      </c>
      <c r="C320" s="3" t="s">
        <v>37</v>
      </c>
      <c r="D320" s="3" t="s">
        <v>90</v>
      </c>
      <c r="E320" s="3" t="s">
        <v>119</v>
      </c>
      <c r="F320" s="3" t="s">
        <v>120</v>
      </c>
      <c r="G320" s="3" t="s">
        <v>30</v>
      </c>
      <c r="H320" s="3" t="s">
        <v>73</v>
      </c>
      <c r="I320" s="3" t="s">
        <v>900</v>
      </c>
      <c r="J320" s="3" t="s">
        <v>171</v>
      </c>
      <c r="K320" s="3">
        <v>3</v>
      </c>
      <c r="L320" s="3">
        <v>2899.86</v>
      </c>
      <c r="M320" s="3">
        <v>8699.58</v>
      </c>
      <c r="N320" s="3">
        <v>6999.05</v>
      </c>
      <c r="O320" s="3">
        <v>1700.53</v>
      </c>
      <c r="P320" s="3" t="s">
        <v>86</v>
      </c>
    </row>
    <row r="321" spans="1:16" x14ac:dyDescent="0.35">
      <c r="A321" s="3" t="s">
        <v>901</v>
      </c>
      <c r="B321" s="3" t="s">
        <v>699</v>
      </c>
      <c r="C321" s="3" t="s">
        <v>137</v>
      </c>
      <c r="D321" s="3" t="s">
        <v>58</v>
      </c>
      <c r="E321" s="3" t="s">
        <v>65</v>
      </c>
      <c r="F321" s="3" t="s">
        <v>66</v>
      </c>
      <c r="G321" s="3" t="s">
        <v>30</v>
      </c>
      <c r="H321" s="3" t="s">
        <v>67</v>
      </c>
      <c r="I321" s="3" t="s">
        <v>744</v>
      </c>
      <c r="J321" s="3" t="s">
        <v>217</v>
      </c>
      <c r="K321" s="3">
        <v>2</v>
      </c>
      <c r="L321" s="3">
        <v>8976.1</v>
      </c>
      <c r="M321" s="3">
        <v>17952.2</v>
      </c>
      <c r="N321" s="3">
        <v>15558.62</v>
      </c>
      <c r="O321" s="3">
        <v>2393.58</v>
      </c>
      <c r="P321" s="3" t="s">
        <v>34</v>
      </c>
    </row>
    <row r="322" spans="1:16" x14ac:dyDescent="0.35">
      <c r="A322" s="3" t="s">
        <v>902</v>
      </c>
      <c r="B322" s="3" t="s">
        <v>424</v>
      </c>
      <c r="C322" s="3" t="s">
        <v>72</v>
      </c>
      <c r="D322" s="3" t="s">
        <v>58</v>
      </c>
      <c r="E322" s="3" t="s">
        <v>176</v>
      </c>
      <c r="F322" s="3" t="s">
        <v>177</v>
      </c>
      <c r="G322" s="3" t="s">
        <v>30</v>
      </c>
      <c r="H322" s="3" t="s">
        <v>31</v>
      </c>
      <c r="I322" s="3" t="s">
        <v>529</v>
      </c>
      <c r="J322" s="3" t="s">
        <v>100</v>
      </c>
      <c r="K322" s="3">
        <v>4</v>
      </c>
      <c r="L322" s="3">
        <v>3058.39</v>
      </c>
      <c r="M322" s="3">
        <v>12233.56</v>
      </c>
      <c r="N322" s="3">
        <v>7529.18</v>
      </c>
      <c r="O322" s="3">
        <v>4704.38</v>
      </c>
      <c r="P322" s="3" t="s">
        <v>86</v>
      </c>
    </row>
    <row r="323" spans="1:16" x14ac:dyDescent="0.35">
      <c r="A323" s="3" t="s">
        <v>903</v>
      </c>
      <c r="B323" s="3" t="s">
        <v>904</v>
      </c>
      <c r="C323" s="3" t="s">
        <v>118</v>
      </c>
      <c r="D323" s="3" t="s">
        <v>90</v>
      </c>
      <c r="E323" s="3" t="s">
        <v>91</v>
      </c>
      <c r="F323" s="3" t="s">
        <v>92</v>
      </c>
      <c r="G323" s="3" t="s">
        <v>22</v>
      </c>
      <c r="H323" s="3" t="s">
        <v>83</v>
      </c>
      <c r="I323" s="3" t="s">
        <v>905</v>
      </c>
      <c r="J323" s="3" t="s">
        <v>154</v>
      </c>
      <c r="K323" s="3">
        <v>3</v>
      </c>
      <c r="L323" s="3">
        <v>23536.63</v>
      </c>
      <c r="M323" s="3">
        <v>70609.89</v>
      </c>
      <c r="N323" s="3">
        <v>48544.75</v>
      </c>
      <c r="O323" s="3">
        <v>22065.14</v>
      </c>
      <c r="P323" s="3" t="s">
        <v>86</v>
      </c>
    </row>
    <row r="324" spans="1:16" x14ac:dyDescent="0.35">
      <c r="A324" s="3" t="s">
        <v>906</v>
      </c>
      <c r="B324" s="3" t="s">
        <v>392</v>
      </c>
      <c r="C324" s="3" t="s">
        <v>103</v>
      </c>
      <c r="D324" s="3" t="s">
        <v>38</v>
      </c>
      <c r="E324" s="3" t="s">
        <v>39</v>
      </c>
      <c r="F324" s="3" t="s">
        <v>40</v>
      </c>
      <c r="G324" s="3" t="s">
        <v>41</v>
      </c>
      <c r="H324" s="3" t="s">
        <v>61</v>
      </c>
      <c r="I324" s="3" t="s">
        <v>313</v>
      </c>
      <c r="J324" s="3" t="s">
        <v>44</v>
      </c>
      <c r="K324" s="3">
        <v>1</v>
      </c>
      <c r="L324" s="3">
        <v>2342.37</v>
      </c>
      <c r="M324" s="3">
        <v>2342.37</v>
      </c>
      <c r="N324" s="3">
        <v>1675.61</v>
      </c>
      <c r="O324" s="3">
        <v>666.76</v>
      </c>
      <c r="P324" s="3" t="s">
        <v>86</v>
      </c>
    </row>
    <row r="325" spans="1:16" x14ac:dyDescent="0.35">
      <c r="A325" s="3" t="s">
        <v>907</v>
      </c>
      <c r="B325" s="3" t="s">
        <v>908</v>
      </c>
      <c r="C325" s="3" t="s">
        <v>72</v>
      </c>
      <c r="D325" s="3" t="s">
        <v>90</v>
      </c>
      <c r="E325" s="3" t="s">
        <v>97</v>
      </c>
      <c r="F325" s="3" t="s">
        <v>98</v>
      </c>
      <c r="G325" s="3" t="s">
        <v>51</v>
      </c>
      <c r="H325" s="3" t="s">
        <v>77</v>
      </c>
      <c r="I325" s="3" t="s">
        <v>573</v>
      </c>
      <c r="J325" s="3" t="s">
        <v>217</v>
      </c>
      <c r="K325" s="3">
        <v>1</v>
      </c>
      <c r="L325" s="3">
        <v>10837.99</v>
      </c>
      <c r="M325" s="3">
        <v>10837.99</v>
      </c>
      <c r="N325" s="3">
        <v>8641.35</v>
      </c>
      <c r="O325" s="3">
        <v>2196.64</v>
      </c>
      <c r="P325" s="3" t="s">
        <v>26</v>
      </c>
    </row>
    <row r="326" spans="1:16" x14ac:dyDescent="0.35">
      <c r="A326" s="3" t="s">
        <v>909</v>
      </c>
      <c r="B326" s="3" t="s">
        <v>446</v>
      </c>
      <c r="C326" s="3" t="s">
        <v>29</v>
      </c>
      <c r="D326" s="3" t="s">
        <v>19</v>
      </c>
      <c r="E326" s="3" t="s">
        <v>199</v>
      </c>
      <c r="F326" s="3" t="s">
        <v>200</v>
      </c>
      <c r="G326" s="3" t="s">
        <v>41</v>
      </c>
      <c r="H326" s="3" t="s">
        <v>138</v>
      </c>
      <c r="I326" s="3" t="s">
        <v>560</v>
      </c>
      <c r="J326" s="3" t="s">
        <v>25</v>
      </c>
      <c r="K326" s="3">
        <v>5</v>
      </c>
      <c r="L326" s="3">
        <v>19436.009999999998</v>
      </c>
      <c r="M326" s="3">
        <v>97180.05</v>
      </c>
      <c r="N326" s="3">
        <v>71743.789999999994</v>
      </c>
      <c r="O326" s="3">
        <v>25436.26</v>
      </c>
      <c r="P326" s="3" t="s">
        <v>45</v>
      </c>
    </row>
    <row r="327" spans="1:16" x14ac:dyDescent="0.35">
      <c r="A327" s="3" t="s">
        <v>910</v>
      </c>
      <c r="B327" s="3" t="s">
        <v>911</v>
      </c>
      <c r="C327" s="3" t="s">
        <v>72</v>
      </c>
      <c r="D327" s="3" t="s">
        <v>19</v>
      </c>
      <c r="E327" s="3" t="s">
        <v>199</v>
      </c>
      <c r="F327" s="3" t="s">
        <v>200</v>
      </c>
      <c r="G327" s="3" t="s">
        <v>30</v>
      </c>
      <c r="H327" s="3" t="s">
        <v>73</v>
      </c>
      <c r="I327" s="3" t="s">
        <v>190</v>
      </c>
      <c r="J327" s="3" t="s">
        <v>154</v>
      </c>
      <c r="K327" s="3">
        <v>3</v>
      </c>
      <c r="L327" s="3">
        <v>3228.57</v>
      </c>
      <c r="M327" s="3">
        <v>9685.7099999999991</v>
      </c>
      <c r="N327" s="3">
        <v>7322.14</v>
      </c>
      <c r="O327" s="3">
        <v>2363.5700000000002</v>
      </c>
      <c r="P327" s="3" t="s">
        <v>86</v>
      </c>
    </row>
    <row r="328" spans="1:16" x14ac:dyDescent="0.35">
      <c r="A328" s="3" t="s">
        <v>912</v>
      </c>
      <c r="B328" s="3" t="s">
        <v>913</v>
      </c>
      <c r="C328" s="3" t="s">
        <v>48</v>
      </c>
      <c r="D328" s="3" t="s">
        <v>58</v>
      </c>
      <c r="E328" s="3" t="s">
        <v>176</v>
      </c>
      <c r="F328" s="3" t="s">
        <v>177</v>
      </c>
      <c r="G328" s="3" t="s">
        <v>51</v>
      </c>
      <c r="H328" s="3" t="s">
        <v>52</v>
      </c>
      <c r="I328" s="3" t="s">
        <v>914</v>
      </c>
      <c r="J328" s="3" t="s">
        <v>100</v>
      </c>
      <c r="K328" s="3">
        <v>6</v>
      </c>
      <c r="L328" s="3">
        <v>25.75</v>
      </c>
      <c r="M328" s="3">
        <v>154.5</v>
      </c>
      <c r="N328" s="3">
        <v>58.53</v>
      </c>
      <c r="O328" s="3">
        <v>95.97</v>
      </c>
      <c r="P328" s="3" t="s">
        <v>86</v>
      </c>
    </row>
    <row r="329" spans="1:16" x14ac:dyDescent="0.35">
      <c r="A329" s="3" t="s">
        <v>915</v>
      </c>
      <c r="B329" s="3" t="s">
        <v>916</v>
      </c>
      <c r="C329" s="3" t="s">
        <v>103</v>
      </c>
      <c r="D329" s="3" t="s">
        <v>90</v>
      </c>
      <c r="E329" s="3" t="s">
        <v>97</v>
      </c>
      <c r="F329" s="3" t="s">
        <v>98</v>
      </c>
      <c r="G329" s="3" t="s">
        <v>51</v>
      </c>
      <c r="H329" s="3" t="s">
        <v>145</v>
      </c>
      <c r="I329" s="3" t="s">
        <v>917</v>
      </c>
      <c r="J329" s="3" t="s">
        <v>100</v>
      </c>
      <c r="K329" s="3">
        <v>2</v>
      </c>
      <c r="L329" s="3">
        <v>111.8</v>
      </c>
      <c r="M329" s="3">
        <v>223.6</v>
      </c>
      <c r="N329" s="3">
        <v>115.52</v>
      </c>
      <c r="O329" s="3">
        <v>108.08</v>
      </c>
      <c r="P329" s="3" t="s">
        <v>86</v>
      </c>
    </row>
    <row r="330" spans="1:16" x14ac:dyDescent="0.35">
      <c r="A330" s="3" t="s">
        <v>918</v>
      </c>
      <c r="B330" s="3" t="s">
        <v>861</v>
      </c>
      <c r="C330" s="3" t="s">
        <v>137</v>
      </c>
      <c r="D330" s="3" t="s">
        <v>19</v>
      </c>
      <c r="E330" s="3" t="s">
        <v>199</v>
      </c>
      <c r="F330" s="3" t="s">
        <v>200</v>
      </c>
      <c r="G330" s="3" t="s">
        <v>41</v>
      </c>
      <c r="H330" s="3" t="s">
        <v>138</v>
      </c>
      <c r="I330" s="3" t="s">
        <v>919</v>
      </c>
      <c r="J330" s="3" t="s">
        <v>217</v>
      </c>
      <c r="K330" s="3">
        <v>7</v>
      </c>
      <c r="L330" s="3">
        <v>18406.900000000001</v>
      </c>
      <c r="M330" s="3">
        <v>128848.3</v>
      </c>
      <c r="N330" s="3">
        <v>95677.56</v>
      </c>
      <c r="O330" s="3">
        <v>33170.74</v>
      </c>
      <c r="P330" s="3" t="s">
        <v>86</v>
      </c>
    </row>
    <row r="331" spans="1:16" x14ac:dyDescent="0.35">
      <c r="A331" s="3" t="s">
        <v>920</v>
      </c>
      <c r="B331" s="3" t="s">
        <v>921</v>
      </c>
      <c r="C331" s="3" t="s">
        <v>103</v>
      </c>
      <c r="D331" s="3" t="s">
        <v>38</v>
      </c>
      <c r="E331" s="3" t="s">
        <v>109</v>
      </c>
      <c r="F331" s="3" t="s">
        <v>110</v>
      </c>
      <c r="G331" s="3" t="s">
        <v>51</v>
      </c>
      <c r="H331" s="3" t="s">
        <v>77</v>
      </c>
      <c r="I331" s="3" t="s">
        <v>922</v>
      </c>
      <c r="J331" s="3" t="s">
        <v>188</v>
      </c>
      <c r="K331" s="3">
        <v>6</v>
      </c>
      <c r="L331" s="3">
        <v>11007.59</v>
      </c>
      <c r="M331" s="3">
        <v>66045.539999999994</v>
      </c>
      <c r="N331" s="3">
        <v>55449.24</v>
      </c>
      <c r="O331" s="3">
        <v>10596.3</v>
      </c>
      <c r="P331" s="3" t="s">
        <v>69</v>
      </c>
    </row>
    <row r="332" spans="1:16" x14ac:dyDescent="0.35">
      <c r="A332" s="3" t="s">
        <v>923</v>
      </c>
      <c r="B332" s="3" t="s">
        <v>924</v>
      </c>
      <c r="C332" s="3" t="s">
        <v>18</v>
      </c>
      <c r="D332" s="3" t="s">
        <v>38</v>
      </c>
      <c r="E332" s="3" t="s">
        <v>109</v>
      </c>
      <c r="F332" s="3" t="s">
        <v>110</v>
      </c>
      <c r="G332" s="3" t="s">
        <v>22</v>
      </c>
      <c r="H332" s="3" t="s">
        <v>93</v>
      </c>
      <c r="I332" s="3" t="s">
        <v>925</v>
      </c>
      <c r="J332" s="3" t="s">
        <v>44</v>
      </c>
      <c r="K332" s="3">
        <v>3</v>
      </c>
      <c r="L332" s="3">
        <v>7391.39</v>
      </c>
      <c r="M332" s="3">
        <v>22174.17</v>
      </c>
      <c r="N332" s="3">
        <v>15636.28</v>
      </c>
      <c r="O332" s="3">
        <v>6537.89</v>
      </c>
      <c r="P332" s="3" t="s">
        <v>86</v>
      </c>
    </row>
    <row r="333" spans="1:16" x14ac:dyDescent="0.35">
      <c r="A333" s="3" t="s">
        <v>926</v>
      </c>
      <c r="B333" s="3" t="s">
        <v>927</v>
      </c>
      <c r="C333" s="3" t="s">
        <v>57</v>
      </c>
      <c r="D333" s="3" t="s">
        <v>58</v>
      </c>
      <c r="E333" s="3" t="s">
        <v>59</v>
      </c>
      <c r="F333" s="3" t="s">
        <v>60</v>
      </c>
      <c r="G333" s="3" t="s">
        <v>30</v>
      </c>
      <c r="H333" s="3" t="s">
        <v>73</v>
      </c>
      <c r="I333" s="3" t="s">
        <v>928</v>
      </c>
      <c r="J333" s="3" t="s">
        <v>217</v>
      </c>
      <c r="K333" s="3">
        <v>7</v>
      </c>
      <c r="L333" s="3">
        <v>3501.03</v>
      </c>
      <c r="M333" s="3">
        <v>24507.21</v>
      </c>
      <c r="N333" s="3">
        <v>16215.04</v>
      </c>
      <c r="O333" s="3">
        <v>8292.17</v>
      </c>
      <c r="P333" s="3" t="s">
        <v>26</v>
      </c>
    </row>
    <row r="334" spans="1:16" x14ac:dyDescent="0.35">
      <c r="A334" s="3" t="s">
        <v>929</v>
      </c>
      <c r="B334" s="3" t="s">
        <v>930</v>
      </c>
      <c r="C334" s="3" t="s">
        <v>103</v>
      </c>
      <c r="D334" s="3" t="s">
        <v>38</v>
      </c>
      <c r="E334" s="3" t="s">
        <v>109</v>
      </c>
      <c r="F334" s="3" t="s">
        <v>110</v>
      </c>
      <c r="G334" s="3" t="s">
        <v>41</v>
      </c>
      <c r="H334" s="3" t="s">
        <v>61</v>
      </c>
      <c r="I334" s="3" t="s">
        <v>931</v>
      </c>
      <c r="J334" s="3" t="s">
        <v>33</v>
      </c>
      <c r="K334" s="3">
        <v>5</v>
      </c>
      <c r="L334" s="3">
        <v>2442.44</v>
      </c>
      <c r="M334" s="3">
        <v>12212.2</v>
      </c>
      <c r="N334" s="3">
        <v>7648.46</v>
      </c>
      <c r="O334" s="3">
        <v>4563.74</v>
      </c>
      <c r="P334" s="3" t="s">
        <v>34</v>
      </c>
    </row>
    <row r="335" spans="1:16" x14ac:dyDescent="0.35">
      <c r="A335" s="3" t="s">
        <v>932</v>
      </c>
      <c r="B335" s="3" t="s">
        <v>570</v>
      </c>
      <c r="C335" s="3" t="s">
        <v>18</v>
      </c>
      <c r="D335" s="3" t="s">
        <v>38</v>
      </c>
      <c r="E335" s="3" t="s">
        <v>109</v>
      </c>
      <c r="F335" s="3" t="s">
        <v>110</v>
      </c>
      <c r="G335" s="3" t="s">
        <v>51</v>
      </c>
      <c r="H335" s="3" t="s">
        <v>52</v>
      </c>
      <c r="I335" s="3" t="s">
        <v>905</v>
      </c>
      <c r="J335" s="3" t="s">
        <v>25</v>
      </c>
      <c r="K335" s="3">
        <v>1</v>
      </c>
      <c r="L335" s="3">
        <v>24.94</v>
      </c>
      <c r="M335" s="3">
        <v>24.94</v>
      </c>
      <c r="N335" s="3">
        <v>9.99</v>
      </c>
      <c r="O335" s="3">
        <v>14.95</v>
      </c>
      <c r="P335" s="3" t="s">
        <v>86</v>
      </c>
    </row>
    <row r="336" spans="1:16" x14ac:dyDescent="0.35">
      <c r="A336" s="3" t="s">
        <v>933</v>
      </c>
      <c r="B336" s="3" t="s">
        <v>159</v>
      </c>
      <c r="C336" s="3" t="s">
        <v>118</v>
      </c>
      <c r="D336" s="3" t="s">
        <v>38</v>
      </c>
      <c r="E336" s="3" t="s">
        <v>39</v>
      </c>
      <c r="F336" s="3" t="s">
        <v>40</v>
      </c>
      <c r="G336" s="3" t="s">
        <v>30</v>
      </c>
      <c r="H336" s="3" t="s">
        <v>73</v>
      </c>
      <c r="I336" s="3" t="s">
        <v>934</v>
      </c>
      <c r="J336" s="3" t="s">
        <v>33</v>
      </c>
      <c r="K336" s="3">
        <v>1</v>
      </c>
      <c r="L336" s="3">
        <v>3364.63</v>
      </c>
      <c r="M336" s="3">
        <v>3364.63</v>
      </c>
      <c r="N336" s="3">
        <v>2324.84</v>
      </c>
      <c r="O336" s="3">
        <v>1039.79</v>
      </c>
      <c r="P336" s="3" t="s">
        <v>69</v>
      </c>
    </row>
    <row r="337" spans="1:16" x14ac:dyDescent="0.35">
      <c r="A337" s="3" t="s">
        <v>935</v>
      </c>
      <c r="B337" s="3" t="s">
        <v>936</v>
      </c>
      <c r="C337" s="3" t="s">
        <v>89</v>
      </c>
      <c r="D337" s="3" t="s">
        <v>19</v>
      </c>
      <c r="E337" s="3" t="s">
        <v>49</v>
      </c>
      <c r="F337" s="3" t="s">
        <v>50</v>
      </c>
      <c r="G337" s="3" t="s">
        <v>51</v>
      </c>
      <c r="H337" s="3" t="s">
        <v>77</v>
      </c>
      <c r="I337" s="3" t="s">
        <v>937</v>
      </c>
      <c r="J337" s="3" t="s">
        <v>54</v>
      </c>
      <c r="K337" s="3">
        <v>1</v>
      </c>
      <c r="L337" s="3">
        <v>12751.21</v>
      </c>
      <c r="M337" s="3">
        <v>12751.21</v>
      </c>
      <c r="N337" s="3">
        <v>9206.65</v>
      </c>
      <c r="O337" s="3">
        <v>3544.56</v>
      </c>
      <c r="P337" s="3" t="s">
        <v>34</v>
      </c>
    </row>
    <row r="338" spans="1:16" x14ac:dyDescent="0.35">
      <c r="A338" s="3" t="s">
        <v>938</v>
      </c>
      <c r="B338" s="3" t="s">
        <v>318</v>
      </c>
      <c r="C338" s="3" t="s">
        <v>37</v>
      </c>
      <c r="D338" s="3" t="s">
        <v>90</v>
      </c>
      <c r="E338" s="3" t="s">
        <v>91</v>
      </c>
      <c r="F338" s="3" t="s">
        <v>92</v>
      </c>
      <c r="G338" s="3" t="s">
        <v>41</v>
      </c>
      <c r="H338" s="3" t="s">
        <v>42</v>
      </c>
      <c r="I338" s="3" t="s">
        <v>939</v>
      </c>
      <c r="J338" s="3" t="s">
        <v>25</v>
      </c>
      <c r="K338" s="3">
        <v>2</v>
      </c>
      <c r="L338" s="3">
        <v>43799.44</v>
      </c>
      <c r="M338" s="3">
        <v>87598.88</v>
      </c>
      <c r="N338" s="3">
        <v>67667.41</v>
      </c>
      <c r="O338" s="3">
        <v>19931.47</v>
      </c>
      <c r="P338" s="3" t="s">
        <v>86</v>
      </c>
    </row>
    <row r="339" spans="1:16" x14ac:dyDescent="0.35">
      <c r="A339" s="3" t="s">
        <v>940</v>
      </c>
      <c r="B339" s="3" t="s">
        <v>941</v>
      </c>
      <c r="C339" s="3" t="s">
        <v>118</v>
      </c>
      <c r="D339" s="3" t="s">
        <v>58</v>
      </c>
      <c r="E339" s="3" t="s">
        <v>65</v>
      </c>
      <c r="F339" s="3" t="s">
        <v>66</v>
      </c>
      <c r="G339" s="3" t="s">
        <v>22</v>
      </c>
      <c r="H339" s="3" t="s">
        <v>23</v>
      </c>
      <c r="I339" s="3" t="s">
        <v>625</v>
      </c>
      <c r="J339" s="3" t="s">
        <v>25</v>
      </c>
      <c r="K339" s="3">
        <v>2</v>
      </c>
      <c r="L339" s="3">
        <v>3461.06</v>
      </c>
      <c r="M339" s="3">
        <v>6922.12</v>
      </c>
      <c r="N339" s="3">
        <v>4545.67</v>
      </c>
      <c r="O339" s="3">
        <v>2376.4499999999998</v>
      </c>
      <c r="P339" s="3" t="s">
        <v>26</v>
      </c>
    </row>
    <row r="340" spans="1:16" x14ac:dyDescent="0.35">
      <c r="A340" s="3" t="s">
        <v>942</v>
      </c>
      <c r="B340" s="3" t="s">
        <v>435</v>
      </c>
      <c r="C340" s="3" t="s">
        <v>18</v>
      </c>
      <c r="D340" s="3" t="s">
        <v>58</v>
      </c>
      <c r="E340" s="3" t="s">
        <v>65</v>
      </c>
      <c r="F340" s="3" t="s">
        <v>66</v>
      </c>
      <c r="G340" s="3" t="s">
        <v>22</v>
      </c>
      <c r="H340" s="3" t="s">
        <v>93</v>
      </c>
      <c r="I340" s="3" t="s">
        <v>943</v>
      </c>
      <c r="J340" s="3" t="s">
        <v>85</v>
      </c>
      <c r="K340" s="3">
        <v>2</v>
      </c>
      <c r="L340" s="3">
        <v>6553.13</v>
      </c>
      <c r="M340" s="3">
        <v>13106.26</v>
      </c>
      <c r="N340" s="3">
        <v>10081.780000000001</v>
      </c>
      <c r="O340" s="3">
        <v>3024.48</v>
      </c>
      <c r="P340" s="3" t="s">
        <v>45</v>
      </c>
    </row>
    <row r="341" spans="1:16" x14ac:dyDescent="0.35">
      <c r="A341" s="3" t="s">
        <v>944</v>
      </c>
      <c r="B341" s="3" t="s">
        <v>570</v>
      </c>
      <c r="C341" s="3" t="s">
        <v>18</v>
      </c>
      <c r="D341" s="3" t="s">
        <v>38</v>
      </c>
      <c r="E341" s="3" t="s">
        <v>39</v>
      </c>
      <c r="F341" s="3" t="s">
        <v>40</v>
      </c>
      <c r="G341" s="3" t="s">
        <v>22</v>
      </c>
      <c r="H341" s="3" t="s">
        <v>83</v>
      </c>
      <c r="I341" s="3" t="s">
        <v>945</v>
      </c>
      <c r="J341" s="3" t="s">
        <v>154</v>
      </c>
      <c r="K341" s="3">
        <v>8</v>
      </c>
      <c r="L341" s="3">
        <v>24036.51</v>
      </c>
      <c r="M341" s="3">
        <v>192292.08</v>
      </c>
      <c r="N341" s="3">
        <v>141315.92000000001</v>
      </c>
      <c r="O341" s="3">
        <v>50976.160000000003</v>
      </c>
      <c r="P341" s="3" t="s">
        <v>34</v>
      </c>
    </row>
    <row r="342" spans="1:16" x14ac:dyDescent="0.35">
      <c r="A342" s="3" t="s">
        <v>946</v>
      </c>
      <c r="B342" s="3" t="s">
        <v>282</v>
      </c>
      <c r="C342" s="3" t="s">
        <v>114</v>
      </c>
      <c r="D342" s="3" t="s">
        <v>19</v>
      </c>
      <c r="E342" s="3" t="s">
        <v>49</v>
      </c>
      <c r="F342" s="3" t="s">
        <v>50</v>
      </c>
      <c r="G342" s="3" t="s">
        <v>30</v>
      </c>
      <c r="H342" s="3" t="s">
        <v>67</v>
      </c>
      <c r="I342" s="3" t="s">
        <v>947</v>
      </c>
      <c r="J342" s="3" t="s">
        <v>44</v>
      </c>
      <c r="K342" s="3">
        <v>7</v>
      </c>
      <c r="L342" s="3">
        <v>9291.3700000000008</v>
      </c>
      <c r="M342" s="3">
        <v>65039.59</v>
      </c>
      <c r="N342" s="3">
        <v>55603.59</v>
      </c>
      <c r="O342" s="3">
        <v>9436</v>
      </c>
      <c r="P342" s="3" t="s">
        <v>26</v>
      </c>
    </row>
    <row r="343" spans="1:16" x14ac:dyDescent="0.35">
      <c r="A343" s="3" t="s">
        <v>948</v>
      </c>
      <c r="B343" s="3" t="s">
        <v>949</v>
      </c>
      <c r="C343" s="3" t="s">
        <v>18</v>
      </c>
      <c r="D343" s="3" t="s">
        <v>38</v>
      </c>
      <c r="E343" s="3" t="s">
        <v>104</v>
      </c>
      <c r="F343" s="3" t="s">
        <v>104</v>
      </c>
      <c r="G343" s="3" t="s">
        <v>41</v>
      </c>
      <c r="H343" s="3" t="s">
        <v>138</v>
      </c>
      <c r="I343" s="3" t="s">
        <v>950</v>
      </c>
      <c r="J343" s="3" t="s">
        <v>33</v>
      </c>
      <c r="K343" s="3">
        <v>8</v>
      </c>
      <c r="L343" s="3">
        <v>16589.89</v>
      </c>
      <c r="M343" s="3">
        <v>132719.12</v>
      </c>
      <c r="N343" s="3">
        <v>107150.2</v>
      </c>
      <c r="O343" s="3">
        <v>25568.92</v>
      </c>
      <c r="P343" s="3" t="s">
        <v>34</v>
      </c>
    </row>
    <row r="344" spans="1:16" x14ac:dyDescent="0.35">
      <c r="A344" s="3" t="s">
        <v>951</v>
      </c>
      <c r="B344" s="3" t="s">
        <v>952</v>
      </c>
      <c r="C344" s="3" t="s">
        <v>29</v>
      </c>
      <c r="D344" s="3" t="s">
        <v>58</v>
      </c>
      <c r="E344" s="3" t="s">
        <v>65</v>
      </c>
      <c r="F344" s="3" t="s">
        <v>66</v>
      </c>
      <c r="G344" s="3" t="s">
        <v>22</v>
      </c>
      <c r="H344" s="3" t="s">
        <v>83</v>
      </c>
      <c r="I344" s="3" t="s">
        <v>953</v>
      </c>
      <c r="J344" s="3" t="s">
        <v>161</v>
      </c>
      <c r="K344" s="3">
        <v>4</v>
      </c>
      <c r="L344" s="3">
        <v>22151.03</v>
      </c>
      <c r="M344" s="3">
        <v>88604.12</v>
      </c>
      <c r="N344" s="3">
        <v>67478.14</v>
      </c>
      <c r="O344" s="3">
        <v>21125.98</v>
      </c>
      <c r="P344" s="3" t="s">
        <v>34</v>
      </c>
    </row>
    <row r="345" spans="1:16" x14ac:dyDescent="0.35">
      <c r="A345" s="3" t="s">
        <v>954</v>
      </c>
      <c r="B345" s="3" t="s">
        <v>344</v>
      </c>
      <c r="C345" s="3" t="s">
        <v>48</v>
      </c>
      <c r="D345" s="3" t="s">
        <v>19</v>
      </c>
      <c r="E345" s="3" t="s">
        <v>199</v>
      </c>
      <c r="F345" s="3" t="s">
        <v>200</v>
      </c>
      <c r="G345" s="3" t="s">
        <v>22</v>
      </c>
      <c r="H345" s="3" t="s">
        <v>23</v>
      </c>
      <c r="I345" s="3" t="s">
        <v>630</v>
      </c>
      <c r="J345" s="3" t="s">
        <v>188</v>
      </c>
      <c r="K345" s="3">
        <v>1</v>
      </c>
      <c r="L345" s="3">
        <v>3216.56</v>
      </c>
      <c r="M345" s="3">
        <v>3216.56</v>
      </c>
      <c r="N345" s="3">
        <v>2229.2800000000002</v>
      </c>
      <c r="O345" s="3">
        <v>987.28</v>
      </c>
      <c r="P345" s="3" t="s">
        <v>45</v>
      </c>
    </row>
    <row r="346" spans="1:16" x14ac:dyDescent="0.35">
      <c r="A346" s="3" t="s">
        <v>955</v>
      </c>
      <c r="B346" s="3" t="s">
        <v>376</v>
      </c>
      <c r="C346" s="3" t="s">
        <v>37</v>
      </c>
      <c r="D346" s="3" t="s">
        <v>90</v>
      </c>
      <c r="E346" s="3" t="s">
        <v>91</v>
      </c>
      <c r="F346" s="3" t="s">
        <v>92</v>
      </c>
      <c r="G346" s="3" t="s">
        <v>51</v>
      </c>
      <c r="H346" s="3" t="s">
        <v>52</v>
      </c>
      <c r="I346" s="3" t="s">
        <v>956</v>
      </c>
      <c r="J346" s="3" t="s">
        <v>188</v>
      </c>
      <c r="K346" s="3">
        <v>4</v>
      </c>
      <c r="L346" s="3">
        <v>24.85</v>
      </c>
      <c r="M346" s="3">
        <v>99.4</v>
      </c>
      <c r="N346" s="3">
        <v>40.82</v>
      </c>
      <c r="O346" s="3">
        <v>58.58</v>
      </c>
      <c r="P346" s="3" t="s">
        <v>45</v>
      </c>
    </row>
    <row r="347" spans="1:16" x14ac:dyDescent="0.35">
      <c r="A347" s="3" t="s">
        <v>957</v>
      </c>
      <c r="B347" s="3" t="s">
        <v>958</v>
      </c>
      <c r="C347" s="3" t="s">
        <v>118</v>
      </c>
      <c r="D347" s="3" t="s">
        <v>58</v>
      </c>
      <c r="E347" s="3" t="s">
        <v>65</v>
      </c>
      <c r="F347" s="3" t="s">
        <v>66</v>
      </c>
      <c r="G347" s="3" t="s">
        <v>22</v>
      </c>
      <c r="H347" s="3" t="s">
        <v>93</v>
      </c>
      <c r="I347" s="3" t="s">
        <v>584</v>
      </c>
      <c r="J347" s="3" t="s">
        <v>33</v>
      </c>
      <c r="K347" s="3">
        <v>5</v>
      </c>
      <c r="L347" s="3">
        <v>6672.2</v>
      </c>
      <c r="M347" s="3">
        <v>33361</v>
      </c>
      <c r="N347" s="3">
        <v>25067.200000000001</v>
      </c>
      <c r="O347" s="3">
        <v>8293.7999999999993</v>
      </c>
      <c r="P347" s="3" t="s">
        <v>34</v>
      </c>
    </row>
    <row r="348" spans="1:16" x14ac:dyDescent="0.35">
      <c r="A348" s="3" t="s">
        <v>959</v>
      </c>
      <c r="B348" s="3" t="s">
        <v>960</v>
      </c>
      <c r="C348" s="3" t="s">
        <v>114</v>
      </c>
      <c r="D348" s="3" t="s">
        <v>58</v>
      </c>
      <c r="E348" s="3" t="s">
        <v>176</v>
      </c>
      <c r="F348" s="3" t="s">
        <v>177</v>
      </c>
      <c r="G348" s="3" t="s">
        <v>22</v>
      </c>
      <c r="H348" s="3" t="s">
        <v>83</v>
      </c>
      <c r="I348" s="3" t="s">
        <v>961</v>
      </c>
      <c r="J348" s="3" t="s">
        <v>33</v>
      </c>
      <c r="K348" s="3">
        <v>7</v>
      </c>
      <c r="L348" s="3">
        <v>22299.34</v>
      </c>
      <c r="M348" s="3">
        <v>156095.38</v>
      </c>
      <c r="N348" s="3">
        <v>118289.95</v>
      </c>
      <c r="O348" s="3">
        <v>37805.43</v>
      </c>
      <c r="P348" s="3" t="s">
        <v>69</v>
      </c>
    </row>
    <row r="349" spans="1:16" x14ac:dyDescent="0.35">
      <c r="A349" s="3" t="s">
        <v>962</v>
      </c>
      <c r="B349" s="3" t="s">
        <v>36</v>
      </c>
      <c r="C349" s="3" t="s">
        <v>37</v>
      </c>
      <c r="D349" s="3" t="s">
        <v>19</v>
      </c>
      <c r="E349" s="3" t="s">
        <v>20</v>
      </c>
      <c r="F349" s="3" t="s">
        <v>21</v>
      </c>
      <c r="G349" s="3" t="s">
        <v>51</v>
      </c>
      <c r="H349" s="3" t="s">
        <v>52</v>
      </c>
      <c r="I349" s="3" t="s">
        <v>963</v>
      </c>
      <c r="J349" s="3" t="s">
        <v>171</v>
      </c>
      <c r="K349" s="3">
        <v>6</v>
      </c>
      <c r="L349" s="3">
        <v>22.97</v>
      </c>
      <c r="M349" s="3">
        <v>137.82</v>
      </c>
      <c r="N349" s="3">
        <v>58.05</v>
      </c>
      <c r="O349" s="3">
        <v>79.77</v>
      </c>
      <c r="P349" s="3" t="s">
        <v>86</v>
      </c>
    </row>
    <row r="350" spans="1:16" x14ac:dyDescent="0.35">
      <c r="A350" s="3" t="s">
        <v>964</v>
      </c>
      <c r="B350" s="3" t="s">
        <v>705</v>
      </c>
      <c r="C350" s="3" t="s">
        <v>82</v>
      </c>
      <c r="D350" s="3" t="s">
        <v>38</v>
      </c>
      <c r="E350" s="3" t="s">
        <v>104</v>
      </c>
      <c r="F350" s="3" t="s">
        <v>104</v>
      </c>
      <c r="G350" s="3" t="s">
        <v>41</v>
      </c>
      <c r="H350" s="3" t="s">
        <v>138</v>
      </c>
      <c r="I350" s="3" t="s">
        <v>965</v>
      </c>
      <c r="J350" s="3" t="s">
        <v>100</v>
      </c>
      <c r="K350" s="3">
        <v>3</v>
      </c>
      <c r="L350" s="3">
        <v>17135.419999999998</v>
      </c>
      <c r="M350" s="3">
        <v>51406.26</v>
      </c>
      <c r="N350" s="3">
        <v>42103.9</v>
      </c>
      <c r="O350" s="3">
        <v>9302.36</v>
      </c>
      <c r="P350" s="3" t="s">
        <v>34</v>
      </c>
    </row>
    <row r="351" spans="1:16" x14ac:dyDescent="0.35">
      <c r="A351" s="3" t="s">
        <v>966</v>
      </c>
      <c r="B351" s="3" t="s">
        <v>468</v>
      </c>
      <c r="C351" s="3" t="s">
        <v>82</v>
      </c>
      <c r="D351" s="3" t="s">
        <v>19</v>
      </c>
      <c r="E351" s="3" t="s">
        <v>199</v>
      </c>
      <c r="F351" s="3" t="s">
        <v>200</v>
      </c>
      <c r="G351" s="3" t="s">
        <v>41</v>
      </c>
      <c r="H351" s="3" t="s">
        <v>61</v>
      </c>
      <c r="I351" s="3" t="s">
        <v>127</v>
      </c>
      <c r="J351" s="3" t="s">
        <v>147</v>
      </c>
      <c r="K351" s="3">
        <v>5</v>
      </c>
      <c r="L351" s="3">
        <v>2280.73</v>
      </c>
      <c r="M351" s="3">
        <v>11403.65</v>
      </c>
      <c r="N351" s="3">
        <v>8064.96</v>
      </c>
      <c r="O351" s="3">
        <v>3338.69</v>
      </c>
      <c r="P351" s="3" t="s">
        <v>69</v>
      </c>
    </row>
    <row r="352" spans="1:16" x14ac:dyDescent="0.35">
      <c r="A352" s="3" t="s">
        <v>967</v>
      </c>
      <c r="B352" s="3" t="s">
        <v>276</v>
      </c>
      <c r="C352" s="3" t="s">
        <v>114</v>
      </c>
      <c r="D352" s="3" t="s">
        <v>90</v>
      </c>
      <c r="E352" s="3" t="s">
        <v>91</v>
      </c>
      <c r="F352" s="3" t="s">
        <v>92</v>
      </c>
      <c r="G352" s="3" t="s">
        <v>30</v>
      </c>
      <c r="H352" s="3" t="s">
        <v>31</v>
      </c>
      <c r="I352" s="3" t="s">
        <v>160</v>
      </c>
      <c r="J352" s="3" t="s">
        <v>131</v>
      </c>
      <c r="K352" s="3">
        <v>3</v>
      </c>
      <c r="L352" s="3">
        <v>2828.36</v>
      </c>
      <c r="M352" s="3">
        <v>8485.08</v>
      </c>
      <c r="N352" s="3">
        <v>5421.09</v>
      </c>
      <c r="O352" s="3">
        <v>3063.99</v>
      </c>
      <c r="P352" s="3" t="s">
        <v>45</v>
      </c>
    </row>
    <row r="353" spans="1:16" x14ac:dyDescent="0.35">
      <c r="A353" s="3" t="s">
        <v>968</v>
      </c>
      <c r="B353" s="3" t="s">
        <v>685</v>
      </c>
      <c r="C353" s="3" t="s">
        <v>137</v>
      </c>
      <c r="D353" s="3" t="s">
        <v>58</v>
      </c>
      <c r="E353" s="3" t="s">
        <v>59</v>
      </c>
      <c r="F353" s="3" t="s">
        <v>60</v>
      </c>
      <c r="G353" s="3" t="s">
        <v>30</v>
      </c>
      <c r="H353" s="3" t="s">
        <v>31</v>
      </c>
      <c r="I353" s="3" t="s">
        <v>359</v>
      </c>
      <c r="J353" s="3" t="s">
        <v>131</v>
      </c>
      <c r="K353" s="3">
        <v>3</v>
      </c>
      <c r="L353" s="3">
        <v>2961.29</v>
      </c>
      <c r="M353" s="3">
        <v>8883.8700000000008</v>
      </c>
      <c r="N353" s="3">
        <v>5838.44</v>
      </c>
      <c r="O353" s="3">
        <v>3045.43</v>
      </c>
      <c r="P353" s="3" t="s">
        <v>34</v>
      </c>
    </row>
    <row r="354" spans="1:16" x14ac:dyDescent="0.35">
      <c r="A354" s="3" t="s">
        <v>969</v>
      </c>
      <c r="B354" s="3" t="s">
        <v>534</v>
      </c>
      <c r="C354" s="3" t="s">
        <v>29</v>
      </c>
      <c r="D354" s="3" t="s">
        <v>19</v>
      </c>
      <c r="E354" s="3" t="s">
        <v>49</v>
      </c>
      <c r="F354" s="3" t="s">
        <v>50</v>
      </c>
      <c r="G354" s="3" t="s">
        <v>22</v>
      </c>
      <c r="H354" s="3" t="s">
        <v>93</v>
      </c>
      <c r="I354" s="3" t="s">
        <v>970</v>
      </c>
      <c r="J354" s="3" t="s">
        <v>25</v>
      </c>
      <c r="K354" s="3">
        <v>7</v>
      </c>
      <c r="L354" s="3">
        <v>6815.23</v>
      </c>
      <c r="M354" s="3">
        <v>47706.61</v>
      </c>
      <c r="N354" s="3">
        <v>35515.81</v>
      </c>
      <c r="O354" s="3">
        <v>12190.8</v>
      </c>
      <c r="P354" s="3" t="s">
        <v>26</v>
      </c>
    </row>
    <row r="355" spans="1:16" x14ac:dyDescent="0.35">
      <c r="A355" s="3" t="s">
        <v>971</v>
      </c>
      <c r="B355" s="3" t="s">
        <v>17</v>
      </c>
      <c r="C355" s="3" t="s">
        <v>18</v>
      </c>
      <c r="D355" s="3" t="s">
        <v>90</v>
      </c>
      <c r="E355" s="3" t="s">
        <v>97</v>
      </c>
      <c r="F355" s="3" t="s">
        <v>98</v>
      </c>
      <c r="G355" s="3" t="s">
        <v>22</v>
      </c>
      <c r="H355" s="3" t="s">
        <v>23</v>
      </c>
      <c r="I355" s="3" t="s">
        <v>972</v>
      </c>
      <c r="J355" s="3" t="s">
        <v>188</v>
      </c>
      <c r="K355" s="3">
        <v>2</v>
      </c>
      <c r="L355" s="3">
        <v>3387.84</v>
      </c>
      <c r="M355" s="3">
        <v>6775.68</v>
      </c>
      <c r="N355" s="3">
        <v>4407.76</v>
      </c>
      <c r="O355" s="3">
        <v>2367.92</v>
      </c>
      <c r="P355" s="3" t="s">
        <v>86</v>
      </c>
    </row>
    <row r="356" spans="1:16" x14ac:dyDescent="0.35">
      <c r="A356" s="3" t="s">
        <v>973</v>
      </c>
      <c r="B356" s="3" t="s">
        <v>974</v>
      </c>
      <c r="C356" s="3" t="s">
        <v>29</v>
      </c>
      <c r="D356" s="3" t="s">
        <v>90</v>
      </c>
      <c r="E356" s="3" t="s">
        <v>119</v>
      </c>
      <c r="F356" s="3" t="s">
        <v>120</v>
      </c>
      <c r="G356" s="3" t="s">
        <v>30</v>
      </c>
      <c r="H356" s="3" t="s">
        <v>31</v>
      </c>
      <c r="I356" s="3" t="s">
        <v>975</v>
      </c>
      <c r="J356" s="3" t="s">
        <v>33</v>
      </c>
      <c r="K356" s="3">
        <v>6</v>
      </c>
      <c r="L356" s="3">
        <v>2728.61</v>
      </c>
      <c r="M356" s="3">
        <v>16371.66</v>
      </c>
      <c r="N356" s="3">
        <v>11136.09</v>
      </c>
      <c r="O356" s="3">
        <v>5235.57</v>
      </c>
      <c r="P356" s="3" t="s">
        <v>34</v>
      </c>
    </row>
    <row r="357" spans="1:16" x14ac:dyDescent="0.35">
      <c r="A357" s="3" t="s">
        <v>976</v>
      </c>
      <c r="B357" s="3" t="s">
        <v>654</v>
      </c>
      <c r="C357" s="3" t="s">
        <v>103</v>
      </c>
      <c r="D357" s="3" t="s">
        <v>38</v>
      </c>
      <c r="E357" s="3" t="s">
        <v>109</v>
      </c>
      <c r="F357" s="3" t="s">
        <v>110</v>
      </c>
      <c r="G357" s="3" t="s">
        <v>22</v>
      </c>
      <c r="H357" s="3" t="s">
        <v>93</v>
      </c>
      <c r="I357" s="3" t="s">
        <v>977</v>
      </c>
      <c r="J357" s="3" t="s">
        <v>106</v>
      </c>
      <c r="K357" s="3">
        <v>8</v>
      </c>
      <c r="L357" s="3">
        <v>6384.68</v>
      </c>
      <c r="M357" s="3">
        <v>51077.440000000002</v>
      </c>
      <c r="N357" s="3">
        <v>41402.239999999998</v>
      </c>
      <c r="O357" s="3">
        <v>9675.2000000000007</v>
      </c>
      <c r="P357" s="3" t="s">
        <v>45</v>
      </c>
    </row>
    <row r="358" spans="1:16" x14ac:dyDescent="0.35">
      <c r="A358" s="3" t="s">
        <v>978</v>
      </c>
      <c r="B358" s="3" t="s">
        <v>979</v>
      </c>
      <c r="C358" s="3" t="s">
        <v>103</v>
      </c>
      <c r="D358" s="3" t="s">
        <v>90</v>
      </c>
      <c r="E358" s="3" t="s">
        <v>97</v>
      </c>
      <c r="F358" s="3" t="s">
        <v>98</v>
      </c>
      <c r="G358" s="3" t="s">
        <v>22</v>
      </c>
      <c r="H358" s="3" t="s">
        <v>83</v>
      </c>
      <c r="I358" s="3" t="s">
        <v>980</v>
      </c>
      <c r="J358" s="3" t="s">
        <v>131</v>
      </c>
      <c r="K358" s="3">
        <v>4</v>
      </c>
      <c r="L358" s="3">
        <v>22831.85</v>
      </c>
      <c r="M358" s="3">
        <v>91327.4</v>
      </c>
      <c r="N358" s="3">
        <v>66458.649999999994</v>
      </c>
      <c r="O358" s="3">
        <v>24868.75</v>
      </c>
      <c r="P358" s="3" t="s">
        <v>69</v>
      </c>
    </row>
    <row r="359" spans="1:16" x14ac:dyDescent="0.35">
      <c r="A359" s="3" t="s">
        <v>981</v>
      </c>
      <c r="B359" s="3" t="s">
        <v>285</v>
      </c>
      <c r="C359" s="3" t="s">
        <v>18</v>
      </c>
      <c r="D359" s="3" t="s">
        <v>38</v>
      </c>
      <c r="E359" s="3" t="s">
        <v>104</v>
      </c>
      <c r="F359" s="3" t="s">
        <v>104</v>
      </c>
      <c r="G359" s="3" t="s">
        <v>30</v>
      </c>
      <c r="H359" s="3" t="s">
        <v>73</v>
      </c>
      <c r="I359" s="3" t="s">
        <v>160</v>
      </c>
      <c r="J359" s="3" t="s">
        <v>100</v>
      </c>
      <c r="K359" s="3">
        <v>4</v>
      </c>
      <c r="L359" s="3">
        <v>2888.08</v>
      </c>
      <c r="M359" s="3">
        <v>11552.32</v>
      </c>
      <c r="N359" s="3">
        <v>9277.34</v>
      </c>
      <c r="O359" s="3">
        <v>2274.98</v>
      </c>
      <c r="P359" s="3" t="s">
        <v>26</v>
      </c>
    </row>
    <row r="360" spans="1:16" x14ac:dyDescent="0.35">
      <c r="A360" s="3" t="s">
        <v>982</v>
      </c>
      <c r="B360" s="3" t="s">
        <v>438</v>
      </c>
      <c r="C360" s="3" t="s">
        <v>89</v>
      </c>
      <c r="D360" s="3" t="s">
        <v>19</v>
      </c>
      <c r="E360" s="3" t="s">
        <v>49</v>
      </c>
      <c r="F360" s="3" t="s">
        <v>50</v>
      </c>
      <c r="G360" s="3" t="s">
        <v>22</v>
      </c>
      <c r="H360" s="3" t="s">
        <v>93</v>
      </c>
      <c r="I360" s="3" t="s">
        <v>983</v>
      </c>
      <c r="J360" s="3" t="s">
        <v>100</v>
      </c>
      <c r="K360" s="3">
        <v>4</v>
      </c>
      <c r="L360" s="3">
        <v>7017.74</v>
      </c>
      <c r="M360" s="3">
        <v>28070.959999999999</v>
      </c>
      <c r="N360" s="3">
        <v>20294.5</v>
      </c>
      <c r="O360" s="3">
        <v>7776.46</v>
      </c>
      <c r="P360" s="3" t="s">
        <v>26</v>
      </c>
    </row>
    <row r="361" spans="1:16" x14ac:dyDescent="0.35">
      <c r="A361" s="3" t="s">
        <v>984</v>
      </c>
      <c r="B361" s="3" t="s">
        <v>924</v>
      </c>
      <c r="C361" s="3" t="s">
        <v>18</v>
      </c>
      <c r="D361" s="3" t="s">
        <v>58</v>
      </c>
      <c r="E361" s="3" t="s">
        <v>176</v>
      </c>
      <c r="F361" s="3" t="s">
        <v>177</v>
      </c>
      <c r="G361" s="3" t="s">
        <v>41</v>
      </c>
      <c r="H361" s="3" t="s">
        <v>61</v>
      </c>
      <c r="I361" s="3" t="s">
        <v>985</v>
      </c>
      <c r="J361" s="3" t="s">
        <v>217</v>
      </c>
      <c r="K361" s="3">
        <v>8</v>
      </c>
      <c r="L361" s="3">
        <v>2270.59</v>
      </c>
      <c r="M361" s="3">
        <v>18164.72</v>
      </c>
      <c r="N361" s="3">
        <v>12850.66</v>
      </c>
      <c r="O361" s="3">
        <v>5314.06</v>
      </c>
      <c r="P361" s="3" t="s">
        <v>34</v>
      </c>
    </row>
    <row r="362" spans="1:16" x14ac:dyDescent="0.35">
      <c r="A362" s="3" t="s">
        <v>986</v>
      </c>
      <c r="B362" s="3" t="s">
        <v>987</v>
      </c>
      <c r="C362" s="3" t="s">
        <v>82</v>
      </c>
      <c r="D362" s="3" t="s">
        <v>38</v>
      </c>
      <c r="E362" s="3" t="s">
        <v>109</v>
      </c>
      <c r="F362" s="3" t="s">
        <v>110</v>
      </c>
      <c r="G362" s="3" t="s">
        <v>51</v>
      </c>
      <c r="H362" s="3" t="s">
        <v>145</v>
      </c>
      <c r="I362" s="3" t="s">
        <v>354</v>
      </c>
      <c r="J362" s="3" t="s">
        <v>131</v>
      </c>
      <c r="K362" s="3">
        <v>1</v>
      </c>
      <c r="L362" s="3">
        <v>119.13</v>
      </c>
      <c r="M362" s="3">
        <v>119.13</v>
      </c>
      <c r="N362" s="3">
        <v>62.74</v>
      </c>
      <c r="O362" s="3">
        <v>56.39</v>
      </c>
      <c r="P362" s="3" t="s">
        <v>34</v>
      </c>
    </row>
    <row r="363" spans="1:16" x14ac:dyDescent="0.35">
      <c r="A363" s="3" t="s">
        <v>988</v>
      </c>
      <c r="B363" s="3" t="s">
        <v>989</v>
      </c>
      <c r="C363" s="3" t="s">
        <v>29</v>
      </c>
      <c r="D363" s="3" t="s">
        <v>90</v>
      </c>
      <c r="E363" s="3" t="s">
        <v>91</v>
      </c>
      <c r="F363" s="3" t="s">
        <v>92</v>
      </c>
      <c r="G363" s="3" t="s">
        <v>30</v>
      </c>
      <c r="H363" s="3" t="s">
        <v>73</v>
      </c>
      <c r="I363" s="3" t="s">
        <v>990</v>
      </c>
      <c r="J363" s="3" t="s">
        <v>131</v>
      </c>
      <c r="K363" s="3">
        <v>8</v>
      </c>
      <c r="L363" s="3">
        <v>3121.1</v>
      </c>
      <c r="M363" s="3">
        <v>24968.799999999999</v>
      </c>
      <c r="N363" s="3">
        <v>18273.18</v>
      </c>
      <c r="O363" s="3">
        <v>6695.62</v>
      </c>
      <c r="P363" s="3" t="s">
        <v>86</v>
      </c>
    </row>
    <row r="364" spans="1:16" x14ac:dyDescent="0.35">
      <c r="A364" s="3" t="s">
        <v>991</v>
      </c>
      <c r="B364" s="3" t="s">
        <v>478</v>
      </c>
      <c r="C364" s="3" t="s">
        <v>82</v>
      </c>
      <c r="D364" s="3" t="s">
        <v>90</v>
      </c>
      <c r="E364" s="3" t="s">
        <v>91</v>
      </c>
      <c r="F364" s="3" t="s">
        <v>92</v>
      </c>
      <c r="G364" s="3" t="s">
        <v>41</v>
      </c>
      <c r="H364" s="3" t="s">
        <v>138</v>
      </c>
      <c r="I364" s="3" t="s">
        <v>992</v>
      </c>
      <c r="J364" s="3" t="s">
        <v>161</v>
      </c>
      <c r="K364" s="3">
        <v>6</v>
      </c>
      <c r="L364" s="3">
        <v>19169.2</v>
      </c>
      <c r="M364" s="3">
        <v>115015.2</v>
      </c>
      <c r="N364" s="3">
        <v>82907.360000000001</v>
      </c>
      <c r="O364" s="3">
        <v>32107.84</v>
      </c>
      <c r="P364" s="3" t="s">
        <v>26</v>
      </c>
    </row>
    <row r="365" spans="1:16" x14ac:dyDescent="0.35">
      <c r="A365" s="3" t="s">
        <v>993</v>
      </c>
      <c r="B365" s="3" t="s">
        <v>994</v>
      </c>
      <c r="C365" s="3" t="s">
        <v>29</v>
      </c>
      <c r="D365" s="3" t="s">
        <v>38</v>
      </c>
      <c r="E365" s="3" t="s">
        <v>104</v>
      </c>
      <c r="F365" s="3" t="s">
        <v>104</v>
      </c>
      <c r="G365" s="3" t="s">
        <v>30</v>
      </c>
      <c r="H365" s="3" t="s">
        <v>73</v>
      </c>
      <c r="I365" s="3" t="s">
        <v>995</v>
      </c>
      <c r="J365" s="3" t="s">
        <v>171</v>
      </c>
      <c r="K365" s="3">
        <v>1</v>
      </c>
      <c r="L365" s="3">
        <v>3209.58</v>
      </c>
      <c r="M365" s="3">
        <v>3209.58</v>
      </c>
      <c r="N365" s="3">
        <v>2509.9299999999998</v>
      </c>
      <c r="O365" s="3">
        <v>699.65</v>
      </c>
      <c r="P365" s="3" t="s">
        <v>34</v>
      </c>
    </row>
    <row r="366" spans="1:16" x14ac:dyDescent="0.35">
      <c r="A366" s="3" t="s">
        <v>996</v>
      </c>
      <c r="B366" s="3" t="s">
        <v>152</v>
      </c>
      <c r="C366" s="3" t="s">
        <v>57</v>
      </c>
      <c r="D366" s="3" t="s">
        <v>90</v>
      </c>
      <c r="E366" s="3" t="s">
        <v>119</v>
      </c>
      <c r="F366" s="3" t="s">
        <v>120</v>
      </c>
      <c r="G366" s="3" t="s">
        <v>22</v>
      </c>
      <c r="H366" s="3" t="s">
        <v>23</v>
      </c>
      <c r="I366" s="3" t="s">
        <v>997</v>
      </c>
      <c r="J366" s="3" t="s">
        <v>217</v>
      </c>
      <c r="K366" s="3">
        <v>1</v>
      </c>
      <c r="L366" s="3">
        <v>3516.29</v>
      </c>
      <c r="M366" s="3">
        <v>3516.29</v>
      </c>
      <c r="N366" s="3">
        <v>2166.7600000000002</v>
      </c>
      <c r="O366" s="3">
        <v>1349.53</v>
      </c>
      <c r="P366" s="3" t="s">
        <v>69</v>
      </c>
    </row>
    <row r="367" spans="1:16" x14ac:dyDescent="0.35">
      <c r="A367" s="3" t="s">
        <v>998</v>
      </c>
      <c r="B367" s="3" t="s">
        <v>999</v>
      </c>
      <c r="C367" s="3" t="s">
        <v>103</v>
      </c>
      <c r="D367" s="3" t="s">
        <v>58</v>
      </c>
      <c r="E367" s="3" t="s">
        <v>59</v>
      </c>
      <c r="F367" s="3" t="s">
        <v>60</v>
      </c>
      <c r="G367" s="3" t="s">
        <v>41</v>
      </c>
      <c r="H367" s="3" t="s">
        <v>42</v>
      </c>
      <c r="I367" s="3" t="s">
        <v>1000</v>
      </c>
      <c r="J367" s="3" t="s">
        <v>161</v>
      </c>
      <c r="K367" s="3">
        <v>4</v>
      </c>
      <c r="L367" s="3">
        <v>47239.34</v>
      </c>
      <c r="M367" s="3">
        <v>188957.36</v>
      </c>
      <c r="N367" s="3">
        <v>146427.74</v>
      </c>
      <c r="O367" s="3">
        <v>42529.62</v>
      </c>
      <c r="P367" s="3" t="s">
        <v>86</v>
      </c>
    </row>
    <row r="368" spans="1:16" x14ac:dyDescent="0.35">
      <c r="A368" s="3" t="s">
        <v>1001</v>
      </c>
      <c r="B368" s="3" t="s">
        <v>288</v>
      </c>
      <c r="C368" s="3" t="s">
        <v>118</v>
      </c>
      <c r="D368" s="3" t="s">
        <v>19</v>
      </c>
      <c r="E368" s="3" t="s">
        <v>49</v>
      </c>
      <c r="F368" s="3" t="s">
        <v>50</v>
      </c>
      <c r="G368" s="3" t="s">
        <v>41</v>
      </c>
      <c r="H368" s="3" t="s">
        <v>61</v>
      </c>
      <c r="I368" s="3" t="s">
        <v>1002</v>
      </c>
      <c r="J368" s="3" t="s">
        <v>171</v>
      </c>
      <c r="K368" s="3">
        <v>6</v>
      </c>
      <c r="L368" s="3">
        <v>2269.54</v>
      </c>
      <c r="M368" s="3">
        <v>13617.24</v>
      </c>
      <c r="N368" s="3">
        <v>9298.2999999999993</v>
      </c>
      <c r="O368" s="3">
        <v>4318.9399999999996</v>
      </c>
      <c r="P368" s="3" t="s">
        <v>86</v>
      </c>
    </row>
    <row r="369" spans="1:16" x14ac:dyDescent="0.35">
      <c r="A369" s="3" t="s">
        <v>1003</v>
      </c>
      <c r="B369" s="3" t="s">
        <v>282</v>
      </c>
      <c r="C369" s="3" t="s">
        <v>114</v>
      </c>
      <c r="D369" s="3" t="s">
        <v>90</v>
      </c>
      <c r="E369" s="3" t="s">
        <v>91</v>
      </c>
      <c r="F369" s="3" t="s">
        <v>92</v>
      </c>
      <c r="G369" s="3" t="s">
        <v>51</v>
      </c>
      <c r="H369" s="3" t="s">
        <v>52</v>
      </c>
      <c r="I369" s="3" t="s">
        <v>1004</v>
      </c>
      <c r="J369" s="3" t="s">
        <v>54</v>
      </c>
      <c r="K369" s="3">
        <v>7</v>
      </c>
      <c r="L369" s="3">
        <v>27.48</v>
      </c>
      <c r="M369" s="3">
        <v>192.36</v>
      </c>
      <c r="N369" s="3">
        <v>72.84</v>
      </c>
      <c r="O369" s="3">
        <v>119.52</v>
      </c>
      <c r="P369" s="3" t="s">
        <v>34</v>
      </c>
    </row>
    <row r="370" spans="1:16" x14ac:dyDescent="0.35">
      <c r="A370" s="3" t="s">
        <v>1005</v>
      </c>
      <c r="B370" s="3" t="s">
        <v>702</v>
      </c>
      <c r="C370" s="3" t="s">
        <v>57</v>
      </c>
      <c r="D370" s="3" t="s">
        <v>19</v>
      </c>
      <c r="E370" s="3" t="s">
        <v>20</v>
      </c>
      <c r="F370" s="3" t="s">
        <v>21</v>
      </c>
      <c r="G370" s="3" t="s">
        <v>30</v>
      </c>
      <c r="H370" s="3" t="s">
        <v>73</v>
      </c>
      <c r="I370" s="3" t="s">
        <v>1006</v>
      </c>
      <c r="J370" s="3" t="s">
        <v>25</v>
      </c>
      <c r="K370" s="3">
        <v>8</v>
      </c>
      <c r="L370" s="3">
        <v>3284.55</v>
      </c>
      <c r="M370" s="3">
        <v>26276.400000000001</v>
      </c>
      <c r="N370" s="3">
        <v>18349.490000000002</v>
      </c>
      <c r="O370" s="3">
        <v>7926.91</v>
      </c>
      <c r="P370" s="3" t="s">
        <v>86</v>
      </c>
    </row>
    <row r="371" spans="1:16" x14ac:dyDescent="0.35">
      <c r="A371" s="3" t="s">
        <v>1007</v>
      </c>
      <c r="B371" s="3" t="s">
        <v>76</v>
      </c>
      <c r="C371" s="3" t="s">
        <v>48</v>
      </c>
      <c r="D371" s="3" t="s">
        <v>38</v>
      </c>
      <c r="E371" s="3" t="s">
        <v>104</v>
      </c>
      <c r="F371" s="3" t="s">
        <v>104</v>
      </c>
      <c r="G371" s="3" t="s">
        <v>30</v>
      </c>
      <c r="H371" s="3" t="s">
        <v>73</v>
      </c>
      <c r="I371" s="3" t="s">
        <v>1008</v>
      </c>
      <c r="J371" s="3" t="s">
        <v>85</v>
      </c>
      <c r="K371" s="3">
        <v>2</v>
      </c>
      <c r="L371" s="3">
        <v>3381.58</v>
      </c>
      <c r="M371" s="3">
        <v>6763.16</v>
      </c>
      <c r="N371" s="3">
        <v>4642.54</v>
      </c>
      <c r="O371" s="3">
        <v>2120.62</v>
      </c>
      <c r="P371" s="3" t="s">
        <v>34</v>
      </c>
    </row>
    <row r="372" spans="1:16" x14ac:dyDescent="0.35">
      <c r="A372" s="3" t="s">
        <v>1009</v>
      </c>
      <c r="B372" s="3" t="s">
        <v>318</v>
      </c>
      <c r="C372" s="3" t="s">
        <v>37</v>
      </c>
      <c r="D372" s="3" t="s">
        <v>90</v>
      </c>
      <c r="E372" s="3" t="s">
        <v>119</v>
      </c>
      <c r="F372" s="3" t="s">
        <v>120</v>
      </c>
      <c r="G372" s="3" t="s">
        <v>51</v>
      </c>
      <c r="H372" s="3" t="s">
        <v>52</v>
      </c>
      <c r="I372" s="3" t="s">
        <v>1010</v>
      </c>
      <c r="J372" s="3" t="s">
        <v>44</v>
      </c>
      <c r="K372" s="3">
        <v>6</v>
      </c>
      <c r="L372" s="3">
        <v>22.88</v>
      </c>
      <c r="M372" s="3">
        <v>137.28</v>
      </c>
      <c r="N372" s="3">
        <v>61.84</v>
      </c>
      <c r="O372" s="3">
        <v>75.44</v>
      </c>
      <c r="P372" s="3" t="s">
        <v>26</v>
      </c>
    </row>
    <row r="373" spans="1:16" x14ac:dyDescent="0.35">
      <c r="A373" s="3" t="s">
        <v>1011</v>
      </c>
      <c r="B373" s="3" t="s">
        <v>779</v>
      </c>
      <c r="C373" s="3" t="s">
        <v>114</v>
      </c>
      <c r="D373" s="3" t="s">
        <v>38</v>
      </c>
      <c r="E373" s="3" t="s">
        <v>104</v>
      </c>
      <c r="F373" s="3" t="s">
        <v>104</v>
      </c>
      <c r="G373" s="3" t="s">
        <v>30</v>
      </c>
      <c r="H373" s="3" t="s">
        <v>31</v>
      </c>
      <c r="I373" s="3" t="s">
        <v>1012</v>
      </c>
      <c r="J373" s="3" t="s">
        <v>100</v>
      </c>
      <c r="K373" s="3">
        <v>1</v>
      </c>
      <c r="L373" s="3">
        <v>2973.82</v>
      </c>
      <c r="M373" s="3">
        <v>2973.82</v>
      </c>
      <c r="N373" s="3">
        <v>1899.63</v>
      </c>
      <c r="O373" s="3">
        <v>1074.19</v>
      </c>
      <c r="P373" s="3" t="s">
        <v>69</v>
      </c>
    </row>
    <row r="374" spans="1:16" x14ac:dyDescent="0.35">
      <c r="A374" s="3" t="s">
        <v>1013</v>
      </c>
      <c r="B374" s="3" t="s">
        <v>807</v>
      </c>
      <c r="C374" s="3" t="s">
        <v>72</v>
      </c>
      <c r="D374" s="3" t="s">
        <v>58</v>
      </c>
      <c r="E374" s="3" t="s">
        <v>59</v>
      </c>
      <c r="F374" s="3" t="s">
        <v>60</v>
      </c>
      <c r="G374" s="3" t="s">
        <v>51</v>
      </c>
      <c r="H374" s="3" t="s">
        <v>52</v>
      </c>
      <c r="I374" s="3" t="s">
        <v>697</v>
      </c>
      <c r="J374" s="3" t="s">
        <v>147</v>
      </c>
      <c r="K374" s="3">
        <v>6</v>
      </c>
      <c r="L374" s="3">
        <v>26.36</v>
      </c>
      <c r="M374" s="3">
        <v>158.16</v>
      </c>
      <c r="N374" s="3">
        <v>58.18</v>
      </c>
      <c r="O374" s="3">
        <v>99.98</v>
      </c>
      <c r="P374" s="3" t="s">
        <v>69</v>
      </c>
    </row>
    <row r="375" spans="1:16" x14ac:dyDescent="0.35">
      <c r="A375" s="3" t="s">
        <v>1014</v>
      </c>
      <c r="B375" s="3" t="s">
        <v>639</v>
      </c>
      <c r="C375" s="3" t="s">
        <v>72</v>
      </c>
      <c r="D375" s="3" t="s">
        <v>90</v>
      </c>
      <c r="E375" s="3" t="s">
        <v>97</v>
      </c>
      <c r="F375" s="3" t="s">
        <v>98</v>
      </c>
      <c r="G375" s="3" t="s">
        <v>51</v>
      </c>
      <c r="H375" s="3" t="s">
        <v>77</v>
      </c>
      <c r="I375" s="3" t="s">
        <v>1015</v>
      </c>
      <c r="J375" s="3" t="s">
        <v>33</v>
      </c>
      <c r="K375" s="3">
        <v>2</v>
      </c>
      <c r="L375" s="3">
        <v>10933.72</v>
      </c>
      <c r="M375" s="3">
        <v>21867.439999999999</v>
      </c>
      <c r="N375" s="3">
        <v>17984.41</v>
      </c>
      <c r="O375" s="3">
        <v>3883.03</v>
      </c>
      <c r="P375" s="3" t="s">
        <v>26</v>
      </c>
    </row>
    <row r="376" spans="1:16" x14ac:dyDescent="0.35">
      <c r="A376" s="3" t="s">
        <v>1016</v>
      </c>
      <c r="B376" s="3" t="s">
        <v>291</v>
      </c>
      <c r="C376" s="3" t="s">
        <v>48</v>
      </c>
      <c r="D376" s="3" t="s">
        <v>58</v>
      </c>
      <c r="E376" s="3" t="s">
        <v>176</v>
      </c>
      <c r="F376" s="3" t="s">
        <v>177</v>
      </c>
      <c r="G376" s="3" t="s">
        <v>41</v>
      </c>
      <c r="H376" s="3" t="s">
        <v>42</v>
      </c>
      <c r="I376" s="3" t="s">
        <v>710</v>
      </c>
      <c r="J376" s="3" t="s">
        <v>217</v>
      </c>
      <c r="K376" s="3">
        <v>1</v>
      </c>
      <c r="L376" s="3">
        <v>48843.11</v>
      </c>
      <c r="M376" s="3">
        <v>48843.11</v>
      </c>
      <c r="N376" s="3">
        <v>34851.97</v>
      </c>
      <c r="O376" s="3">
        <v>13991.14</v>
      </c>
      <c r="P376" s="3" t="s">
        <v>34</v>
      </c>
    </row>
    <row r="377" spans="1:16" x14ac:dyDescent="0.35">
      <c r="A377" s="3" t="s">
        <v>1017</v>
      </c>
      <c r="B377" s="3" t="s">
        <v>1018</v>
      </c>
      <c r="C377" s="3" t="s">
        <v>37</v>
      </c>
      <c r="D377" s="3" t="s">
        <v>58</v>
      </c>
      <c r="E377" s="3" t="s">
        <v>65</v>
      </c>
      <c r="F377" s="3" t="s">
        <v>66</v>
      </c>
      <c r="G377" s="3" t="s">
        <v>22</v>
      </c>
      <c r="H377" s="3" t="s">
        <v>93</v>
      </c>
      <c r="I377" s="3" t="s">
        <v>1019</v>
      </c>
      <c r="J377" s="3" t="s">
        <v>33</v>
      </c>
      <c r="K377" s="3">
        <v>1</v>
      </c>
      <c r="L377" s="3">
        <v>6537.83</v>
      </c>
      <c r="M377" s="3">
        <v>6537.83</v>
      </c>
      <c r="N377" s="3">
        <v>4979.1000000000004</v>
      </c>
      <c r="O377" s="3">
        <v>1558.73</v>
      </c>
      <c r="P377" s="3" t="s">
        <v>45</v>
      </c>
    </row>
    <row r="378" spans="1:16" x14ac:dyDescent="0.35">
      <c r="A378" s="3" t="s">
        <v>1020</v>
      </c>
      <c r="B378" s="3" t="s">
        <v>1021</v>
      </c>
      <c r="C378" s="3" t="s">
        <v>82</v>
      </c>
      <c r="D378" s="3" t="s">
        <v>19</v>
      </c>
      <c r="E378" s="3" t="s">
        <v>49</v>
      </c>
      <c r="F378" s="3" t="s">
        <v>50</v>
      </c>
      <c r="G378" s="3" t="s">
        <v>22</v>
      </c>
      <c r="H378" s="3" t="s">
        <v>93</v>
      </c>
      <c r="I378" s="3" t="s">
        <v>1022</v>
      </c>
      <c r="J378" s="3" t="s">
        <v>54</v>
      </c>
      <c r="K378" s="3">
        <v>3</v>
      </c>
      <c r="L378" s="3">
        <v>6417.79</v>
      </c>
      <c r="M378" s="3">
        <v>19253.37</v>
      </c>
      <c r="N378" s="3">
        <v>15172.17</v>
      </c>
      <c r="O378" s="3">
        <v>4081.2</v>
      </c>
      <c r="P378" s="3" t="s">
        <v>69</v>
      </c>
    </row>
    <row r="379" spans="1:16" x14ac:dyDescent="0.35">
      <c r="A379" s="3" t="s">
        <v>1023</v>
      </c>
      <c r="B379" s="3" t="s">
        <v>994</v>
      </c>
      <c r="C379" s="3" t="s">
        <v>29</v>
      </c>
      <c r="D379" s="3" t="s">
        <v>19</v>
      </c>
      <c r="E379" s="3" t="s">
        <v>49</v>
      </c>
      <c r="F379" s="3" t="s">
        <v>50</v>
      </c>
      <c r="G379" s="3" t="s">
        <v>22</v>
      </c>
      <c r="H379" s="3" t="s">
        <v>93</v>
      </c>
      <c r="I379" s="3" t="s">
        <v>1024</v>
      </c>
      <c r="J379" s="3" t="s">
        <v>131</v>
      </c>
      <c r="K379" s="3">
        <v>3</v>
      </c>
      <c r="L379" s="3">
        <v>6581.82</v>
      </c>
      <c r="M379" s="3">
        <v>19745.46</v>
      </c>
      <c r="N379" s="3">
        <v>14588.93</v>
      </c>
      <c r="O379" s="3">
        <v>5156.53</v>
      </c>
      <c r="P379" s="3" t="s">
        <v>45</v>
      </c>
    </row>
    <row r="380" spans="1:16" x14ac:dyDescent="0.35">
      <c r="A380" s="3" t="s">
        <v>1025</v>
      </c>
      <c r="B380" s="3" t="s">
        <v>17</v>
      </c>
      <c r="C380" s="3" t="s">
        <v>18</v>
      </c>
      <c r="D380" s="3" t="s">
        <v>19</v>
      </c>
      <c r="E380" s="3" t="s">
        <v>49</v>
      </c>
      <c r="F380" s="3" t="s">
        <v>50</v>
      </c>
      <c r="G380" s="3" t="s">
        <v>22</v>
      </c>
      <c r="H380" s="3" t="s">
        <v>83</v>
      </c>
      <c r="I380" s="3" t="s">
        <v>780</v>
      </c>
      <c r="J380" s="3" t="s">
        <v>161</v>
      </c>
      <c r="K380" s="3">
        <v>3</v>
      </c>
      <c r="L380" s="3">
        <v>20461.990000000002</v>
      </c>
      <c r="M380" s="3">
        <v>61385.97</v>
      </c>
      <c r="N380" s="3">
        <v>49495.64</v>
      </c>
      <c r="O380" s="3">
        <v>11890.33</v>
      </c>
      <c r="P380" s="3" t="s">
        <v>26</v>
      </c>
    </row>
    <row r="381" spans="1:16" x14ac:dyDescent="0.35">
      <c r="A381" s="3" t="s">
        <v>1026</v>
      </c>
      <c r="B381" s="3" t="s">
        <v>847</v>
      </c>
      <c r="C381" s="3" t="s">
        <v>89</v>
      </c>
      <c r="D381" s="3" t="s">
        <v>58</v>
      </c>
      <c r="E381" s="3" t="s">
        <v>176</v>
      </c>
      <c r="F381" s="3" t="s">
        <v>177</v>
      </c>
      <c r="G381" s="3" t="s">
        <v>30</v>
      </c>
      <c r="H381" s="3" t="s">
        <v>67</v>
      </c>
      <c r="I381" s="3" t="s">
        <v>793</v>
      </c>
      <c r="J381" s="3" t="s">
        <v>147</v>
      </c>
      <c r="K381" s="3">
        <v>8</v>
      </c>
      <c r="L381" s="3">
        <v>10291.4</v>
      </c>
      <c r="M381" s="3">
        <v>82331.199999999997</v>
      </c>
      <c r="N381" s="3">
        <v>62468.85</v>
      </c>
      <c r="O381" s="3">
        <v>19862.349999999999</v>
      </c>
      <c r="P381" s="3" t="s">
        <v>45</v>
      </c>
    </row>
    <row r="382" spans="1:16" x14ac:dyDescent="0.35">
      <c r="A382" s="3" t="s">
        <v>1027</v>
      </c>
      <c r="B382" s="3" t="s">
        <v>336</v>
      </c>
      <c r="C382" s="3" t="s">
        <v>29</v>
      </c>
      <c r="D382" s="3" t="s">
        <v>90</v>
      </c>
      <c r="E382" s="3" t="s">
        <v>91</v>
      </c>
      <c r="F382" s="3" t="s">
        <v>92</v>
      </c>
      <c r="G382" s="3" t="s">
        <v>22</v>
      </c>
      <c r="H382" s="3" t="s">
        <v>93</v>
      </c>
      <c r="I382" s="3" t="s">
        <v>280</v>
      </c>
      <c r="J382" s="3" t="s">
        <v>217</v>
      </c>
      <c r="K382" s="3">
        <v>8</v>
      </c>
      <c r="L382" s="3">
        <v>6811.79</v>
      </c>
      <c r="M382" s="3">
        <v>54494.32</v>
      </c>
      <c r="N382" s="3">
        <v>38390.97</v>
      </c>
      <c r="O382" s="3">
        <v>16103.35</v>
      </c>
      <c r="P382" s="3" t="s">
        <v>45</v>
      </c>
    </row>
    <row r="383" spans="1:16" x14ac:dyDescent="0.35">
      <c r="A383" s="3" t="s">
        <v>1028</v>
      </c>
      <c r="B383" s="3" t="s">
        <v>47</v>
      </c>
      <c r="C383" s="3" t="s">
        <v>48</v>
      </c>
      <c r="D383" s="3" t="s">
        <v>58</v>
      </c>
      <c r="E383" s="3" t="s">
        <v>65</v>
      </c>
      <c r="F383" s="3" t="s">
        <v>66</v>
      </c>
      <c r="G383" s="3" t="s">
        <v>51</v>
      </c>
      <c r="H383" s="3" t="s">
        <v>145</v>
      </c>
      <c r="I383" s="3" t="s">
        <v>1029</v>
      </c>
      <c r="J383" s="3" t="s">
        <v>188</v>
      </c>
      <c r="K383" s="3">
        <v>6</v>
      </c>
      <c r="L383" s="3">
        <v>115.31</v>
      </c>
      <c r="M383" s="3">
        <v>691.86</v>
      </c>
      <c r="N383" s="3">
        <v>353.19</v>
      </c>
      <c r="O383" s="3">
        <v>338.67</v>
      </c>
      <c r="P383" s="3" t="s">
        <v>34</v>
      </c>
    </row>
    <row r="384" spans="1:16" x14ac:dyDescent="0.35">
      <c r="A384" s="3" t="s">
        <v>1030</v>
      </c>
      <c r="B384" s="3" t="s">
        <v>1031</v>
      </c>
      <c r="C384" s="3" t="s">
        <v>82</v>
      </c>
      <c r="D384" s="3" t="s">
        <v>90</v>
      </c>
      <c r="E384" s="3" t="s">
        <v>119</v>
      </c>
      <c r="F384" s="3" t="s">
        <v>120</v>
      </c>
      <c r="G384" s="3" t="s">
        <v>41</v>
      </c>
      <c r="H384" s="3" t="s">
        <v>138</v>
      </c>
      <c r="I384" s="3" t="s">
        <v>1032</v>
      </c>
      <c r="J384" s="3" t="s">
        <v>171</v>
      </c>
      <c r="K384" s="3">
        <v>6</v>
      </c>
      <c r="L384" s="3">
        <v>19208.509999999998</v>
      </c>
      <c r="M384" s="3">
        <v>115251.06</v>
      </c>
      <c r="N384" s="3">
        <v>83142.39</v>
      </c>
      <c r="O384" s="3">
        <v>32108.67</v>
      </c>
      <c r="P384" s="3" t="s">
        <v>45</v>
      </c>
    </row>
    <row r="385" spans="1:16" x14ac:dyDescent="0.35">
      <c r="A385" s="3" t="s">
        <v>1033</v>
      </c>
      <c r="B385" s="3" t="s">
        <v>733</v>
      </c>
      <c r="C385" s="3" t="s">
        <v>89</v>
      </c>
      <c r="D385" s="3" t="s">
        <v>19</v>
      </c>
      <c r="E385" s="3" t="s">
        <v>49</v>
      </c>
      <c r="F385" s="3" t="s">
        <v>50</v>
      </c>
      <c r="G385" s="3" t="s">
        <v>51</v>
      </c>
      <c r="H385" s="3" t="s">
        <v>145</v>
      </c>
      <c r="I385" s="3" t="s">
        <v>337</v>
      </c>
      <c r="J385" s="3" t="s">
        <v>188</v>
      </c>
      <c r="K385" s="3">
        <v>1</v>
      </c>
      <c r="L385" s="3">
        <v>108.75</v>
      </c>
      <c r="M385" s="3">
        <v>108.75</v>
      </c>
      <c r="N385" s="3">
        <v>58.18</v>
      </c>
      <c r="O385" s="3">
        <v>50.57</v>
      </c>
      <c r="P385" s="3" t="s">
        <v>86</v>
      </c>
    </row>
    <row r="386" spans="1:16" x14ac:dyDescent="0.35">
      <c r="A386" s="3" t="s">
        <v>1034</v>
      </c>
      <c r="B386" s="3" t="s">
        <v>276</v>
      </c>
      <c r="C386" s="3" t="s">
        <v>114</v>
      </c>
      <c r="D386" s="3" t="s">
        <v>38</v>
      </c>
      <c r="E386" s="3" t="s">
        <v>104</v>
      </c>
      <c r="F386" s="3" t="s">
        <v>104</v>
      </c>
      <c r="G386" s="3" t="s">
        <v>22</v>
      </c>
      <c r="H386" s="3" t="s">
        <v>83</v>
      </c>
      <c r="I386" s="3" t="s">
        <v>1035</v>
      </c>
      <c r="J386" s="3" t="s">
        <v>131</v>
      </c>
      <c r="K386" s="3">
        <v>5</v>
      </c>
      <c r="L386" s="3">
        <v>22674.31</v>
      </c>
      <c r="M386" s="3">
        <v>113371.55</v>
      </c>
      <c r="N386" s="3">
        <v>82394.41</v>
      </c>
      <c r="O386" s="3">
        <v>30977.14</v>
      </c>
      <c r="P386" s="3" t="s">
        <v>69</v>
      </c>
    </row>
    <row r="387" spans="1:16" x14ac:dyDescent="0.35">
      <c r="A387" s="3" t="s">
        <v>1036</v>
      </c>
      <c r="B387" s="3" t="s">
        <v>183</v>
      </c>
      <c r="C387" s="3" t="s">
        <v>114</v>
      </c>
      <c r="D387" s="3" t="s">
        <v>58</v>
      </c>
      <c r="E387" s="3" t="s">
        <v>176</v>
      </c>
      <c r="F387" s="3" t="s">
        <v>177</v>
      </c>
      <c r="G387" s="3" t="s">
        <v>51</v>
      </c>
      <c r="H387" s="3" t="s">
        <v>52</v>
      </c>
      <c r="I387" s="3" t="s">
        <v>489</v>
      </c>
      <c r="J387" s="3" t="s">
        <v>217</v>
      </c>
      <c r="K387" s="3">
        <v>1</v>
      </c>
      <c r="L387" s="3">
        <v>22.54</v>
      </c>
      <c r="M387" s="3">
        <v>22.54</v>
      </c>
      <c r="N387" s="3">
        <v>10.08</v>
      </c>
      <c r="O387" s="3">
        <v>12.46</v>
      </c>
      <c r="P387" s="3" t="s">
        <v>69</v>
      </c>
    </row>
    <row r="388" spans="1:16" x14ac:dyDescent="0.35">
      <c r="A388" s="3" t="s">
        <v>1037</v>
      </c>
      <c r="B388" s="3" t="s">
        <v>1031</v>
      </c>
      <c r="C388" s="3" t="s">
        <v>82</v>
      </c>
      <c r="D388" s="3" t="s">
        <v>38</v>
      </c>
      <c r="E388" s="3" t="s">
        <v>39</v>
      </c>
      <c r="F388" s="3" t="s">
        <v>40</v>
      </c>
      <c r="G388" s="3" t="s">
        <v>22</v>
      </c>
      <c r="H388" s="3" t="s">
        <v>93</v>
      </c>
      <c r="I388" s="3" t="s">
        <v>1038</v>
      </c>
      <c r="J388" s="3" t="s">
        <v>161</v>
      </c>
      <c r="K388" s="3">
        <v>6</v>
      </c>
      <c r="L388" s="3">
        <v>6301.21</v>
      </c>
      <c r="M388" s="3">
        <v>37807.26</v>
      </c>
      <c r="N388" s="3">
        <v>31425.83</v>
      </c>
      <c r="O388" s="3">
        <v>6381.43</v>
      </c>
      <c r="P388" s="3" t="s">
        <v>45</v>
      </c>
    </row>
    <row r="389" spans="1:16" x14ac:dyDescent="0.35">
      <c r="A389" s="3" t="s">
        <v>1039</v>
      </c>
      <c r="B389" s="3" t="s">
        <v>636</v>
      </c>
      <c r="C389" s="3" t="s">
        <v>57</v>
      </c>
      <c r="D389" s="3" t="s">
        <v>58</v>
      </c>
      <c r="E389" s="3" t="s">
        <v>65</v>
      </c>
      <c r="F389" s="3" t="s">
        <v>66</v>
      </c>
      <c r="G389" s="3" t="s">
        <v>30</v>
      </c>
      <c r="H389" s="3" t="s">
        <v>31</v>
      </c>
      <c r="I389" s="3" t="s">
        <v>1040</v>
      </c>
      <c r="J389" s="3" t="s">
        <v>79</v>
      </c>
      <c r="K389" s="3">
        <v>8</v>
      </c>
      <c r="L389" s="3">
        <v>2538.56</v>
      </c>
      <c r="M389" s="3">
        <v>20308.48</v>
      </c>
      <c r="N389" s="3">
        <v>15709.21</v>
      </c>
      <c r="O389" s="3">
        <v>4599.2700000000004</v>
      </c>
      <c r="P389" s="3" t="s">
        <v>69</v>
      </c>
    </row>
    <row r="390" spans="1:16" x14ac:dyDescent="0.35">
      <c r="A390" s="3" t="s">
        <v>1041</v>
      </c>
      <c r="B390" s="3" t="s">
        <v>1042</v>
      </c>
      <c r="C390" s="3" t="s">
        <v>118</v>
      </c>
      <c r="D390" s="3" t="s">
        <v>19</v>
      </c>
      <c r="E390" s="3" t="s">
        <v>49</v>
      </c>
      <c r="F390" s="3" t="s">
        <v>50</v>
      </c>
      <c r="G390" s="3" t="s">
        <v>51</v>
      </c>
      <c r="H390" s="3" t="s">
        <v>145</v>
      </c>
      <c r="I390" s="3" t="s">
        <v>1043</v>
      </c>
      <c r="J390" s="3" t="s">
        <v>44</v>
      </c>
      <c r="K390" s="3">
        <v>2</v>
      </c>
      <c r="L390" s="3">
        <v>122.49</v>
      </c>
      <c r="M390" s="3">
        <v>244.98</v>
      </c>
      <c r="N390" s="3">
        <v>124.09</v>
      </c>
      <c r="O390" s="3">
        <v>120.89</v>
      </c>
      <c r="P390" s="3" t="s">
        <v>69</v>
      </c>
    </row>
    <row r="391" spans="1:16" x14ac:dyDescent="0.35">
      <c r="A391" s="3" t="s">
        <v>1044</v>
      </c>
      <c r="B391" s="3" t="s">
        <v>126</v>
      </c>
      <c r="C391" s="3" t="s">
        <v>103</v>
      </c>
      <c r="D391" s="3" t="s">
        <v>38</v>
      </c>
      <c r="E391" s="3" t="s">
        <v>104</v>
      </c>
      <c r="F391" s="3" t="s">
        <v>104</v>
      </c>
      <c r="G391" s="3" t="s">
        <v>22</v>
      </c>
      <c r="H391" s="3" t="s">
        <v>93</v>
      </c>
      <c r="I391" s="3" t="s">
        <v>1045</v>
      </c>
      <c r="J391" s="3" t="s">
        <v>79</v>
      </c>
      <c r="K391" s="3">
        <v>6</v>
      </c>
      <c r="L391" s="3">
        <v>7224.47</v>
      </c>
      <c r="M391" s="3">
        <v>43346.82</v>
      </c>
      <c r="N391" s="3">
        <v>30472.98</v>
      </c>
      <c r="O391" s="3">
        <v>12873.84</v>
      </c>
      <c r="P391" s="3" t="s">
        <v>69</v>
      </c>
    </row>
    <row r="392" spans="1:16" x14ac:dyDescent="0.35">
      <c r="A392" s="3" t="s">
        <v>1046</v>
      </c>
      <c r="B392" s="3" t="s">
        <v>318</v>
      </c>
      <c r="C392" s="3" t="s">
        <v>37</v>
      </c>
      <c r="D392" s="3" t="s">
        <v>90</v>
      </c>
      <c r="E392" s="3" t="s">
        <v>119</v>
      </c>
      <c r="F392" s="3" t="s">
        <v>120</v>
      </c>
      <c r="G392" s="3" t="s">
        <v>41</v>
      </c>
      <c r="H392" s="3" t="s">
        <v>42</v>
      </c>
      <c r="I392" s="3" t="s">
        <v>1047</v>
      </c>
      <c r="J392" s="3" t="s">
        <v>171</v>
      </c>
      <c r="K392" s="3">
        <v>5</v>
      </c>
      <c r="L392" s="3">
        <v>40682.300000000003</v>
      </c>
      <c r="M392" s="3">
        <v>203411.5</v>
      </c>
      <c r="N392" s="3">
        <v>175341.36</v>
      </c>
      <c r="O392" s="3">
        <v>28070.14</v>
      </c>
      <c r="P392" s="3" t="s">
        <v>45</v>
      </c>
    </row>
    <row r="393" spans="1:16" x14ac:dyDescent="0.35">
      <c r="A393" s="3" t="s">
        <v>1048</v>
      </c>
      <c r="B393" s="3" t="s">
        <v>248</v>
      </c>
      <c r="C393" s="3" t="s">
        <v>82</v>
      </c>
      <c r="D393" s="3" t="s">
        <v>90</v>
      </c>
      <c r="E393" s="3" t="s">
        <v>97</v>
      </c>
      <c r="F393" s="3" t="s">
        <v>98</v>
      </c>
      <c r="G393" s="3" t="s">
        <v>41</v>
      </c>
      <c r="H393" s="3" t="s">
        <v>138</v>
      </c>
      <c r="I393" s="3" t="s">
        <v>1049</v>
      </c>
      <c r="J393" s="3" t="s">
        <v>79</v>
      </c>
      <c r="K393" s="3">
        <v>4</v>
      </c>
      <c r="L393" s="3">
        <v>19295.21</v>
      </c>
      <c r="M393" s="3">
        <v>77180.84</v>
      </c>
      <c r="N393" s="3">
        <v>58082.85</v>
      </c>
      <c r="O393" s="3">
        <v>19097.990000000002</v>
      </c>
      <c r="P393" s="3" t="s">
        <v>86</v>
      </c>
    </row>
    <row r="394" spans="1:16" x14ac:dyDescent="0.35">
      <c r="A394" s="3" t="s">
        <v>1050</v>
      </c>
      <c r="B394" s="3" t="s">
        <v>685</v>
      </c>
      <c r="C394" s="3" t="s">
        <v>137</v>
      </c>
      <c r="D394" s="3" t="s">
        <v>90</v>
      </c>
      <c r="E394" s="3" t="s">
        <v>97</v>
      </c>
      <c r="F394" s="3" t="s">
        <v>98</v>
      </c>
      <c r="G394" s="3" t="s">
        <v>22</v>
      </c>
      <c r="H394" s="3" t="s">
        <v>83</v>
      </c>
      <c r="I394" s="3" t="s">
        <v>1051</v>
      </c>
      <c r="J394" s="3" t="s">
        <v>54</v>
      </c>
      <c r="K394" s="3">
        <v>5</v>
      </c>
      <c r="L394" s="3">
        <v>20514.669999999998</v>
      </c>
      <c r="M394" s="3">
        <v>102573.35</v>
      </c>
      <c r="N394" s="3">
        <v>81714.350000000006</v>
      </c>
      <c r="O394" s="3">
        <v>20859</v>
      </c>
      <c r="P394" s="3" t="s">
        <v>86</v>
      </c>
    </row>
    <row r="395" spans="1:16" x14ac:dyDescent="0.35">
      <c r="A395" s="3" t="s">
        <v>1052</v>
      </c>
      <c r="B395" s="3" t="s">
        <v>1053</v>
      </c>
      <c r="C395" s="3" t="s">
        <v>82</v>
      </c>
      <c r="D395" s="3" t="s">
        <v>90</v>
      </c>
      <c r="E395" s="3" t="s">
        <v>97</v>
      </c>
      <c r="F395" s="3" t="s">
        <v>98</v>
      </c>
      <c r="G395" s="3" t="s">
        <v>30</v>
      </c>
      <c r="H395" s="3" t="s">
        <v>67</v>
      </c>
      <c r="I395" s="3" t="s">
        <v>1054</v>
      </c>
      <c r="J395" s="3" t="s">
        <v>100</v>
      </c>
      <c r="K395" s="3">
        <v>8</v>
      </c>
      <c r="L395" s="3">
        <v>8943.4</v>
      </c>
      <c r="M395" s="3">
        <v>71547.199999999997</v>
      </c>
      <c r="N395" s="3">
        <v>59193.72</v>
      </c>
      <c r="O395" s="3">
        <v>12353.48</v>
      </c>
      <c r="P395" s="3" t="s">
        <v>26</v>
      </c>
    </row>
    <row r="396" spans="1:16" x14ac:dyDescent="0.35">
      <c r="A396" s="3" t="s">
        <v>1055</v>
      </c>
      <c r="B396" s="3" t="s">
        <v>449</v>
      </c>
      <c r="C396" s="3" t="s">
        <v>37</v>
      </c>
      <c r="D396" s="3" t="s">
        <v>90</v>
      </c>
      <c r="E396" s="3" t="s">
        <v>97</v>
      </c>
      <c r="F396" s="3" t="s">
        <v>98</v>
      </c>
      <c r="G396" s="3" t="s">
        <v>22</v>
      </c>
      <c r="H396" s="3" t="s">
        <v>93</v>
      </c>
      <c r="I396" s="3" t="s">
        <v>334</v>
      </c>
      <c r="J396" s="3" t="s">
        <v>33</v>
      </c>
      <c r="K396" s="3">
        <v>8</v>
      </c>
      <c r="L396" s="3">
        <v>7455.82</v>
      </c>
      <c r="M396" s="3">
        <v>59646.559999999998</v>
      </c>
      <c r="N396" s="3">
        <v>38232.76</v>
      </c>
      <c r="O396" s="3">
        <v>21413.8</v>
      </c>
      <c r="P396" s="3" t="s">
        <v>26</v>
      </c>
    </row>
    <row r="397" spans="1:16" x14ac:dyDescent="0.35">
      <c r="A397" s="3" t="s">
        <v>1056</v>
      </c>
      <c r="B397" s="3" t="s">
        <v>979</v>
      </c>
      <c r="C397" s="3" t="s">
        <v>103</v>
      </c>
      <c r="D397" s="3" t="s">
        <v>38</v>
      </c>
      <c r="E397" s="3" t="s">
        <v>109</v>
      </c>
      <c r="F397" s="3" t="s">
        <v>110</v>
      </c>
      <c r="G397" s="3" t="s">
        <v>30</v>
      </c>
      <c r="H397" s="3" t="s">
        <v>73</v>
      </c>
      <c r="I397" s="3" t="s">
        <v>1057</v>
      </c>
      <c r="J397" s="3" t="s">
        <v>44</v>
      </c>
      <c r="K397" s="3">
        <v>3</v>
      </c>
      <c r="L397" s="3">
        <v>3313.74</v>
      </c>
      <c r="M397" s="3">
        <v>9941.2199999999993</v>
      </c>
      <c r="N397" s="3">
        <v>7289.99</v>
      </c>
      <c r="O397" s="3">
        <v>2651.23</v>
      </c>
      <c r="P397" s="3" t="s">
        <v>45</v>
      </c>
    </row>
    <row r="398" spans="1:16" x14ac:dyDescent="0.35">
      <c r="A398" s="3" t="s">
        <v>1058</v>
      </c>
      <c r="B398" s="3" t="s">
        <v>705</v>
      </c>
      <c r="C398" s="3" t="s">
        <v>82</v>
      </c>
      <c r="D398" s="3" t="s">
        <v>58</v>
      </c>
      <c r="E398" s="3" t="s">
        <v>176</v>
      </c>
      <c r="F398" s="3" t="s">
        <v>177</v>
      </c>
      <c r="G398" s="3" t="s">
        <v>30</v>
      </c>
      <c r="H398" s="3" t="s">
        <v>31</v>
      </c>
      <c r="I398" s="3" t="s">
        <v>1059</v>
      </c>
      <c r="J398" s="3" t="s">
        <v>188</v>
      </c>
      <c r="K398" s="3">
        <v>5</v>
      </c>
      <c r="L398" s="3">
        <v>2954.59</v>
      </c>
      <c r="M398" s="3">
        <v>14772.95</v>
      </c>
      <c r="N398" s="3">
        <v>9930.68</v>
      </c>
      <c r="O398" s="3">
        <v>4842.2700000000004</v>
      </c>
      <c r="P398" s="3" t="s">
        <v>69</v>
      </c>
    </row>
    <row r="399" spans="1:16" x14ac:dyDescent="0.35">
      <c r="A399" s="3" t="s">
        <v>1060</v>
      </c>
      <c r="B399" s="3" t="s">
        <v>518</v>
      </c>
      <c r="C399" s="3" t="s">
        <v>89</v>
      </c>
      <c r="D399" s="3" t="s">
        <v>90</v>
      </c>
      <c r="E399" s="3" t="s">
        <v>97</v>
      </c>
      <c r="F399" s="3" t="s">
        <v>98</v>
      </c>
      <c r="G399" s="3" t="s">
        <v>30</v>
      </c>
      <c r="H399" s="3" t="s">
        <v>67</v>
      </c>
      <c r="I399" s="3" t="s">
        <v>261</v>
      </c>
      <c r="J399" s="3" t="s">
        <v>44</v>
      </c>
      <c r="K399" s="3">
        <v>1</v>
      </c>
      <c r="L399" s="3">
        <v>9643.3700000000008</v>
      </c>
      <c r="M399" s="3">
        <v>9643.3700000000008</v>
      </c>
      <c r="N399" s="3">
        <v>7406.36</v>
      </c>
      <c r="O399" s="3">
        <v>2237.0100000000002</v>
      </c>
      <c r="P399" s="3" t="s">
        <v>26</v>
      </c>
    </row>
    <row r="400" spans="1:16" x14ac:dyDescent="0.35">
      <c r="A400" s="3" t="s">
        <v>1061</v>
      </c>
      <c r="B400" s="3" t="s">
        <v>1062</v>
      </c>
      <c r="C400" s="3" t="s">
        <v>89</v>
      </c>
      <c r="D400" s="3" t="s">
        <v>90</v>
      </c>
      <c r="E400" s="3" t="s">
        <v>91</v>
      </c>
      <c r="F400" s="3" t="s">
        <v>92</v>
      </c>
      <c r="G400" s="3" t="s">
        <v>22</v>
      </c>
      <c r="H400" s="3" t="s">
        <v>93</v>
      </c>
      <c r="I400" s="3" t="s">
        <v>1063</v>
      </c>
      <c r="J400" s="3" t="s">
        <v>217</v>
      </c>
      <c r="K400" s="3">
        <v>8</v>
      </c>
      <c r="L400" s="3">
        <v>7527.09</v>
      </c>
      <c r="M400" s="3">
        <v>60216.72</v>
      </c>
      <c r="N400" s="3">
        <v>41584.19</v>
      </c>
      <c r="O400" s="3">
        <v>18632.53</v>
      </c>
      <c r="P400" s="3" t="s">
        <v>45</v>
      </c>
    </row>
    <row r="401" spans="1:16" x14ac:dyDescent="0.35">
      <c r="A401" s="3" t="s">
        <v>1064</v>
      </c>
      <c r="B401" s="3" t="s">
        <v>524</v>
      </c>
      <c r="C401" s="3" t="s">
        <v>89</v>
      </c>
      <c r="D401" s="3" t="s">
        <v>58</v>
      </c>
      <c r="E401" s="3" t="s">
        <v>176</v>
      </c>
      <c r="F401" s="3" t="s">
        <v>177</v>
      </c>
      <c r="G401" s="3" t="s">
        <v>41</v>
      </c>
      <c r="H401" s="3" t="s">
        <v>61</v>
      </c>
      <c r="I401" s="3" t="s">
        <v>775</v>
      </c>
      <c r="J401" s="3" t="s">
        <v>100</v>
      </c>
      <c r="K401" s="3">
        <v>1</v>
      </c>
      <c r="L401" s="3">
        <v>2712.96</v>
      </c>
      <c r="M401" s="3">
        <v>2712.96</v>
      </c>
      <c r="N401" s="3">
        <v>1668.85</v>
      </c>
      <c r="O401" s="3">
        <v>1044.1099999999999</v>
      </c>
      <c r="P401" s="3" t="s">
        <v>26</v>
      </c>
    </row>
    <row r="402" spans="1:16" x14ac:dyDescent="0.35">
      <c r="A402" s="3" t="s">
        <v>1065</v>
      </c>
      <c r="B402" s="3" t="s">
        <v>866</v>
      </c>
      <c r="C402" s="3" t="s">
        <v>72</v>
      </c>
      <c r="D402" s="3" t="s">
        <v>19</v>
      </c>
      <c r="E402" s="3" t="s">
        <v>49</v>
      </c>
      <c r="F402" s="3" t="s">
        <v>50</v>
      </c>
      <c r="G402" s="3" t="s">
        <v>30</v>
      </c>
      <c r="H402" s="3" t="s">
        <v>67</v>
      </c>
      <c r="I402" s="3" t="s">
        <v>841</v>
      </c>
      <c r="J402" s="3" t="s">
        <v>217</v>
      </c>
      <c r="K402" s="3">
        <v>6</v>
      </c>
      <c r="L402" s="3">
        <v>8988.2199999999993</v>
      </c>
      <c r="M402" s="3">
        <v>53929.32</v>
      </c>
      <c r="N402" s="3">
        <v>44451.360000000001</v>
      </c>
      <c r="O402" s="3">
        <v>9477.9599999999991</v>
      </c>
      <c r="P402" s="3" t="s">
        <v>86</v>
      </c>
    </row>
    <row r="403" spans="1:16" x14ac:dyDescent="0.35">
      <c r="A403" s="3" t="s">
        <v>1066</v>
      </c>
      <c r="B403" s="3" t="s">
        <v>159</v>
      </c>
      <c r="C403" s="3" t="s">
        <v>118</v>
      </c>
      <c r="D403" s="3" t="s">
        <v>90</v>
      </c>
      <c r="E403" s="3" t="s">
        <v>97</v>
      </c>
      <c r="F403" s="3" t="s">
        <v>98</v>
      </c>
      <c r="G403" s="3" t="s">
        <v>51</v>
      </c>
      <c r="H403" s="3" t="s">
        <v>145</v>
      </c>
      <c r="I403" s="3" t="s">
        <v>820</v>
      </c>
      <c r="J403" s="3" t="s">
        <v>171</v>
      </c>
      <c r="K403" s="3">
        <v>2</v>
      </c>
      <c r="L403" s="3">
        <v>114.49</v>
      </c>
      <c r="M403" s="3">
        <v>228.98</v>
      </c>
      <c r="N403" s="3">
        <v>125.14</v>
      </c>
      <c r="O403" s="3">
        <v>103.84</v>
      </c>
      <c r="P403" s="3" t="s">
        <v>34</v>
      </c>
    </row>
    <row r="404" spans="1:16" x14ac:dyDescent="0.35">
      <c r="A404" s="3" t="s">
        <v>1067</v>
      </c>
      <c r="B404" s="3" t="s">
        <v>198</v>
      </c>
      <c r="C404" s="3" t="s">
        <v>29</v>
      </c>
      <c r="D404" s="3" t="s">
        <v>58</v>
      </c>
      <c r="E404" s="3" t="s">
        <v>59</v>
      </c>
      <c r="F404" s="3" t="s">
        <v>60</v>
      </c>
      <c r="G404" s="3" t="s">
        <v>22</v>
      </c>
      <c r="H404" s="3" t="s">
        <v>23</v>
      </c>
      <c r="I404" s="3" t="s">
        <v>1068</v>
      </c>
      <c r="J404" s="3" t="s">
        <v>44</v>
      </c>
      <c r="K404" s="3">
        <v>8</v>
      </c>
      <c r="L404" s="3">
        <v>3623</v>
      </c>
      <c r="M404" s="3">
        <v>28984</v>
      </c>
      <c r="N404" s="3">
        <v>18104.87</v>
      </c>
      <c r="O404" s="3">
        <v>10879.13</v>
      </c>
      <c r="P404" s="3" t="s">
        <v>26</v>
      </c>
    </row>
    <row r="405" spans="1:16" x14ac:dyDescent="0.35">
      <c r="A405" s="3" t="s">
        <v>1069</v>
      </c>
      <c r="B405" s="3" t="s">
        <v>618</v>
      </c>
      <c r="C405" s="3" t="s">
        <v>72</v>
      </c>
      <c r="D405" s="3" t="s">
        <v>38</v>
      </c>
      <c r="E405" s="3" t="s">
        <v>109</v>
      </c>
      <c r="F405" s="3" t="s">
        <v>110</v>
      </c>
      <c r="G405" s="3" t="s">
        <v>22</v>
      </c>
      <c r="H405" s="3" t="s">
        <v>93</v>
      </c>
      <c r="I405" s="3" t="s">
        <v>1070</v>
      </c>
      <c r="J405" s="3" t="s">
        <v>33</v>
      </c>
      <c r="K405" s="3">
        <v>2</v>
      </c>
      <c r="L405" s="3">
        <v>6951.36</v>
      </c>
      <c r="M405" s="3">
        <v>13902.72</v>
      </c>
      <c r="N405" s="3">
        <v>9998.4500000000007</v>
      </c>
      <c r="O405" s="3">
        <v>3904.27</v>
      </c>
      <c r="P405" s="3" t="s">
        <v>69</v>
      </c>
    </row>
    <row r="406" spans="1:16" x14ac:dyDescent="0.35">
      <c r="A406" s="3" t="s">
        <v>1071</v>
      </c>
      <c r="B406" s="3" t="s">
        <v>1072</v>
      </c>
      <c r="C406" s="3" t="s">
        <v>18</v>
      </c>
      <c r="D406" s="3" t="s">
        <v>58</v>
      </c>
      <c r="E406" s="3" t="s">
        <v>65</v>
      </c>
      <c r="F406" s="3" t="s">
        <v>66</v>
      </c>
      <c r="G406" s="3" t="s">
        <v>51</v>
      </c>
      <c r="H406" s="3" t="s">
        <v>145</v>
      </c>
      <c r="I406" s="3" t="s">
        <v>1073</v>
      </c>
      <c r="J406" s="3" t="s">
        <v>161</v>
      </c>
      <c r="K406" s="3">
        <v>3</v>
      </c>
      <c r="L406" s="3">
        <v>120.18</v>
      </c>
      <c r="M406" s="3">
        <v>360.54</v>
      </c>
      <c r="N406" s="3">
        <v>183.75</v>
      </c>
      <c r="O406" s="3">
        <v>176.79</v>
      </c>
      <c r="P406" s="3" t="s">
        <v>26</v>
      </c>
    </row>
    <row r="407" spans="1:16" x14ac:dyDescent="0.35">
      <c r="A407" s="3" t="s">
        <v>1074</v>
      </c>
      <c r="B407" s="3" t="s">
        <v>852</v>
      </c>
      <c r="C407" s="3" t="s">
        <v>118</v>
      </c>
      <c r="D407" s="3" t="s">
        <v>90</v>
      </c>
      <c r="E407" s="3" t="s">
        <v>91</v>
      </c>
      <c r="F407" s="3" t="s">
        <v>92</v>
      </c>
      <c r="G407" s="3" t="s">
        <v>30</v>
      </c>
      <c r="H407" s="3" t="s">
        <v>67</v>
      </c>
      <c r="I407" s="3" t="s">
        <v>1075</v>
      </c>
      <c r="J407" s="3" t="s">
        <v>79</v>
      </c>
      <c r="K407" s="3">
        <v>5</v>
      </c>
      <c r="L407" s="3">
        <v>8779.56</v>
      </c>
      <c r="M407" s="3">
        <v>43897.8</v>
      </c>
      <c r="N407" s="3">
        <v>37668.800000000003</v>
      </c>
      <c r="O407" s="3">
        <v>6229</v>
      </c>
      <c r="P407" s="3" t="s">
        <v>26</v>
      </c>
    </row>
    <row r="408" spans="1:16" x14ac:dyDescent="0.35">
      <c r="A408" s="3" t="s">
        <v>1076</v>
      </c>
      <c r="B408" s="3" t="s">
        <v>649</v>
      </c>
      <c r="C408" s="3" t="s">
        <v>29</v>
      </c>
      <c r="D408" s="3" t="s">
        <v>19</v>
      </c>
      <c r="E408" s="3" t="s">
        <v>20</v>
      </c>
      <c r="F408" s="3" t="s">
        <v>21</v>
      </c>
      <c r="G408" s="3" t="s">
        <v>41</v>
      </c>
      <c r="H408" s="3" t="s">
        <v>138</v>
      </c>
      <c r="I408" s="3" t="s">
        <v>374</v>
      </c>
      <c r="J408" s="3" t="s">
        <v>217</v>
      </c>
      <c r="K408" s="3">
        <v>3</v>
      </c>
      <c r="L408" s="3">
        <v>18281.52</v>
      </c>
      <c r="M408" s="3">
        <v>54844.56</v>
      </c>
      <c r="N408" s="3">
        <v>42990.76</v>
      </c>
      <c r="O408" s="3">
        <v>11853.8</v>
      </c>
      <c r="P408" s="3" t="s">
        <v>86</v>
      </c>
    </row>
    <row r="409" spans="1:16" x14ac:dyDescent="0.35">
      <c r="A409" s="3" t="s">
        <v>1077</v>
      </c>
      <c r="B409" s="3" t="s">
        <v>685</v>
      </c>
      <c r="C409" s="3" t="s">
        <v>137</v>
      </c>
      <c r="D409" s="3" t="s">
        <v>58</v>
      </c>
      <c r="E409" s="3" t="s">
        <v>65</v>
      </c>
      <c r="F409" s="3" t="s">
        <v>66</v>
      </c>
      <c r="G409" s="3" t="s">
        <v>41</v>
      </c>
      <c r="H409" s="3" t="s">
        <v>138</v>
      </c>
      <c r="I409" s="3" t="s">
        <v>1078</v>
      </c>
      <c r="J409" s="3" t="s">
        <v>106</v>
      </c>
      <c r="K409" s="3">
        <v>2</v>
      </c>
      <c r="L409" s="3">
        <v>18538.650000000001</v>
      </c>
      <c r="M409" s="3">
        <v>37077.300000000003</v>
      </c>
      <c r="N409" s="3">
        <v>29317.66</v>
      </c>
      <c r="O409" s="3">
        <v>7759.64</v>
      </c>
      <c r="P409" s="3" t="s">
        <v>34</v>
      </c>
    </row>
    <row r="410" spans="1:16" x14ac:dyDescent="0.35">
      <c r="A410" s="3" t="s">
        <v>1079</v>
      </c>
      <c r="B410" s="3" t="s">
        <v>527</v>
      </c>
      <c r="C410" s="3" t="s">
        <v>82</v>
      </c>
      <c r="D410" s="3" t="s">
        <v>38</v>
      </c>
      <c r="E410" s="3" t="s">
        <v>109</v>
      </c>
      <c r="F410" s="3" t="s">
        <v>110</v>
      </c>
      <c r="G410" s="3" t="s">
        <v>22</v>
      </c>
      <c r="H410" s="3" t="s">
        <v>23</v>
      </c>
      <c r="I410" s="3" t="s">
        <v>1080</v>
      </c>
      <c r="J410" s="3" t="s">
        <v>44</v>
      </c>
      <c r="K410" s="3">
        <v>3</v>
      </c>
      <c r="L410" s="3">
        <v>3424.75</v>
      </c>
      <c r="M410" s="3">
        <v>10274.25</v>
      </c>
      <c r="N410" s="3">
        <v>6828.01</v>
      </c>
      <c r="O410" s="3">
        <v>3446.24</v>
      </c>
      <c r="P410" s="3" t="s">
        <v>69</v>
      </c>
    </row>
    <row r="411" spans="1:16" x14ac:dyDescent="0.35">
      <c r="A411" s="3" t="s">
        <v>1081</v>
      </c>
      <c r="B411" s="3" t="s">
        <v>1082</v>
      </c>
      <c r="C411" s="3" t="s">
        <v>114</v>
      </c>
      <c r="D411" s="3" t="s">
        <v>19</v>
      </c>
      <c r="E411" s="3" t="s">
        <v>199</v>
      </c>
      <c r="F411" s="3" t="s">
        <v>200</v>
      </c>
      <c r="G411" s="3" t="s">
        <v>41</v>
      </c>
      <c r="H411" s="3" t="s">
        <v>61</v>
      </c>
      <c r="I411" s="3" t="s">
        <v>1083</v>
      </c>
      <c r="J411" s="3" t="s">
        <v>147</v>
      </c>
      <c r="K411" s="3">
        <v>1</v>
      </c>
      <c r="L411" s="3">
        <v>2541.11</v>
      </c>
      <c r="M411" s="3">
        <v>2541.11</v>
      </c>
      <c r="N411" s="3">
        <v>1568.92</v>
      </c>
      <c r="O411" s="3">
        <v>972.19</v>
      </c>
      <c r="P411" s="3" t="s">
        <v>86</v>
      </c>
    </row>
    <row r="412" spans="1:16" x14ac:dyDescent="0.35">
      <c r="A412" s="3" t="s">
        <v>1084</v>
      </c>
      <c r="B412" s="3" t="s">
        <v>699</v>
      </c>
      <c r="C412" s="3" t="s">
        <v>137</v>
      </c>
      <c r="D412" s="3" t="s">
        <v>58</v>
      </c>
      <c r="E412" s="3" t="s">
        <v>176</v>
      </c>
      <c r="F412" s="3" t="s">
        <v>177</v>
      </c>
      <c r="G412" s="3" t="s">
        <v>22</v>
      </c>
      <c r="H412" s="3" t="s">
        <v>23</v>
      </c>
      <c r="I412" s="3" t="s">
        <v>121</v>
      </c>
      <c r="J412" s="3" t="s">
        <v>25</v>
      </c>
      <c r="K412" s="3">
        <v>6</v>
      </c>
      <c r="L412" s="3">
        <v>3492.74</v>
      </c>
      <c r="M412" s="3">
        <v>20956.439999999999</v>
      </c>
      <c r="N412" s="3">
        <v>12975.6</v>
      </c>
      <c r="O412" s="3">
        <v>7980.84</v>
      </c>
      <c r="P412" s="3" t="s">
        <v>69</v>
      </c>
    </row>
    <row r="413" spans="1:16" x14ac:dyDescent="0.35">
      <c r="A413" s="3" t="s">
        <v>1085</v>
      </c>
      <c r="B413" s="3" t="s">
        <v>1086</v>
      </c>
      <c r="C413" s="3" t="s">
        <v>37</v>
      </c>
      <c r="D413" s="3" t="s">
        <v>58</v>
      </c>
      <c r="E413" s="3" t="s">
        <v>59</v>
      </c>
      <c r="F413" s="3" t="s">
        <v>60</v>
      </c>
      <c r="G413" s="3" t="s">
        <v>30</v>
      </c>
      <c r="H413" s="3" t="s">
        <v>31</v>
      </c>
      <c r="I413" s="3" t="s">
        <v>1087</v>
      </c>
      <c r="J413" s="3" t="s">
        <v>171</v>
      </c>
      <c r="K413" s="3">
        <v>6</v>
      </c>
      <c r="L413" s="3">
        <v>2771.13</v>
      </c>
      <c r="M413" s="3">
        <v>16626.78</v>
      </c>
      <c r="N413" s="3">
        <v>11493.58</v>
      </c>
      <c r="O413" s="3">
        <v>5133.2</v>
      </c>
      <c r="P413" s="3" t="s">
        <v>34</v>
      </c>
    </row>
    <row r="414" spans="1:16" x14ac:dyDescent="0.35">
      <c r="A414" s="3" t="s">
        <v>1088</v>
      </c>
      <c r="B414" s="3" t="s">
        <v>1089</v>
      </c>
      <c r="C414" s="3" t="s">
        <v>48</v>
      </c>
      <c r="D414" s="3" t="s">
        <v>90</v>
      </c>
      <c r="E414" s="3" t="s">
        <v>91</v>
      </c>
      <c r="F414" s="3" t="s">
        <v>92</v>
      </c>
      <c r="G414" s="3" t="s">
        <v>30</v>
      </c>
      <c r="H414" s="3" t="s">
        <v>73</v>
      </c>
      <c r="I414" s="3" t="s">
        <v>342</v>
      </c>
      <c r="J414" s="3" t="s">
        <v>54</v>
      </c>
      <c r="K414" s="3">
        <v>2</v>
      </c>
      <c r="L414" s="3">
        <v>2915.2</v>
      </c>
      <c r="M414" s="3">
        <v>5830.4</v>
      </c>
      <c r="N414" s="3">
        <v>4605.4799999999996</v>
      </c>
      <c r="O414" s="3">
        <v>1224.92</v>
      </c>
      <c r="P414" s="3" t="s">
        <v>34</v>
      </c>
    </row>
    <row r="415" spans="1:16" x14ac:dyDescent="0.35">
      <c r="A415" s="3" t="s">
        <v>1090</v>
      </c>
      <c r="B415" s="3" t="s">
        <v>924</v>
      </c>
      <c r="C415" s="3" t="s">
        <v>18</v>
      </c>
      <c r="D415" s="3" t="s">
        <v>38</v>
      </c>
      <c r="E415" s="3" t="s">
        <v>39</v>
      </c>
      <c r="F415" s="3" t="s">
        <v>40</v>
      </c>
      <c r="G415" s="3" t="s">
        <v>30</v>
      </c>
      <c r="H415" s="3" t="s">
        <v>67</v>
      </c>
      <c r="I415" s="3" t="s">
        <v>970</v>
      </c>
      <c r="J415" s="3" t="s">
        <v>171</v>
      </c>
      <c r="K415" s="3">
        <v>4</v>
      </c>
      <c r="L415" s="3">
        <v>9594.68</v>
      </c>
      <c r="M415" s="3">
        <v>38378.720000000001</v>
      </c>
      <c r="N415" s="3">
        <v>31765.77</v>
      </c>
      <c r="O415" s="3">
        <v>6612.95</v>
      </c>
      <c r="P415" s="3" t="s">
        <v>26</v>
      </c>
    </row>
    <row r="416" spans="1:16" x14ac:dyDescent="0.35">
      <c r="A416" s="3" t="s">
        <v>1091</v>
      </c>
      <c r="B416" s="3" t="s">
        <v>1092</v>
      </c>
      <c r="C416" s="3" t="s">
        <v>103</v>
      </c>
      <c r="D416" s="3" t="s">
        <v>38</v>
      </c>
      <c r="E416" s="3" t="s">
        <v>109</v>
      </c>
      <c r="F416" s="3" t="s">
        <v>110</v>
      </c>
      <c r="G416" s="3" t="s">
        <v>51</v>
      </c>
      <c r="H416" s="3" t="s">
        <v>145</v>
      </c>
      <c r="I416" s="3" t="s">
        <v>1093</v>
      </c>
      <c r="J416" s="3" t="s">
        <v>171</v>
      </c>
      <c r="K416" s="3">
        <v>6</v>
      </c>
      <c r="L416" s="3">
        <v>116.17</v>
      </c>
      <c r="M416" s="3">
        <v>697.02</v>
      </c>
      <c r="N416" s="3">
        <v>372.59</v>
      </c>
      <c r="O416" s="3">
        <v>324.43</v>
      </c>
      <c r="P416" s="3" t="s">
        <v>34</v>
      </c>
    </row>
    <row r="417" spans="1:16" x14ac:dyDescent="0.35">
      <c r="A417" s="3" t="s">
        <v>1094</v>
      </c>
      <c r="B417" s="3" t="s">
        <v>1095</v>
      </c>
      <c r="C417" s="3" t="s">
        <v>103</v>
      </c>
      <c r="D417" s="3" t="s">
        <v>38</v>
      </c>
      <c r="E417" s="3" t="s">
        <v>109</v>
      </c>
      <c r="F417" s="3" t="s">
        <v>110</v>
      </c>
      <c r="G417" s="3" t="s">
        <v>51</v>
      </c>
      <c r="H417" s="3" t="s">
        <v>145</v>
      </c>
      <c r="I417" s="3" t="s">
        <v>1096</v>
      </c>
      <c r="J417" s="3" t="s">
        <v>33</v>
      </c>
      <c r="K417" s="3">
        <v>4</v>
      </c>
      <c r="L417" s="3">
        <v>123.28</v>
      </c>
      <c r="M417" s="3">
        <v>493.12</v>
      </c>
      <c r="N417" s="3">
        <v>249.01</v>
      </c>
      <c r="O417" s="3">
        <v>244.11</v>
      </c>
      <c r="P417" s="3" t="s">
        <v>45</v>
      </c>
    </row>
    <row r="418" spans="1:16" x14ac:dyDescent="0.35">
      <c r="A418" s="3" t="s">
        <v>1097</v>
      </c>
      <c r="B418" s="3" t="s">
        <v>1098</v>
      </c>
      <c r="C418" s="3" t="s">
        <v>57</v>
      </c>
      <c r="D418" s="3" t="s">
        <v>38</v>
      </c>
      <c r="E418" s="3" t="s">
        <v>104</v>
      </c>
      <c r="F418" s="3" t="s">
        <v>104</v>
      </c>
      <c r="G418" s="3" t="s">
        <v>30</v>
      </c>
      <c r="H418" s="3" t="s">
        <v>67</v>
      </c>
      <c r="I418" s="3" t="s">
        <v>1099</v>
      </c>
      <c r="J418" s="3" t="s">
        <v>33</v>
      </c>
      <c r="K418" s="3">
        <v>1</v>
      </c>
      <c r="L418" s="3">
        <v>9018.42</v>
      </c>
      <c r="M418" s="3">
        <v>9018.42</v>
      </c>
      <c r="N418" s="3">
        <v>7256.61</v>
      </c>
      <c r="O418" s="3">
        <v>1761.81</v>
      </c>
      <c r="P418" s="3" t="s">
        <v>69</v>
      </c>
    </row>
    <row r="419" spans="1:16" x14ac:dyDescent="0.35">
      <c r="A419" s="3" t="s">
        <v>1100</v>
      </c>
      <c r="B419" s="3" t="s">
        <v>376</v>
      </c>
      <c r="C419" s="3" t="s">
        <v>37</v>
      </c>
      <c r="D419" s="3" t="s">
        <v>90</v>
      </c>
      <c r="E419" s="3" t="s">
        <v>119</v>
      </c>
      <c r="F419" s="3" t="s">
        <v>120</v>
      </c>
      <c r="G419" s="3" t="s">
        <v>51</v>
      </c>
      <c r="H419" s="3" t="s">
        <v>145</v>
      </c>
      <c r="I419" s="3" t="s">
        <v>1101</v>
      </c>
      <c r="J419" s="3" t="s">
        <v>79</v>
      </c>
      <c r="K419" s="3">
        <v>2</v>
      </c>
      <c r="L419" s="3">
        <v>123.19</v>
      </c>
      <c r="M419" s="3">
        <v>246.38</v>
      </c>
      <c r="N419" s="3">
        <v>124.09</v>
      </c>
      <c r="O419" s="3">
        <v>122.29</v>
      </c>
      <c r="P419" s="3" t="s">
        <v>86</v>
      </c>
    </row>
    <row r="420" spans="1:16" x14ac:dyDescent="0.35">
      <c r="A420" s="3" t="s">
        <v>1102</v>
      </c>
      <c r="B420" s="3" t="s">
        <v>282</v>
      </c>
      <c r="C420" s="3" t="s">
        <v>114</v>
      </c>
      <c r="D420" s="3" t="s">
        <v>19</v>
      </c>
      <c r="E420" s="3" t="s">
        <v>20</v>
      </c>
      <c r="F420" s="3" t="s">
        <v>21</v>
      </c>
      <c r="G420" s="3" t="s">
        <v>22</v>
      </c>
      <c r="H420" s="3" t="s">
        <v>93</v>
      </c>
      <c r="I420" s="3" t="s">
        <v>1103</v>
      </c>
      <c r="J420" s="3" t="s">
        <v>33</v>
      </c>
      <c r="K420" s="3">
        <v>5</v>
      </c>
      <c r="L420" s="3">
        <v>7647.96</v>
      </c>
      <c r="M420" s="3">
        <v>38239.800000000003</v>
      </c>
      <c r="N420" s="3">
        <v>25493.31</v>
      </c>
      <c r="O420" s="3">
        <v>12746.49</v>
      </c>
      <c r="P420" s="3" t="s">
        <v>69</v>
      </c>
    </row>
    <row r="421" spans="1:16" x14ac:dyDescent="0.35">
      <c r="A421" s="3" t="s">
        <v>1104</v>
      </c>
      <c r="B421" s="3" t="s">
        <v>536</v>
      </c>
      <c r="C421" s="3" t="s">
        <v>18</v>
      </c>
      <c r="D421" s="3" t="s">
        <v>19</v>
      </c>
      <c r="E421" s="3" t="s">
        <v>199</v>
      </c>
      <c r="F421" s="3" t="s">
        <v>200</v>
      </c>
      <c r="G421" s="3" t="s">
        <v>41</v>
      </c>
      <c r="H421" s="3" t="s">
        <v>42</v>
      </c>
      <c r="I421" s="3" t="s">
        <v>519</v>
      </c>
      <c r="J421" s="3" t="s">
        <v>25</v>
      </c>
      <c r="K421" s="3">
        <v>3</v>
      </c>
      <c r="L421" s="3">
        <v>40968.239999999998</v>
      </c>
      <c r="M421" s="3">
        <v>122904.72</v>
      </c>
      <c r="N421" s="3">
        <v>101846.67</v>
      </c>
      <c r="O421" s="3">
        <v>21058.05</v>
      </c>
      <c r="P421" s="3" t="s">
        <v>69</v>
      </c>
    </row>
    <row r="422" spans="1:16" x14ac:dyDescent="0.35">
      <c r="A422" s="3" t="s">
        <v>1105</v>
      </c>
      <c r="B422" s="3" t="s">
        <v>916</v>
      </c>
      <c r="C422" s="3" t="s">
        <v>103</v>
      </c>
      <c r="D422" s="3" t="s">
        <v>19</v>
      </c>
      <c r="E422" s="3" t="s">
        <v>20</v>
      </c>
      <c r="F422" s="3" t="s">
        <v>21</v>
      </c>
      <c r="G422" s="3" t="s">
        <v>51</v>
      </c>
      <c r="H422" s="3" t="s">
        <v>145</v>
      </c>
      <c r="I422" s="3" t="s">
        <v>453</v>
      </c>
      <c r="J422" s="3" t="s">
        <v>79</v>
      </c>
      <c r="K422" s="3">
        <v>8</v>
      </c>
      <c r="L422" s="3">
        <v>131.86000000000001</v>
      </c>
      <c r="M422" s="3">
        <v>1054.8800000000001</v>
      </c>
      <c r="N422" s="3">
        <v>459.22</v>
      </c>
      <c r="O422" s="3">
        <v>595.66</v>
      </c>
      <c r="P422" s="3" t="s">
        <v>26</v>
      </c>
    </row>
    <row r="423" spans="1:16" x14ac:dyDescent="0.35">
      <c r="A423" s="3" t="s">
        <v>1106</v>
      </c>
      <c r="B423" s="3" t="s">
        <v>847</v>
      </c>
      <c r="C423" s="3" t="s">
        <v>89</v>
      </c>
      <c r="D423" s="3" t="s">
        <v>19</v>
      </c>
      <c r="E423" s="3" t="s">
        <v>20</v>
      </c>
      <c r="F423" s="3" t="s">
        <v>21</v>
      </c>
      <c r="G423" s="3" t="s">
        <v>30</v>
      </c>
      <c r="H423" s="3" t="s">
        <v>67</v>
      </c>
      <c r="I423" s="3" t="s">
        <v>1107</v>
      </c>
      <c r="J423" s="3" t="s">
        <v>147</v>
      </c>
      <c r="K423" s="3">
        <v>7</v>
      </c>
      <c r="L423" s="3">
        <v>10089.08</v>
      </c>
      <c r="M423" s="3">
        <v>70623.56</v>
      </c>
      <c r="N423" s="3">
        <v>52280.22</v>
      </c>
      <c r="O423" s="3">
        <v>18343.34</v>
      </c>
      <c r="P423" s="3" t="s">
        <v>69</v>
      </c>
    </row>
    <row r="424" spans="1:16" x14ac:dyDescent="0.35">
      <c r="A424" s="3" t="s">
        <v>1108</v>
      </c>
      <c r="B424" s="3" t="s">
        <v>257</v>
      </c>
      <c r="C424" s="3" t="s">
        <v>72</v>
      </c>
      <c r="D424" s="3" t="s">
        <v>38</v>
      </c>
      <c r="E424" s="3" t="s">
        <v>104</v>
      </c>
      <c r="F424" s="3" t="s">
        <v>104</v>
      </c>
      <c r="G424" s="3" t="s">
        <v>30</v>
      </c>
      <c r="H424" s="3" t="s">
        <v>73</v>
      </c>
      <c r="I424" s="3" t="s">
        <v>508</v>
      </c>
      <c r="J424" s="3" t="s">
        <v>131</v>
      </c>
      <c r="K424" s="3">
        <v>2</v>
      </c>
      <c r="L424" s="3">
        <v>3015.61</v>
      </c>
      <c r="M424" s="3">
        <v>6031.22</v>
      </c>
      <c r="N424" s="3">
        <v>4957.28</v>
      </c>
      <c r="O424" s="3">
        <v>1073.94</v>
      </c>
      <c r="P424" s="3" t="s">
        <v>26</v>
      </c>
    </row>
    <row r="425" spans="1:16" x14ac:dyDescent="0.35">
      <c r="A425" s="3" t="s">
        <v>1109</v>
      </c>
      <c r="B425" s="3" t="s">
        <v>705</v>
      </c>
      <c r="C425" s="3" t="s">
        <v>82</v>
      </c>
      <c r="D425" s="3" t="s">
        <v>90</v>
      </c>
      <c r="E425" s="3" t="s">
        <v>97</v>
      </c>
      <c r="F425" s="3" t="s">
        <v>98</v>
      </c>
      <c r="G425" s="3" t="s">
        <v>22</v>
      </c>
      <c r="H425" s="3" t="s">
        <v>23</v>
      </c>
      <c r="I425" s="3" t="s">
        <v>590</v>
      </c>
      <c r="J425" s="3" t="s">
        <v>85</v>
      </c>
      <c r="K425" s="3">
        <v>1</v>
      </c>
      <c r="L425" s="3">
        <v>3159.75</v>
      </c>
      <c r="M425" s="3">
        <v>3159.75</v>
      </c>
      <c r="N425" s="3">
        <v>2140.41</v>
      </c>
      <c r="O425" s="3">
        <v>1019.34</v>
      </c>
      <c r="P425" s="3" t="s">
        <v>45</v>
      </c>
    </row>
    <row r="426" spans="1:16" x14ac:dyDescent="0.35">
      <c r="A426" s="3" t="s">
        <v>1110</v>
      </c>
      <c r="B426" s="3" t="s">
        <v>570</v>
      </c>
      <c r="C426" s="3" t="s">
        <v>18</v>
      </c>
      <c r="D426" s="3" t="s">
        <v>90</v>
      </c>
      <c r="E426" s="3" t="s">
        <v>91</v>
      </c>
      <c r="F426" s="3" t="s">
        <v>92</v>
      </c>
      <c r="G426" s="3" t="s">
        <v>41</v>
      </c>
      <c r="H426" s="3" t="s">
        <v>61</v>
      </c>
      <c r="I426" s="3" t="s">
        <v>1111</v>
      </c>
      <c r="J426" s="3" t="s">
        <v>85</v>
      </c>
      <c r="K426" s="3">
        <v>4</v>
      </c>
      <c r="L426" s="3">
        <v>2741.54</v>
      </c>
      <c r="M426" s="3">
        <v>10966.16</v>
      </c>
      <c r="N426" s="3">
        <v>6505.52</v>
      </c>
      <c r="O426" s="3">
        <v>4460.6400000000003</v>
      </c>
      <c r="P426" s="3" t="s">
        <v>86</v>
      </c>
    </row>
    <row r="427" spans="1:16" x14ac:dyDescent="0.35">
      <c r="A427" s="3" t="s">
        <v>1112</v>
      </c>
      <c r="B427" s="3" t="s">
        <v>1113</v>
      </c>
      <c r="C427" s="3" t="s">
        <v>82</v>
      </c>
      <c r="D427" s="3" t="s">
        <v>19</v>
      </c>
      <c r="E427" s="3" t="s">
        <v>199</v>
      </c>
      <c r="F427" s="3" t="s">
        <v>200</v>
      </c>
      <c r="G427" s="3" t="s">
        <v>51</v>
      </c>
      <c r="H427" s="3" t="s">
        <v>77</v>
      </c>
      <c r="I427" s="3" t="s">
        <v>1114</v>
      </c>
      <c r="J427" s="3" t="s">
        <v>131</v>
      </c>
      <c r="K427" s="3">
        <v>1</v>
      </c>
      <c r="L427" s="3">
        <v>12404.71</v>
      </c>
      <c r="M427" s="3">
        <v>12404.71</v>
      </c>
      <c r="N427" s="3">
        <v>8951.65</v>
      </c>
      <c r="O427" s="3">
        <v>3453.06</v>
      </c>
      <c r="P427" s="3" t="s">
        <v>26</v>
      </c>
    </row>
    <row r="428" spans="1:16" x14ac:dyDescent="0.35">
      <c r="A428" s="3" t="s">
        <v>1115</v>
      </c>
      <c r="B428" s="3" t="s">
        <v>941</v>
      </c>
      <c r="C428" s="3" t="s">
        <v>118</v>
      </c>
      <c r="D428" s="3" t="s">
        <v>19</v>
      </c>
      <c r="E428" s="3" t="s">
        <v>20</v>
      </c>
      <c r="F428" s="3" t="s">
        <v>21</v>
      </c>
      <c r="G428" s="3" t="s">
        <v>41</v>
      </c>
      <c r="H428" s="3" t="s">
        <v>61</v>
      </c>
      <c r="I428" s="3" t="s">
        <v>1116</v>
      </c>
      <c r="J428" s="3" t="s">
        <v>188</v>
      </c>
      <c r="K428" s="3">
        <v>4</v>
      </c>
      <c r="L428" s="3">
        <v>2355.92</v>
      </c>
      <c r="M428" s="3">
        <v>9423.68</v>
      </c>
      <c r="N428" s="3">
        <v>6593.09</v>
      </c>
      <c r="O428" s="3">
        <v>2830.59</v>
      </c>
      <c r="P428" s="3" t="s">
        <v>69</v>
      </c>
    </row>
    <row r="429" spans="1:16" x14ac:dyDescent="0.35">
      <c r="A429" s="3" t="s">
        <v>1117</v>
      </c>
      <c r="B429" s="3" t="s">
        <v>792</v>
      </c>
      <c r="C429" s="3" t="s">
        <v>72</v>
      </c>
      <c r="D429" s="3" t="s">
        <v>38</v>
      </c>
      <c r="E429" s="3" t="s">
        <v>39</v>
      </c>
      <c r="F429" s="3" t="s">
        <v>40</v>
      </c>
      <c r="G429" s="3" t="s">
        <v>22</v>
      </c>
      <c r="H429" s="3" t="s">
        <v>83</v>
      </c>
      <c r="I429" s="3" t="s">
        <v>1118</v>
      </c>
      <c r="J429" s="3" t="s">
        <v>79</v>
      </c>
      <c r="K429" s="3">
        <v>8</v>
      </c>
      <c r="L429" s="3">
        <v>23211.56</v>
      </c>
      <c r="M429" s="3">
        <v>185692.48</v>
      </c>
      <c r="N429" s="3">
        <v>134968.54999999999</v>
      </c>
      <c r="O429" s="3">
        <v>50723.93</v>
      </c>
      <c r="P429" s="3" t="s">
        <v>86</v>
      </c>
    </row>
    <row r="430" spans="1:16" x14ac:dyDescent="0.35">
      <c r="A430" s="3" t="s">
        <v>1119</v>
      </c>
      <c r="B430" s="3" t="s">
        <v>743</v>
      </c>
      <c r="C430" s="3" t="s">
        <v>72</v>
      </c>
      <c r="D430" s="3" t="s">
        <v>19</v>
      </c>
      <c r="E430" s="3" t="s">
        <v>49</v>
      </c>
      <c r="F430" s="3" t="s">
        <v>50</v>
      </c>
      <c r="G430" s="3" t="s">
        <v>51</v>
      </c>
      <c r="H430" s="3" t="s">
        <v>145</v>
      </c>
      <c r="I430" s="3" t="s">
        <v>1120</v>
      </c>
      <c r="J430" s="3" t="s">
        <v>161</v>
      </c>
      <c r="K430" s="3">
        <v>2</v>
      </c>
      <c r="L430" s="3">
        <v>120.61</v>
      </c>
      <c r="M430" s="3">
        <v>241.22</v>
      </c>
      <c r="N430" s="3">
        <v>114.4</v>
      </c>
      <c r="O430" s="3">
        <v>126.82</v>
      </c>
      <c r="P430" s="3" t="s">
        <v>69</v>
      </c>
    </row>
    <row r="431" spans="1:16" x14ac:dyDescent="0.35">
      <c r="A431" s="3" t="s">
        <v>1121</v>
      </c>
      <c r="B431" s="3" t="s">
        <v>1122</v>
      </c>
      <c r="C431" s="3" t="s">
        <v>118</v>
      </c>
      <c r="D431" s="3" t="s">
        <v>38</v>
      </c>
      <c r="E431" s="3" t="s">
        <v>104</v>
      </c>
      <c r="F431" s="3" t="s">
        <v>104</v>
      </c>
      <c r="G431" s="3" t="s">
        <v>41</v>
      </c>
      <c r="H431" s="3" t="s">
        <v>61</v>
      </c>
      <c r="I431" s="3" t="s">
        <v>1123</v>
      </c>
      <c r="J431" s="3" t="s">
        <v>85</v>
      </c>
      <c r="K431" s="3">
        <v>5</v>
      </c>
      <c r="L431" s="3">
        <v>2577.13</v>
      </c>
      <c r="M431" s="3">
        <v>12885.65</v>
      </c>
      <c r="N431" s="3">
        <v>8122.91</v>
      </c>
      <c r="O431" s="3">
        <v>4762.74</v>
      </c>
      <c r="P431" s="3" t="s">
        <v>86</v>
      </c>
    </row>
    <row r="432" spans="1:16" x14ac:dyDescent="0.35">
      <c r="A432" s="3" t="s">
        <v>1124</v>
      </c>
      <c r="B432" s="3" t="s">
        <v>1125</v>
      </c>
      <c r="C432" s="3" t="s">
        <v>57</v>
      </c>
      <c r="D432" s="3" t="s">
        <v>58</v>
      </c>
      <c r="E432" s="3" t="s">
        <v>176</v>
      </c>
      <c r="F432" s="3" t="s">
        <v>177</v>
      </c>
      <c r="G432" s="3" t="s">
        <v>51</v>
      </c>
      <c r="H432" s="3" t="s">
        <v>52</v>
      </c>
      <c r="I432" s="3" t="s">
        <v>775</v>
      </c>
      <c r="J432" s="3" t="s">
        <v>44</v>
      </c>
      <c r="K432" s="3">
        <v>8</v>
      </c>
      <c r="L432" s="3">
        <v>27.25</v>
      </c>
      <c r="M432" s="3">
        <v>218</v>
      </c>
      <c r="N432" s="3">
        <v>80.040000000000006</v>
      </c>
      <c r="O432" s="3">
        <v>137.96</v>
      </c>
      <c r="P432" s="3" t="s">
        <v>26</v>
      </c>
    </row>
    <row r="433" spans="1:16" x14ac:dyDescent="0.35">
      <c r="A433" s="3" t="s">
        <v>1126</v>
      </c>
      <c r="B433" s="3" t="s">
        <v>629</v>
      </c>
      <c r="C433" s="3" t="s">
        <v>29</v>
      </c>
      <c r="D433" s="3" t="s">
        <v>38</v>
      </c>
      <c r="E433" s="3" t="s">
        <v>104</v>
      </c>
      <c r="F433" s="3" t="s">
        <v>104</v>
      </c>
      <c r="G433" s="3" t="s">
        <v>41</v>
      </c>
      <c r="H433" s="3" t="s">
        <v>61</v>
      </c>
      <c r="I433" s="3" t="s">
        <v>1127</v>
      </c>
      <c r="J433" s="3" t="s">
        <v>154</v>
      </c>
      <c r="K433" s="3">
        <v>4</v>
      </c>
      <c r="L433" s="3">
        <v>2746.6</v>
      </c>
      <c r="M433" s="3">
        <v>10986.4</v>
      </c>
      <c r="N433" s="3">
        <v>6164.96</v>
      </c>
      <c r="O433" s="3">
        <v>4821.4399999999996</v>
      </c>
      <c r="P433" s="3" t="s">
        <v>45</v>
      </c>
    </row>
    <row r="434" spans="1:16" x14ac:dyDescent="0.35">
      <c r="A434" s="3" t="s">
        <v>1128</v>
      </c>
      <c r="B434" s="3" t="s">
        <v>64</v>
      </c>
      <c r="C434" s="3" t="s">
        <v>57</v>
      </c>
      <c r="D434" s="3" t="s">
        <v>19</v>
      </c>
      <c r="E434" s="3" t="s">
        <v>199</v>
      </c>
      <c r="F434" s="3" t="s">
        <v>200</v>
      </c>
      <c r="G434" s="3" t="s">
        <v>30</v>
      </c>
      <c r="H434" s="3" t="s">
        <v>31</v>
      </c>
      <c r="I434" s="3" t="s">
        <v>1129</v>
      </c>
      <c r="J434" s="3" t="s">
        <v>154</v>
      </c>
      <c r="K434" s="3">
        <v>3</v>
      </c>
      <c r="L434" s="3">
        <v>2852.78</v>
      </c>
      <c r="M434" s="3">
        <v>8558.34</v>
      </c>
      <c r="N434" s="3">
        <v>5764.2</v>
      </c>
      <c r="O434" s="3">
        <v>2794.14</v>
      </c>
      <c r="P434" s="3" t="s">
        <v>26</v>
      </c>
    </row>
    <row r="435" spans="1:16" x14ac:dyDescent="0.35">
      <c r="A435" s="3" t="s">
        <v>1130</v>
      </c>
      <c r="B435" s="3" t="s">
        <v>1092</v>
      </c>
      <c r="C435" s="3" t="s">
        <v>103</v>
      </c>
      <c r="D435" s="3" t="s">
        <v>38</v>
      </c>
      <c r="E435" s="3" t="s">
        <v>109</v>
      </c>
      <c r="F435" s="3" t="s">
        <v>110</v>
      </c>
      <c r="G435" s="3" t="s">
        <v>22</v>
      </c>
      <c r="H435" s="3" t="s">
        <v>83</v>
      </c>
      <c r="I435" s="3" t="s">
        <v>1131</v>
      </c>
      <c r="J435" s="3" t="s">
        <v>147</v>
      </c>
      <c r="K435" s="3">
        <v>8</v>
      </c>
      <c r="L435" s="3">
        <v>22175.19</v>
      </c>
      <c r="M435" s="3">
        <v>177401.52</v>
      </c>
      <c r="N435" s="3">
        <v>133039.67999999999</v>
      </c>
      <c r="O435" s="3">
        <v>44361.84</v>
      </c>
      <c r="P435" s="3" t="s">
        <v>45</v>
      </c>
    </row>
    <row r="436" spans="1:16" x14ac:dyDescent="0.35">
      <c r="A436" s="3" t="s">
        <v>1132</v>
      </c>
      <c r="B436" s="3" t="s">
        <v>336</v>
      </c>
      <c r="C436" s="3" t="s">
        <v>29</v>
      </c>
      <c r="D436" s="3" t="s">
        <v>38</v>
      </c>
      <c r="E436" s="3" t="s">
        <v>39</v>
      </c>
      <c r="F436" s="3" t="s">
        <v>40</v>
      </c>
      <c r="G436" s="3" t="s">
        <v>51</v>
      </c>
      <c r="H436" s="3" t="s">
        <v>77</v>
      </c>
      <c r="I436" s="3" t="s">
        <v>204</v>
      </c>
      <c r="J436" s="3" t="s">
        <v>147</v>
      </c>
      <c r="K436" s="3">
        <v>7</v>
      </c>
      <c r="L436" s="3">
        <v>12087.23</v>
      </c>
      <c r="M436" s="3">
        <v>84610.61</v>
      </c>
      <c r="N436" s="3">
        <v>61837.99</v>
      </c>
      <c r="O436" s="3">
        <v>22772.62</v>
      </c>
      <c r="P436" s="3" t="s">
        <v>26</v>
      </c>
    </row>
    <row r="437" spans="1:16" x14ac:dyDescent="0.35">
      <c r="A437" s="3" t="s">
        <v>1133</v>
      </c>
      <c r="B437" s="3" t="s">
        <v>777</v>
      </c>
      <c r="C437" s="3" t="s">
        <v>72</v>
      </c>
      <c r="D437" s="3" t="s">
        <v>58</v>
      </c>
      <c r="E437" s="3" t="s">
        <v>176</v>
      </c>
      <c r="F437" s="3" t="s">
        <v>177</v>
      </c>
      <c r="G437" s="3" t="s">
        <v>41</v>
      </c>
      <c r="H437" s="3" t="s">
        <v>42</v>
      </c>
      <c r="I437" s="3" t="s">
        <v>1134</v>
      </c>
      <c r="J437" s="3" t="s">
        <v>217</v>
      </c>
      <c r="K437" s="3">
        <v>2</v>
      </c>
      <c r="L437" s="3">
        <v>40700.25</v>
      </c>
      <c r="M437" s="3">
        <v>81400.5</v>
      </c>
      <c r="N437" s="3">
        <v>71100.039999999994</v>
      </c>
      <c r="O437" s="3">
        <v>10300.459999999999</v>
      </c>
      <c r="P437" s="3" t="s">
        <v>34</v>
      </c>
    </row>
    <row r="438" spans="1:16" x14ac:dyDescent="0.35">
      <c r="A438" s="3" t="s">
        <v>1135</v>
      </c>
      <c r="B438" s="3" t="s">
        <v>1136</v>
      </c>
      <c r="C438" s="3" t="s">
        <v>118</v>
      </c>
      <c r="D438" s="3" t="s">
        <v>38</v>
      </c>
      <c r="E438" s="3" t="s">
        <v>39</v>
      </c>
      <c r="F438" s="3" t="s">
        <v>40</v>
      </c>
      <c r="G438" s="3" t="s">
        <v>51</v>
      </c>
      <c r="H438" s="3" t="s">
        <v>52</v>
      </c>
      <c r="I438" s="3" t="s">
        <v>1137</v>
      </c>
      <c r="J438" s="3" t="s">
        <v>25</v>
      </c>
      <c r="K438" s="3">
        <v>4</v>
      </c>
      <c r="L438" s="3">
        <v>25.79</v>
      </c>
      <c r="M438" s="3">
        <v>103.16</v>
      </c>
      <c r="N438" s="3">
        <v>40.450000000000003</v>
      </c>
      <c r="O438" s="3">
        <v>62.71</v>
      </c>
      <c r="P438" s="3" t="s">
        <v>45</v>
      </c>
    </row>
    <row r="439" spans="1:16" x14ac:dyDescent="0.35">
      <c r="A439" s="3" t="s">
        <v>1138</v>
      </c>
      <c r="B439" s="3" t="s">
        <v>634</v>
      </c>
      <c r="C439" s="3" t="s">
        <v>29</v>
      </c>
      <c r="D439" s="3" t="s">
        <v>38</v>
      </c>
      <c r="E439" s="3" t="s">
        <v>109</v>
      </c>
      <c r="F439" s="3" t="s">
        <v>110</v>
      </c>
      <c r="G439" s="3" t="s">
        <v>41</v>
      </c>
      <c r="H439" s="3" t="s">
        <v>61</v>
      </c>
      <c r="I439" s="3" t="s">
        <v>872</v>
      </c>
      <c r="J439" s="3" t="s">
        <v>161</v>
      </c>
      <c r="K439" s="3">
        <v>1</v>
      </c>
      <c r="L439" s="3">
        <v>2540.4699999999998</v>
      </c>
      <c r="M439" s="3">
        <v>2540.4699999999998</v>
      </c>
      <c r="N439" s="3">
        <v>1527.56</v>
      </c>
      <c r="O439" s="3">
        <v>1012.91</v>
      </c>
      <c r="P439" s="3" t="s">
        <v>45</v>
      </c>
    </row>
    <row r="440" spans="1:16" x14ac:dyDescent="0.35">
      <c r="A440" s="3" t="s">
        <v>1139</v>
      </c>
      <c r="B440" s="3" t="s">
        <v>1140</v>
      </c>
      <c r="C440" s="3" t="s">
        <v>48</v>
      </c>
      <c r="D440" s="3" t="s">
        <v>58</v>
      </c>
      <c r="E440" s="3" t="s">
        <v>65</v>
      </c>
      <c r="F440" s="3" t="s">
        <v>66</v>
      </c>
      <c r="G440" s="3" t="s">
        <v>51</v>
      </c>
      <c r="H440" s="3" t="s">
        <v>77</v>
      </c>
      <c r="I440" s="3" t="s">
        <v>853</v>
      </c>
      <c r="J440" s="3" t="s">
        <v>154</v>
      </c>
      <c r="K440" s="3">
        <v>1</v>
      </c>
      <c r="L440" s="3">
        <v>10862.91</v>
      </c>
      <c r="M440" s="3">
        <v>10862.91</v>
      </c>
      <c r="N440" s="3">
        <v>8559.65</v>
      </c>
      <c r="O440" s="3">
        <v>2303.2600000000002</v>
      </c>
      <c r="P440" s="3" t="s">
        <v>34</v>
      </c>
    </row>
    <row r="441" spans="1:16" x14ac:dyDescent="0.35">
      <c r="A441" s="3" t="s">
        <v>1141</v>
      </c>
      <c r="B441" s="3" t="s">
        <v>1142</v>
      </c>
      <c r="C441" s="3" t="s">
        <v>37</v>
      </c>
      <c r="D441" s="3" t="s">
        <v>58</v>
      </c>
      <c r="E441" s="3" t="s">
        <v>59</v>
      </c>
      <c r="F441" s="3" t="s">
        <v>60</v>
      </c>
      <c r="G441" s="3" t="s">
        <v>30</v>
      </c>
      <c r="H441" s="3" t="s">
        <v>73</v>
      </c>
      <c r="I441" s="3" t="s">
        <v>1143</v>
      </c>
      <c r="J441" s="3" t="s">
        <v>33</v>
      </c>
      <c r="K441" s="3">
        <v>2</v>
      </c>
      <c r="L441" s="3">
        <v>3080.48</v>
      </c>
      <c r="M441" s="3">
        <v>6160.96</v>
      </c>
      <c r="N441" s="3">
        <v>4789.3900000000003</v>
      </c>
      <c r="O441" s="3">
        <v>1371.57</v>
      </c>
      <c r="P441" s="3" t="s">
        <v>69</v>
      </c>
    </row>
    <row r="442" spans="1:16" x14ac:dyDescent="0.35">
      <c r="A442" s="3" t="s">
        <v>1144</v>
      </c>
      <c r="B442" s="3" t="s">
        <v>274</v>
      </c>
      <c r="C442" s="3" t="s">
        <v>57</v>
      </c>
      <c r="D442" s="3" t="s">
        <v>38</v>
      </c>
      <c r="E442" s="3" t="s">
        <v>39</v>
      </c>
      <c r="F442" s="3" t="s">
        <v>40</v>
      </c>
      <c r="G442" s="3" t="s">
        <v>51</v>
      </c>
      <c r="H442" s="3" t="s">
        <v>52</v>
      </c>
      <c r="I442" s="3" t="s">
        <v>1145</v>
      </c>
      <c r="J442" s="3" t="s">
        <v>171</v>
      </c>
      <c r="K442" s="3">
        <v>1</v>
      </c>
      <c r="L442" s="3">
        <v>23.93</v>
      </c>
      <c r="M442" s="3">
        <v>23.93</v>
      </c>
      <c r="N442" s="3">
        <v>10.38</v>
      </c>
      <c r="O442" s="3">
        <v>13.55</v>
      </c>
      <c r="P442" s="3" t="s">
        <v>26</v>
      </c>
    </row>
    <row r="443" spans="1:16" x14ac:dyDescent="0.35">
      <c r="A443" s="3" t="s">
        <v>1146</v>
      </c>
      <c r="B443" s="3" t="s">
        <v>318</v>
      </c>
      <c r="C443" s="3" t="s">
        <v>37</v>
      </c>
      <c r="D443" s="3" t="s">
        <v>19</v>
      </c>
      <c r="E443" s="3" t="s">
        <v>20</v>
      </c>
      <c r="F443" s="3" t="s">
        <v>21</v>
      </c>
      <c r="G443" s="3" t="s">
        <v>51</v>
      </c>
      <c r="H443" s="3" t="s">
        <v>52</v>
      </c>
      <c r="I443" s="3" t="s">
        <v>1147</v>
      </c>
      <c r="J443" s="3" t="s">
        <v>217</v>
      </c>
      <c r="K443" s="3">
        <v>3</v>
      </c>
      <c r="L443" s="3">
        <v>27.12</v>
      </c>
      <c r="M443" s="3">
        <v>81.36</v>
      </c>
      <c r="N443" s="3">
        <v>29.42</v>
      </c>
      <c r="O443" s="3">
        <v>51.94</v>
      </c>
      <c r="P443" s="3" t="s">
        <v>26</v>
      </c>
    </row>
    <row r="444" spans="1:16" x14ac:dyDescent="0.35">
      <c r="A444" s="3" t="s">
        <v>1148</v>
      </c>
      <c r="B444" s="3" t="s">
        <v>1042</v>
      </c>
      <c r="C444" s="3" t="s">
        <v>118</v>
      </c>
      <c r="D444" s="3" t="s">
        <v>90</v>
      </c>
      <c r="E444" s="3" t="s">
        <v>91</v>
      </c>
      <c r="F444" s="3" t="s">
        <v>92</v>
      </c>
      <c r="G444" s="3" t="s">
        <v>22</v>
      </c>
      <c r="H444" s="3" t="s">
        <v>23</v>
      </c>
      <c r="I444" s="3" t="s">
        <v>1149</v>
      </c>
      <c r="J444" s="3" t="s">
        <v>79</v>
      </c>
      <c r="K444" s="3">
        <v>7</v>
      </c>
      <c r="L444" s="3">
        <v>3588.37</v>
      </c>
      <c r="M444" s="3">
        <v>25118.59</v>
      </c>
      <c r="N444" s="3">
        <v>15144.08</v>
      </c>
      <c r="O444" s="3">
        <v>9974.51</v>
      </c>
      <c r="P444" s="3" t="s">
        <v>34</v>
      </c>
    </row>
    <row r="445" spans="1:16" x14ac:dyDescent="0.35">
      <c r="A445" s="3" t="s">
        <v>1150</v>
      </c>
      <c r="B445" s="3" t="s">
        <v>1151</v>
      </c>
      <c r="C445" s="3" t="s">
        <v>103</v>
      </c>
      <c r="D445" s="3" t="s">
        <v>19</v>
      </c>
      <c r="E445" s="3" t="s">
        <v>20</v>
      </c>
      <c r="F445" s="3" t="s">
        <v>21</v>
      </c>
      <c r="G445" s="3" t="s">
        <v>30</v>
      </c>
      <c r="H445" s="3" t="s">
        <v>67</v>
      </c>
      <c r="I445" s="3" t="s">
        <v>174</v>
      </c>
      <c r="J445" s="3" t="s">
        <v>44</v>
      </c>
      <c r="K445" s="3">
        <v>1</v>
      </c>
      <c r="L445" s="3">
        <v>8592.16</v>
      </c>
      <c r="M445" s="3">
        <v>8592.16</v>
      </c>
      <c r="N445" s="3">
        <v>7520.92</v>
      </c>
      <c r="O445" s="3">
        <v>1071.24</v>
      </c>
      <c r="P445" s="3" t="s">
        <v>34</v>
      </c>
    </row>
    <row r="446" spans="1:16" x14ac:dyDescent="0.35">
      <c r="A446" s="3" t="s">
        <v>1152</v>
      </c>
      <c r="B446" s="3" t="s">
        <v>908</v>
      </c>
      <c r="C446" s="3" t="s">
        <v>72</v>
      </c>
      <c r="D446" s="3" t="s">
        <v>90</v>
      </c>
      <c r="E446" s="3" t="s">
        <v>119</v>
      </c>
      <c r="F446" s="3" t="s">
        <v>120</v>
      </c>
      <c r="G446" s="3" t="s">
        <v>30</v>
      </c>
      <c r="H446" s="3" t="s">
        <v>73</v>
      </c>
      <c r="I446" s="3" t="s">
        <v>1153</v>
      </c>
      <c r="J446" s="3" t="s">
        <v>54</v>
      </c>
      <c r="K446" s="3">
        <v>7</v>
      </c>
      <c r="L446" s="3">
        <v>3466.16</v>
      </c>
      <c r="M446" s="3">
        <v>24263.119999999999</v>
      </c>
      <c r="N446" s="3">
        <v>16962.52</v>
      </c>
      <c r="O446" s="3">
        <v>7300.6</v>
      </c>
      <c r="P446" s="3" t="s">
        <v>86</v>
      </c>
    </row>
    <row r="447" spans="1:16" x14ac:dyDescent="0.35">
      <c r="A447" s="3" t="s">
        <v>1154</v>
      </c>
      <c r="B447" s="3" t="s">
        <v>1155</v>
      </c>
      <c r="C447" s="3" t="s">
        <v>89</v>
      </c>
      <c r="D447" s="3" t="s">
        <v>90</v>
      </c>
      <c r="E447" s="3" t="s">
        <v>97</v>
      </c>
      <c r="F447" s="3" t="s">
        <v>98</v>
      </c>
      <c r="G447" s="3" t="s">
        <v>30</v>
      </c>
      <c r="H447" s="3" t="s">
        <v>31</v>
      </c>
      <c r="I447" s="3" t="s">
        <v>127</v>
      </c>
      <c r="J447" s="3" t="s">
        <v>54</v>
      </c>
      <c r="K447" s="3">
        <v>3</v>
      </c>
      <c r="L447" s="3">
        <v>2990.14</v>
      </c>
      <c r="M447" s="3">
        <v>8970.42</v>
      </c>
      <c r="N447" s="3">
        <v>5723.08</v>
      </c>
      <c r="O447" s="3">
        <v>3247.34</v>
      </c>
      <c r="P447" s="3" t="s">
        <v>69</v>
      </c>
    </row>
    <row r="448" spans="1:16" x14ac:dyDescent="0.35">
      <c r="A448" s="3" t="s">
        <v>1156</v>
      </c>
      <c r="B448" s="3" t="s">
        <v>215</v>
      </c>
      <c r="C448" s="3" t="s">
        <v>37</v>
      </c>
      <c r="D448" s="3" t="s">
        <v>19</v>
      </c>
      <c r="E448" s="3" t="s">
        <v>20</v>
      </c>
      <c r="F448" s="3" t="s">
        <v>21</v>
      </c>
      <c r="G448" s="3" t="s">
        <v>51</v>
      </c>
      <c r="H448" s="3" t="s">
        <v>145</v>
      </c>
      <c r="I448" s="3" t="s">
        <v>1157</v>
      </c>
      <c r="J448" s="3" t="s">
        <v>100</v>
      </c>
      <c r="K448" s="3">
        <v>7</v>
      </c>
      <c r="L448" s="3">
        <v>110.2</v>
      </c>
      <c r="M448" s="3">
        <v>771.4</v>
      </c>
      <c r="N448" s="3">
        <v>418.61</v>
      </c>
      <c r="O448" s="3">
        <v>352.79</v>
      </c>
      <c r="P448" s="3" t="s">
        <v>69</v>
      </c>
    </row>
    <row r="449" spans="1:16" x14ac:dyDescent="0.35">
      <c r="A449" s="3" t="s">
        <v>1158</v>
      </c>
      <c r="B449" s="3" t="s">
        <v>1159</v>
      </c>
      <c r="C449" s="3" t="s">
        <v>29</v>
      </c>
      <c r="D449" s="3" t="s">
        <v>90</v>
      </c>
      <c r="E449" s="3" t="s">
        <v>119</v>
      </c>
      <c r="F449" s="3" t="s">
        <v>120</v>
      </c>
      <c r="G449" s="3" t="s">
        <v>51</v>
      </c>
      <c r="H449" s="3" t="s">
        <v>77</v>
      </c>
      <c r="I449" s="3" t="s">
        <v>1160</v>
      </c>
      <c r="J449" s="3" t="s">
        <v>131</v>
      </c>
      <c r="K449" s="3">
        <v>2</v>
      </c>
      <c r="L449" s="3">
        <v>12950.41</v>
      </c>
      <c r="M449" s="3">
        <v>25900.82</v>
      </c>
      <c r="N449" s="3">
        <v>17880.52</v>
      </c>
      <c r="O449" s="3">
        <v>8020.3</v>
      </c>
      <c r="P449" s="3" t="s">
        <v>26</v>
      </c>
    </row>
    <row r="450" spans="1:16" x14ac:dyDescent="0.35">
      <c r="A450" s="3" t="s">
        <v>1161</v>
      </c>
      <c r="B450" s="3" t="s">
        <v>438</v>
      </c>
      <c r="C450" s="3" t="s">
        <v>89</v>
      </c>
      <c r="D450" s="3" t="s">
        <v>58</v>
      </c>
      <c r="E450" s="3" t="s">
        <v>176</v>
      </c>
      <c r="F450" s="3" t="s">
        <v>177</v>
      </c>
      <c r="G450" s="3" t="s">
        <v>41</v>
      </c>
      <c r="H450" s="3" t="s">
        <v>61</v>
      </c>
      <c r="I450" s="3" t="s">
        <v>1162</v>
      </c>
      <c r="J450" s="3" t="s">
        <v>106</v>
      </c>
      <c r="K450" s="3">
        <v>6</v>
      </c>
      <c r="L450" s="3">
        <v>2427.58</v>
      </c>
      <c r="M450" s="3">
        <v>14565.48</v>
      </c>
      <c r="N450" s="3">
        <v>9693.34</v>
      </c>
      <c r="O450" s="3">
        <v>4872.1400000000003</v>
      </c>
      <c r="P450" s="3" t="s">
        <v>69</v>
      </c>
    </row>
    <row r="451" spans="1:16" x14ac:dyDescent="0.35">
      <c r="A451" s="3" t="s">
        <v>1163</v>
      </c>
      <c r="B451" s="3" t="s">
        <v>1031</v>
      </c>
      <c r="C451" s="3" t="s">
        <v>82</v>
      </c>
      <c r="D451" s="3" t="s">
        <v>90</v>
      </c>
      <c r="E451" s="3" t="s">
        <v>91</v>
      </c>
      <c r="F451" s="3" t="s">
        <v>92</v>
      </c>
      <c r="G451" s="3" t="s">
        <v>30</v>
      </c>
      <c r="H451" s="3" t="s">
        <v>67</v>
      </c>
      <c r="I451" s="3" t="s">
        <v>1164</v>
      </c>
      <c r="J451" s="3" t="s">
        <v>131</v>
      </c>
      <c r="K451" s="3">
        <v>5</v>
      </c>
      <c r="L451" s="3">
        <v>8982.91</v>
      </c>
      <c r="M451" s="3">
        <v>44914.55</v>
      </c>
      <c r="N451" s="3">
        <v>36706.080000000002</v>
      </c>
      <c r="O451" s="3">
        <v>8208.4699999999993</v>
      </c>
      <c r="P451" s="3" t="s">
        <v>69</v>
      </c>
    </row>
    <row r="452" spans="1:16" x14ac:dyDescent="0.35">
      <c r="A452" s="3" t="s">
        <v>1165</v>
      </c>
      <c r="B452" s="3" t="s">
        <v>1166</v>
      </c>
      <c r="C452" s="3" t="s">
        <v>118</v>
      </c>
      <c r="D452" s="3" t="s">
        <v>19</v>
      </c>
      <c r="E452" s="3" t="s">
        <v>199</v>
      </c>
      <c r="F452" s="3" t="s">
        <v>200</v>
      </c>
      <c r="G452" s="3" t="s">
        <v>41</v>
      </c>
      <c r="H452" s="3" t="s">
        <v>61</v>
      </c>
      <c r="I452" s="3" t="s">
        <v>1167</v>
      </c>
      <c r="J452" s="3" t="s">
        <v>44</v>
      </c>
      <c r="K452" s="3">
        <v>5</v>
      </c>
      <c r="L452" s="3">
        <v>2398.34</v>
      </c>
      <c r="M452" s="3">
        <v>11991.7</v>
      </c>
      <c r="N452" s="3">
        <v>8351.24</v>
      </c>
      <c r="O452" s="3">
        <v>3640.46</v>
      </c>
      <c r="P452" s="3" t="s">
        <v>86</v>
      </c>
    </row>
    <row r="453" spans="1:16" x14ac:dyDescent="0.35">
      <c r="A453" s="3" t="s">
        <v>1168</v>
      </c>
      <c r="B453" s="3" t="s">
        <v>555</v>
      </c>
      <c r="C453" s="3" t="s">
        <v>137</v>
      </c>
      <c r="D453" s="3" t="s">
        <v>58</v>
      </c>
      <c r="E453" s="3" t="s">
        <v>176</v>
      </c>
      <c r="F453" s="3" t="s">
        <v>177</v>
      </c>
      <c r="G453" s="3" t="s">
        <v>51</v>
      </c>
      <c r="H453" s="3" t="s">
        <v>77</v>
      </c>
      <c r="I453" s="3" t="s">
        <v>1015</v>
      </c>
      <c r="J453" s="3" t="s">
        <v>161</v>
      </c>
      <c r="K453" s="3">
        <v>6</v>
      </c>
      <c r="L453" s="3">
        <v>12348.78</v>
      </c>
      <c r="M453" s="3">
        <v>74092.679999999993</v>
      </c>
      <c r="N453" s="3">
        <v>54108.99</v>
      </c>
      <c r="O453" s="3">
        <v>19983.689999999999</v>
      </c>
      <c r="P453" s="3" t="s">
        <v>26</v>
      </c>
    </row>
    <row r="454" spans="1:16" x14ac:dyDescent="0.35">
      <c r="A454" s="3" t="s">
        <v>1169</v>
      </c>
      <c r="B454" s="3" t="s">
        <v>488</v>
      </c>
      <c r="C454" s="3" t="s">
        <v>29</v>
      </c>
      <c r="D454" s="3" t="s">
        <v>90</v>
      </c>
      <c r="E454" s="3" t="s">
        <v>119</v>
      </c>
      <c r="F454" s="3" t="s">
        <v>120</v>
      </c>
      <c r="G454" s="3" t="s">
        <v>22</v>
      </c>
      <c r="H454" s="3" t="s">
        <v>93</v>
      </c>
      <c r="I454" s="3" t="s">
        <v>1170</v>
      </c>
      <c r="J454" s="3" t="s">
        <v>171</v>
      </c>
      <c r="K454" s="3">
        <v>5</v>
      </c>
      <c r="L454" s="3">
        <v>7528.19</v>
      </c>
      <c r="M454" s="3">
        <v>37640.949999999997</v>
      </c>
      <c r="N454" s="3">
        <v>24227.13</v>
      </c>
      <c r="O454" s="3">
        <v>13413.82</v>
      </c>
      <c r="P454" s="3" t="s">
        <v>34</v>
      </c>
    </row>
    <row r="455" spans="1:16" x14ac:dyDescent="0.35">
      <c r="A455" s="3" t="s">
        <v>1171</v>
      </c>
      <c r="B455" s="3" t="s">
        <v>254</v>
      </c>
      <c r="C455" s="3" t="s">
        <v>82</v>
      </c>
      <c r="D455" s="3" t="s">
        <v>38</v>
      </c>
      <c r="E455" s="3" t="s">
        <v>39</v>
      </c>
      <c r="F455" s="3" t="s">
        <v>40</v>
      </c>
      <c r="G455" s="3" t="s">
        <v>22</v>
      </c>
      <c r="H455" s="3" t="s">
        <v>93</v>
      </c>
      <c r="I455" s="3" t="s">
        <v>1172</v>
      </c>
      <c r="J455" s="3" t="s">
        <v>44</v>
      </c>
      <c r="K455" s="3">
        <v>1</v>
      </c>
      <c r="L455" s="3">
        <v>6420.36</v>
      </c>
      <c r="M455" s="3">
        <v>6420.36</v>
      </c>
      <c r="N455" s="3">
        <v>4894.63</v>
      </c>
      <c r="O455" s="3">
        <v>1525.73</v>
      </c>
      <c r="P455" s="3" t="s">
        <v>45</v>
      </c>
    </row>
    <row r="456" spans="1:16" x14ac:dyDescent="0.35">
      <c r="A456" s="3" t="s">
        <v>1173</v>
      </c>
      <c r="B456" s="3" t="s">
        <v>381</v>
      </c>
      <c r="C456" s="3" t="s">
        <v>18</v>
      </c>
      <c r="D456" s="3" t="s">
        <v>19</v>
      </c>
      <c r="E456" s="3" t="s">
        <v>49</v>
      </c>
      <c r="F456" s="3" t="s">
        <v>50</v>
      </c>
      <c r="G456" s="3" t="s">
        <v>22</v>
      </c>
      <c r="H456" s="3" t="s">
        <v>83</v>
      </c>
      <c r="I456" s="3" t="s">
        <v>1045</v>
      </c>
      <c r="J456" s="3" t="s">
        <v>25</v>
      </c>
      <c r="K456" s="3">
        <v>3</v>
      </c>
      <c r="L456" s="3">
        <v>21969.11</v>
      </c>
      <c r="M456" s="3">
        <v>65907.33</v>
      </c>
      <c r="N456" s="3">
        <v>53473.3</v>
      </c>
      <c r="O456" s="3">
        <v>12434.03</v>
      </c>
      <c r="P456" s="3" t="s">
        <v>45</v>
      </c>
    </row>
    <row r="457" spans="1:16" x14ac:dyDescent="0.35">
      <c r="A457" s="3" t="s">
        <v>1174</v>
      </c>
      <c r="B457" s="3" t="s">
        <v>251</v>
      </c>
      <c r="C457" s="3" t="s">
        <v>37</v>
      </c>
      <c r="D457" s="3" t="s">
        <v>38</v>
      </c>
      <c r="E457" s="3" t="s">
        <v>109</v>
      </c>
      <c r="F457" s="3" t="s">
        <v>110</v>
      </c>
      <c r="G457" s="3" t="s">
        <v>41</v>
      </c>
      <c r="H457" s="3" t="s">
        <v>42</v>
      </c>
      <c r="I457" s="3" t="s">
        <v>1175</v>
      </c>
      <c r="J457" s="3" t="s">
        <v>147</v>
      </c>
      <c r="K457" s="3">
        <v>1</v>
      </c>
      <c r="L457" s="3">
        <v>40741.25</v>
      </c>
      <c r="M457" s="3">
        <v>40741.25</v>
      </c>
      <c r="N457" s="3">
        <v>33677.440000000002</v>
      </c>
      <c r="O457" s="3">
        <v>7063.81</v>
      </c>
      <c r="P457" s="3" t="s">
        <v>69</v>
      </c>
    </row>
    <row r="458" spans="1:16" x14ac:dyDescent="0.35">
      <c r="A458" s="3" t="s">
        <v>1176</v>
      </c>
      <c r="B458" s="3" t="s">
        <v>239</v>
      </c>
      <c r="C458" s="3" t="s">
        <v>72</v>
      </c>
      <c r="D458" s="3" t="s">
        <v>90</v>
      </c>
      <c r="E458" s="3" t="s">
        <v>97</v>
      </c>
      <c r="F458" s="3" t="s">
        <v>98</v>
      </c>
      <c r="G458" s="3" t="s">
        <v>41</v>
      </c>
      <c r="H458" s="3" t="s">
        <v>42</v>
      </c>
      <c r="I458" s="3" t="s">
        <v>272</v>
      </c>
      <c r="J458" s="3" t="s">
        <v>85</v>
      </c>
      <c r="K458" s="3">
        <v>3</v>
      </c>
      <c r="L458" s="3">
        <v>47178.2</v>
      </c>
      <c r="M458" s="3">
        <v>141534.6</v>
      </c>
      <c r="N458" s="3">
        <v>107140.9</v>
      </c>
      <c r="O458" s="3">
        <v>34393.699999999997</v>
      </c>
      <c r="P458" s="3" t="s">
        <v>26</v>
      </c>
    </row>
    <row r="459" spans="1:16" x14ac:dyDescent="0.35">
      <c r="A459" s="3" t="s">
        <v>1177</v>
      </c>
      <c r="B459" s="3" t="s">
        <v>770</v>
      </c>
      <c r="C459" s="3" t="s">
        <v>72</v>
      </c>
      <c r="D459" s="3" t="s">
        <v>19</v>
      </c>
      <c r="E459" s="3" t="s">
        <v>199</v>
      </c>
      <c r="F459" s="3" t="s">
        <v>200</v>
      </c>
      <c r="G459" s="3" t="s">
        <v>30</v>
      </c>
      <c r="H459" s="3" t="s">
        <v>73</v>
      </c>
      <c r="I459" s="3" t="s">
        <v>1178</v>
      </c>
      <c r="J459" s="3" t="s">
        <v>147</v>
      </c>
      <c r="K459" s="3">
        <v>5</v>
      </c>
      <c r="L459" s="3">
        <v>3057.66</v>
      </c>
      <c r="M459" s="3">
        <v>15288.3</v>
      </c>
      <c r="N459" s="3">
        <v>12270.03</v>
      </c>
      <c r="O459" s="3">
        <v>3018.27</v>
      </c>
      <c r="P459" s="3" t="s">
        <v>45</v>
      </c>
    </row>
    <row r="460" spans="1:16" x14ac:dyDescent="0.35">
      <c r="A460" s="3" t="s">
        <v>1179</v>
      </c>
      <c r="B460" s="3" t="s">
        <v>782</v>
      </c>
      <c r="C460" s="3" t="s">
        <v>114</v>
      </c>
      <c r="D460" s="3" t="s">
        <v>19</v>
      </c>
      <c r="E460" s="3" t="s">
        <v>49</v>
      </c>
      <c r="F460" s="3" t="s">
        <v>50</v>
      </c>
      <c r="G460" s="3" t="s">
        <v>30</v>
      </c>
      <c r="H460" s="3" t="s">
        <v>73</v>
      </c>
      <c r="I460" s="3" t="s">
        <v>408</v>
      </c>
      <c r="J460" s="3" t="s">
        <v>217</v>
      </c>
      <c r="K460" s="3">
        <v>2</v>
      </c>
      <c r="L460" s="3">
        <v>3188.35</v>
      </c>
      <c r="M460" s="3">
        <v>6376.7</v>
      </c>
      <c r="N460" s="3">
        <v>4582.74</v>
      </c>
      <c r="O460" s="3">
        <v>1793.96</v>
      </c>
      <c r="P460" s="3" t="s">
        <v>34</v>
      </c>
    </row>
    <row r="461" spans="1:16" x14ac:dyDescent="0.35">
      <c r="A461" s="3" t="s">
        <v>1180</v>
      </c>
      <c r="B461" s="3" t="s">
        <v>1072</v>
      </c>
      <c r="C461" s="3" t="s">
        <v>18</v>
      </c>
      <c r="D461" s="3" t="s">
        <v>38</v>
      </c>
      <c r="E461" s="3" t="s">
        <v>104</v>
      </c>
      <c r="F461" s="3" t="s">
        <v>104</v>
      </c>
      <c r="G461" s="3" t="s">
        <v>22</v>
      </c>
      <c r="H461" s="3" t="s">
        <v>93</v>
      </c>
      <c r="I461" s="3" t="s">
        <v>553</v>
      </c>
      <c r="J461" s="3" t="s">
        <v>33</v>
      </c>
      <c r="K461" s="3">
        <v>4</v>
      </c>
      <c r="L461" s="3">
        <v>6661.72</v>
      </c>
      <c r="M461" s="3">
        <v>26646.880000000001</v>
      </c>
      <c r="N461" s="3">
        <v>19310.740000000002</v>
      </c>
      <c r="O461" s="3">
        <v>7336.14</v>
      </c>
      <c r="P461" s="3" t="s">
        <v>45</v>
      </c>
    </row>
    <row r="462" spans="1:16" x14ac:dyDescent="0.35">
      <c r="A462" s="3" t="s">
        <v>1181</v>
      </c>
      <c r="B462" s="3" t="s">
        <v>1182</v>
      </c>
      <c r="C462" s="3" t="s">
        <v>48</v>
      </c>
      <c r="D462" s="3" t="s">
        <v>38</v>
      </c>
      <c r="E462" s="3" t="s">
        <v>104</v>
      </c>
      <c r="F462" s="3" t="s">
        <v>104</v>
      </c>
      <c r="G462" s="3" t="s">
        <v>22</v>
      </c>
      <c r="H462" s="3" t="s">
        <v>83</v>
      </c>
      <c r="I462" s="3" t="s">
        <v>1114</v>
      </c>
      <c r="J462" s="3" t="s">
        <v>188</v>
      </c>
      <c r="K462" s="3">
        <v>7</v>
      </c>
      <c r="L462" s="3">
        <v>22256.79</v>
      </c>
      <c r="M462" s="3">
        <v>155797.53</v>
      </c>
      <c r="N462" s="3">
        <v>116515.41</v>
      </c>
      <c r="O462" s="3">
        <v>39282.120000000003</v>
      </c>
      <c r="P462" s="3" t="s">
        <v>69</v>
      </c>
    </row>
    <row r="463" spans="1:16" x14ac:dyDescent="0.35">
      <c r="A463" s="3" t="s">
        <v>1183</v>
      </c>
      <c r="B463" s="3" t="s">
        <v>415</v>
      </c>
      <c r="C463" s="3" t="s">
        <v>18</v>
      </c>
      <c r="D463" s="3" t="s">
        <v>38</v>
      </c>
      <c r="E463" s="3" t="s">
        <v>109</v>
      </c>
      <c r="F463" s="3" t="s">
        <v>110</v>
      </c>
      <c r="G463" s="3" t="s">
        <v>22</v>
      </c>
      <c r="H463" s="3" t="s">
        <v>83</v>
      </c>
      <c r="I463" s="3" t="s">
        <v>1184</v>
      </c>
      <c r="J463" s="3" t="s">
        <v>106</v>
      </c>
      <c r="K463" s="3">
        <v>6</v>
      </c>
      <c r="L463" s="3">
        <v>20000.16</v>
      </c>
      <c r="M463" s="3">
        <v>120000.96000000001</v>
      </c>
      <c r="N463" s="3">
        <v>99843.78</v>
      </c>
      <c r="O463" s="3">
        <v>20157.18</v>
      </c>
      <c r="P463" s="3" t="s">
        <v>45</v>
      </c>
    </row>
    <row r="464" spans="1:16" x14ac:dyDescent="0.35">
      <c r="A464" s="3" t="s">
        <v>1185</v>
      </c>
      <c r="B464" s="3" t="s">
        <v>364</v>
      </c>
      <c r="C464" s="3" t="s">
        <v>137</v>
      </c>
      <c r="D464" s="3" t="s">
        <v>90</v>
      </c>
      <c r="E464" s="3" t="s">
        <v>97</v>
      </c>
      <c r="F464" s="3" t="s">
        <v>98</v>
      </c>
      <c r="G464" s="3" t="s">
        <v>51</v>
      </c>
      <c r="H464" s="3" t="s">
        <v>145</v>
      </c>
      <c r="I464" s="3" t="s">
        <v>537</v>
      </c>
      <c r="J464" s="3" t="s">
        <v>106</v>
      </c>
      <c r="K464" s="3">
        <v>5</v>
      </c>
      <c r="L464" s="3">
        <v>119.93</v>
      </c>
      <c r="M464" s="3">
        <v>599.65</v>
      </c>
      <c r="N464" s="3">
        <v>313.05</v>
      </c>
      <c r="O464" s="3">
        <v>286.60000000000002</v>
      </c>
      <c r="P464" s="3" t="s">
        <v>26</v>
      </c>
    </row>
    <row r="465" spans="1:16" x14ac:dyDescent="0.35">
      <c r="A465" s="3" t="s">
        <v>1186</v>
      </c>
      <c r="B465" s="3" t="s">
        <v>1187</v>
      </c>
      <c r="C465" s="3" t="s">
        <v>18</v>
      </c>
      <c r="D465" s="3" t="s">
        <v>38</v>
      </c>
      <c r="E465" s="3" t="s">
        <v>39</v>
      </c>
      <c r="F465" s="3" t="s">
        <v>40</v>
      </c>
      <c r="G465" s="3" t="s">
        <v>22</v>
      </c>
      <c r="H465" s="3" t="s">
        <v>83</v>
      </c>
      <c r="I465" s="3" t="s">
        <v>286</v>
      </c>
      <c r="J465" s="3" t="s">
        <v>106</v>
      </c>
      <c r="K465" s="3">
        <v>8</v>
      </c>
      <c r="L465" s="3">
        <v>20915.66</v>
      </c>
      <c r="M465" s="3">
        <v>167325.28</v>
      </c>
      <c r="N465" s="3">
        <v>142118.96</v>
      </c>
      <c r="O465" s="3">
        <v>25206.32</v>
      </c>
      <c r="P465" s="3" t="s">
        <v>34</v>
      </c>
    </row>
    <row r="466" spans="1:16" x14ac:dyDescent="0.35">
      <c r="A466" s="3" t="s">
        <v>1188</v>
      </c>
      <c r="B466" s="3" t="s">
        <v>989</v>
      </c>
      <c r="C466" s="3" t="s">
        <v>29</v>
      </c>
      <c r="D466" s="3" t="s">
        <v>90</v>
      </c>
      <c r="E466" s="3" t="s">
        <v>119</v>
      </c>
      <c r="F466" s="3" t="s">
        <v>120</v>
      </c>
      <c r="G466" s="3" t="s">
        <v>41</v>
      </c>
      <c r="H466" s="3" t="s">
        <v>42</v>
      </c>
      <c r="I466" s="3" t="s">
        <v>1189</v>
      </c>
      <c r="J466" s="3" t="s">
        <v>217</v>
      </c>
      <c r="K466" s="3">
        <v>7</v>
      </c>
      <c r="L466" s="3">
        <v>43360.38</v>
      </c>
      <c r="M466" s="3">
        <v>303522.65999999997</v>
      </c>
      <c r="N466" s="3">
        <v>253528.92</v>
      </c>
      <c r="O466" s="3">
        <v>49993.74</v>
      </c>
      <c r="P466" s="3" t="s">
        <v>34</v>
      </c>
    </row>
    <row r="467" spans="1:16" x14ac:dyDescent="0.35">
      <c r="A467" s="3" t="s">
        <v>1190</v>
      </c>
      <c r="B467" s="3" t="s">
        <v>1053</v>
      </c>
      <c r="C467" s="3" t="s">
        <v>82</v>
      </c>
      <c r="D467" s="3" t="s">
        <v>38</v>
      </c>
      <c r="E467" s="3" t="s">
        <v>109</v>
      </c>
      <c r="F467" s="3" t="s">
        <v>110</v>
      </c>
      <c r="G467" s="3" t="s">
        <v>22</v>
      </c>
      <c r="H467" s="3" t="s">
        <v>23</v>
      </c>
      <c r="I467" s="3" t="s">
        <v>1191</v>
      </c>
      <c r="J467" s="3" t="s">
        <v>44</v>
      </c>
      <c r="K467" s="3">
        <v>8</v>
      </c>
      <c r="L467" s="3">
        <v>3323.85</v>
      </c>
      <c r="M467" s="3">
        <v>26590.799999999999</v>
      </c>
      <c r="N467" s="3">
        <v>17903.45</v>
      </c>
      <c r="O467" s="3">
        <v>8687.35</v>
      </c>
      <c r="P467" s="3" t="s">
        <v>45</v>
      </c>
    </row>
    <row r="468" spans="1:16" x14ac:dyDescent="0.35">
      <c r="A468" s="3" t="s">
        <v>1192</v>
      </c>
      <c r="B468" s="3" t="s">
        <v>852</v>
      </c>
      <c r="C468" s="3" t="s">
        <v>118</v>
      </c>
      <c r="D468" s="3" t="s">
        <v>58</v>
      </c>
      <c r="E468" s="3" t="s">
        <v>176</v>
      </c>
      <c r="F468" s="3" t="s">
        <v>177</v>
      </c>
      <c r="G468" s="3" t="s">
        <v>30</v>
      </c>
      <c r="H468" s="3" t="s">
        <v>67</v>
      </c>
      <c r="I468" s="3" t="s">
        <v>450</v>
      </c>
      <c r="J468" s="3" t="s">
        <v>147</v>
      </c>
      <c r="K468" s="3">
        <v>5</v>
      </c>
      <c r="L468" s="3">
        <v>9094.91</v>
      </c>
      <c r="M468" s="3">
        <v>45474.55</v>
      </c>
      <c r="N468" s="3">
        <v>38988.870000000003</v>
      </c>
      <c r="O468" s="3">
        <v>6485.68</v>
      </c>
      <c r="P468" s="3" t="s">
        <v>34</v>
      </c>
    </row>
    <row r="469" spans="1:16" x14ac:dyDescent="0.35">
      <c r="A469" s="3" t="s">
        <v>1193</v>
      </c>
      <c r="B469" s="3" t="s">
        <v>265</v>
      </c>
      <c r="C469" s="3" t="s">
        <v>37</v>
      </c>
      <c r="D469" s="3" t="s">
        <v>90</v>
      </c>
      <c r="E469" s="3" t="s">
        <v>97</v>
      </c>
      <c r="F469" s="3" t="s">
        <v>98</v>
      </c>
      <c r="G469" s="3" t="s">
        <v>22</v>
      </c>
      <c r="H469" s="3" t="s">
        <v>93</v>
      </c>
      <c r="I469" s="3" t="s">
        <v>174</v>
      </c>
      <c r="J469" s="3" t="s">
        <v>44</v>
      </c>
      <c r="K469" s="3">
        <v>3</v>
      </c>
      <c r="L469" s="3">
        <v>6878.9</v>
      </c>
      <c r="M469" s="3">
        <v>20636.7</v>
      </c>
      <c r="N469" s="3">
        <v>14368.27</v>
      </c>
      <c r="O469" s="3">
        <v>6268.43</v>
      </c>
      <c r="P469" s="3" t="s">
        <v>86</v>
      </c>
    </row>
    <row r="470" spans="1:16" x14ac:dyDescent="0.35">
      <c r="A470" s="3" t="s">
        <v>1194</v>
      </c>
      <c r="B470" s="3" t="s">
        <v>765</v>
      </c>
      <c r="C470" s="3" t="s">
        <v>57</v>
      </c>
      <c r="D470" s="3" t="s">
        <v>38</v>
      </c>
      <c r="E470" s="3" t="s">
        <v>104</v>
      </c>
      <c r="F470" s="3" t="s">
        <v>104</v>
      </c>
      <c r="G470" s="3" t="s">
        <v>41</v>
      </c>
      <c r="H470" s="3" t="s">
        <v>42</v>
      </c>
      <c r="I470" s="3" t="s">
        <v>686</v>
      </c>
      <c r="J470" s="3" t="s">
        <v>217</v>
      </c>
      <c r="K470" s="3">
        <v>7</v>
      </c>
      <c r="L470" s="3">
        <v>48968.76</v>
      </c>
      <c r="M470" s="3">
        <v>342781.32</v>
      </c>
      <c r="N470" s="3">
        <v>245611.65</v>
      </c>
      <c r="O470" s="3">
        <v>97169.67</v>
      </c>
      <c r="P470" s="3" t="s">
        <v>69</v>
      </c>
    </row>
    <row r="471" spans="1:16" x14ac:dyDescent="0.35">
      <c r="A471" s="3" t="s">
        <v>1195</v>
      </c>
      <c r="B471" s="3" t="s">
        <v>209</v>
      </c>
      <c r="C471" s="3" t="s">
        <v>118</v>
      </c>
      <c r="D471" s="3" t="s">
        <v>38</v>
      </c>
      <c r="E471" s="3" t="s">
        <v>104</v>
      </c>
      <c r="F471" s="3" t="s">
        <v>104</v>
      </c>
      <c r="G471" s="3" t="s">
        <v>30</v>
      </c>
      <c r="H471" s="3" t="s">
        <v>67</v>
      </c>
      <c r="I471" s="3" t="s">
        <v>1087</v>
      </c>
      <c r="J471" s="3" t="s">
        <v>33</v>
      </c>
      <c r="K471" s="3">
        <v>2</v>
      </c>
      <c r="L471" s="3">
        <v>9422.2900000000009</v>
      </c>
      <c r="M471" s="3">
        <v>18844.580000000002</v>
      </c>
      <c r="N471" s="3">
        <v>15631.42</v>
      </c>
      <c r="O471" s="3">
        <v>3213.16</v>
      </c>
      <c r="P471" s="3" t="s">
        <v>45</v>
      </c>
    </row>
    <row r="472" spans="1:16" x14ac:dyDescent="0.35">
      <c r="A472" s="3" t="s">
        <v>1196</v>
      </c>
      <c r="B472" s="3" t="s">
        <v>565</v>
      </c>
      <c r="C472" s="3" t="s">
        <v>137</v>
      </c>
      <c r="D472" s="3" t="s">
        <v>38</v>
      </c>
      <c r="E472" s="3" t="s">
        <v>39</v>
      </c>
      <c r="F472" s="3" t="s">
        <v>40</v>
      </c>
      <c r="G472" s="3" t="s">
        <v>22</v>
      </c>
      <c r="H472" s="3" t="s">
        <v>83</v>
      </c>
      <c r="I472" s="3" t="s">
        <v>718</v>
      </c>
      <c r="J472" s="3" t="s">
        <v>54</v>
      </c>
      <c r="K472" s="3">
        <v>3</v>
      </c>
      <c r="L472" s="3">
        <v>21301.26</v>
      </c>
      <c r="M472" s="3">
        <v>63903.78</v>
      </c>
      <c r="N472" s="3">
        <v>51213.19</v>
      </c>
      <c r="O472" s="3">
        <v>12690.59</v>
      </c>
      <c r="P472" s="3" t="s">
        <v>69</v>
      </c>
    </row>
    <row r="473" spans="1:16" x14ac:dyDescent="0.35">
      <c r="A473" s="3" t="s">
        <v>1197</v>
      </c>
      <c r="B473" s="3" t="s">
        <v>206</v>
      </c>
      <c r="C473" s="3" t="s">
        <v>137</v>
      </c>
      <c r="D473" s="3" t="s">
        <v>38</v>
      </c>
      <c r="E473" s="3" t="s">
        <v>39</v>
      </c>
      <c r="F473" s="3" t="s">
        <v>40</v>
      </c>
      <c r="G473" s="3" t="s">
        <v>41</v>
      </c>
      <c r="H473" s="3" t="s">
        <v>61</v>
      </c>
      <c r="I473" s="3" t="s">
        <v>703</v>
      </c>
      <c r="J473" s="3" t="s">
        <v>188</v>
      </c>
      <c r="K473" s="3">
        <v>6</v>
      </c>
      <c r="L473" s="3">
        <v>2502.4499999999998</v>
      </c>
      <c r="M473" s="3">
        <v>15014.7</v>
      </c>
      <c r="N473" s="3">
        <v>9711.7900000000009</v>
      </c>
      <c r="O473" s="3">
        <v>5302.91</v>
      </c>
      <c r="P473" s="3" t="s">
        <v>26</v>
      </c>
    </row>
    <row r="474" spans="1:16" x14ac:dyDescent="0.35">
      <c r="A474" s="3" t="s">
        <v>1198</v>
      </c>
      <c r="B474" s="3" t="s">
        <v>586</v>
      </c>
      <c r="C474" s="3" t="s">
        <v>57</v>
      </c>
      <c r="D474" s="3" t="s">
        <v>38</v>
      </c>
      <c r="E474" s="3" t="s">
        <v>104</v>
      </c>
      <c r="F474" s="3" t="s">
        <v>104</v>
      </c>
      <c r="G474" s="3" t="s">
        <v>51</v>
      </c>
      <c r="H474" s="3" t="s">
        <v>145</v>
      </c>
      <c r="I474" s="3" t="s">
        <v>905</v>
      </c>
      <c r="J474" s="3" t="s">
        <v>100</v>
      </c>
      <c r="K474" s="3">
        <v>6</v>
      </c>
      <c r="L474" s="3">
        <v>113.19</v>
      </c>
      <c r="M474" s="3">
        <v>679.14</v>
      </c>
      <c r="N474" s="3">
        <v>373.07</v>
      </c>
      <c r="O474" s="3">
        <v>306.07</v>
      </c>
      <c r="P474" s="3" t="s">
        <v>69</v>
      </c>
    </row>
    <row r="475" spans="1:16" x14ac:dyDescent="0.35">
      <c r="A475" s="3" t="s">
        <v>1199</v>
      </c>
      <c r="B475" s="3" t="s">
        <v>376</v>
      </c>
      <c r="C475" s="3" t="s">
        <v>37</v>
      </c>
      <c r="D475" s="3" t="s">
        <v>90</v>
      </c>
      <c r="E475" s="3" t="s">
        <v>91</v>
      </c>
      <c r="F475" s="3" t="s">
        <v>92</v>
      </c>
      <c r="G475" s="3" t="s">
        <v>41</v>
      </c>
      <c r="H475" s="3" t="s">
        <v>61</v>
      </c>
      <c r="I475" s="3" t="s">
        <v>1200</v>
      </c>
      <c r="J475" s="3" t="s">
        <v>79</v>
      </c>
      <c r="K475" s="3">
        <v>8</v>
      </c>
      <c r="L475" s="3">
        <v>2732.97</v>
      </c>
      <c r="M475" s="3">
        <v>21863.759999999998</v>
      </c>
      <c r="N475" s="3">
        <v>12937.13</v>
      </c>
      <c r="O475" s="3">
        <v>8926.6299999999992</v>
      </c>
      <c r="P475" s="3" t="s">
        <v>45</v>
      </c>
    </row>
    <row r="476" spans="1:16" x14ac:dyDescent="0.35">
      <c r="A476" s="3" t="s">
        <v>1201</v>
      </c>
      <c r="B476" s="3" t="s">
        <v>1202</v>
      </c>
      <c r="C476" s="3" t="s">
        <v>118</v>
      </c>
      <c r="D476" s="3" t="s">
        <v>58</v>
      </c>
      <c r="E476" s="3" t="s">
        <v>176</v>
      </c>
      <c r="F476" s="3" t="s">
        <v>177</v>
      </c>
      <c r="G476" s="3" t="s">
        <v>30</v>
      </c>
      <c r="H476" s="3" t="s">
        <v>73</v>
      </c>
      <c r="I476" s="3" t="s">
        <v>1203</v>
      </c>
      <c r="J476" s="3" t="s">
        <v>161</v>
      </c>
      <c r="K476" s="3">
        <v>8</v>
      </c>
      <c r="L476" s="3">
        <v>3188.31</v>
      </c>
      <c r="M476" s="3">
        <v>25506.48</v>
      </c>
      <c r="N476" s="3">
        <v>19152.55</v>
      </c>
      <c r="O476" s="3">
        <v>6353.93</v>
      </c>
      <c r="P476" s="3" t="s">
        <v>45</v>
      </c>
    </row>
    <row r="477" spans="1:16" x14ac:dyDescent="0.35">
      <c r="A477" s="3" t="s">
        <v>1204</v>
      </c>
      <c r="B477" s="3" t="s">
        <v>1205</v>
      </c>
      <c r="C477" s="3" t="s">
        <v>114</v>
      </c>
      <c r="D477" s="3" t="s">
        <v>58</v>
      </c>
      <c r="E477" s="3" t="s">
        <v>176</v>
      </c>
      <c r="F477" s="3" t="s">
        <v>177</v>
      </c>
      <c r="G477" s="3" t="s">
        <v>41</v>
      </c>
      <c r="H477" s="3" t="s">
        <v>42</v>
      </c>
      <c r="I477" s="3" t="s">
        <v>1206</v>
      </c>
      <c r="J477" s="3" t="s">
        <v>154</v>
      </c>
      <c r="K477" s="3">
        <v>4</v>
      </c>
      <c r="L477" s="3">
        <v>41480.400000000001</v>
      </c>
      <c r="M477" s="3">
        <v>165921.60000000001</v>
      </c>
      <c r="N477" s="3">
        <v>133690.07</v>
      </c>
      <c r="O477" s="3">
        <v>32231.53</v>
      </c>
      <c r="P477" s="3" t="s">
        <v>45</v>
      </c>
    </row>
    <row r="478" spans="1:16" x14ac:dyDescent="0.35">
      <c r="A478" s="3" t="s">
        <v>1207</v>
      </c>
      <c r="B478" s="3" t="s">
        <v>552</v>
      </c>
      <c r="C478" s="3" t="s">
        <v>89</v>
      </c>
      <c r="D478" s="3" t="s">
        <v>58</v>
      </c>
      <c r="E478" s="3" t="s">
        <v>65</v>
      </c>
      <c r="F478" s="3" t="s">
        <v>66</v>
      </c>
      <c r="G478" s="3" t="s">
        <v>30</v>
      </c>
      <c r="H478" s="3" t="s">
        <v>67</v>
      </c>
      <c r="I478" s="3" t="s">
        <v>1208</v>
      </c>
      <c r="J478" s="3" t="s">
        <v>131</v>
      </c>
      <c r="K478" s="3">
        <v>4</v>
      </c>
      <c r="L478" s="3">
        <v>9471.66</v>
      </c>
      <c r="M478" s="3">
        <v>37886.639999999999</v>
      </c>
      <c r="N478" s="3">
        <v>29099.23</v>
      </c>
      <c r="O478" s="3">
        <v>8787.41</v>
      </c>
      <c r="P478" s="3" t="s">
        <v>69</v>
      </c>
    </row>
    <row r="479" spans="1:16" x14ac:dyDescent="0.35">
      <c r="A479" s="3" t="s">
        <v>1209</v>
      </c>
      <c r="B479" s="3" t="s">
        <v>642</v>
      </c>
      <c r="C479" s="3" t="s">
        <v>18</v>
      </c>
      <c r="D479" s="3" t="s">
        <v>58</v>
      </c>
      <c r="E479" s="3" t="s">
        <v>176</v>
      </c>
      <c r="F479" s="3" t="s">
        <v>177</v>
      </c>
      <c r="G479" s="3" t="s">
        <v>22</v>
      </c>
      <c r="H479" s="3" t="s">
        <v>23</v>
      </c>
      <c r="I479" s="3" t="s">
        <v>1210</v>
      </c>
      <c r="J479" s="3" t="s">
        <v>33</v>
      </c>
      <c r="K479" s="3">
        <v>8</v>
      </c>
      <c r="L479" s="3">
        <v>3631.02</v>
      </c>
      <c r="M479" s="3">
        <v>29048.16</v>
      </c>
      <c r="N479" s="3">
        <v>18282.09</v>
      </c>
      <c r="O479" s="3">
        <v>10766.07</v>
      </c>
      <c r="P479" s="3" t="s">
        <v>45</v>
      </c>
    </row>
    <row r="480" spans="1:16" x14ac:dyDescent="0.35">
      <c r="A480" s="3" t="s">
        <v>1211</v>
      </c>
      <c r="B480" s="3" t="s">
        <v>180</v>
      </c>
      <c r="C480" s="3" t="s">
        <v>48</v>
      </c>
      <c r="D480" s="3" t="s">
        <v>58</v>
      </c>
      <c r="E480" s="3" t="s">
        <v>65</v>
      </c>
      <c r="F480" s="3" t="s">
        <v>66</v>
      </c>
      <c r="G480" s="3" t="s">
        <v>41</v>
      </c>
      <c r="H480" s="3" t="s">
        <v>42</v>
      </c>
      <c r="I480" s="3" t="s">
        <v>578</v>
      </c>
      <c r="J480" s="3" t="s">
        <v>147</v>
      </c>
      <c r="K480" s="3">
        <v>2</v>
      </c>
      <c r="L480" s="3">
        <v>42670.26</v>
      </c>
      <c r="M480" s="3">
        <v>85340.52</v>
      </c>
      <c r="N480" s="3">
        <v>71322.559999999998</v>
      </c>
      <c r="O480" s="3">
        <v>14017.96</v>
      </c>
      <c r="P480" s="3" t="s">
        <v>45</v>
      </c>
    </row>
    <row r="481" spans="1:16" x14ac:dyDescent="0.35">
      <c r="A481" s="3" t="s">
        <v>1212</v>
      </c>
      <c r="B481" s="3" t="s">
        <v>916</v>
      </c>
      <c r="C481" s="3" t="s">
        <v>103</v>
      </c>
      <c r="D481" s="3" t="s">
        <v>38</v>
      </c>
      <c r="E481" s="3" t="s">
        <v>104</v>
      </c>
      <c r="F481" s="3" t="s">
        <v>104</v>
      </c>
      <c r="G481" s="3" t="s">
        <v>22</v>
      </c>
      <c r="H481" s="3" t="s">
        <v>23</v>
      </c>
      <c r="I481" s="3" t="s">
        <v>1157</v>
      </c>
      <c r="J481" s="3" t="s">
        <v>79</v>
      </c>
      <c r="K481" s="3">
        <v>2</v>
      </c>
      <c r="L481" s="3">
        <v>3584.58</v>
      </c>
      <c r="M481" s="3">
        <v>7169.16</v>
      </c>
      <c r="N481" s="3">
        <v>4596.92</v>
      </c>
      <c r="O481" s="3">
        <v>2572.2399999999998</v>
      </c>
      <c r="P481" s="3" t="s">
        <v>45</v>
      </c>
    </row>
    <row r="482" spans="1:16" x14ac:dyDescent="0.35">
      <c r="A482" s="3" t="s">
        <v>1213</v>
      </c>
      <c r="B482" s="3" t="s">
        <v>675</v>
      </c>
      <c r="C482" s="3" t="s">
        <v>82</v>
      </c>
      <c r="D482" s="3" t="s">
        <v>38</v>
      </c>
      <c r="E482" s="3" t="s">
        <v>39</v>
      </c>
      <c r="F482" s="3" t="s">
        <v>40</v>
      </c>
      <c r="G482" s="3" t="s">
        <v>30</v>
      </c>
      <c r="H482" s="3" t="s">
        <v>73</v>
      </c>
      <c r="I482" s="3" t="s">
        <v>1214</v>
      </c>
      <c r="J482" s="3" t="s">
        <v>154</v>
      </c>
      <c r="K482" s="3">
        <v>6</v>
      </c>
      <c r="L482" s="3">
        <v>3191.87</v>
      </c>
      <c r="M482" s="3">
        <v>19151.22</v>
      </c>
      <c r="N482" s="3">
        <v>14574.21</v>
      </c>
      <c r="O482" s="3">
        <v>4577.01</v>
      </c>
      <c r="P482" s="3" t="s">
        <v>34</v>
      </c>
    </row>
    <row r="483" spans="1:16" x14ac:dyDescent="0.35">
      <c r="A483" s="3" t="s">
        <v>1215</v>
      </c>
      <c r="B483" s="3" t="s">
        <v>1216</v>
      </c>
      <c r="C483" s="3" t="s">
        <v>114</v>
      </c>
      <c r="D483" s="3" t="s">
        <v>19</v>
      </c>
      <c r="E483" s="3" t="s">
        <v>20</v>
      </c>
      <c r="F483" s="3" t="s">
        <v>21</v>
      </c>
      <c r="G483" s="3" t="s">
        <v>30</v>
      </c>
      <c r="H483" s="3" t="s">
        <v>67</v>
      </c>
      <c r="I483" s="3" t="s">
        <v>1217</v>
      </c>
      <c r="J483" s="3" t="s">
        <v>106</v>
      </c>
      <c r="K483" s="3">
        <v>7</v>
      </c>
      <c r="L483" s="3">
        <v>9981.86</v>
      </c>
      <c r="M483" s="3">
        <v>69873.02</v>
      </c>
      <c r="N483" s="3">
        <v>53704.65</v>
      </c>
      <c r="O483" s="3">
        <v>16168.37</v>
      </c>
      <c r="P483" s="3" t="s">
        <v>45</v>
      </c>
    </row>
    <row r="484" spans="1:16" x14ac:dyDescent="0.35">
      <c r="A484" s="3" t="s">
        <v>1218</v>
      </c>
      <c r="B484" s="3" t="s">
        <v>834</v>
      </c>
      <c r="C484" s="3" t="s">
        <v>114</v>
      </c>
      <c r="D484" s="3" t="s">
        <v>90</v>
      </c>
      <c r="E484" s="3" t="s">
        <v>119</v>
      </c>
      <c r="F484" s="3" t="s">
        <v>120</v>
      </c>
      <c r="G484" s="3" t="s">
        <v>30</v>
      </c>
      <c r="H484" s="3" t="s">
        <v>73</v>
      </c>
      <c r="I484" s="3" t="s">
        <v>643</v>
      </c>
      <c r="J484" s="3" t="s">
        <v>171</v>
      </c>
      <c r="K484" s="3">
        <v>5</v>
      </c>
      <c r="L484" s="3">
        <v>3290.31</v>
      </c>
      <c r="M484" s="3">
        <v>16451.55</v>
      </c>
      <c r="N484" s="3">
        <v>12366.01</v>
      </c>
      <c r="O484" s="3">
        <v>4085.54</v>
      </c>
      <c r="P484" s="3" t="s">
        <v>69</v>
      </c>
    </row>
    <row r="485" spans="1:16" x14ac:dyDescent="0.35">
      <c r="A485" s="3" t="s">
        <v>1219</v>
      </c>
      <c r="B485" s="3" t="s">
        <v>330</v>
      </c>
      <c r="C485" s="3" t="s">
        <v>18</v>
      </c>
      <c r="D485" s="3" t="s">
        <v>19</v>
      </c>
      <c r="E485" s="3" t="s">
        <v>199</v>
      </c>
      <c r="F485" s="3" t="s">
        <v>200</v>
      </c>
      <c r="G485" s="3" t="s">
        <v>22</v>
      </c>
      <c r="H485" s="3" t="s">
        <v>93</v>
      </c>
      <c r="I485" s="3" t="s">
        <v>1220</v>
      </c>
      <c r="J485" s="3" t="s">
        <v>131</v>
      </c>
      <c r="K485" s="3">
        <v>3</v>
      </c>
      <c r="L485" s="3">
        <v>6464.03</v>
      </c>
      <c r="M485" s="3">
        <v>19392.09</v>
      </c>
      <c r="N485" s="3">
        <v>15466.1</v>
      </c>
      <c r="O485" s="3">
        <v>3925.99</v>
      </c>
      <c r="P485" s="3" t="s">
        <v>69</v>
      </c>
    </row>
    <row r="486" spans="1:16" x14ac:dyDescent="0.35">
      <c r="A486" s="3" t="s">
        <v>1221</v>
      </c>
      <c r="B486" s="3" t="s">
        <v>310</v>
      </c>
      <c r="C486" s="3" t="s">
        <v>37</v>
      </c>
      <c r="D486" s="3" t="s">
        <v>19</v>
      </c>
      <c r="E486" s="3" t="s">
        <v>199</v>
      </c>
      <c r="F486" s="3" t="s">
        <v>200</v>
      </c>
      <c r="G486" s="3" t="s">
        <v>30</v>
      </c>
      <c r="H486" s="3" t="s">
        <v>31</v>
      </c>
      <c r="I486" s="3" t="s">
        <v>1222</v>
      </c>
      <c r="J486" s="3" t="s">
        <v>106</v>
      </c>
      <c r="K486" s="3">
        <v>5</v>
      </c>
      <c r="L486" s="3">
        <v>2870.02</v>
      </c>
      <c r="M486" s="3">
        <v>14350.1</v>
      </c>
      <c r="N486" s="3">
        <v>9966.2000000000007</v>
      </c>
      <c r="O486" s="3">
        <v>4383.8999999999996</v>
      </c>
      <c r="P486" s="3" t="s">
        <v>26</v>
      </c>
    </row>
    <row r="487" spans="1:16" x14ac:dyDescent="0.35">
      <c r="A487" s="3" t="s">
        <v>1223</v>
      </c>
      <c r="B487" s="3" t="s">
        <v>1224</v>
      </c>
      <c r="C487" s="3" t="s">
        <v>37</v>
      </c>
      <c r="D487" s="3" t="s">
        <v>90</v>
      </c>
      <c r="E487" s="3" t="s">
        <v>91</v>
      </c>
      <c r="F487" s="3" t="s">
        <v>92</v>
      </c>
      <c r="G487" s="3" t="s">
        <v>51</v>
      </c>
      <c r="H487" s="3" t="s">
        <v>77</v>
      </c>
      <c r="I487" s="3" t="s">
        <v>587</v>
      </c>
      <c r="J487" s="3" t="s">
        <v>131</v>
      </c>
      <c r="K487" s="3">
        <v>3</v>
      </c>
      <c r="L487" s="3">
        <v>12450.36</v>
      </c>
      <c r="M487" s="3">
        <v>37351.08</v>
      </c>
      <c r="N487" s="3">
        <v>26316.7</v>
      </c>
      <c r="O487" s="3">
        <v>11034.38</v>
      </c>
      <c r="P487" s="3" t="s">
        <v>34</v>
      </c>
    </row>
    <row r="488" spans="1:16" x14ac:dyDescent="0.35">
      <c r="A488" s="3" t="s">
        <v>1225</v>
      </c>
      <c r="B488" s="3" t="s">
        <v>1226</v>
      </c>
      <c r="C488" s="3" t="s">
        <v>29</v>
      </c>
      <c r="D488" s="3" t="s">
        <v>38</v>
      </c>
      <c r="E488" s="3" t="s">
        <v>104</v>
      </c>
      <c r="F488" s="3" t="s">
        <v>104</v>
      </c>
      <c r="G488" s="3" t="s">
        <v>51</v>
      </c>
      <c r="H488" s="3" t="s">
        <v>145</v>
      </c>
      <c r="I488" s="3" t="s">
        <v>1227</v>
      </c>
      <c r="J488" s="3" t="s">
        <v>79</v>
      </c>
      <c r="K488" s="3">
        <v>6</v>
      </c>
      <c r="L488" s="3">
        <v>114.69</v>
      </c>
      <c r="M488" s="3">
        <v>688.14</v>
      </c>
      <c r="N488" s="3">
        <v>356.47</v>
      </c>
      <c r="O488" s="3">
        <v>331.67</v>
      </c>
      <c r="P488" s="3" t="s">
        <v>26</v>
      </c>
    </row>
    <row r="489" spans="1:16" x14ac:dyDescent="0.35">
      <c r="A489" s="3" t="s">
        <v>1228</v>
      </c>
      <c r="B489" s="3" t="s">
        <v>387</v>
      </c>
      <c r="C489" s="3" t="s">
        <v>82</v>
      </c>
      <c r="D489" s="3" t="s">
        <v>19</v>
      </c>
      <c r="E489" s="3" t="s">
        <v>20</v>
      </c>
      <c r="F489" s="3" t="s">
        <v>21</v>
      </c>
      <c r="G489" s="3" t="s">
        <v>22</v>
      </c>
      <c r="H489" s="3" t="s">
        <v>93</v>
      </c>
      <c r="I489" s="3" t="s">
        <v>1229</v>
      </c>
      <c r="J489" s="3" t="s">
        <v>217</v>
      </c>
      <c r="K489" s="3">
        <v>2</v>
      </c>
      <c r="L489" s="3">
        <v>6550.73</v>
      </c>
      <c r="M489" s="3">
        <v>13101.46</v>
      </c>
      <c r="N489" s="3">
        <v>9514.48</v>
      </c>
      <c r="O489" s="3">
        <v>3586.98</v>
      </c>
      <c r="P489" s="3" t="s">
        <v>26</v>
      </c>
    </row>
    <row r="490" spans="1:16" x14ac:dyDescent="0.35">
      <c r="A490" s="3" t="s">
        <v>1230</v>
      </c>
      <c r="B490" s="3" t="s">
        <v>733</v>
      </c>
      <c r="C490" s="3" t="s">
        <v>89</v>
      </c>
      <c r="D490" s="3" t="s">
        <v>58</v>
      </c>
      <c r="E490" s="3" t="s">
        <v>59</v>
      </c>
      <c r="F490" s="3" t="s">
        <v>60</v>
      </c>
      <c r="G490" s="3" t="s">
        <v>30</v>
      </c>
      <c r="H490" s="3" t="s">
        <v>67</v>
      </c>
      <c r="I490" s="3" t="s">
        <v>1231</v>
      </c>
      <c r="J490" s="3" t="s">
        <v>171</v>
      </c>
      <c r="K490" s="3">
        <v>3</v>
      </c>
      <c r="L490" s="3">
        <v>8698.08</v>
      </c>
      <c r="M490" s="3">
        <v>26094.240000000002</v>
      </c>
      <c r="N490" s="3">
        <v>23610.85</v>
      </c>
      <c r="O490" s="3">
        <v>2483.39</v>
      </c>
      <c r="P490" s="3" t="s">
        <v>34</v>
      </c>
    </row>
    <row r="491" spans="1:16" x14ac:dyDescent="0.35">
      <c r="A491" s="3" t="s">
        <v>1232</v>
      </c>
      <c r="B491" s="3" t="s">
        <v>212</v>
      </c>
      <c r="C491" s="3" t="s">
        <v>37</v>
      </c>
      <c r="D491" s="3" t="s">
        <v>38</v>
      </c>
      <c r="E491" s="3" t="s">
        <v>104</v>
      </c>
      <c r="F491" s="3" t="s">
        <v>104</v>
      </c>
      <c r="G491" s="3" t="s">
        <v>22</v>
      </c>
      <c r="H491" s="3" t="s">
        <v>93</v>
      </c>
      <c r="I491" s="3" t="s">
        <v>1233</v>
      </c>
      <c r="J491" s="3" t="s">
        <v>33</v>
      </c>
      <c r="K491" s="3">
        <v>7</v>
      </c>
      <c r="L491" s="3">
        <v>6425.42</v>
      </c>
      <c r="M491" s="3">
        <v>44977.94</v>
      </c>
      <c r="N491" s="3">
        <v>34453.35</v>
      </c>
      <c r="O491" s="3">
        <v>10524.59</v>
      </c>
      <c r="P491" s="3" t="s">
        <v>45</v>
      </c>
    </row>
    <row r="492" spans="1:16" x14ac:dyDescent="0.35">
      <c r="A492" s="3" t="s">
        <v>1234</v>
      </c>
      <c r="B492" s="3" t="s">
        <v>1235</v>
      </c>
      <c r="C492" s="3" t="s">
        <v>18</v>
      </c>
      <c r="D492" s="3" t="s">
        <v>38</v>
      </c>
      <c r="E492" s="3" t="s">
        <v>104</v>
      </c>
      <c r="F492" s="3" t="s">
        <v>104</v>
      </c>
      <c r="G492" s="3" t="s">
        <v>30</v>
      </c>
      <c r="H492" s="3" t="s">
        <v>31</v>
      </c>
      <c r="I492" s="3" t="s">
        <v>694</v>
      </c>
      <c r="J492" s="3" t="s">
        <v>161</v>
      </c>
      <c r="K492" s="3">
        <v>3</v>
      </c>
      <c r="L492" s="3">
        <v>2734.97</v>
      </c>
      <c r="M492" s="3">
        <v>8204.91</v>
      </c>
      <c r="N492" s="3">
        <v>5713.77</v>
      </c>
      <c r="O492" s="3">
        <v>2491.14</v>
      </c>
      <c r="P492" s="3" t="s">
        <v>45</v>
      </c>
    </row>
    <row r="493" spans="1:16" x14ac:dyDescent="0.35">
      <c r="A493" s="3" t="s">
        <v>1236</v>
      </c>
      <c r="B493" s="3" t="s">
        <v>740</v>
      </c>
      <c r="C493" s="3" t="s">
        <v>29</v>
      </c>
      <c r="D493" s="3" t="s">
        <v>38</v>
      </c>
      <c r="E493" s="3" t="s">
        <v>109</v>
      </c>
      <c r="F493" s="3" t="s">
        <v>110</v>
      </c>
      <c r="G493" s="3" t="s">
        <v>51</v>
      </c>
      <c r="H493" s="3" t="s">
        <v>145</v>
      </c>
      <c r="I493" s="3" t="s">
        <v>522</v>
      </c>
      <c r="J493" s="3" t="s">
        <v>154</v>
      </c>
      <c r="K493" s="3">
        <v>8</v>
      </c>
      <c r="L493" s="3">
        <v>119.33</v>
      </c>
      <c r="M493" s="3">
        <v>954.64</v>
      </c>
      <c r="N493" s="3">
        <v>484.51</v>
      </c>
      <c r="O493" s="3">
        <v>470.13</v>
      </c>
      <c r="P493" s="3" t="s">
        <v>86</v>
      </c>
    </row>
    <row r="494" spans="1:16" x14ac:dyDescent="0.35">
      <c r="A494" s="3" t="s">
        <v>1237</v>
      </c>
      <c r="B494" s="3" t="s">
        <v>1238</v>
      </c>
      <c r="C494" s="3" t="s">
        <v>82</v>
      </c>
      <c r="D494" s="3" t="s">
        <v>38</v>
      </c>
      <c r="E494" s="3" t="s">
        <v>104</v>
      </c>
      <c r="F494" s="3" t="s">
        <v>104</v>
      </c>
      <c r="G494" s="3" t="s">
        <v>30</v>
      </c>
      <c r="H494" s="3" t="s">
        <v>73</v>
      </c>
      <c r="I494" s="3" t="s">
        <v>1229</v>
      </c>
      <c r="J494" s="3" t="s">
        <v>85</v>
      </c>
      <c r="K494" s="3">
        <v>2</v>
      </c>
      <c r="L494" s="3">
        <v>3314.34</v>
      </c>
      <c r="M494" s="3">
        <v>6628.68</v>
      </c>
      <c r="N494" s="3">
        <v>4768.32</v>
      </c>
      <c r="O494" s="3">
        <v>1860.36</v>
      </c>
      <c r="P494" s="3" t="s">
        <v>34</v>
      </c>
    </row>
    <row r="495" spans="1:16" x14ac:dyDescent="0.35">
      <c r="A495" s="3" t="s">
        <v>1239</v>
      </c>
      <c r="B495" s="3" t="s">
        <v>1240</v>
      </c>
      <c r="C495" s="3" t="s">
        <v>118</v>
      </c>
      <c r="D495" s="3" t="s">
        <v>58</v>
      </c>
      <c r="E495" s="3" t="s">
        <v>176</v>
      </c>
      <c r="F495" s="3" t="s">
        <v>177</v>
      </c>
      <c r="G495" s="3" t="s">
        <v>51</v>
      </c>
      <c r="H495" s="3" t="s">
        <v>77</v>
      </c>
      <c r="I495" s="3" t="s">
        <v>1241</v>
      </c>
      <c r="J495" s="3" t="s">
        <v>171</v>
      </c>
      <c r="K495" s="3">
        <v>6</v>
      </c>
      <c r="L495" s="3">
        <v>11899.25</v>
      </c>
      <c r="M495" s="3">
        <v>71395.5</v>
      </c>
      <c r="N495" s="3">
        <v>53099.82</v>
      </c>
      <c r="O495" s="3">
        <v>18295.68</v>
      </c>
      <c r="P495" s="3" t="s">
        <v>86</v>
      </c>
    </row>
    <row r="496" spans="1:16" x14ac:dyDescent="0.35">
      <c r="A496" s="3" t="s">
        <v>1242</v>
      </c>
      <c r="B496" s="3" t="s">
        <v>407</v>
      </c>
      <c r="C496" s="3" t="s">
        <v>48</v>
      </c>
      <c r="D496" s="3" t="s">
        <v>38</v>
      </c>
      <c r="E496" s="3" t="s">
        <v>109</v>
      </c>
      <c r="F496" s="3" t="s">
        <v>110</v>
      </c>
      <c r="G496" s="3" t="s">
        <v>41</v>
      </c>
      <c r="H496" s="3" t="s">
        <v>61</v>
      </c>
      <c r="I496" s="3" t="s">
        <v>1243</v>
      </c>
      <c r="J496" s="3" t="s">
        <v>33</v>
      </c>
      <c r="K496" s="3">
        <v>6</v>
      </c>
      <c r="L496" s="3">
        <v>2370.4499999999998</v>
      </c>
      <c r="M496" s="3">
        <v>14222.7</v>
      </c>
      <c r="N496" s="3">
        <v>9260.07</v>
      </c>
      <c r="O496" s="3">
        <v>4962.63</v>
      </c>
      <c r="P496" s="3" t="s">
        <v>34</v>
      </c>
    </row>
    <row r="497" spans="1:16" x14ac:dyDescent="0.35">
      <c r="A497" s="3" t="s">
        <v>1244</v>
      </c>
      <c r="B497" s="3" t="s">
        <v>271</v>
      </c>
      <c r="C497" s="3" t="s">
        <v>82</v>
      </c>
      <c r="D497" s="3" t="s">
        <v>38</v>
      </c>
      <c r="E497" s="3" t="s">
        <v>104</v>
      </c>
      <c r="F497" s="3" t="s">
        <v>104</v>
      </c>
      <c r="G497" s="3" t="s">
        <v>30</v>
      </c>
      <c r="H497" s="3" t="s">
        <v>67</v>
      </c>
      <c r="I497" s="3" t="s">
        <v>456</v>
      </c>
      <c r="J497" s="3" t="s">
        <v>217</v>
      </c>
      <c r="K497" s="3">
        <v>3</v>
      </c>
      <c r="L497" s="3">
        <v>9825.58</v>
      </c>
      <c r="M497" s="3">
        <v>29476.74</v>
      </c>
      <c r="N497" s="3">
        <v>22355.18</v>
      </c>
      <c r="O497" s="3">
        <v>7121.56</v>
      </c>
      <c r="P497" s="3" t="s">
        <v>45</v>
      </c>
    </row>
    <row r="498" spans="1:16" x14ac:dyDescent="0.35">
      <c r="A498" s="3" t="s">
        <v>1245</v>
      </c>
      <c r="B498" s="3" t="s">
        <v>236</v>
      </c>
      <c r="C498" s="3" t="s">
        <v>18</v>
      </c>
      <c r="D498" s="3" t="s">
        <v>38</v>
      </c>
      <c r="E498" s="3" t="s">
        <v>39</v>
      </c>
      <c r="F498" s="3" t="s">
        <v>40</v>
      </c>
      <c r="G498" s="3" t="s">
        <v>51</v>
      </c>
      <c r="H498" s="3" t="s">
        <v>145</v>
      </c>
      <c r="I498" s="3" t="s">
        <v>1246</v>
      </c>
      <c r="J498" s="3" t="s">
        <v>33</v>
      </c>
      <c r="K498" s="3">
        <v>7</v>
      </c>
      <c r="L498" s="3">
        <v>128.82</v>
      </c>
      <c r="M498" s="3">
        <v>901.74</v>
      </c>
      <c r="N498" s="3">
        <v>412.72</v>
      </c>
      <c r="O498" s="3">
        <v>489.02</v>
      </c>
      <c r="P498" s="3" t="s">
        <v>69</v>
      </c>
    </row>
    <row r="499" spans="1:16" x14ac:dyDescent="0.35">
      <c r="A499" s="3" t="s">
        <v>1247</v>
      </c>
      <c r="B499" s="3" t="s">
        <v>336</v>
      </c>
      <c r="C499" s="3" t="s">
        <v>29</v>
      </c>
      <c r="D499" s="3" t="s">
        <v>19</v>
      </c>
      <c r="E499" s="3" t="s">
        <v>49</v>
      </c>
      <c r="F499" s="3" t="s">
        <v>50</v>
      </c>
      <c r="G499" s="3" t="s">
        <v>51</v>
      </c>
      <c r="H499" s="3" t="s">
        <v>77</v>
      </c>
      <c r="I499" s="3" t="s">
        <v>785</v>
      </c>
      <c r="J499" s="3" t="s">
        <v>85</v>
      </c>
      <c r="K499" s="3">
        <v>8</v>
      </c>
      <c r="L499" s="3">
        <v>11465.29</v>
      </c>
      <c r="M499" s="3">
        <v>91722.32</v>
      </c>
      <c r="N499" s="3">
        <v>69225.740000000005</v>
      </c>
      <c r="O499" s="3">
        <v>22496.58</v>
      </c>
      <c r="P499" s="3" t="s">
        <v>26</v>
      </c>
    </row>
    <row r="500" spans="1:16" x14ac:dyDescent="0.35">
      <c r="A500" s="3" t="s">
        <v>1248</v>
      </c>
      <c r="B500" s="3" t="s">
        <v>64</v>
      </c>
      <c r="C500" s="3" t="s">
        <v>57</v>
      </c>
      <c r="D500" s="3" t="s">
        <v>58</v>
      </c>
      <c r="E500" s="3" t="s">
        <v>59</v>
      </c>
      <c r="F500" s="3" t="s">
        <v>60</v>
      </c>
      <c r="G500" s="3" t="s">
        <v>30</v>
      </c>
      <c r="H500" s="3" t="s">
        <v>73</v>
      </c>
      <c r="I500" s="3" t="s">
        <v>1249</v>
      </c>
      <c r="J500" s="3" t="s">
        <v>25</v>
      </c>
      <c r="K500" s="3">
        <v>6</v>
      </c>
      <c r="L500" s="3">
        <v>2954.63</v>
      </c>
      <c r="M500" s="3">
        <v>17727.78</v>
      </c>
      <c r="N500" s="3">
        <v>14965.56</v>
      </c>
      <c r="O500" s="3">
        <v>2762.22</v>
      </c>
      <c r="P500" s="3" t="s">
        <v>45</v>
      </c>
    </row>
    <row r="501" spans="1:16" x14ac:dyDescent="0.35">
      <c r="A501" s="3" t="s">
        <v>1250</v>
      </c>
      <c r="B501" s="3" t="s">
        <v>420</v>
      </c>
      <c r="C501" s="3" t="s">
        <v>89</v>
      </c>
      <c r="D501" s="3" t="s">
        <v>90</v>
      </c>
      <c r="E501" s="3" t="s">
        <v>119</v>
      </c>
      <c r="F501" s="3" t="s">
        <v>120</v>
      </c>
      <c r="G501" s="3" t="s">
        <v>41</v>
      </c>
      <c r="H501" s="3" t="s">
        <v>138</v>
      </c>
      <c r="I501" s="3" t="s">
        <v>1251</v>
      </c>
      <c r="J501" s="3" t="s">
        <v>25</v>
      </c>
      <c r="K501" s="3">
        <v>6</v>
      </c>
      <c r="L501" s="3">
        <v>17142.55</v>
      </c>
      <c r="M501" s="3">
        <v>102855.3</v>
      </c>
      <c r="N501" s="3">
        <v>86302.24</v>
      </c>
      <c r="O501" s="3">
        <v>16553.060000000001</v>
      </c>
      <c r="P501" s="3" t="s">
        <v>86</v>
      </c>
    </row>
    <row r="502" spans="1:16" x14ac:dyDescent="0.35">
      <c r="A502" s="3" t="s">
        <v>1252</v>
      </c>
      <c r="B502" s="3" t="s">
        <v>384</v>
      </c>
      <c r="C502" s="3" t="s">
        <v>57</v>
      </c>
      <c r="D502" s="3" t="s">
        <v>58</v>
      </c>
      <c r="E502" s="3" t="s">
        <v>59</v>
      </c>
      <c r="F502" s="3" t="s">
        <v>60</v>
      </c>
      <c r="G502" s="3" t="s">
        <v>41</v>
      </c>
      <c r="H502" s="3" t="s">
        <v>42</v>
      </c>
      <c r="I502" s="3" t="s">
        <v>1253</v>
      </c>
      <c r="J502" s="3" t="s">
        <v>131</v>
      </c>
      <c r="K502" s="3">
        <v>8</v>
      </c>
      <c r="L502" s="3">
        <v>44785.05</v>
      </c>
      <c r="M502" s="3">
        <v>358280.4</v>
      </c>
      <c r="N502" s="3">
        <v>280145.15000000002</v>
      </c>
      <c r="O502" s="3">
        <v>78135.25</v>
      </c>
      <c r="P502" s="3" t="s">
        <v>34</v>
      </c>
    </row>
    <row r="503" spans="1:16" x14ac:dyDescent="0.35">
      <c r="A503" s="3" t="s">
        <v>1254</v>
      </c>
      <c r="B503" s="3" t="s">
        <v>1255</v>
      </c>
      <c r="C503" s="3" t="s">
        <v>72</v>
      </c>
      <c r="D503" s="3" t="s">
        <v>19</v>
      </c>
      <c r="E503" s="3" t="s">
        <v>49</v>
      </c>
      <c r="F503" s="3" t="s">
        <v>50</v>
      </c>
      <c r="G503" s="3" t="s">
        <v>30</v>
      </c>
      <c r="H503" s="3" t="s">
        <v>73</v>
      </c>
      <c r="I503" s="3" t="s">
        <v>1256</v>
      </c>
      <c r="J503" s="3" t="s">
        <v>154</v>
      </c>
      <c r="K503" s="3">
        <v>4</v>
      </c>
      <c r="L503" s="3">
        <v>2972.56</v>
      </c>
      <c r="M503" s="3">
        <v>11890.24</v>
      </c>
      <c r="N503" s="3">
        <v>9499.7099999999991</v>
      </c>
      <c r="O503" s="3">
        <v>2390.5300000000002</v>
      </c>
      <c r="P503" s="3" t="s">
        <v>45</v>
      </c>
    </row>
    <row r="504" spans="1:16" x14ac:dyDescent="0.35">
      <c r="A504" s="3" t="s">
        <v>1257</v>
      </c>
      <c r="B504" s="3" t="s">
        <v>64</v>
      </c>
      <c r="C504" s="3" t="s">
        <v>57</v>
      </c>
      <c r="D504" s="3" t="s">
        <v>19</v>
      </c>
      <c r="E504" s="3" t="s">
        <v>199</v>
      </c>
      <c r="F504" s="3" t="s">
        <v>200</v>
      </c>
      <c r="G504" s="3" t="s">
        <v>41</v>
      </c>
      <c r="H504" s="3" t="s">
        <v>42</v>
      </c>
      <c r="I504" s="3" t="s">
        <v>1258</v>
      </c>
      <c r="J504" s="3" t="s">
        <v>25</v>
      </c>
      <c r="K504" s="3">
        <v>8</v>
      </c>
      <c r="L504" s="3">
        <v>45679.199999999997</v>
      </c>
      <c r="M504" s="3">
        <v>365433.59999999998</v>
      </c>
      <c r="N504" s="3">
        <v>266791.34999999998</v>
      </c>
      <c r="O504" s="3">
        <v>98642.25</v>
      </c>
      <c r="P504" s="3" t="s">
        <v>69</v>
      </c>
    </row>
    <row r="505" spans="1:16" x14ac:dyDescent="0.35">
      <c r="A505" s="3" t="s">
        <v>1259</v>
      </c>
      <c r="B505" s="3" t="s">
        <v>257</v>
      </c>
      <c r="C505" s="3" t="s">
        <v>72</v>
      </c>
      <c r="D505" s="3" t="s">
        <v>38</v>
      </c>
      <c r="E505" s="3" t="s">
        <v>109</v>
      </c>
      <c r="F505" s="3" t="s">
        <v>110</v>
      </c>
      <c r="G505" s="3" t="s">
        <v>51</v>
      </c>
      <c r="H505" s="3" t="s">
        <v>145</v>
      </c>
      <c r="I505" s="3" t="s">
        <v>1260</v>
      </c>
      <c r="J505" s="3" t="s">
        <v>54</v>
      </c>
      <c r="K505" s="3">
        <v>6</v>
      </c>
      <c r="L505" s="3">
        <v>128.38999999999999</v>
      </c>
      <c r="M505" s="3">
        <v>770.34</v>
      </c>
      <c r="N505" s="3">
        <v>363.49</v>
      </c>
      <c r="O505" s="3">
        <v>406.85</v>
      </c>
      <c r="P505" s="3" t="s">
        <v>34</v>
      </c>
    </row>
    <row r="506" spans="1:16" x14ac:dyDescent="0.35">
      <c r="A506" s="3" t="s">
        <v>1261</v>
      </c>
      <c r="B506" s="3" t="s">
        <v>1125</v>
      </c>
      <c r="C506" s="3" t="s">
        <v>57</v>
      </c>
      <c r="D506" s="3" t="s">
        <v>38</v>
      </c>
      <c r="E506" s="3" t="s">
        <v>109</v>
      </c>
      <c r="F506" s="3" t="s">
        <v>110</v>
      </c>
      <c r="G506" s="3" t="s">
        <v>22</v>
      </c>
      <c r="H506" s="3" t="s">
        <v>23</v>
      </c>
      <c r="I506" s="3" t="s">
        <v>1075</v>
      </c>
      <c r="J506" s="3" t="s">
        <v>171</v>
      </c>
      <c r="K506" s="3">
        <v>2</v>
      </c>
      <c r="L506" s="3">
        <v>3600.11</v>
      </c>
      <c r="M506" s="3">
        <v>7200.22</v>
      </c>
      <c r="N506" s="3">
        <v>4435.7299999999996</v>
      </c>
      <c r="O506" s="3">
        <v>2764.49</v>
      </c>
      <c r="P506" s="3" t="s">
        <v>34</v>
      </c>
    </row>
    <row r="507" spans="1:16" x14ac:dyDescent="0.35">
      <c r="A507" s="3" t="s">
        <v>1262</v>
      </c>
      <c r="B507" s="3" t="s">
        <v>877</v>
      </c>
      <c r="C507" s="3" t="s">
        <v>114</v>
      </c>
      <c r="D507" s="3" t="s">
        <v>38</v>
      </c>
      <c r="E507" s="3" t="s">
        <v>104</v>
      </c>
      <c r="F507" s="3" t="s">
        <v>104</v>
      </c>
      <c r="G507" s="3" t="s">
        <v>51</v>
      </c>
      <c r="H507" s="3" t="s">
        <v>52</v>
      </c>
      <c r="I507" s="3" t="s">
        <v>544</v>
      </c>
      <c r="J507" s="3" t="s">
        <v>33</v>
      </c>
      <c r="K507" s="3">
        <v>5</v>
      </c>
      <c r="L507" s="3">
        <v>26.16</v>
      </c>
      <c r="M507" s="3">
        <v>130.80000000000001</v>
      </c>
      <c r="N507" s="3">
        <v>48.1</v>
      </c>
      <c r="O507" s="3">
        <v>82.7</v>
      </c>
      <c r="P507" s="3" t="s">
        <v>26</v>
      </c>
    </row>
    <row r="508" spans="1:16" x14ac:dyDescent="0.35">
      <c r="A508" s="3" t="s">
        <v>1263</v>
      </c>
      <c r="B508" s="3" t="s">
        <v>141</v>
      </c>
      <c r="C508" s="3" t="s">
        <v>57</v>
      </c>
      <c r="D508" s="3" t="s">
        <v>90</v>
      </c>
      <c r="E508" s="3" t="s">
        <v>119</v>
      </c>
      <c r="F508" s="3" t="s">
        <v>120</v>
      </c>
      <c r="G508" s="3" t="s">
        <v>22</v>
      </c>
      <c r="H508" s="3" t="s">
        <v>83</v>
      </c>
      <c r="I508" s="3" t="s">
        <v>1264</v>
      </c>
      <c r="J508" s="3" t="s">
        <v>131</v>
      </c>
      <c r="K508" s="3">
        <v>3</v>
      </c>
      <c r="L508" s="3">
        <v>22619.25</v>
      </c>
      <c r="M508" s="3">
        <v>67857.75</v>
      </c>
      <c r="N508" s="3">
        <v>53429.93</v>
      </c>
      <c r="O508" s="3">
        <v>14427.82</v>
      </c>
      <c r="P508" s="3" t="s">
        <v>69</v>
      </c>
    </row>
    <row r="509" spans="1:16" x14ac:dyDescent="0.35">
      <c r="A509" s="3" t="s">
        <v>1265</v>
      </c>
      <c r="B509" s="3" t="s">
        <v>291</v>
      </c>
      <c r="C509" s="3" t="s">
        <v>48</v>
      </c>
      <c r="D509" s="3" t="s">
        <v>58</v>
      </c>
      <c r="E509" s="3" t="s">
        <v>59</v>
      </c>
      <c r="F509" s="3" t="s">
        <v>60</v>
      </c>
      <c r="G509" s="3" t="s">
        <v>22</v>
      </c>
      <c r="H509" s="3" t="s">
        <v>23</v>
      </c>
      <c r="I509" s="3" t="s">
        <v>1266</v>
      </c>
      <c r="J509" s="3" t="s">
        <v>171</v>
      </c>
      <c r="K509" s="3">
        <v>8</v>
      </c>
      <c r="L509" s="3">
        <v>3679.61</v>
      </c>
      <c r="M509" s="3">
        <v>29436.880000000001</v>
      </c>
      <c r="N509" s="3">
        <v>17638.45</v>
      </c>
      <c r="O509" s="3">
        <v>11798.43</v>
      </c>
      <c r="P509" s="3" t="s">
        <v>86</v>
      </c>
    </row>
    <row r="510" spans="1:16" x14ac:dyDescent="0.35">
      <c r="A510" s="3" t="s">
        <v>1267</v>
      </c>
      <c r="B510" s="3" t="s">
        <v>294</v>
      </c>
      <c r="C510" s="3" t="s">
        <v>103</v>
      </c>
      <c r="D510" s="3" t="s">
        <v>19</v>
      </c>
      <c r="E510" s="3" t="s">
        <v>199</v>
      </c>
      <c r="F510" s="3" t="s">
        <v>200</v>
      </c>
      <c r="G510" s="3" t="s">
        <v>51</v>
      </c>
      <c r="H510" s="3" t="s">
        <v>77</v>
      </c>
      <c r="I510" s="3" t="s">
        <v>1229</v>
      </c>
      <c r="J510" s="3" t="s">
        <v>188</v>
      </c>
      <c r="K510" s="3">
        <v>5</v>
      </c>
      <c r="L510" s="3">
        <v>11578.83</v>
      </c>
      <c r="M510" s="3">
        <v>57894.15</v>
      </c>
      <c r="N510" s="3">
        <v>45008.94</v>
      </c>
      <c r="O510" s="3">
        <v>12885.21</v>
      </c>
      <c r="P510" s="3" t="s">
        <v>45</v>
      </c>
    </row>
    <row r="511" spans="1:16" x14ac:dyDescent="0.35">
      <c r="A511" s="3" t="s">
        <v>1268</v>
      </c>
      <c r="B511" s="3" t="s">
        <v>1269</v>
      </c>
      <c r="C511" s="3" t="s">
        <v>57</v>
      </c>
      <c r="D511" s="3" t="s">
        <v>90</v>
      </c>
      <c r="E511" s="3" t="s">
        <v>91</v>
      </c>
      <c r="F511" s="3" t="s">
        <v>92</v>
      </c>
      <c r="G511" s="3" t="s">
        <v>41</v>
      </c>
      <c r="H511" s="3" t="s">
        <v>138</v>
      </c>
      <c r="I511" s="3" t="s">
        <v>1270</v>
      </c>
      <c r="J511" s="3" t="s">
        <v>79</v>
      </c>
      <c r="K511" s="3">
        <v>6</v>
      </c>
      <c r="L511" s="3">
        <v>16903.23</v>
      </c>
      <c r="M511" s="3">
        <v>101419.38</v>
      </c>
      <c r="N511" s="3">
        <v>84134.74</v>
      </c>
      <c r="O511" s="3">
        <v>17284.64</v>
      </c>
      <c r="P511" s="3" t="s">
        <v>45</v>
      </c>
    </row>
    <row r="512" spans="1:16" x14ac:dyDescent="0.35">
      <c r="A512" s="3" t="s">
        <v>1271</v>
      </c>
      <c r="B512" s="3" t="s">
        <v>173</v>
      </c>
      <c r="C512" s="3" t="s">
        <v>118</v>
      </c>
      <c r="D512" s="3" t="s">
        <v>38</v>
      </c>
      <c r="E512" s="3" t="s">
        <v>109</v>
      </c>
      <c r="F512" s="3" t="s">
        <v>110</v>
      </c>
      <c r="G512" s="3" t="s">
        <v>30</v>
      </c>
      <c r="H512" s="3" t="s">
        <v>31</v>
      </c>
      <c r="I512" s="3" t="s">
        <v>1272</v>
      </c>
      <c r="J512" s="3" t="s">
        <v>188</v>
      </c>
      <c r="K512" s="3">
        <v>2</v>
      </c>
      <c r="L512" s="3">
        <v>2848.34</v>
      </c>
      <c r="M512" s="3">
        <v>5696.68</v>
      </c>
      <c r="N512" s="3">
        <v>3966.85</v>
      </c>
      <c r="O512" s="3">
        <v>1729.83</v>
      </c>
      <c r="P512" s="3" t="s">
        <v>26</v>
      </c>
    </row>
    <row r="513" spans="1:16" x14ac:dyDescent="0.35">
      <c r="A513" s="3" t="s">
        <v>1273</v>
      </c>
      <c r="B513" s="3" t="s">
        <v>547</v>
      </c>
      <c r="C513" s="3" t="s">
        <v>89</v>
      </c>
      <c r="D513" s="3" t="s">
        <v>58</v>
      </c>
      <c r="E513" s="3" t="s">
        <v>176</v>
      </c>
      <c r="F513" s="3" t="s">
        <v>177</v>
      </c>
      <c r="G513" s="3" t="s">
        <v>41</v>
      </c>
      <c r="H513" s="3" t="s">
        <v>61</v>
      </c>
      <c r="I513" s="3" t="s">
        <v>374</v>
      </c>
      <c r="J513" s="3" t="s">
        <v>33</v>
      </c>
      <c r="K513" s="3">
        <v>2</v>
      </c>
      <c r="L513" s="3">
        <v>2401.65</v>
      </c>
      <c r="M513" s="3">
        <v>4803.3</v>
      </c>
      <c r="N513" s="3">
        <v>3169.04</v>
      </c>
      <c r="O513" s="3">
        <v>1634.26</v>
      </c>
      <c r="P513" s="3" t="s">
        <v>45</v>
      </c>
    </row>
    <row r="514" spans="1:16" x14ac:dyDescent="0.35">
      <c r="A514" s="3" t="s">
        <v>1274</v>
      </c>
      <c r="B514" s="3" t="s">
        <v>192</v>
      </c>
      <c r="C514" s="3" t="s">
        <v>103</v>
      </c>
      <c r="D514" s="3" t="s">
        <v>90</v>
      </c>
      <c r="E514" s="3" t="s">
        <v>91</v>
      </c>
      <c r="F514" s="3" t="s">
        <v>92</v>
      </c>
      <c r="G514" s="3" t="s">
        <v>22</v>
      </c>
      <c r="H514" s="3" t="s">
        <v>93</v>
      </c>
      <c r="I514" s="3" t="s">
        <v>1024</v>
      </c>
      <c r="J514" s="3" t="s">
        <v>54</v>
      </c>
      <c r="K514" s="3">
        <v>5</v>
      </c>
      <c r="L514" s="3">
        <v>7096.56</v>
      </c>
      <c r="M514" s="3">
        <v>35482.800000000003</v>
      </c>
      <c r="N514" s="3">
        <v>25757.87</v>
      </c>
      <c r="O514" s="3">
        <v>9724.93</v>
      </c>
      <c r="P514" s="3" t="s">
        <v>45</v>
      </c>
    </row>
    <row r="515" spans="1:16" x14ac:dyDescent="0.35">
      <c r="A515" s="3" t="s">
        <v>1275</v>
      </c>
      <c r="B515" s="3" t="s">
        <v>1276</v>
      </c>
      <c r="C515" s="3" t="s">
        <v>37</v>
      </c>
      <c r="D515" s="3" t="s">
        <v>19</v>
      </c>
      <c r="E515" s="3" t="s">
        <v>20</v>
      </c>
      <c r="F515" s="3" t="s">
        <v>21</v>
      </c>
      <c r="G515" s="3" t="s">
        <v>41</v>
      </c>
      <c r="H515" s="3" t="s">
        <v>138</v>
      </c>
      <c r="I515" s="3" t="s">
        <v>1277</v>
      </c>
      <c r="J515" s="3" t="s">
        <v>44</v>
      </c>
      <c r="K515" s="3">
        <v>5</v>
      </c>
      <c r="L515" s="3">
        <v>18229.36</v>
      </c>
      <c r="M515" s="3">
        <v>91146.8</v>
      </c>
      <c r="N515" s="3">
        <v>67321.990000000005</v>
      </c>
      <c r="O515" s="3">
        <v>23824.81</v>
      </c>
      <c r="P515" s="3" t="s">
        <v>34</v>
      </c>
    </row>
    <row r="516" spans="1:16" x14ac:dyDescent="0.35">
      <c r="A516" s="3" t="s">
        <v>1278</v>
      </c>
      <c r="B516" s="3" t="s">
        <v>1062</v>
      </c>
      <c r="C516" s="3" t="s">
        <v>89</v>
      </c>
      <c r="D516" s="3" t="s">
        <v>38</v>
      </c>
      <c r="E516" s="3" t="s">
        <v>39</v>
      </c>
      <c r="F516" s="3" t="s">
        <v>40</v>
      </c>
      <c r="G516" s="3" t="s">
        <v>41</v>
      </c>
      <c r="H516" s="3" t="s">
        <v>138</v>
      </c>
      <c r="I516" s="3" t="s">
        <v>1279</v>
      </c>
      <c r="J516" s="3" t="s">
        <v>147</v>
      </c>
      <c r="K516" s="3">
        <v>7</v>
      </c>
      <c r="L516" s="3">
        <v>16557.07</v>
      </c>
      <c r="M516" s="3">
        <v>115899.49</v>
      </c>
      <c r="N516" s="3">
        <v>99408.85</v>
      </c>
      <c r="O516" s="3">
        <v>16490.64</v>
      </c>
      <c r="P516" s="3" t="s">
        <v>69</v>
      </c>
    </row>
    <row r="517" spans="1:16" x14ac:dyDescent="0.35">
      <c r="A517" s="3" t="s">
        <v>1280</v>
      </c>
      <c r="B517" s="3" t="s">
        <v>979</v>
      </c>
      <c r="C517" s="3" t="s">
        <v>103</v>
      </c>
      <c r="D517" s="3" t="s">
        <v>38</v>
      </c>
      <c r="E517" s="3" t="s">
        <v>109</v>
      </c>
      <c r="F517" s="3" t="s">
        <v>110</v>
      </c>
      <c r="G517" s="3" t="s">
        <v>22</v>
      </c>
      <c r="H517" s="3" t="s">
        <v>23</v>
      </c>
      <c r="I517" s="3" t="s">
        <v>427</v>
      </c>
      <c r="J517" s="3" t="s">
        <v>154</v>
      </c>
      <c r="K517" s="3">
        <v>4</v>
      </c>
      <c r="L517" s="3">
        <v>3528.13</v>
      </c>
      <c r="M517" s="3">
        <v>14112.52</v>
      </c>
      <c r="N517" s="3">
        <v>8853.75</v>
      </c>
      <c r="O517" s="3">
        <v>5258.77</v>
      </c>
      <c r="P517" s="3" t="s">
        <v>86</v>
      </c>
    </row>
    <row r="518" spans="1:16" x14ac:dyDescent="0.35">
      <c r="A518" s="3" t="s">
        <v>1281</v>
      </c>
      <c r="B518" s="3" t="s">
        <v>288</v>
      </c>
      <c r="C518" s="3" t="s">
        <v>118</v>
      </c>
      <c r="D518" s="3" t="s">
        <v>58</v>
      </c>
      <c r="E518" s="3" t="s">
        <v>65</v>
      </c>
      <c r="F518" s="3" t="s">
        <v>66</v>
      </c>
      <c r="G518" s="3" t="s">
        <v>22</v>
      </c>
      <c r="H518" s="3" t="s">
        <v>93</v>
      </c>
      <c r="I518" s="3" t="s">
        <v>1282</v>
      </c>
      <c r="J518" s="3" t="s">
        <v>54</v>
      </c>
      <c r="K518" s="3">
        <v>6</v>
      </c>
      <c r="L518" s="3">
        <v>7613.14</v>
      </c>
      <c r="M518" s="3">
        <v>45678.84</v>
      </c>
      <c r="N518" s="3">
        <v>31213.599999999999</v>
      </c>
      <c r="O518" s="3">
        <v>14465.24</v>
      </c>
      <c r="P518" s="3" t="s">
        <v>86</v>
      </c>
    </row>
    <row r="519" spans="1:16" x14ac:dyDescent="0.35">
      <c r="A519" s="3" t="s">
        <v>1283</v>
      </c>
      <c r="B519" s="3" t="s">
        <v>941</v>
      </c>
      <c r="C519" s="3" t="s">
        <v>118</v>
      </c>
      <c r="D519" s="3" t="s">
        <v>58</v>
      </c>
      <c r="E519" s="3" t="s">
        <v>59</v>
      </c>
      <c r="F519" s="3" t="s">
        <v>60</v>
      </c>
      <c r="G519" s="3" t="s">
        <v>22</v>
      </c>
      <c r="H519" s="3" t="s">
        <v>83</v>
      </c>
      <c r="I519" s="3" t="s">
        <v>1284</v>
      </c>
      <c r="J519" s="3" t="s">
        <v>79</v>
      </c>
      <c r="K519" s="3">
        <v>6</v>
      </c>
      <c r="L519" s="3">
        <v>20577.740000000002</v>
      </c>
      <c r="M519" s="3">
        <v>123466.44</v>
      </c>
      <c r="N519" s="3">
        <v>100532.47</v>
      </c>
      <c r="O519" s="3">
        <v>22933.97</v>
      </c>
      <c r="P519" s="3" t="s">
        <v>34</v>
      </c>
    </row>
    <row r="520" spans="1:16" x14ac:dyDescent="0.35">
      <c r="A520" s="3" t="s">
        <v>1285</v>
      </c>
      <c r="B520" s="3" t="s">
        <v>916</v>
      </c>
      <c r="C520" s="3" t="s">
        <v>103</v>
      </c>
      <c r="D520" s="3" t="s">
        <v>90</v>
      </c>
      <c r="E520" s="3" t="s">
        <v>119</v>
      </c>
      <c r="F520" s="3" t="s">
        <v>120</v>
      </c>
      <c r="G520" s="3" t="s">
        <v>51</v>
      </c>
      <c r="H520" s="3" t="s">
        <v>77</v>
      </c>
      <c r="I520" s="3" t="s">
        <v>1286</v>
      </c>
      <c r="J520" s="3" t="s">
        <v>85</v>
      </c>
      <c r="K520" s="3">
        <v>6</v>
      </c>
      <c r="L520" s="3">
        <v>10947.86</v>
      </c>
      <c r="M520" s="3">
        <v>65687.16</v>
      </c>
      <c r="N520" s="3">
        <v>53901.68</v>
      </c>
      <c r="O520" s="3">
        <v>11785.48</v>
      </c>
      <c r="P520" s="3" t="s">
        <v>34</v>
      </c>
    </row>
    <row r="521" spans="1:16" x14ac:dyDescent="0.35">
      <c r="A521" s="3" t="s">
        <v>1287</v>
      </c>
      <c r="B521" s="3" t="s">
        <v>361</v>
      </c>
      <c r="C521" s="3" t="s">
        <v>137</v>
      </c>
      <c r="D521" s="3" t="s">
        <v>58</v>
      </c>
      <c r="E521" s="3" t="s">
        <v>176</v>
      </c>
      <c r="F521" s="3" t="s">
        <v>177</v>
      </c>
      <c r="G521" s="3" t="s">
        <v>41</v>
      </c>
      <c r="H521" s="3" t="s">
        <v>138</v>
      </c>
      <c r="I521" s="3" t="s">
        <v>1288</v>
      </c>
      <c r="J521" s="3" t="s">
        <v>85</v>
      </c>
      <c r="K521" s="3">
        <v>7</v>
      </c>
      <c r="L521" s="3">
        <v>18367.86</v>
      </c>
      <c r="M521" s="3">
        <v>128575.02</v>
      </c>
      <c r="N521" s="3">
        <v>95115.79</v>
      </c>
      <c r="O521" s="3">
        <v>33459.230000000003</v>
      </c>
      <c r="P521" s="3" t="s">
        <v>34</v>
      </c>
    </row>
    <row r="522" spans="1:16" x14ac:dyDescent="0.35">
      <c r="A522" s="3" t="s">
        <v>1289</v>
      </c>
      <c r="B522" s="3" t="s">
        <v>678</v>
      </c>
      <c r="C522" s="3" t="s">
        <v>137</v>
      </c>
      <c r="D522" s="3" t="s">
        <v>19</v>
      </c>
      <c r="E522" s="3" t="s">
        <v>49</v>
      </c>
      <c r="F522" s="3" t="s">
        <v>50</v>
      </c>
      <c r="G522" s="3" t="s">
        <v>22</v>
      </c>
      <c r="H522" s="3" t="s">
        <v>93</v>
      </c>
      <c r="I522" s="3" t="s">
        <v>1143</v>
      </c>
      <c r="J522" s="3" t="s">
        <v>33</v>
      </c>
      <c r="K522" s="3">
        <v>8</v>
      </c>
      <c r="L522" s="3">
        <v>7210.37</v>
      </c>
      <c r="M522" s="3">
        <v>57682.96</v>
      </c>
      <c r="N522" s="3">
        <v>39279.81</v>
      </c>
      <c r="O522" s="3">
        <v>18403.150000000001</v>
      </c>
      <c r="P522" s="3" t="s">
        <v>26</v>
      </c>
    </row>
    <row r="523" spans="1:16" x14ac:dyDescent="0.35">
      <c r="A523" s="3" t="s">
        <v>1290</v>
      </c>
      <c r="B523" s="3" t="s">
        <v>599</v>
      </c>
      <c r="C523" s="3" t="s">
        <v>82</v>
      </c>
      <c r="D523" s="3" t="s">
        <v>38</v>
      </c>
      <c r="E523" s="3" t="s">
        <v>39</v>
      </c>
      <c r="F523" s="3" t="s">
        <v>40</v>
      </c>
      <c r="G523" s="3" t="s">
        <v>51</v>
      </c>
      <c r="H523" s="3" t="s">
        <v>145</v>
      </c>
      <c r="I523" s="3" t="s">
        <v>1208</v>
      </c>
      <c r="J523" s="3" t="s">
        <v>147</v>
      </c>
      <c r="K523" s="3">
        <v>4</v>
      </c>
      <c r="L523" s="3">
        <v>124.17</v>
      </c>
      <c r="M523" s="3">
        <v>496.68</v>
      </c>
      <c r="N523" s="3">
        <v>231.27</v>
      </c>
      <c r="O523" s="3">
        <v>265.41000000000003</v>
      </c>
      <c r="P523" s="3" t="s">
        <v>45</v>
      </c>
    </row>
    <row r="524" spans="1:16" x14ac:dyDescent="0.35">
      <c r="A524" s="3" t="s">
        <v>1291</v>
      </c>
      <c r="B524" s="3" t="s">
        <v>1292</v>
      </c>
      <c r="C524" s="3" t="s">
        <v>57</v>
      </c>
      <c r="D524" s="3" t="s">
        <v>90</v>
      </c>
      <c r="E524" s="3" t="s">
        <v>119</v>
      </c>
      <c r="F524" s="3" t="s">
        <v>120</v>
      </c>
      <c r="G524" s="3" t="s">
        <v>30</v>
      </c>
      <c r="H524" s="3" t="s">
        <v>67</v>
      </c>
      <c r="I524" s="3" t="s">
        <v>319</v>
      </c>
      <c r="J524" s="3" t="s">
        <v>106</v>
      </c>
      <c r="K524" s="3">
        <v>1</v>
      </c>
      <c r="L524" s="3">
        <v>9325.7999999999993</v>
      </c>
      <c r="M524" s="3">
        <v>9325.7999999999993</v>
      </c>
      <c r="N524" s="3">
        <v>7933.16</v>
      </c>
      <c r="O524" s="3">
        <v>1392.64</v>
      </c>
      <c r="P524" s="3" t="s">
        <v>86</v>
      </c>
    </row>
    <row r="525" spans="1:16" x14ac:dyDescent="0.35">
      <c r="A525" s="3" t="s">
        <v>1293</v>
      </c>
      <c r="B525" s="3" t="s">
        <v>1294</v>
      </c>
      <c r="C525" s="3" t="s">
        <v>118</v>
      </c>
      <c r="D525" s="3" t="s">
        <v>90</v>
      </c>
      <c r="E525" s="3" t="s">
        <v>119</v>
      </c>
      <c r="F525" s="3" t="s">
        <v>120</v>
      </c>
      <c r="G525" s="3" t="s">
        <v>41</v>
      </c>
      <c r="H525" s="3" t="s">
        <v>61</v>
      </c>
      <c r="I525" s="3" t="s">
        <v>1295</v>
      </c>
      <c r="J525" s="3" t="s">
        <v>147</v>
      </c>
      <c r="K525" s="3">
        <v>8</v>
      </c>
      <c r="L525" s="3">
        <v>2680.78</v>
      </c>
      <c r="M525" s="3">
        <v>21446.240000000002</v>
      </c>
      <c r="N525" s="3">
        <v>12406.13</v>
      </c>
      <c r="O525" s="3">
        <v>9040.11</v>
      </c>
      <c r="P525" s="3" t="s">
        <v>26</v>
      </c>
    </row>
    <row r="526" spans="1:16" x14ac:dyDescent="0.35">
      <c r="A526" s="3" t="s">
        <v>1296</v>
      </c>
      <c r="B526" s="3" t="s">
        <v>1235</v>
      </c>
      <c r="C526" s="3" t="s">
        <v>18</v>
      </c>
      <c r="D526" s="3" t="s">
        <v>38</v>
      </c>
      <c r="E526" s="3" t="s">
        <v>39</v>
      </c>
      <c r="F526" s="3" t="s">
        <v>40</v>
      </c>
      <c r="G526" s="3" t="s">
        <v>51</v>
      </c>
      <c r="H526" s="3" t="s">
        <v>52</v>
      </c>
      <c r="I526" s="3" t="s">
        <v>729</v>
      </c>
      <c r="J526" s="3" t="s">
        <v>100</v>
      </c>
      <c r="K526" s="3">
        <v>1</v>
      </c>
      <c r="L526" s="3">
        <v>24.14</v>
      </c>
      <c r="M526" s="3">
        <v>24.14</v>
      </c>
      <c r="N526" s="3">
        <v>10.48</v>
      </c>
      <c r="O526" s="3">
        <v>13.66</v>
      </c>
      <c r="P526" s="3" t="s">
        <v>69</v>
      </c>
    </row>
    <row r="527" spans="1:16" x14ac:dyDescent="0.35">
      <c r="A527" s="3" t="s">
        <v>1297</v>
      </c>
      <c r="B527" s="3" t="s">
        <v>407</v>
      </c>
      <c r="C527" s="3" t="s">
        <v>48</v>
      </c>
      <c r="D527" s="3" t="s">
        <v>19</v>
      </c>
      <c r="E527" s="3" t="s">
        <v>199</v>
      </c>
      <c r="F527" s="3" t="s">
        <v>200</v>
      </c>
      <c r="G527" s="3" t="s">
        <v>22</v>
      </c>
      <c r="H527" s="3" t="s">
        <v>23</v>
      </c>
      <c r="I527" s="3" t="s">
        <v>226</v>
      </c>
      <c r="J527" s="3" t="s">
        <v>161</v>
      </c>
      <c r="K527" s="3">
        <v>6</v>
      </c>
      <c r="L527" s="3">
        <v>3819.82</v>
      </c>
      <c r="M527" s="3">
        <v>22918.92</v>
      </c>
      <c r="N527" s="3">
        <v>13370.48</v>
      </c>
      <c r="O527" s="3">
        <v>9548.44</v>
      </c>
      <c r="P527" s="3" t="s">
        <v>86</v>
      </c>
    </row>
    <row r="528" spans="1:16" x14ac:dyDescent="0.35">
      <c r="A528" s="3" t="s">
        <v>1298</v>
      </c>
      <c r="B528" s="3" t="s">
        <v>1299</v>
      </c>
      <c r="C528" s="3" t="s">
        <v>82</v>
      </c>
      <c r="D528" s="3" t="s">
        <v>38</v>
      </c>
      <c r="E528" s="3" t="s">
        <v>104</v>
      </c>
      <c r="F528" s="3" t="s">
        <v>104</v>
      </c>
      <c r="G528" s="3" t="s">
        <v>41</v>
      </c>
      <c r="H528" s="3" t="s">
        <v>42</v>
      </c>
      <c r="I528" s="3" t="s">
        <v>1162</v>
      </c>
      <c r="J528" s="3" t="s">
        <v>188</v>
      </c>
      <c r="K528" s="3">
        <v>4</v>
      </c>
      <c r="L528" s="3">
        <v>40797.050000000003</v>
      </c>
      <c r="M528" s="3">
        <v>163188.20000000001</v>
      </c>
      <c r="N528" s="3">
        <v>142910.43</v>
      </c>
      <c r="O528" s="3">
        <v>20277.77</v>
      </c>
      <c r="P528" s="3" t="s">
        <v>45</v>
      </c>
    </row>
    <row r="529" spans="1:16" x14ac:dyDescent="0.35">
      <c r="A529" s="3" t="s">
        <v>1300</v>
      </c>
      <c r="B529" s="3" t="s">
        <v>1301</v>
      </c>
      <c r="C529" s="3" t="s">
        <v>18</v>
      </c>
      <c r="D529" s="3" t="s">
        <v>38</v>
      </c>
      <c r="E529" s="3" t="s">
        <v>104</v>
      </c>
      <c r="F529" s="3" t="s">
        <v>104</v>
      </c>
      <c r="G529" s="3" t="s">
        <v>30</v>
      </c>
      <c r="H529" s="3" t="s">
        <v>31</v>
      </c>
      <c r="I529" s="3" t="s">
        <v>610</v>
      </c>
      <c r="J529" s="3" t="s">
        <v>25</v>
      </c>
      <c r="K529" s="3">
        <v>4</v>
      </c>
      <c r="L529" s="3">
        <v>2913.8</v>
      </c>
      <c r="M529" s="3">
        <v>11655.2</v>
      </c>
      <c r="N529" s="3">
        <v>7577.11</v>
      </c>
      <c r="O529" s="3">
        <v>4078.09</v>
      </c>
      <c r="P529" s="3" t="s">
        <v>69</v>
      </c>
    </row>
    <row r="530" spans="1:16" x14ac:dyDescent="0.35">
      <c r="A530" s="3" t="s">
        <v>1302</v>
      </c>
      <c r="B530" s="3" t="s">
        <v>666</v>
      </c>
      <c r="C530" s="3" t="s">
        <v>37</v>
      </c>
      <c r="D530" s="3" t="s">
        <v>58</v>
      </c>
      <c r="E530" s="3" t="s">
        <v>176</v>
      </c>
      <c r="F530" s="3" t="s">
        <v>177</v>
      </c>
      <c r="G530" s="3" t="s">
        <v>22</v>
      </c>
      <c r="H530" s="3" t="s">
        <v>93</v>
      </c>
      <c r="I530" s="3" t="s">
        <v>1303</v>
      </c>
      <c r="J530" s="3" t="s">
        <v>44</v>
      </c>
      <c r="K530" s="3">
        <v>7</v>
      </c>
      <c r="L530" s="3">
        <v>6952.19</v>
      </c>
      <c r="M530" s="3">
        <v>48665.33</v>
      </c>
      <c r="N530" s="3">
        <v>34357.800000000003</v>
      </c>
      <c r="O530" s="3">
        <v>14307.53</v>
      </c>
      <c r="P530" s="3" t="s">
        <v>26</v>
      </c>
    </row>
    <row r="531" spans="1:16" x14ac:dyDescent="0.35">
      <c r="A531" s="3" t="s">
        <v>1304</v>
      </c>
      <c r="B531" s="3" t="s">
        <v>682</v>
      </c>
      <c r="C531" s="3" t="s">
        <v>114</v>
      </c>
      <c r="D531" s="3" t="s">
        <v>19</v>
      </c>
      <c r="E531" s="3" t="s">
        <v>199</v>
      </c>
      <c r="F531" s="3" t="s">
        <v>200</v>
      </c>
      <c r="G531" s="3" t="s">
        <v>51</v>
      </c>
      <c r="H531" s="3" t="s">
        <v>52</v>
      </c>
      <c r="I531" s="3" t="s">
        <v>1172</v>
      </c>
      <c r="J531" s="3" t="s">
        <v>217</v>
      </c>
      <c r="K531" s="3">
        <v>4</v>
      </c>
      <c r="L531" s="3">
        <v>24.16</v>
      </c>
      <c r="M531" s="3">
        <v>96.64</v>
      </c>
      <c r="N531" s="3">
        <v>38.130000000000003</v>
      </c>
      <c r="O531" s="3">
        <v>58.51</v>
      </c>
      <c r="P531" s="3" t="s">
        <v>45</v>
      </c>
    </row>
    <row r="532" spans="1:16" x14ac:dyDescent="0.35">
      <c r="A532" s="3" t="s">
        <v>1305</v>
      </c>
      <c r="B532" s="3" t="s">
        <v>1306</v>
      </c>
      <c r="C532" s="3" t="s">
        <v>57</v>
      </c>
      <c r="D532" s="3" t="s">
        <v>90</v>
      </c>
      <c r="E532" s="3" t="s">
        <v>91</v>
      </c>
      <c r="F532" s="3" t="s">
        <v>92</v>
      </c>
      <c r="G532" s="3" t="s">
        <v>30</v>
      </c>
      <c r="H532" s="3" t="s">
        <v>73</v>
      </c>
      <c r="I532" s="3" t="s">
        <v>410</v>
      </c>
      <c r="J532" s="3" t="s">
        <v>25</v>
      </c>
      <c r="K532" s="3">
        <v>1</v>
      </c>
      <c r="L532" s="3">
        <v>3213.46</v>
      </c>
      <c r="M532" s="3">
        <v>3213.46</v>
      </c>
      <c r="N532" s="3">
        <v>2482.25</v>
      </c>
      <c r="O532" s="3">
        <v>731.21</v>
      </c>
      <c r="P532" s="3" t="s">
        <v>34</v>
      </c>
    </row>
    <row r="533" spans="1:16" x14ac:dyDescent="0.35">
      <c r="A533" s="3" t="s">
        <v>1307</v>
      </c>
      <c r="B533" s="3" t="s">
        <v>1308</v>
      </c>
      <c r="C533" s="3" t="s">
        <v>48</v>
      </c>
      <c r="D533" s="3" t="s">
        <v>58</v>
      </c>
      <c r="E533" s="3" t="s">
        <v>59</v>
      </c>
      <c r="F533" s="3" t="s">
        <v>60</v>
      </c>
      <c r="G533" s="3" t="s">
        <v>51</v>
      </c>
      <c r="H533" s="3" t="s">
        <v>52</v>
      </c>
      <c r="I533" s="3" t="s">
        <v>826</v>
      </c>
      <c r="J533" s="3" t="s">
        <v>44</v>
      </c>
      <c r="K533" s="3">
        <v>4</v>
      </c>
      <c r="L533" s="3">
        <v>23.66</v>
      </c>
      <c r="M533" s="3">
        <v>94.64</v>
      </c>
      <c r="N533" s="3">
        <v>38.83</v>
      </c>
      <c r="O533" s="3">
        <v>55.81</v>
      </c>
      <c r="P533" s="3" t="s">
        <v>86</v>
      </c>
    </row>
    <row r="534" spans="1:16" x14ac:dyDescent="0.35">
      <c r="A534" s="3" t="s">
        <v>1309</v>
      </c>
      <c r="B534" s="3" t="s">
        <v>583</v>
      </c>
      <c r="C534" s="3" t="s">
        <v>89</v>
      </c>
      <c r="D534" s="3" t="s">
        <v>19</v>
      </c>
      <c r="E534" s="3" t="s">
        <v>49</v>
      </c>
      <c r="F534" s="3" t="s">
        <v>50</v>
      </c>
      <c r="G534" s="3" t="s">
        <v>30</v>
      </c>
      <c r="H534" s="3" t="s">
        <v>67</v>
      </c>
      <c r="I534" s="3" t="s">
        <v>1114</v>
      </c>
      <c r="J534" s="3" t="s">
        <v>161</v>
      </c>
      <c r="K534" s="3">
        <v>3</v>
      </c>
      <c r="L534" s="3">
        <v>9957.32</v>
      </c>
      <c r="M534" s="3">
        <v>29871.96</v>
      </c>
      <c r="N534" s="3">
        <v>23058.34</v>
      </c>
      <c r="O534" s="3">
        <v>6813.62</v>
      </c>
      <c r="P534" s="3" t="s">
        <v>86</v>
      </c>
    </row>
    <row r="535" spans="1:16" x14ac:dyDescent="0.35">
      <c r="A535" s="3" t="s">
        <v>1310</v>
      </c>
      <c r="B535" s="3" t="s">
        <v>656</v>
      </c>
      <c r="C535" s="3" t="s">
        <v>89</v>
      </c>
      <c r="D535" s="3" t="s">
        <v>58</v>
      </c>
      <c r="E535" s="3" t="s">
        <v>65</v>
      </c>
      <c r="F535" s="3" t="s">
        <v>66</v>
      </c>
      <c r="G535" s="3" t="s">
        <v>30</v>
      </c>
      <c r="H535" s="3" t="s">
        <v>67</v>
      </c>
      <c r="I535" s="3" t="s">
        <v>356</v>
      </c>
      <c r="J535" s="3" t="s">
        <v>154</v>
      </c>
      <c r="K535" s="3">
        <v>1</v>
      </c>
      <c r="L535" s="3">
        <v>10134.67</v>
      </c>
      <c r="M535" s="3">
        <v>10134.67</v>
      </c>
      <c r="N535" s="3">
        <v>7372.64</v>
      </c>
      <c r="O535" s="3">
        <v>2762.03</v>
      </c>
      <c r="P535" s="3" t="s">
        <v>26</v>
      </c>
    </row>
    <row r="536" spans="1:16" x14ac:dyDescent="0.35">
      <c r="A536" s="3" t="s">
        <v>1311</v>
      </c>
      <c r="B536" s="3" t="s">
        <v>1292</v>
      </c>
      <c r="C536" s="3" t="s">
        <v>57</v>
      </c>
      <c r="D536" s="3" t="s">
        <v>90</v>
      </c>
      <c r="E536" s="3" t="s">
        <v>119</v>
      </c>
      <c r="F536" s="3" t="s">
        <v>120</v>
      </c>
      <c r="G536" s="3" t="s">
        <v>30</v>
      </c>
      <c r="H536" s="3" t="s">
        <v>31</v>
      </c>
      <c r="I536" s="3" t="s">
        <v>1312</v>
      </c>
      <c r="J536" s="3" t="s">
        <v>171</v>
      </c>
      <c r="K536" s="3">
        <v>7</v>
      </c>
      <c r="L536" s="3">
        <v>2856.99</v>
      </c>
      <c r="M536" s="3">
        <v>19998.93</v>
      </c>
      <c r="N536" s="3">
        <v>12827.1</v>
      </c>
      <c r="O536" s="3">
        <v>7171.83</v>
      </c>
      <c r="P536" s="3" t="s">
        <v>69</v>
      </c>
    </row>
    <row r="537" spans="1:16" x14ac:dyDescent="0.35">
      <c r="A537" s="3" t="s">
        <v>1313</v>
      </c>
      <c r="B537" s="3" t="s">
        <v>1314</v>
      </c>
      <c r="C537" s="3" t="s">
        <v>48</v>
      </c>
      <c r="D537" s="3" t="s">
        <v>19</v>
      </c>
      <c r="E537" s="3" t="s">
        <v>20</v>
      </c>
      <c r="F537" s="3" t="s">
        <v>21</v>
      </c>
      <c r="G537" s="3" t="s">
        <v>22</v>
      </c>
      <c r="H537" s="3" t="s">
        <v>83</v>
      </c>
      <c r="I537" s="3" t="s">
        <v>1315</v>
      </c>
      <c r="J537" s="3" t="s">
        <v>79</v>
      </c>
      <c r="K537" s="3">
        <v>8</v>
      </c>
      <c r="L537" s="3">
        <v>20347.439999999999</v>
      </c>
      <c r="M537" s="3">
        <v>162779.51999999999</v>
      </c>
      <c r="N537" s="3">
        <v>132409.57999999999</v>
      </c>
      <c r="O537" s="3">
        <v>30369.94</v>
      </c>
      <c r="P537" s="3" t="s">
        <v>26</v>
      </c>
    </row>
    <row r="538" spans="1:16" x14ac:dyDescent="0.35">
      <c r="A538" s="3" t="s">
        <v>1316</v>
      </c>
      <c r="B538" s="3" t="s">
        <v>108</v>
      </c>
      <c r="C538" s="3" t="s">
        <v>72</v>
      </c>
      <c r="D538" s="3" t="s">
        <v>38</v>
      </c>
      <c r="E538" s="3" t="s">
        <v>104</v>
      </c>
      <c r="F538" s="3" t="s">
        <v>104</v>
      </c>
      <c r="G538" s="3" t="s">
        <v>41</v>
      </c>
      <c r="H538" s="3" t="s">
        <v>138</v>
      </c>
      <c r="I538" s="3" t="s">
        <v>439</v>
      </c>
      <c r="J538" s="3" t="s">
        <v>44</v>
      </c>
      <c r="K538" s="3">
        <v>7</v>
      </c>
      <c r="L538" s="3">
        <v>19652.55</v>
      </c>
      <c r="M538" s="3">
        <v>137567.85</v>
      </c>
      <c r="N538" s="3">
        <v>96840.06</v>
      </c>
      <c r="O538" s="3">
        <v>40727.79</v>
      </c>
      <c r="P538" s="3" t="s">
        <v>69</v>
      </c>
    </row>
    <row r="539" spans="1:16" x14ac:dyDescent="0.35">
      <c r="A539" s="3" t="s">
        <v>1317</v>
      </c>
      <c r="B539" s="3" t="s">
        <v>302</v>
      </c>
      <c r="C539" s="3" t="s">
        <v>103</v>
      </c>
      <c r="D539" s="3" t="s">
        <v>19</v>
      </c>
      <c r="E539" s="3" t="s">
        <v>49</v>
      </c>
      <c r="F539" s="3" t="s">
        <v>50</v>
      </c>
      <c r="G539" s="3" t="s">
        <v>51</v>
      </c>
      <c r="H539" s="3" t="s">
        <v>77</v>
      </c>
      <c r="I539" s="3" t="s">
        <v>1318</v>
      </c>
      <c r="J539" s="3" t="s">
        <v>33</v>
      </c>
      <c r="K539" s="3">
        <v>4</v>
      </c>
      <c r="L539" s="3">
        <v>10990.46</v>
      </c>
      <c r="M539" s="3">
        <v>43961.84</v>
      </c>
      <c r="N539" s="3">
        <v>35465.22</v>
      </c>
      <c r="O539" s="3">
        <v>8496.6200000000008</v>
      </c>
      <c r="P539" s="3" t="s">
        <v>69</v>
      </c>
    </row>
    <row r="540" spans="1:16" x14ac:dyDescent="0.35">
      <c r="A540" s="3" t="s">
        <v>1319</v>
      </c>
      <c r="B540" s="3" t="s">
        <v>1320</v>
      </c>
      <c r="C540" s="3" t="s">
        <v>37</v>
      </c>
      <c r="D540" s="3" t="s">
        <v>38</v>
      </c>
      <c r="E540" s="3" t="s">
        <v>39</v>
      </c>
      <c r="F540" s="3" t="s">
        <v>40</v>
      </c>
      <c r="G540" s="3" t="s">
        <v>51</v>
      </c>
      <c r="H540" s="3" t="s">
        <v>77</v>
      </c>
      <c r="I540" s="3" t="s">
        <v>683</v>
      </c>
      <c r="J540" s="3" t="s">
        <v>44</v>
      </c>
      <c r="K540" s="3">
        <v>1</v>
      </c>
      <c r="L540" s="3">
        <v>11305.75</v>
      </c>
      <c r="M540" s="3">
        <v>11305.75</v>
      </c>
      <c r="N540" s="3">
        <v>8863.9500000000007</v>
      </c>
      <c r="O540" s="3">
        <v>2441.8000000000002</v>
      </c>
      <c r="P540" s="3" t="s">
        <v>26</v>
      </c>
    </row>
    <row r="541" spans="1:16" x14ac:dyDescent="0.35">
      <c r="A541" s="3" t="s">
        <v>1321</v>
      </c>
      <c r="B541" s="3" t="s">
        <v>1322</v>
      </c>
      <c r="C541" s="3" t="s">
        <v>72</v>
      </c>
      <c r="D541" s="3" t="s">
        <v>19</v>
      </c>
      <c r="E541" s="3" t="s">
        <v>20</v>
      </c>
      <c r="F541" s="3" t="s">
        <v>21</v>
      </c>
      <c r="G541" s="3" t="s">
        <v>41</v>
      </c>
      <c r="H541" s="3" t="s">
        <v>61</v>
      </c>
      <c r="I541" s="3" t="s">
        <v>1323</v>
      </c>
      <c r="J541" s="3" t="s">
        <v>25</v>
      </c>
      <c r="K541" s="3">
        <v>8</v>
      </c>
      <c r="L541" s="3">
        <v>2643.28</v>
      </c>
      <c r="M541" s="3">
        <v>21146.240000000002</v>
      </c>
      <c r="N541" s="3">
        <v>12392.18</v>
      </c>
      <c r="O541" s="3">
        <v>8754.06</v>
      </c>
      <c r="P541" s="3" t="s">
        <v>26</v>
      </c>
    </row>
    <row r="542" spans="1:16" x14ac:dyDescent="0.35">
      <c r="A542" s="3" t="s">
        <v>1324</v>
      </c>
      <c r="B542" s="3" t="s">
        <v>814</v>
      </c>
      <c r="C542" s="3" t="s">
        <v>103</v>
      </c>
      <c r="D542" s="3" t="s">
        <v>19</v>
      </c>
      <c r="E542" s="3" t="s">
        <v>20</v>
      </c>
      <c r="F542" s="3" t="s">
        <v>21</v>
      </c>
      <c r="G542" s="3" t="s">
        <v>41</v>
      </c>
      <c r="H542" s="3" t="s">
        <v>61</v>
      </c>
      <c r="I542" s="3" t="s">
        <v>1325</v>
      </c>
      <c r="J542" s="3" t="s">
        <v>33</v>
      </c>
      <c r="K542" s="3">
        <v>6</v>
      </c>
      <c r="L542" s="3">
        <v>2556.48</v>
      </c>
      <c r="M542" s="3">
        <v>15338.88</v>
      </c>
      <c r="N542" s="3">
        <v>9357.74</v>
      </c>
      <c r="O542" s="3">
        <v>5981.14</v>
      </c>
      <c r="P542" s="3" t="s">
        <v>34</v>
      </c>
    </row>
    <row r="543" spans="1:16" x14ac:dyDescent="0.35">
      <c r="A543" s="3" t="s">
        <v>1326</v>
      </c>
      <c r="B543" s="3" t="s">
        <v>429</v>
      </c>
      <c r="C543" s="3" t="s">
        <v>137</v>
      </c>
      <c r="D543" s="3" t="s">
        <v>58</v>
      </c>
      <c r="E543" s="3" t="s">
        <v>59</v>
      </c>
      <c r="F543" s="3" t="s">
        <v>60</v>
      </c>
      <c r="G543" s="3" t="s">
        <v>22</v>
      </c>
      <c r="H543" s="3" t="s">
        <v>83</v>
      </c>
      <c r="I543" s="3" t="s">
        <v>1327</v>
      </c>
      <c r="J543" s="3" t="s">
        <v>33</v>
      </c>
      <c r="K543" s="3">
        <v>2</v>
      </c>
      <c r="L543" s="3">
        <v>21708.85</v>
      </c>
      <c r="M543" s="3">
        <v>43417.7</v>
      </c>
      <c r="N543" s="3">
        <v>34648.949999999997</v>
      </c>
      <c r="O543" s="3">
        <v>8768.75</v>
      </c>
      <c r="P543" s="3" t="s">
        <v>26</v>
      </c>
    </row>
    <row r="544" spans="1:16" x14ac:dyDescent="0.35">
      <c r="A544" s="3" t="s">
        <v>1328</v>
      </c>
      <c r="B544" s="3" t="s">
        <v>429</v>
      </c>
      <c r="C544" s="3" t="s">
        <v>137</v>
      </c>
      <c r="D544" s="3" t="s">
        <v>19</v>
      </c>
      <c r="E544" s="3" t="s">
        <v>199</v>
      </c>
      <c r="F544" s="3" t="s">
        <v>200</v>
      </c>
      <c r="G544" s="3" t="s">
        <v>51</v>
      </c>
      <c r="H544" s="3" t="s">
        <v>52</v>
      </c>
      <c r="I544" s="3" t="s">
        <v>857</v>
      </c>
      <c r="J544" s="3" t="s">
        <v>154</v>
      </c>
      <c r="K544" s="3">
        <v>3</v>
      </c>
      <c r="L544" s="3">
        <v>26.78</v>
      </c>
      <c r="M544" s="3">
        <v>80.34</v>
      </c>
      <c r="N544" s="3">
        <v>29.96</v>
      </c>
      <c r="O544" s="3">
        <v>50.38</v>
      </c>
      <c r="P544" s="3" t="s">
        <v>86</v>
      </c>
    </row>
    <row r="545" spans="1:16" x14ac:dyDescent="0.35">
      <c r="A545" s="3" t="s">
        <v>1329</v>
      </c>
      <c r="B545" s="3" t="s">
        <v>592</v>
      </c>
      <c r="C545" s="3" t="s">
        <v>103</v>
      </c>
      <c r="D545" s="3" t="s">
        <v>90</v>
      </c>
      <c r="E545" s="3" t="s">
        <v>119</v>
      </c>
      <c r="F545" s="3" t="s">
        <v>120</v>
      </c>
      <c r="G545" s="3" t="s">
        <v>51</v>
      </c>
      <c r="H545" s="3" t="s">
        <v>77</v>
      </c>
      <c r="I545" s="3" t="s">
        <v>1330</v>
      </c>
      <c r="J545" s="3" t="s">
        <v>217</v>
      </c>
      <c r="K545" s="3">
        <v>2</v>
      </c>
      <c r="L545" s="3">
        <v>11264.11</v>
      </c>
      <c r="M545" s="3">
        <v>22528.22</v>
      </c>
      <c r="N545" s="3">
        <v>17778.88</v>
      </c>
      <c r="O545" s="3">
        <v>4749.34</v>
      </c>
      <c r="P545" s="3" t="s">
        <v>45</v>
      </c>
    </row>
    <row r="546" spans="1:16" x14ac:dyDescent="0.35">
      <c r="A546" s="3" t="s">
        <v>1331</v>
      </c>
      <c r="B546" s="3" t="s">
        <v>682</v>
      </c>
      <c r="C546" s="3" t="s">
        <v>114</v>
      </c>
      <c r="D546" s="3" t="s">
        <v>58</v>
      </c>
      <c r="E546" s="3" t="s">
        <v>176</v>
      </c>
      <c r="F546" s="3" t="s">
        <v>177</v>
      </c>
      <c r="G546" s="3" t="s">
        <v>51</v>
      </c>
      <c r="H546" s="3" t="s">
        <v>77</v>
      </c>
      <c r="I546" s="3" t="s">
        <v>121</v>
      </c>
      <c r="J546" s="3" t="s">
        <v>147</v>
      </c>
      <c r="K546" s="3">
        <v>2</v>
      </c>
      <c r="L546" s="3">
        <v>11407.33</v>
      </c>
      <c r="M546" s="3">
        <v>22814.66</v>
      </c>
      <c r="N546" s="3">
        <v>17201.990000000002</v>
      </c>
      <c r="O546" s="3">
        <v>5612.67</v>
      </c>
      <c r="P546" s="3" t="s">
        <v>45</v>
      </c>
    </row>
    <row r="547" spans="1:16" x14ac:dyDescent="0.35">
      <c r="A547" s="3" t="s">
        <v>1332</v>
      </c>
      <c r="B547" s="3" t="s">
        <v>847</v>
      </c>
      <c r="C547" s="3" t="s">
        <v>89</v>
      </c>
      <c r="D547" s="3" t="s">
        <v>38</v>
      </c>
      <c r="E547" s="3" t="s">
        <v>109</v>
      </c>
      <c r="F547" s="3" t="s">
        <v>110</v>
      </c>
      <c r="G547" s="3" t="s">
        <v>22</v>
      </c>
      <c r="H547" s="3" t="s">
        <v>23</v>
      </c>
      <c r="I547" s="3" t="s">
        <v>316</v>
      </c>
      <c r="J547" s="3" t="s">
        <v>171</v>
      </c>
      <c r="K547" s="3">
        <v>7</v>
      </c>
      <c r="L547" s="3">
        <v>3794.27</v>
      </c>
      <c r="M547" s="3">
        <v>26559.89</v>
      </c>
      <c r="N547" s="3">
        <v>14797.05</v>
      </c>
      <c r="O547" s="3">
        <v>11762.84</v>
      </c>
      <c r="P547" s="3" t="s">
        <v>86</v>
      </c>
    </row>
    <row r="548" spans="1:16" x14ac:dyDescent="0.35">
      <c r="A548" s="3" t="s">
        <v>1333</v>
      </c>
      <c r="B548" s="3" t="s">
        <v>166</v>
      </c>
      <c r="C548" s="3" t="s">
        <v>37</v>
      </c>
      <c r="D548" s="3" t="s">
        <v>58</v>
      </c>
      <c r="E548" s="3" t="s">
        <v>176</v>
      </c>
      <c r="F548" s="3" t="s">
        <v>177</v>
      </c>
      <c r="G548" s="3" t="s">
        <v>30</v>
      </c>
      <c r="H548" s="3" t="s">
        <v>73</v>
      </c>
      <c r="I548" s="3" t="s">
        <v>1334</v>
      </c>
      <c r="J548" s="3" t="s">
        <v>217</v>
      </c>
      <c r="K548" s="3">
        <v>2</v>
      </c>
      <c r="L548" s="3">
        <v>3062.63</v>
      </c>
      <c r="M548" s="3">
        <v>6125.26</v>
      </c>
      <c r="N548" s="3">
        <v>4694.13</v>
      </c>
      <c r="O548" s="3">
        <v>1431.13</v>
      </c>
      <c r="P548" s="3" t="s">
        <v>26</v>
      </c>
    </row>
    <row r="549" spans="1:16" x14ac:dyDescent="0.35">
      <c r="A549" s="3" t="s">
        <v>1335</v>
      </c>
      <c r="B549" s="3" t="s">
        <v>1269</v>
      </c>
      <c r="C549" s="3" t="s">
        <v>57</v>
      </c>
      <c r="D549" s="3" t="s">
        <v>58</v>
      </c>
      <c r="E549" s="3" t="s">
        <v>65</v>
      </c>
      <c r="F549" s="3" t="s">
        <v>66</v>
      </c>
      <c r="G549" s="3" t="s">
        <v>51</v>
      </c>
      <c r="H549" s="3" t="s">
        <v>52</v>
      </c>
      <c r="I549" s="3" t="s">
        <v>331</v>
      </c>
      <c r="J549" s="3" t="s">
        <v>44</v>
      </c>
      <c r="K549" s="3">
        <v>2</v>
      </c>
      <c r="L549" s="3">
        <v>23.31</v>
      </c>
      <c r="M549" s="3">
        <v>46.62</v>
      </c>
      <c r="N549" s="3">
        <v>20.02</v>
      </c>
      <c r="O549" s="3">
        <v>26.6</v>
      </c>
      <c r="P549" s="3" t="s">
        <v>69</v>
      </c>
    </row>
    <row r="550" spans="1:16" x14ac:dyDescent="0.35">
      <c r="A550" s="3" t="s">
        <v>1336</v>
      </c>
      <c r="B550" s="3" t="s">
        <v>1337</v>
      </c>
      <c r="C550" s="3" t="s">
        <v>48</v>
      </c>
      <c r="D550" s="3" t="s">
        <v>38</v>
      </c>
      <c r="E550" s="3" t="s">
        <v>109</v>
      </c>
      <c r="F550" s="3" t="s">
        <v>110</v>
      </c>
      <c r="G550" s="3" t="s">
        <v>41</v>
      </c>
      <c r="H550" s="3" t="s">
        <v>61</v>
      </c>
      <c r="I550" s="3" t="s">
        <v>1338</v>
      </c>
      <c r="J550" s="3" t="s">
        <v>33</v>
      </c>
      <c r="K550" s="3">
        <v>3</v>
      </c>
      <c r="L550" s="3">
        <v>2484.9499999999998</v>
      </c>
      <c r="M550" s="3">
        <v>7454.85</v>
      </c>
      <c r="N550" s="3">
        <v>4891.3</v>
      </c>
      <c r="O550" s="3">
        <v>2563.5500000000002</v>
      </c>
      <c r="P550" s="3" t="s">
        <v>45</v>
      </c>
    </row>
    <row r="551" spans="1:16" x14ac:dyDescent="0.35">
      <c r="A551" s="3" t="s">
        <v>1339</v>
      </c>
      <c r="B551" s="3" t="s">
        <v>502</v>
      </c>
      <c r="C551" s="3" t="s">
        <v>48</v>
      </c>
      <c r="D551" s="3" t="s">
        <v>38</v>
      </c>
      <c r="E551" s="3" t="s">
        <v>109</v>
      </c>
      <c r="F551" s="3" t="s">
        <v>110</v>
      </c>
      <c r="G551" s="3" t="s">
        <v>22</v>
      </c>
      <c r="H551" s="3" t="s">
        <v>83</v>
      </c>
      <c r="I551" s="3" t="s">
        <v>1340</v>
      </c>
      <c r="J551" s="3" t="s">
        <v>131</v>
      </c>
      <c r="K551" s="3">
        <v>5</v>
      </c>
      <c r="L551" s="3">
        <v>21102.51</v>
      </c>
      <c r="M551" s="3">
        <v>105512.55</v>
      </c>
      <c r="N551" s="3">
        <v>82461.63</v>
      </c>
      <c r="O551" s="3">
        <v>23050.92</v>
      </c>
      <c r="P551" s="3" t="s">
        <v>26</v>
      </c>
    </row>
    <row r="552" spans="1:16" x14ac:dyDescent="0.35">
      <c r="A552" s="3" t="s">
        <v>1341</v>
      </c>
      <c r="B552" s="3" t="s">
        <v>1342</v>
      </c>
      <c r="C552" s="3" t="s">
        <v>82</v>
      </c>
      <c r="D552" s="3" t="s">
        <v>19</v>
      </c>
      <c r="E552" s="3" t="s">
        <v>199</v>
      </c>
      <c r="F552" s="3" t="s">
        <v>200</v>
      </c>
      <c r="G552" s="3" t="s">
        <v>51</v>
      </c>
      <c r="H552" s="3" t="s">
        <v>145</v>
      </c>
      <c r="I552" s="3" t="s">
        <v>1343</v>
      </c>
      <c r="J552" s="3" t="s">
        <v>188</v>
      </c>
      <c r="K552" s="3">
        <v>5</v>
      </c>
      <c r="L552" s="3">
        <v>118.65</v>
      </c>
      <c r="M552" s="3">
        <v>593.25</v>
      </c>
      <c r="N552" s="3">
        <v>312.33999999999997</v>
      </c>
      <c r="O552" s="3">
        <v>280.91000000000003</v>
      </c>
      <c r="P552" s="3" t="s">
        <v>45</v>
      </c>
    </row>
    <row r="553" spans="1:16" x14ac:dyDescent="0.35">
      <c r="A553" s="3" t="s">
        <v>1344</v>
      </c>
      <c r="B553" s="3" t="s">
        <v>649</v>
      </c>
      <c r="C553" s="3" t="s">
        <v>29</v>
      </c>
      <c r="D553" s="3" t="s">
        <v>38</v>
      </c>
      <c r="E553" s="3" t="s">
        <v>104</v>
      </c>
      <c r="F553" s="3" t="s">
        <v>104</v>
      </c>
      <c r="G553" s="3" t="s">
        <v>41</v>
      </c>
      <c r="H553" s="3" t="s">
        <v>42</v>
      </c>
      <c r="I553" s="3" t="s">
        <v>1345</v>
      </c>
      <c r="J553" s="3" t="s">
        <v>188</v>
      </c>
      <c r="K553" s="3">
        <v>5</v>
      </c>
      <c r="L553" s="3">
        <v>44472.45</v>
      </c>
      <c r="M553" s="3">
        <v>222362.25</v>
      </c>
      <c r="N553" s="3">
        <v>174686.13</v>
      </c>
      <c r="O553" s="3">
        <v>47676.12</v>
      </c>
      <c r="P553" s="3" t="s">
        <v>26</v>
      </c>
    </row>
    <row r="554" spans="1:16" x14ac:dyDescent="0.35">
      <c r="A554" s="3" t="s">
        <v>1346</v>
      </c>
      <c r="B554" s="3" t="s">
        <v>921</v>
      </c>
      <c r="C554" s="3" t="s">
        <v>103</v>
      </c>
      <c r="D554" s="3" t="s">
        <v>19</v>
      </c>
      <c r="E554" s="3" t="s">
        <v>199</v>
      </c>
      <c r="F554" s="3" t="s">
        <v>200</v>
      </c>
      <c r="G554" s="3" t="s">
        <v>22</v>
      </c>
      <c r="H554" s="3" t="s">
        <v>93</v>
      </c>
      <c r="I554" s="3" t="s">
        <v>808</v>
      </c>
      <c r="J554" s="3" t="s">
        <v>217</v>
      </c>
      <c r="K554" s="3">
        <v>1</v>
      </c>
      <c r="L554" s="3">
        <v>7373.39</v>
      </c>
      <c r="M554" s="3">
        <v>7373.39</v>
      </c>
      <c r="N554" s="3">
        <v>4945.42</v>
      </c>
      <c r="O554" s="3">
        <v>2427.9699999999998</v>
      </c>
      <c r="P554" s="3" t="s">
        <v>86</v>
      </c>
    </row>
    <row r="555" spans="1:16" x14ac:dyDescent="0.35">
      <c r="A555" s="3" t="s">
        <v>1347</v>
      </c>
      <c r="B555" s="3" t="s">
        <v>1348</v>
      </c>
      <c r="C555" s="3" t="s">
        <v>57</v>
      </c>
      <c r="D555" s="3" t="s">
        <v>19</v>
      </c>
      <c r="E555" s="3" t="s">
        <v>20</v>
      </c>
      <c r="F555" s="3" t="s">
        <v>21</v>
      </c>
      <c r="G555" s="3" t="s">
        <v>41</v>
      </c>
      <c r="H555" s="3" t="s">
        <v>42</v>
      </c>
      <c r="I555" s="3" t="s">
        <v>1349</v>
      </c>
      <c r="J555" s="3" t="s">
        <v>147</v>
      </c>
      <c r="K555" s="3">
        <v>5</v>
      </c>
      <c r="L555" s="3">
        <v>49284.97</v>
      </c>
      <c r="M555" s="3">
        <v>246424.85</v>
      </c>
      <c r="N555" s="3">
        <v>181590.17</v>
      </c>
      <c r="O555" s="3">
        <v>64834.68</v>
      </c>
      <c r="P555" s="3" t="s">
        <v>69</v>
      </c>
    </row>
    <row r="556" spans="1:16" x14ac:dyDescent="0.35">
      <c r="A556" s="3" t="s">
        <v>1350</v>
      </c>
      <c r="B556" s="3" t="s">
        <v>883</v>
      </c>
      <c r="C556" s="3" t="s">
        <v>37</v>
      </c>
      <c r="D556" s="3" t="s">
        <v>19</v>
      </c>
      <c r="E556" s="3" t="s">
        <v>49</v>
      </c>
      <c r="F556" s="3" t="s">
        <v>50</v>
      </c>
      <c r="G556" s="3" t="s">
        <v>51</v>
      </c>
      <c r="H556" s="3" t="s">
        <v>52</v>
      </c>
      <c r="I556" s="3" t="s">
        <v>1351</v>
      </c>
      <c r="J556" s="3" t="s">
        <v>100</v>
      </c>
      <c r="K556" s="3">
        <v>8</v>
      </c>
      <c r="L556" s="3">
        <v>23.66</v>
      </c>
      <c r="M556" s="3">
        <v>189.28</v>
      </c>
      <c r="N556" s="3">
        <v>83</v>
      </c>
      <c r="O556" s="3">
        <v>106.28</v>
      </c>
      <c r="P556" s="3" t="s">
        <v>26</v>
      </c>
    </row>
    <row r="557" spans="1:16" x14ac:dyDescent="0.35">
      <c r="A557" s="3" t="s">
        <v>1352</v>
      </c>
      <c r="B557" s="3" t="s">
        <v>669</v>
      </c>
      <c r="C557" s="3" t="s">
        <v>57</v>
      </c>
      <c r="D557" s="3" t="s">
        <v>38</v>
      </c>
      <c r="E557" s="3" t="s">
        <v>39</v>
      </c>
      <c r="F557" s="3" t="s">
        <v>40</v>
      </c>
      <c r="G557" s="3" t="s">
        <v>41</v>
      </c>
      <c r="H557" s="3" t="s">
        <v>61</v>
      </c>
      <c r="I557" s="3" t="s">
        <v>1303</v>
      </c>
      <c r="J557" s="3" t="s">
        <v>106</v>
      </c>
      <c r="K557" s="3">
        <v>6</v>
      </c>
      <c r="L557" s="3">
        <v>2396.13</v>
      </c>
      <c r="M557" s="3">
        <v>14376.78</v>
      </c>
      <c r="N557" s="3">
        <v>9404.1</v>
      </c>
      <c r="O557" s="3">
        <v>4972.68</v>
      </c>
      <c r="P557" s="3" t="s">
        <v>26</v>
      </c>
    </row>
    <row r="558" spans="1:16" x14ac:dyDescent="0.35">
      <c r="A558" s="3" t="s">
        <v>1353</v>
      </c>
      <c r="B558" s="3" t="s">
        <v>575</v>
      </c>
      <c r="C558" s="3" t="s">
        <v>137</v>
      </c>
      <c r="D558" s="3" t="s">
        <v>19</v>
      </c>
      <c r="E558" s="3" t="s">
        <v>20</v>
      </c>
      <c r="F558" s="3" t="s">
        <v>21</v>
      </c>
      <c r="G558" s="3" t="s">
        <v>30</v>
      </c>
      <c r="H558" s="3" t="s">
        <v>73</v>
      </c>
      <c r="I558" s="3" t="s">
        <v>1354</v>
      </c>
      <c r="J558" s="3" t="s">
        <v>171</v>
      </c>
      <c r="K558" s="3">
        <v>5</v>
      </c>
      <c r="L558" s="3">
        <v>3436.2</v>
      </c>
      <c r="M558" s="3">
        <v>17181</v>
      </c>
      <c r="N558" s="3">
        <v>12359.05</v>
      </c>
      <c r="O558" s="3">
        <v>4821.95</v>
      </c>
      <c r="P558" s="3" t="s">
        <v>26</v>
      </c>
    </row>
    <row r="559" spans="1:16" x14ac:dyDescent="0.35">
      <c r="A559" s="3" t="s">
        <v>1355</v>
      </c>
      <c r="B559" s="3" t="s">
        <v>351</v>
      </c>
      <c r="C559" s="3" t="s">
        <v>114</v>
      </c>
      <c r="D559" s="3" t="s">
        <v>58</v>
      </c>
      <c r="E559" s="3" t="s">
        <v>59</v>
      </c>
      <c r="F559" s="3" t="s">
        <v>60</v>
      </c>
      <c r="G559" s="3" t="s">
        <v>22</v>
      </c>
      <c r="H559" s="3" t="s">
        <v>93</v>
      </c>
      <c r="I559" s="3" t="s">
        <v>1356</v>
      </c>
      <c r="J559" s="3" t="s">
        <v>161</v>
      </c>
      <c r="K559" s="3">
        <v>7</v>
      </c>
      <c r="L559" s="3">
        <v>7559.22</v>
      </c>
      <c r="M559" s="3">
        <v>52914.54</v>
      </c>
      <c r="N559" s="3">
        <v>36306.629999999997</v>
      </c>
      <c r="O559" s="3">
        <v>16607.91</v>
      </c>
      <c r="P559" s="3" t="s">
        <v>26</v>
      </c>
    </row>
    <row r="560" spans="1:16" x14ac:dyDescent="0.35">
      <c r="A560" s="3" t="s">
        <v>1357</v>
      </c>
      <c r="B560" s="3" t="s">
        <v>621</v>
      </c>
      <c r="C560" s="3" t="s">
        <v>118</v>
      </c>
      <c r="D560" s="3" t="s">
        <v>19</v>
      </c>
      <c r="E560" s="3" t="s">
        <v>199</v>
      </c>
      <c r="F560" s="3" t="s">
        <v>200</v>
      </c>
      <c r="G560" s="3" t="s">
        <v>41</v>
      </c>
      <c r="H560" s="3" t="s">
        <v>42</v>
      </c>
      <c r="I560" s="3" t="s">
        <v>1358</v>
      </c>
      <c r="J560" s="3" t="s">
        <v>106</v>
      </c>
      <c r="K560" s="3">
        <v>4</v>
      </c>
      <c r="L560" s="3">
        <v>46015.040000000001</v>
      </c>
      <c r="M560" s="3">
        <v>184060.16</v>
      </c>
      <c r="N560" s="3">
        <v>141155.46</v>
      </c>
      <c r="O560" s="3">
        <v>42904.7</v>
      </c>
      <c r="P560" s="3" t="s">
        <v>69</v>
      </c>
    </row>
    <row r="561" spans="1:16" x14ac:dyDescent="0.35">
      <c r="A561" s="3" t="s">
        <v>1359</v>
      </c>
      <c r="B561" s="3" t="s">
        <v>1360</v>
      </c>
      <c r="C561" s="3" t="s">
        <v>72</v>
      </c>
      <c r="D561" s="3" t="s">
        <v>19</v>
      </c>
      <c r="E561" s="3" t="s">
        <v>199</v>
      </c>
      <c r="F561" s="3" t="s">
        <v>200</v>
      </c>
      <c r="G561" s="3" t="s">
        <v>51</v>
      </c>
      <c r="H561" s="3" t="s">
        <v>77</v>
      </c>
      <c r="I561" s="3" t="s">
        <v>1361</v>
      </c>
      <c r="J561" s="3" t="s">
        <v>217</v>
      </c>
      <c r="K561" s="3">
        <v>7</v>
      </c>
      <c r="L561" s="3">
        <v>12071.79</v>
      </c>
      <c r="M561" s="3">
        <v>84502.53</v>
      </c>
      <c r="N561" s="3">
        <v>64268.51</v>
      </c>
      <c r="O561" s="3">
        <v>20234.02</v>
      </c>
      <c r="P561" s="3" t="s">
        <v>34</v>
      </c>
    </row>
    <row r="562" spans="1:16" x14ac:dyDescent="0.35">
      <c r="A562" s="3" t="s">
        <v>1362</v>
      </c>
      <c r="B562" s="3" t="s">
        <v>743</v>
      </c>
      <c r="C562" s="3" t="s">
        <v>72</v>
      </c>
      <c r="D562" s="3" t="s">
        <v>58</v>
      </c>
      <c r="E562" s="3" t="s">
        <v>65</v>
      </c>
      <c r="F562" s="3" t="s">
        <v>66</v>
      </c>
      <c r="G562" s="3" t="s">
        <v>51</v>
      </c>
      <c r="H562" s="3" t="s">
        <v>145</v>
      </c>
      <c r="I562" s="3" t="s">
        <v>401</v>
      </c>
      <c r="J562" s="3" t="s">
        <v>85</v>
      </c>
      <c r="K562" s="3">
        <v>8</v>
      </c>
      <c r="L562" s="3">
        <v>122.47</v>
      </c>
      <c r="M562" s="3">
        <v>979.76</v>
      </c>
      <c r="N562" s="3">
        <v>489.96</v>
      </c>
      <c r="O562" s="3">
        <v>489.8</v>
      </c>
      <c r="P562" s="3" t="s">
        <v>34</v>
      </c>
    </row>
    <row r="563" spans="1:16" x14ac:dyDescent="0.35">
      <c r="A563" s="3" t="s">
        <v>1363</v>
      </c>
      <c r="B563" s="3" t="s">
        <v>883</v>
      </c>
      <c r="C563" s="3" t="s">
        <v>37</v>
      </c>
      <c r="D563" s="3" t="s">
        <v>58</v>
      </c>
      <c r="E563" s="3" t="s">
        <v>59</v>
      </c>
      <c r="F563" s="3" t="s">
        <v>60</v>
      </c>
      <c r="G563" s="3" t="s">
        <v>30</v>
      </c>
      <c r="H563" s="3" t="s">
        <v>31</v>
      </c>
      <c r="I563" s="3" t="s">
        <v>1279</v>
      </c>
      <c r="J563" s="3" t="s">
        <v>106</v>
      </c>
      <c r="K563" s="3">
        <v>5</v>
      </c>
      <c r="L563" s="3">
        <v>2544.89</v>
      </c>
      <c r="M563" s="3">
        <v>12724.45</v>
      </c>
      <c r="N563" s="3">
        <v>9649.59</v>
      </c>
      <c r="O563" s="3">
        <v>3074.86</v>
      </c>
      <c r="P563" s="3" t="s">
        <v>45</v>
      </c>
    </row>
    <row r="564" spans="1:16" x14ac:dyDescent="0.35">
      <c r="A564" s="3" t="s">
        <v>1364</v>
      </c>
      <c r="B564" s="3" t="s">
        <v>960</v>
      </c>
      <c r="C564" s="3" t="s">
        <v>114</v>
      </c>
      <c r="D564" s="3" t="s">
        <v>90</v>
      </c>
      <c r="E564" s="3" t="s">
        <v>91</v>
      </c>
      <c r="F564" s="3" t="s">
        <v>92</v>
      </c>
      <c r="G564" s="3" t="s">
        <v>51</v>
      </c>
      <c r="H564" s="3" t="s">
        <v>52</v>
      </c>
      <c r="I564" s="3" t="s">
        <v>1365</v>
      </c>
      <c r="J564" s="3" t="s">
        <v>33</v>
      </c>
      <c r="K564" s="3">
        <v>8</v>
      </c>
      <c r="L564" s="3">
        <v>26.2</v>
      </c>
      <c r="M564" s="3">
        <v>209.6</v>
      </c>
      <c r="N564" s="3">
        <v>77.53</v>
      </c>
      <c r="O564" s="3">
        <v>132.07</v>
      </c>
      <c r="P564" s="3" t="s">
        <v>69</v>
      </c>
    </row>
    <row r="565" spans="1:16" x14ac:dyDescent="0.35">
      <c r="A565" s="3" t="s">
        <v>1366</v>
      </c>
      <c r="B565" s="3" t="s">
        <v>166</v>
      </c>
      <c r="C565" s="3" t="s">
        <v>37</v>
      </c>
      <c r="D565" s="3" t="s">
        <v>38</v>
      </c>
      <c r="E565" s="3" t="s">
        <v>104</v>
      </c>
      <c r="F565" s="3" t="s">
        <v>104</v>
      </c>
      <c r="G565" s="3" t="s">
        <v>30</v>
      </c>
      <c r="H565" s="3" t="s">
        <v>31</v>
      </c>
      <c r="I565" s="3" t="s">
        <v>867</v>
      </c>
      <c r="J565" s="3" t="s">
        <v>161</v>
      </c>
      <c r="K565" s="3">
        <v>2</v>
      </c>
      <c r="L565" s="3">
        <v>2632.03</v>
      </c>
      <c r="M565" s="3">
        <v>5264.06</v>
      </c>
      <c r="N565" s="3">
        <v>3716.13</v>
      </c>
      <c r="O565" s="3">
        <v>1547.93</v>
      </c>
      <c r="P565" s="3" t="s">
        <v>86</v>
      </c>
    </row>
    <row r="566" spans="1:16" x14ac:dyDescent="0.35">
      <c r="A566" s="3" t="s">
        <v>1367</v>
      </c>
      <c r="B566" s="3" t="s">
        <v>816</v>
      </c>
      <c r="C566" s="3" t="s">
        <v>57</v>
      </c>
      <c r="D566" s="3" t="s">
        <v>90</v>
      </c>
      <c r="E566" s="3" t="s">
        <v>97</v>
      </c>
      <c r="F566" s="3" t="s">
        <v>98</v>
      </c>
      <c r="G566" s="3" t="s">
        <v>41</v>
      </c>
      <c r="H566" s="3" t="s">
        <v>61</v>
      </c>
      <c r="I566" s="3" t="s">
        <v>1368</v>
      </c>
      <c r="J566" s="3" t="s">
        <v>79</v>
      </c>
      <c r="K566" s="3">
        <v>4</v>
      </c>
      <c r="L566" s="3">
        <v>2716.57</v>
      </c>
      <c r="M566" s="3">
        <v>10866.28</v>
      </c>
      <c r="N566" s="3">
        <v>6212.25</v>
      </c>
      <c r="O566" s="3">
        <v>4654.03</v>
      </c>
      <c r="P566" s="3" t="s">
        <v>34</v>
      </c>
    </row>
    <row r="567" spans="1:16" x14ac:dyDescent="0.35">
      <c r="A567" s="3" t="s">
        <v>1369</v>
      </c>
      <c r="B567" s="3" t="s">
        <v>126</v>
      </c>
      <c r="C567" s="3" t="s">
        <v>103</v>
      </c>
      <c r="D567" s="3" t="s">
        <v>38</v>
      </c>
      <c r="E567" s="3" t="s">
        <v>104</v>
      </c>
      <c r="F567" s="3" t="s">
        <v>104</v>
      </c>
      <c r="G567" s="3" t="s">
        <v>22</v>
      </c>
      <c r="H567" s="3" t="s">
        <v>93</v>
      </c>
      <c r="I567" s="3" t="s">
        <v>829</v>
      </c>
      <c r="J567" s="3" t="s">
        <v>25</v>
      </c>
      <c r="K567" s="3">
        <v>4</v>
      </c>
      <c r="L567" s="3">
        <v>7518.44</v>
      </c>
      <c r="M567" s="3">
        <v>30073.759999999998</v>
      </c>
      <c r="N567" s="3">
        <v>20949.939999999999</v>
      </c>
      <c r="O567" s="3">
        <v>9123.82</v>
      </c>
      <c r="P567" s="3" t="s">
        <v>34</v>
      </c>
    </row>
    <row r="568" spans="1:16" x14ac:dyDescent="0.35">
      <c r="A568" s="3" t="s">
        <v>1370</v>
      </c>
      <c r="B568" s="3" t="s">
        <v>840</v>
      </c>
      <c r="C568" s="3" t="s">
        <v>57</v>
      </c>
      <c r="D568" s="3" t="s">
        <v>90</v>
      </c>
      <c r="E568" s="3" t="s">
        <v>97</v>
      </c>
      <c r="F568" s="3" t="s">
        <v>98</v>
      </c>
      <c r="G568" s="3" t="s">
        <v>22</v>
      </c>
      <c r="H568" s="3" t="s">
        <v>93</v>
      </c>
      <c r="I568" s="3" t="s">
        <v>729</v>
      </c>
      <c r="J568" s="3" t="s">
        <v>147</v>
      </c>
      <c r="K568" s="3">
        <v>4</v>
      </c>
      <c r="L568" s="3">
        <v>7247.68</v>
      </c>
      <c r="M568" s="3">
        <v>28990.720000000001</v>
      </c>
      <c r="N568" s="3">
        <v>19203.009999999998</v>
      </c>
      <c r="O568" s="3">
        <v>9787.7099999999991</v>
      </c>
      <c r="P568" s="3" t="s">
        <v>69</v>
      </c>
    </row>
    <row r="569" spans="1:16" x14ac:dyDescent="0.35">
      <c r="A569" s="3" t="s">
        <v>1371</v>
      </c>
      <c r="B569" s="3" t="s">
        <v>330</v>
      </c>
      <c r="C569" s="3" t="s">
        <v>18</v>
      </c>
      <c r="D569" s="3" t="s">
        <v>19</v>
      </c>
      <c r="E569" s="3" t="s">
        <v>20</v>
      </c>
      <c r="F569" s="3" t="s">
        <v>21</v>
      </c>
      <c r="G569" s="3" t="s">
        <v>41</v>
      </c>
      <c r="H569" s="3" t="s">
        <v>138</v>
      </c>
      <c r="I569" s="3" t="s">
        <v>1372</v>
      </c>
      <c r="J569" s="3" t="s">
        <v>100</v>
      </c>
      <c r="K569" s="3">
        <v>6</v>
      </c>
      <c r="L569" s="3">
        <v>18293.009999999998</v>
      </c>
      <c r="M569" s="3">
        <v>109758.06</v>
      </c>
      <c r="N569" s="3">
        <v>85025.39</v>
      </c>
      <c r="O569" s="3">
        <v>24732.67</v>
      </c>
      <c r="P569" s="3" t="s">
        <v>26</v>
      </c>
    </row>
    <row r="570" spans="1:16" x14ac:dyDescent="0.35">
      <c r="A570" s="3" t="s">
        <v>1373</v>
      </c>
      <c r="B570" s="3" t="s">
        <v>661</v>
      </c>
      <c r="C570" s="3" t="s">
        <v>114</v>
      </c>
      <c r="D570" s="3" t="s">
        <v>90</v>
      </c>
      <c r="E570" s="3" t="s">
        <v>97</v>
      </c>
      <c r="F570" s="3" t="s">
        <v>98</v>
      </c>
      <c r="G570" s="3" t="s">
        <v>22</v>
      </c>
      <c r="H570" s="3" t="s">
        <v>23</v>
      </c>
      <c r="I570" s="3" t="s">
        <v>1374</v>
      </c>
      <c r="J570" s="3" t="s">
        <v>44</v>
      </c>
      <c r="K570" s="3">
        <v>6</v>
      </c>
      <c r="L570" s="3">
        <v>3417.91</v>
      </c>
      <c r="M570" s="3">
        <v>20507.46</v>
      </c>
      <c r="N570" s="3">
        <v>12979.79</v>
      </c>
      <c r="O570" s="3">
        <v>7527.67</v>
      </c>
      <c r="P570" s="3" t="s">
        <v>45</v>
      </c>
    </row>
    <row r="571" spans="1:16" x14ac:dyDescent="0.35">
      <c r="A571" s="3" t="s">
        <v>1375</v>
      </c>
      <c r="B571" s="3" t="s">
        <v>639</v>
      </c>
      <c r="C571" s="3" t="s">
        <v>72</v>
      </c>
      <c r="D571" s="3" t="s">
        <v>38</v>
      </c>
      <c r="E571" s="3" t="s">
        <v>39</v>
      </c>
      <c r="F571" s="3" t="s">
        <v>40</v>
      </c>
      <c r="G571" s="3" t="s">
        <v>51</v>
      </c>
      <c r="H571" s="3" t="s">
        <v>77</v>
      </c>
      <c r="I571" s="3" t="s">
        <v>1376</v>
      </c>
      <c r="J571" s="3" t="s">
        <v>131</v>
      </c>
      <c r="K571" s="3">
        <v>6</v>
      </c>
      <c r="L571" s="3">
        <v>12435.89</v>
      </c>
      <c r="M571" s="3">
        <v>74615.34</v>
      </c>
      <c r="N571" s="3">
        <v>54649.99</v>
      </c>
      <c r="O571" s="3">
        <v>19965.349999999999</v>
      </c>
      <c r="P571" s="3" t="s">
        <v>45</v>
      </c>
    </row>
    <row r="572" spans="1:16" x14ac:dyDescent="0.35">
      <c r="A572" s="3" t="s">
        <v>1377</v>
      </c>
      <c r="B572" s="3" t="s">
        <v>507</v>
      </c>
      <c r="C572" s="3" t="s">
        <v>118</v>
      </c>
      <c r="D572" s="3" t="s">
        <v>58</v>
      </c>
      <c r="E572" s="3" t="s">
        <v>59</v>
      </c>
      <c r="F572" s="3" t="s">
        <v>60</v>
      </c>
      <c r="G572" s="3" t="s">
        <v>30</v>
      </c>
      <c r="H572" s="3" t="s">
        <v>73</v>
      </c>
      <c r="I572" s="3" t="s">
        <v>1325</v>
      </c>
      <c r="J572" s="3" t="s">
        <v>161</v>
      </c>
      <c r="K572" s="3">
        <v>1</v>
      </c>
      <c r="L572" s="3">
        <v>3217.35</v>
      </c>
      <c r="M572" s="3">
        <v>3217.35</v>
      </c>
      <c r="N572" s="3">
        <v>2306.7199999999998</v>
      </c>
      <c r="O572" s="3">
        <v>910.63</v>
      </c>
      <c r="P572" s="3" t="s">
        <v>86</v>
      </c>
    </row>
    <row r="573" spans="1:16" x14ac:dyDescent="0.35">
      <c r="A573" s="3" t="s">
        <v>1378</v>
      </c>
      <c r="B573" s="3" t="s">
        <v>424</v>
      </c>
      <c r="C573" s="3" t="s">
        <v>72</v>
      </c>
      <c r="D573" s="3" t="s">
        <v>19</v>
      </c>
      <c r="E573" s="3" t="s">
        <v>49</v>
      </c>
      <c r="F573" s="3" t="s">
        <v>50</v>
      </c>
      <c r="G573" s="3" t="s">
        <v>30</v>
      </c>
      <c r="H573" s="3" t="s">
        <v>67</v>
      </c>
      <c r="I573" s="3" t="s">
        <v>1379</v>
      </c>
      <c r="J573" s="3" t="s">
        <v>188</v>
      </c>
      <c r="K573" s="3">
        <v>2</v>
      </c>
      <c r="L573" s="3">
        <v>9702.5300000000007</v>
      </c>
      <c r="M573" s="3">
        <v>19405.060000000001</v>
      </c>
      <c r="N573" s="3">
        <v>14472.97</v>
      </c>
      <c r="O573" s="3">
        <v>4932.09</v>
      </c>
      <c r="P573" s="3" t="s">
        <v>34</v>
      </c>
    </row>
    <row r="574" spans="1:16" x14ac:dyDescent="0.35">
      <c r="A574" s="3" t="s">
        <v>1380</v>
      </c>
      <c r="B574" s="3" t="s">
        <v>752</v>
      </c>
      <c r="C574" s="3" t="s">
        <v>29</v>
      </c>
      <c r="D574" s="3" t="s">
        <v>90</v>
      </c>
      <c r="E574" s="3" t="s">
        <v>97</v>
      </c>
      <c r="F574" s="3" t="s">
        <v>98</v>
      </c>
      <c r="G574" s="3" t="s">
        <v>41</v>
      </c>
      <c r="H574" s="3" t="s">
        <v>61</v>
      </c>
      <c r="I574" s="3" t="s">
        <v>1381</v>
      </c>
      <c r="J574" s="3" t="s">
        <v>25</v>
      </c>
      <c r="K574" s="3">
        <v>7</v>
      </c>
      <c r="L574" s="3">
        <v>2697.24</v>
      </c>
      <c r="M574" s="3">
        <v>18880.68</v>
      </c>
      <c r="N574" s="3">
        <v>11139.26</v>
      </c>
      <c r="O574" s="3">
        <v>7741.42</v>
      </c>
      <c r="P574" s="3" t="s">
        <v>69</v>
      </c>
    </row>
    <row r="575" spans="1:16" x14ac:dyDescent="0.35">
      <c r="A575" s="3" t="s">
        <v>1382</v>
      </c>
      <c r="B575" s="3" t="s">
        <v>1383</v>
      </c>
      <c r="C575" s="3" t="s">
        <v>18</v>
      </c>
      <c r="D575" s="3" t="s">
        <v>90</v>
      </c>
      <c r="E575" s="3" t="s">
        <v>91</v>
      </c>
      <c r="F575" s="3" t="s">
        <v>92</v>
      </c>
      <c r="G575" s="3" t="s">
        <v>41</v>
      </c>
      <c r="H575" s="3" t="s">
        <v>138</v>
      </c>
      <c r="I575" s="3" t="s">
        <v>850</v>
      </c>
      <c r="J575" s="3" t="s">
        <v>161</v>
      </c>
      <c r="K575" s="3">
        <v>6</v>
      </c>
      <c r="L575" s="3">
        <v>17946.37</v>
      </c>
      <c r="M575" s="3">
        <v>107678.22</v>
      </c>
      <c r="N575" s="3">
        <v>80649.990000000005</v>
      </c>
      <c r="O575" s="3">
        <v>27028.23</v>
      </c>
      <c r="P575" s="3" t="s">
        <v>34</v>
      </c>
    </row>
    <row r="576" spans="1:16" x14ac:dyDescent="0.35">
      <c r="A576" s="3" t="s">
        <v>1384</v>
      </c>
      <c r="B576" s="3" t="s">
        <v>1385</v>
      </c>
      <c r="C576" s="3" t="s">
        <v>29</v>
      </c>
      <c r="D576" s="3" t="s">
        <v>19</v>
      </c>
      <c r="E576" s="3" t="s">
        <v>199</v>
      </c>
      <c r="F576" s="3" t="s">
        <v>200</v>
      </c>
      <c r="G576" s="3" t="s">
        <v>41</v>
      </c>
      <c r="H576" s="3" t="s">
        <v>42</v>
      </c>
      <c r="I576" s="3" t="s">
        <v>1203</v>
      </c>
      <c r="J576" s="3" t="s">
        <v>85</v>
      </c>
      <c r="K576" s="3">
        <v>7</v>
      </c>
      <c r="L576" s="3">
        <v>40512.870000000003</v>
      </c>
      <c r="M576" s="3">
        <v>283590.09000000003</v>
      </c>
      <c r="N576" s="3">
        <v>254617.74</v>
      </c>
      <c r="O576" s="3">
        <v>28972.35</v>
      </c>
      <c r="P576" s="3" t="s">
        <v>86</v>
      </c>
    </row>
    <row r="577" spans="1:16" x14ac:dyDescent="0.35">
      <c r="A577" s="3" t="s">
        <v>1386</v>
      </c>
      <c r="B577" s="3" t="s">
        <v>840</v>
      </c>
      <c r="C577" s="3" t="s">
        <v>57</v>
      </c>
      <c r="D577" s="3" t="s">
        <v>90</v>
      </c>
      <c r="E577" s="3" t="s">
        <v>91</v>
      </c>
      <c r="F577" s="3" t="s">
        <v>92</v>
      </c>
      <c r="G577" s="3" t="s">
        <v>22</v>
      </c>
      <c r="H577" s="3" t="s">
        <v>93</v>
      </c>
      <c r="I577" s="3" t="s">
        <v>1387</v>
      </c>
      <c r="J577" s="3" t="s">
        <v>154</v>
      </c>
      <c r="K577" s="3">
        <v>2</v>
      </c>
      <c r="L577" s="3">
        <v>7142.67</v>
      </c>
      <c r="M577" s="3">
        <v>14285.34</v>
      </c>
      <c r="N577" s="3">
        <v>10489.38</v>
      </c>
      <c r="O577" s="3">
        <v>3795.96</v>
      </c>
      <c r="P577" s="3" t="s">
        <v>86</v>
      </c>
    </row>
    <row r="578" spans="1:16" x14ac:dyDescent="0.35">
      <c r="A578" s="3" t="s">
        <v>1388</v>
      </c>
      <c r="B578" s="3" t="s">
        <v>717</v>
      </c>
      <c r="C578" s="3" t="s">
        <v>114</v>
      </c>
      <c r="D578" s="3" t="s">
        <v>19</v>
      </c>
      <c r="E578" s="3" t="s">
        <v>49</v>
      </c>
      <c r="F578" s="3" t="s">
        <v>50</v>
      </c>
      <c r="G578" s="3" t="s">
        <v>51</v>
      </c>
      <c r="H578" s="3" t="s">
        <v>52</v>
      </c>
      <c r="I578" s="3" t="s">
        <v>1389</v>
      </c>
      <c r="J578" s="3" t="s">
        <v>79</v>
      </c>
      <c r="K578" s="3">
        <v>2</v>
      </c>
      <c r="L578" s="3">
        <v>26.39</v>
      </c>
      <c r="M578" s="3">
        <v>52.78</v>
      </c>
      <c r="N578" s="3">
        <v>20.51</v>
      </c>
      <c r="O578" s="3">
        <v>32.270000000000003</v>
      </c>
      <c r="P578" s="3" t="s">
        <v>86</v>
      </c>
    </row>
    <row r="579" spans="1:16" x14ac:dyDescent="0.35">
      <c r="A579" s="3" t="s">
        <v>1390</v>
      </c>
      <c r="B579" s="3" t="s">
        <v>1155</v>
      </c>
      <c r="C579" s="3" t="s">
        <v>89</v>
      </c>
      <c r="D579" s="3" t="s">
        <v>19</v>
      </c>
      <c r="E579" s="3" t="s">
        <v>20</v>
      </c>
      <c r="F579" s="3" t="s">
        <v>21</v>
      </c>
      <c r="G579" s="3" t="s">
        <v>41</v>
      </c>
      <c r="H579" s="3" t="s">
        <v>61</v>
      </c>
      <c r="I579" s="3" t="s">
        <v>584</v>
      </c>
      <c r="J579" s="3" t="s">
        <v>25</v>
      </c>
      <c r="K579" s="3">
        <v>7</v>
      </c>
      <c r="L579" s="3">
        <v>2716.3</v>
      </c>
      <c r="M579" s="3">
        <v>19014.099999999999</v>
      </c>
      <c r="N579" s="3">
        <v>11448.09</v>
      </c>
      <c r="O579" s="3">
        <v>7566.01</v>
      </c>
      <c r="P579" s="3" t="s">
        <v>34</v>
      </c>
    </row>
    <row r="580" spans="1:16" x14ac:dyDescent="0.35">
      <c r="A580" s="3" t="s">
        <v>1391</v>
      </c>
      <c r="B580" s="3" t="s">
        <v>1392</v>
      </c>
      <c r="C580" s="3" t="s">
        <v>103</v>
      </c>
      <c r="D580" s="3" t="s">
        <v>90</v>
      </c>
      <c r="E580" s="3" t="s">
        <v>119</v>
      </c>
      <c r="F580" s="3" t="s">
        <v>120</v>
      </c>
      <c r="G580" s="3" t="s">
        <v>41</v>
      </c>
      <c r="H580" s="3" t="s">
        <v>42</v>
      </c>
      <c r="I580" s="3" t="s">
        <v>223</v>
      </c>
      <c r="J580" s="3" t="s">
        <v>33</v>
      </c>
      <c r="K580" s="3">
        <v>8</v>
      </c>
      <c r="L580" s="3">
        <v>47538.12</v>
      </c>
      <c r="M580" s="3">
        <v>380304.96</v>
      </c>
      <c r="N580" s="3">
        <v>287865.34000000003</v>
      </c>
      <c r="O580" s="3">
        <v>92439.62</v>
      </c>
      <c r="P580" s="3" t="s">
        <v>26</v>
      </c>
    </row>
    <row r="581" spans="1:16" x14ac:dyDescent="0.35">
      <c r="A581" s="3" t="s">
        <v>1393</v>
      </c>
      <c r="B581" s="3" t="s">
        <v>268</v>
      </c>
      <c r="C581" s="3" t="s">
        <v>18</v>
      </c>
      <c r="D581" s="3" t="s">
        <v>90</v>
      </c>
      <c r="E581" s="3" t="s">
        <v>119</v>
      </c>
      <c r="F581" s="3" t="s">
        <v>120</v>
      </c>
      <c r="G581" s="3" t="s">
        <v>41</v>
      </c>
      <c r="H581" s="3" t="s">
        <v>42</v>
      </c>
      <c r="I581" s="3" t="s">
        <v>985</v>
      </c>
      <c r="J581" s="3" t="s">
        <v>217</v>
      </c>
      <c r="K581" s="3">
        <v>7</v>
      </c>
      <c r="L581" s="3">
        <v>48690.46</v>
      </c>
      <c r="M581" s="3">
        <v>340833.22</v>
      </c>
      <c r="N581" s="3">
        <v>244969.9</v>
      </c>
      <c r="O581" s="3">
        <v>95863.32</v>
      </c>
      <c r="P581" s="3" t="s">
        <v>86</v>
      </c>
    </row>
    <row r="582" spans="1:16" x14ac:dyDescent="0.35">
      <c r="A582" s="3" t="s">
        <v>1394</v>
      </c>
      <c r="B582" s="3" t="s">
        <v>239</v>
      </c>
      <c r="C582" s="3" t="s">
        <v>72</v>
      </c>
      <c r="D582" s="3" t="s">
        <v>38</v>
      </c>
      <c r="E582" s="3" t="s">
        <v>109</v>
      </c>
      <c r="F582" s="3" t="s">
        <v>110</v>
      </c>
      <c r="G582" s="3" t="s">
        <v>51</v>
      </c>
      <c r="H582" s="3" t="s">
        <v>77</v>
      </c>
      <c r="I582" s="3" t="s">
        <v>1395</v>
      </c>
      <c r="J582" s="3" t="s">
        <v>147</v>
      </c>
      <c r="K582" s="3">
        <v>3</v>
      </c>
      <c r="L582" s="3">
        <v>12597.44</v>
      </c>
      <c r="M582" s="3">
        <v>37792.32</v>
      </c>
      <c r="N582" s="3">
        <v>27871.89</v>
      </c>
      <c r="O582" s="3">
        <v>9920.43</v>
      </c>
      <c r="P582" s="3" t="s">
        <v>45</v>
      </c>
    </row>
    <row r="583" spans="1:16" x14ac:dyDescent="0.35">
      <c r="A583" s="3" t="s">
        <v>1396</v>
      </c>
      <c r="B583" s="3" t="s">
        <v>367</v>
      </c>
      <c r="C583" s="3" t="s">
        <v>29</v>
      </c>
      <c r="D583" s="3" t="s">
        <v>90</v>
      </c>
      <c r="E583" s="3" t="s">
        <v>119</v>
      </c>
      <c r="F583" s="3" t="s">
        <v>120</v>
      </c>
      <c r="G583" s="3" t="s">
        <v>41</v>
      </c>
      <c r="H583" s="3" t="s">
        <v>42</v>
      </c>
      <c r="I583" s="3" t="s">
        <v>1397</v>
      </c>
      <c r="J583" s="3" t="s">
        <v>147</v>
      </c>
      <c r="K583" s="3">
        <v>8</v>
      </c>
      <c r="L583" s="3">
        <v>46628.85</v>
      </c>
      <c r="M583" s="3">
        <v>373030.8</v>
      </c>
      <c r="N583" s="3">
        <v>283175.2</v>
      </c>
      <c r="O583" s="3">
        <v>89855.6</v>
      </c>
      <c r="P583" s="3" t="s">
        <v>86</v>
      </c>
    </row>
    <row r="584" spans="1:16" x14ac:dyDescent="0.35">
      <c r="A584" s="3" t="s">
        <v>1398</v>
      </c>
      <c r="B584" s="3" t="s">
        <v>364</v>
      </c>
      <c r="C584" s="3" t="s">
        <v>137</v>
      </c>
      <c r="D584" s="3" t="s">
        <v>90</v>
      </c>
      <c r="E584" s="3" t="s">
        <v>97</v>
      </c>
      <c r="F584" s="3" t="s">
        <v>98</v>
      </c>
      <c r="G584" s="3" t="s">
        <v>30</v>
      </c>
      <c r="H584" s="3" t="s">
        <v>31</v>
      </c>
      <c r="I584" s="3" t="s">
        <v>1399</v>
      </c>
      <c r="J584" s="3" t="s">
        <v>44</v>
      </c>
      <c r="K584" s="3">
        <v>7</v>
      </c>
      <c r="L584" s="3">
        <v>2926.39</v>
      </c>
      <c r="M584" s="3">
        <v>20484.73</v>
      </c>
      <c r="N584" s="3">
        <v>13394.22</v>
      </c>
      <c r="O584" s="3">
        <v>7090.51</v>
      </c>
      <c r="P584" s="3" t="s">
        <v>45</v>
      </c>
    </row>
    <row r="585" spans="1:16" x14ac:dyDescent="0.35">
      <c r="A585" s="3" t="s">
        <v>1400</v>
      </c>
      <c r="B585" s="3" t="s">
        <v>974</v>
      </c>
      <c r="C585" s="3" t="s">
        <v>29</v>
      </c>
      <c r="D585" s="3" t="s">
        <v>19</v>
      </c>
      <c r="E585" s="3" t="s">
        <v>199</v>
      </c>
      <c r="F585" s="3" t="s">
        <v>200</v>
      </c>
      <c r="G585" s="3" t="s">
        <v>41</v>
      </c>
      <c r="H585" s="3" t="s">
        <v>42</v>
      </c>
      <c r="I585" s="3" t="s">
        <v>697</v>
      </c>
      <c r="J585" s="3" t="s">
        <v>161</v>
      </c>
      <c r="K585" s="3">
        <v>6</v>
      </c>
      <c r="L585" s="3">
        <v>45777.46</v>
      </c>
      <c r="M585" s="3">
        <v>274664.76</v>
      </c>
      <c r="N585" s="3">
        <v>219498.37</v>
      </c>
      <c r="O585" s="3">
        <v>55166.39</v>
      </c>
      <c r="P585" s="3" t="s">
        <v>69</v>
      </c>
    </row>
    <row r="586" spans="1:16" x14ac:dyDescent="0.35">
      <c r="A586" s="3" t="s">
        <v>1401</v>
      </c>
      <c r="B586" s="3" t="s">
        <v>856</v>
      </c>
      <c r="C586" s="3" t="s">
        <v>103</v>
      </c>
      <c r="D586" s="3" t="s">
        <v>38</v>
      </c>
      <c r="E586" s="3" t="s">
        <v>104</v>
      </c>
      <c r="F586" s="3" t="s">
        <v>104</v>
      </c>
      <c r="G586" s="3" t="s">
        <v>41</v>
      </c>
      <c r="H586" s="3" t="s">
        <v>138</v>
      </c>
      <c r="I586" s="3" t="s">
        <v>1402</v>
      </c>
      <c r="J586" s="3" t="s">
        <v>79</v>
      </c>
      <c r="K586" s="3">
        <v>1</v>
      </c>
      <c r="L586" s="3">
        <v>17307.34</v>
      </c>
      <c r="M586" s="3">
        <v>17307.34</v>
      </c>
      <c r="N586" s="3">
        <v>14041.06</v>
      </c>
      <c r="O586" s="3">
        <v>3266.28</v>
      </c>
      <c r="P586" s="3" t="s">
        <v>34</v>
      </c>
    </row>
    <row r="587" spans="1:16" x14ac:dyDescent="0.35">
      <c r="A587" s="3" t="s">
        <v>1403</v>
      </c>
      <c r="B587" s="3" t="s">
        <v>502</v>
      </c>
      <c r="C587" s="3" t="s">
        <v>48</v>
      </c>
      <c r="D587" s="3" t="s">
        <v>58</v>
      </c>
      <c r="E587" s="3" t="s">
        <v>176</v>
      </c>
      <c r="F587" s="3" t="s">
        <v>177</v>
      </c>
      <c r="G587" s="3" t="s">
        <v>22</v>
      </c>
      <c r="H587" s="3" t="s">
        <v>23</v>
      </c>
      <c r="I587" s="3" t="s">
        <v>1404</v>
      </c>
      <c r="J587" s="3" t="s">
        <v>79</v>
      </c>
      <c r="K587" s="3">
        <v>1</v>
      </c>
      <c r="L587" s="3">
        <v>3832.54</v>
      </c>
      <c r="M587" s="3">
        <v>3832.54</v>
      </c>
      <c r="N587" s="3">
        <v>2155.63</v>
      </c>
      <c r="O587" s="3">
        <v>1676.91</v>
      </c>
      <c r="P587" s="3" t="s">
        <v>34</v>
      </c>
    </row>
    <row r="588" spans="1:16" x14ac:dyDescent="0.35">
      <c r="A588" s="3" t="s">
        <v>1405</v>
      </c>
      <c r="B588" s="3" t="s">
        <v>1406</v>
      </c>
      <c r="C588" s="3" t="s">
        <v>137</v>
      </c>
      <c r="D588" s="3" t="s">
        <v>38</v>
      </c>
      <c r="E588" s="3" t="s">
        <v>104</v>
      </c>
      <c r="F588" s="3" t="s">
        <v>104</v>
      </c>
      <c r="G588" s="3" t="s">
        <v>30</v>
      </c>
      <c r="H588" s="3" t="s">
        <v>31</v>
      </c>
      <c r="I588" s="3" t="s">
        <v>1407</v>
      </c>
      <c r="J588" s="3" t="s">
        <v>44</v>
      </c>
      <c r="K588" s="3">
        <v>1</v>
      </c>
      <c r="L588" s="3">
        <v>2591.0100000000002</v>
      </c>
      <c r="M588" s="3">
        <v>2591.0100000000002</v>
      </c>
      <c r="N588" s="3">
        <v>1979.16</v>
      </c>
      <c r="O588" s="3">
        <v>611.85</v>
      </c>
      <c r="P588" s="3" t="s">
        <v>34</v>
      </c>
    </row>
    <row r="589" spans="1:16" x14ac:dyDescent="0.35">
      <c r="A589" s="3" t="s">
        <v>1408</v>
      </c>
      <c r="B589" s="3" t="s">
        <v>449</v>
      </c>
      <c r="C589" s="3" t="s">
        <v>37</v>
      </c>
      <c r="D589" s="3" t="s">
        <v>90</v>
      </c>
      <c r="E589" s="3" t="s">
        <v>97</v>
      </c>
      <c r="F589" s="3" t="s">
        <v>98</v>
      </c>
      <c r="G589" s="3" t="s">
        <v>51</v>
      </c>
      <c r="H589" s="3" t="s">
        <v>52</v>
      </c>
      <c r="I589" s="3" t="s">
        <v>625</v>
      </c>
      <c r="J589" s="3" t="s">
        <v>131</v>
      </c>
      <c r="K589" s="3">
        <v>5</v>
      </c>
      <c r="L589" s="3">
        <v>22.71</v>
      </c>
      <c r="M589" s="3">
        <v>113.55</v>
      </c>
      <c r="N589" s="3">
        <v>48.63</v>
      </c>
      <c r="O589" s="3">
        <v>64.92</v>
      </c>
      <c r="P589" s="3" t="s">
        <v>69</v>
      </c>
    </row>
    <row r="590" spans="1:16" x14ac:dyDescent="0.35">
      <c r="A590" s="3" t="s">
        <v>1409</v>
      </c>
      <c r="B590" s="3" t="s">
        <v>361</v>
      </c>
      <c r="C590" s="3" t="s">
        <v>137</v>
      </c>
      <c r="D590" s="3" t="s">
        <v>90</v>
      </c>
      <c r="E590" s="3" t="s">
        <v>91</v>
      </c>
      <c r="F590" s="3" t="s">
        <v>92</v>
      </c>
      <c r="G590" s="3" t="s">
        <v>51</v>
      </c>
      <c r="H590" s="3" t="s">
        <v>52</v>
      </c>
      <c r="I590" s="3" t="s">
        <v>331</v>
      </c>
      <c r="J590" s="3" t="s">
        <v>161</v>
      </c>
      <c r="K590" s="3">
        <v>8</v>
      </c>
      <c r="L590" s="3">
        <v>26.16</v>
      </c>
      <c r="M590" s="3">
        <v>209.28</v>
      </c>
      <c r="N590" s="3">
        <v>77.38</v>
      </c>
      <c r="O590" s="3">
        <v>131.9</v>
      </c>
      <c r="P590" s="3" t="s">
        <v>45</v>
      </c>
    </row>
    <row r="591" spans="1:16" x14ac:dyDescent="0.35">
      <c r="A591" s="3" t="s">
        <v>1410</v>
      </c>
      <c r="B591" s="3" t="s">
        <v>580</v>
      </c>
      <c r="C591" s="3" t="s">
        <v>57</v>
      </c>
      <c r="D591" s="3" t="s">
        <v>58</v>
      </c>
      <c r="E591" s="3" t="s">
        <v>65</v>
      </c>
      <c r="F591" s="3" t="s">
        <v>66</v>
      </c>
      <c r="G591" s="3" t="s">
        <v>22</v>
      </c>
      <c r="H591" s="3" t="s">
        <v>93</v>
      </c>
      <c r="I591" s="3" t="s">
        <v>316</v>
      </c>
      <c r="J591" s="3" t="s">
        <v>25</v>
      </c>
      <c r="K591" s="3">
        <v>5</v>
      </c>
      <c r="L591" s="3">
        <v>6990.63</v>
      </c>
      <c r="M591" s="3">
        <v>34953.15</v>
      </c>
      <c r="N591" s="3">
        <v>25935.8</v>
      </c>
      <c r="O591" s="3">
        <v>9017.35</v>
      </c>
      <c r="P591" s="3" t="s">
        <v>45</v>
      </c>
    </row>
    <row r="592" spans="1:16" x14ac:dyDescent="0.35">
      <c r="A592" s="3" t="s">
        <v>1411</v>
      </c>
      <c r="B592" s="3" t="s">
        <v>682</v>
      </c>
      <c r="C592" s="3" t="s">
        <v>114</v>
      </c>
      <c r="D592" s="3" t="s">
        <v>90</v>
      </c>
      <c r="E592" s="3" t="s">
        <v>97</v>
      </c>
      <c r="F592" s="3" t="s">
        <v>98</v>
      </c>
      <c r="G592" s="3" t="s">
        <v>30</v>
      </c>
      <c r="H592" s="3" t="s">
        <v>31</v>
      </c>
      <c r="I592" s="3" t="s">
        <v>605</v>
      </c>
      <c r="J592" s="3" t="s">
        <v>147</v>
      </c>
      <c r="K592" s="3">
        <v>2</v>
      </c>
      <c r="L592" s="3">
        <v>2906.55</v>
      </c>
      <c r="M592" s="3">
        <v>5813.1</v>
      </c>
      <c r="N592" s="3">
        <v>3690.59</v>
      </c>
      <c r="O592" s="3">
        <v>2122.5100000000002</v>
      </c>
      <c r="P592" s="3" t="s">
        <v>45</v>
      </c>
    </row>
    <row r="593" spans="1:16" x14ac:dyDescent="0.35">
      <c r="A593" s="3" t="s">
        <v>1412</v>
      </c>
      <c r="B593" s="3" t="s">
        <v>502</v>
      </c>
      <c r="C593" s="3" t="s">
        <v>48</v>
      </c>
      <c r="D593" s="3" t="s">
        <v>90</v>
      </c>
      <c r="E593" s="3" t="s">
        <v>119</v>
      </c>
      <c r="F593" s="3" t="s">
        <v>120</v>
      </c>
      <c r="G593" s="3" t="s">
        <v>41</v>
      </c>
      <c r="H593" s="3" t="s">
        <v>61</v>
      </c>
      <c r="I593" s="3" t="s">
        <v>1413</v>
      </c>
      <c r="J593" s="3" t="s">
        <v>100</v>
      </c>
      <c r="K593" s="3">
        <v>7</v>
      </c>
      <c r="L593" s="3">
        <v>2579.58</v>
      </c>
      <c r="M593" s="3">
        <v>18057.060000000001</v>
      </c>
      <c r="N593" s="3">
        <v>11125.22</v>
      </c>
      <c r="O593" s="3">
        <v>6931.84</v>
      </c>
      <c r="P593" s="3" t="s">
        <v>69</v>
      </c>
    </row>
    <row r="594" spans="1:16" x14ac:dyDescent="0.35">
      <c r="A594" s="3" t="s">
        <v>1414</v>
      </c>
      <c r="B594" s="3" t="s">
        <v>398</v>
      </c>
      <c r="C594" s="3" t="s">
        <v>57</v>
      </c>
      <c r="D594" s="3" t="s">
        <v>90</v>
      </c>
      <c r="E594" s="3" t="s">
        <v>119</v>
      </c>
      <c r="F594" s="3" t="s">
        <v>120</v>
      </c>
      <c r="G594" s="3" t="s">
        <v>30</v>
      </c>
      <c r="H594" s="3" t="s">
        <v>67</v>
      </c>
      <c r="I594" s="3" t="s">
        <v>1415</v>
      </c>
      <c r="J594" s="3" t="s">
        <v>217</v>
      </c>
      <c r="K594" s="3">
        <v>3</v>
      </c>
      <c r="L594" s="3">
        <v>9035.5400000000009</v>
      </c>
      <c r="M594" s="3">
        <v>27106.62</v>
      </c>
      <c r="N594" s="3">
        <v>23663.46</v>
      </c>
      <c r="O594" s="3">
        <v>3443.16</v>
      </c>
      <c r="P594" s="3" t="s">
        <v>86</v>
      </c>
    </row>
    <row r="595" spans="1:16" x14ac:dyDescent="0.35">
      <c r="A595" s="3" t="s">
        <v>1416</v>
      </c>
      <c r="B595" s="3" t="s">
        <v>840</v>
      </c>
      <c r="C595" s="3" t="s">
        <v>57</v>
      </c>
      <c r="D595" s="3" t="s">
        <v>58</v>
      </c>
      <c r="E595" s="3" t="s">
        <v>65</v>
      </c>
      <c r="F595" s="3" t="s">
        <v>66</v>
      </c>
      <c r="G595" s="3" t="s">
        <v>41</v>
      </c>
      <c r="H595" s="3" t="s">
        <v>61</v>
      </c>
      <c r="I595" s="3" t="s">
        <v>1417</v>
      </c>
      <c r="J595" s="3" t="s">
        <v>33</v>
      </c>
      <c r="K595" s="3">
        <v>3</v>
      </c>
      <c r="L595" s="3">
        <v>2263.02</v>
      </c>
      <c r="M595" s="3">
        <v>6789.06</v>
      </c>
      <c r="N595" s="3">
        <v>4938.67</v>
      </c>
      <c r="O595" s="3">
        <v>1850.39</v>
      </c>
      <c r="P595" s="3" t="s">
        <v>45</v>
      </c>
    </row>
    <row r="596" spans="1:16" x14ac:dyDescent="0.35">
      <c r="A596" s="3" t="s">
        <v>1418</v>
      </c>
      <c r="B596" s="3" t="s">
        <v>305</v>
      </c>
      <c r="C596" s="3" t="s">
        <v>18</v>
      </c>
      <c r="D596" s="3" t="s">
        <v>38</v>
      </c>
      <c r="E596" s="3" t="s">
        <v>109</v>
      </c>
      <c r="F596" s="3" t="s">
        <v>110</v>
      </c>
      <c r="G596" s="3" t="s">
        <v>22</v>
      </c>
      <c r="H596" s="3" t="s">
        <v>93</v>
      </c>
      <c r="I596" s="3" t="s">
        <v>1419</v>
      </c>
      <c r="J596" s="3" t="s">
        <v>79</v>
      </c>
      <c r="K596" s="3">
        <v>4</v>
      </c>
      <c r="L596" s="3">
        <v>6510.33</v>
      </c>
      <c r="M596" s="3">
        <v>26041.32</v>
      </c>
      <c r="N596" s="3">
        <v>19585.16</v>
      </c>
      <c r="O596" s="3">
        <v>6456.16</v>
      </c>
      <c r="P596" s="3" t="s">
        <v>86</v>
      </c>
    </row>
    <row r="597" spans="1:16" x14ac:dyDescent="0.35">
      <c r="A597" s="3" t="s">
        <v>1420</v>
      </c>
      <c r="B597" s="3" t="s">
        <v>81</v>
      </c>
      <c r="C597" s="3" t="s">
        <v>82</v>
      </c>
      <c r="D597" s="3" t="s">
        <v>19</v>
      </c>
      <c r="E597" s="3" t="s">
        <v>20</v>
      </c>
      <c r="F597" s="3" t="s">
        <v>21</v>
      </c>
      <c r="G597" s="3" t="s">
        <v>41</v>
      </c>
      <c r="H597" s="3" t="s">
        <v>138</v>
      </c>
      <c r="I597" s="3" t="s">
        <v>1421</v>
      </c>
      <c r="J597" s="3" t="s">
        <v>161</v>
      </c>
      <c r="K597" s="3">
        <v>5</v>
      </c>
      <c r="L597" s="3">
        <v>18395.25</v>
      </c>
      <c r="M597" s="3">
        <v>91976.25</v>
      </c>
      <c r="N597" s="3">
        <v>72871.259999999995</v>
      </c>
      <c r="O597" s="3">
        <v>19104.990000000002</v>
      </c>
      <c r="P597" s="3" t="s">
        <v>86</v>
      </c>
    </row>
    <row r="598" spans="1:16" x14ac:dyDescent="0.35">
      <c r="A598" s="3" t="s">
        <v>1422</v>
      </c>
      <c r="B598" s="3" t="s">
        <v>1423</v>
      </c>
      <c r="C598" s="3" t="s">
        <v>37</v>
      </c>
      <c r="D598" s="3" t="s">
        <v>19</v>
      </c>
      <c r="E598" s="3" t="s">
        <v>20</v>
      </c>
      <c r="F598" s="3" t="s">
        <v>21</v>
      </c>
      <c r="G598" s="3" t="s">
        <v>51</v>
      </c>
      <c r="H598" s="3" t="s">
        <v>77</v>
      </c>
      <c r="I598" s="3" t="s">
        <v>1424</v>
      </c>
      <c r="J598" s="3" t="s">
        <v>25</v>
      </c>
      <c r="K598" s="3">
        <v>7</v>
      </c>
      <c r="L598" s="3">
        <v>12055.31</v>
      </c>
      <c r="M598" s="3">
        <v>84387.17</v>
      </c>
      <c r="N598" s="3">
        <v>62364.83</v>
      </c>
      <c r="O598" s="3">
        <v>22022.34</v>
      </c>
      <c r="P598" s="3" t="s">
        <v>26</v>
      </c>
    </row>
    <row r="599" spans="1:16" x14ac:dyDescent="0.35">
      <c r="A599" s="3" t="s">
        <v>1425</v>
      </c>
      <c r="B599" s="3" t="s">
        <v>1187</v>
      </c>
      <c r="C599" s="3" t="s">
        <v>18</v>
      </c>
      <c r="D599" s="3" t="s">
        <v>38</v>
      </c>
      <c r="E599" s="3" t="s">
        <v>39</v>
      </c>
      <c r="F599" s="3" t="s">
        <v>40</v>
      </c>
      <c r="G599" s="3" t="s">
        <v>22</v>
      </c>
      <c r="H599" s="3" t="s">
        <v>93</v>
      </c>
      <c r="I599" s="3" t="s">
        <v>1178</v>
      </c>
      <c r="J599" s="3" t="s">
        <v>79</v>
      </c>
      <c r="K599" s="3">
        <v>8</v>
      </c>
      <c r="L599" s="3">
        <v>7526.46</v>
      </c>
      <c r="M599" s="3">
        <v>60211.68</v>
      </c>
      <c r="N599" s="3">
        <v>39872.160000000003</v>
      </c>
      <c r="O599" s="3">
        <v>20339.52</v>
      </c>
      <c r="P599" s="3" t="s">
        <v>86</v>
      </c>
    </row>
    <row r="600" spans="1:16" x14ac:dyDescent="0.35">
      <c r="A600" s="3" t="s">
        <v>1426</v>
      </c>
      <c r="B600" s="3" t="s">
        <v>1427</v>
      </c>
      <c r="C600" s="3" t="s">
        <v>29</v>
      </c>
      <c r="D600" s="3" t="s">
        <v>58</v>
      </c>
      <c r="E600" s="3" t="s">
        <v>65</v>
      </c>
      <c r="F600" s="3" t="s">
        <v>66</v>
      </c>
      <c r="G600" s="3" t="s">
        <v>30</v>
      </c>
      <c r="H600" s="3" t="s">
        <v>67</v>
      </c>
      <c r="I600" s="3" t="s">
        <v>542</v>
      </c>
      <c r="J600" s="3" t="s">
        <v>161</v>
      </c>
      <c r="K600" s="3">
        <v>2</v>
      </c>
      <c r="L600" s="3">
        <v>10360.5</v>
      </c>
      <c r="M600" s="3">
        <v>20721</v>
      </c>
      <c r="N600" s="3">
        <v>15036.92</v>
      </c>
      <c r="O600" s="3">
        <v>5684.08</v>
      </c>
      <c r="P600" s="3" t="s">
        <v>45</v>
      </c>
    </row>
    <row r="601" spans="1:16" x14ac:dyDescent="0.35">
      <c r="A601" s="3" t="s">
        <v>1428</v>
      </c>
      <c r="B601" s="3" t="s">
        <v>1429</v>
      </c>
      <c r="C601" s="3" t="s">
        <v>89</v>
      </c>
      <c r="D601" s="3" t="s">
        <v>90</v>
      </c>
      <c r="E601" s="3" t="s">
        <v>91</v>
      </c>
      <c r="F601" s="3" t="s">
        <v>92</v>
      </c>
      <c r="G601" s="3" t="s">
        <v>41</v>
      </c>
      <c r="H601" s="3" t="s">
        <v>42</v>
      </c>
      <c r="I601" s="3" t="s">
        <v>1430</v>
      </c>
      <c r="J601" s="3" t="s">
        <v>131</v>
      </c>
      <c r="K601" s="3">
        <v>4</v>
      </c>
      <c r="L601" s="3">
        <v>49244.41</v>
      </c>
      <c r="M601" s="3">
        <v>196977.64</v>
      </c>
      <c r="N601" s="3">
        <v>135969.49</v>
      </c>
      <c r="O601" s="3">
        <v>61008.15</v>
      </c>
      <c r="P601" s="3" t="s">
        <v>26</v>
      </c>
    </row>
    <row r="602" spans="1:16" x14ac:dyDescent="0.35">
      <c r="A602" s="3" t="s">
        <v>1431</v>
      </c>
      <c r="B602" s="3" t="s">
        <v>1385</v>
      </c>
      <c r="C602" s="3" t="s">
        <v>29</v>
      </c>
      <c r="D602" s="3" t="s">
        <v>38</v>
      </c>
      <c r="E602" s="3" t="s">
        <v>39</v>
      </c>
      <c r="F602" s="3" t="s">
        <v>40</v>
      </c>
      <c r="G602" s="3" t="s">
        <v>51</v>
      </c>
      <c r="H602" s="3" t="s">
        <v>145</v>
      </c>
      <c r="I602" s="3" t="s">
        <v>1432</v>
      </c>
      <c r="J602" s="3" t="s">
        <v>85</v>
      </c>
      <c r="K602" s="3">
        <v>1</v>
      </c>
      <c r="L602" s="3">
        <v>125.17</v>
      </c>
      <c r="M602" s="3">
        <v>125.17</v>
      </c>
      <c r="N602" s="3">
        <v>61.84</v>
      </c>
      <c r="O602" s="3">
        <v>63.33</v>
      </c>
      <c r="P602" s="3" t="s">
        <v>69</v>
      </c>
    </row>
    <row r="603" spans="1:16" x14ac:dyDescent="0.35">
      <c r="A603" s="3" t="s">
        <v>1433</v>
      </c>
      <c r="B603" s="3" t="s">
        <v>705</v>
      </c>
      <c r="C603" s="3" t="s">
        <v>82</v>
      </c>
      <c r="D603" s="3" t="s">
        <v>19</v>
      </c>
      <c r="E603" s="3" t="s">
        <v>49</v>
      </c>
      <c r="F603" s="3" t="s">
        <v>50</v>
      </c>
      <c r="G603" s="3" t="s">
        <v>22</v>
      </c>
      <c r="H603" s="3" t="s">
        <v>83</v>
      </c>
      <c r="I603" s="3" t="s">
        <v>963</v>
      </c>
      <c r="J603" s="3" t="s">
        <v>54</v>
      </c>
      <c r="K603" s="3">
        <v>8</v>
      </c>
      <c r="L603" s="3">
        <v>20663.8</v>
      </c>
      <c r="M603" s="3">
        <v>165310.39999999999</v>
      </c>
      <c r="N603" s="3">
        <v>130842.71</v>
      </c>
      <c r="O603" s="3">
        <v>34467.69</v>
      </c>
      <c r="P603" s="3" t="s">
        <v>26</v>
      </c>
    </row>
    <row r="604" spans="1:16" x14ac:dyDescent="0.35">
      <c r="A604" s="3" t="s">
        <v>1434</v>
      </c>
      <c r="B604" s="3" t="s">
        <v>1435</v>
      </c>
      <c r="C604" s="3" t="s">
        <v>137</v>
      </c>
      <c r="D604" s="3" t="s">
        <v>38</v>
      </c>
      <c r="E604" s="3" t="s">
        <v>39</v>
      </c>
      <c r="F604" s="3" t="s">
        <v>40</v>
      </c>
      <c r="G604" s="3" t="s">
        <v>22</v>
      </c>
      <c r="H604" s="3" t="s">
        <v>23</v>
      </c>
      <c r="I604" s="3" t="s">
        <v>1436</v>
      </c>
      <c r="J604" s="3" t="s">
        <v>171</v>
      </c>
      <c r="K604" s="3">
        <v>4</v>
      </c>
      <c r="L604" s="3">
        <v>3749.19</v>
      </c>
      <c r="M604" s="3">
        <v>14996.76</v>
      </c>
      <c r="N604" s="3">
        <v>9062.26</v>
      </c>
      <c r="O604" s="3">
        <v>5934.5</v>
      </c>
      <c r="P604" s="3" t="s">
        <v>26</v>
      </c>
    </row>
    <row r="605" spans="1:16" x14ac:dyDescent="0.35">
      <c r="A605" s="3" t="s">
        <v>1437</v>
      </c>
      <c r="B605" s="3" t="s">
        <v>195</v>
      </c>
      <c r="C605" s="3" t="s">
        <v>18</v>
      </c>
      <c r="D605" s="3" t="s">
        <v>19</v>
      </c>
      <c r="E605" s="3" t="s">
        <v>20</v>
      </c>
      <c r="F605" s="3" t="s">
        <v>21</v>
      </c>
      <c r="G605" s="3" t="s">
        <v>41</v>
      </c>
      <c r="H605" s="3" t="s">
        <v>138</v>
      </c>
      <c r="I605" s="3" t="s">
        <v>1438</v>
      </c>
      <c r="J605" s="3" t="s">
        <v>100</v>
      </c>
      <c r="K605" s="3">
        <v>5</v>
      </c>
      <c r="L605" s="3">
        <v>16401.2</v>
      </c>
      <c r="M605" s="3">
        <v>82006</v>
      </c>
      <c r="N605" s="3">
        <v>72301.279999999999</v>
      </c>
      <c r="O605" s="3">
        <v>9704.7199999999993</v>
      </c>
      <c r="P605" s="3" t="s">
        <v>86</v>
      </c>
    </row>
    <row r="606" spans="1:16" x14ac:dyDescent="0.35">
      <c r="A606" s="3" t="s">
        <v>1439</v>
      </c>
      <c r="B606" s="3" t="s">
        <v>511</v>
      </c>
      <c r="C606" s="3" t="s">
        <v>29</v>
      </c>
      <c r="D606" s="3" t="s">
        <v>90</v>
      </c>
      <c r="E606" s="3" t="s">
        <v>91</v>
      </c>
      <c r="F606" s="3" t="s">
        <v>92</v>
      </c>
      <c r="G606" s="3" t="s">
        <v>51</v>
      </c>
      <c r="H606" s="3" t="s">
        <v>52</v>
      </c>
      <c r="I606" s="3" t="s">
        <v>1440</v>
      </c>
      <c r="J606" s="3" t="s">
        <v>25</v>
      </c>
      <c r="K606" s="3">
        <v>1</v>
      </c>
      <c r="L606" s="3">
        <v>23.98</v>
      </c>
      <c r="M606" s="3">
        <v>23.98</v>
      </c>
      <c r="N606" s="3">
        <v>10.35</v>
      </c>
      <c r="O606" s="3">
        <v>13.63</v>
      </c>
      <c r="P606" s="3" t="s">
        <v>34</v>
      </c>
    </row>
    <row r="607" spans="1:16" x14ac:dyDescent="0.35">
      <c r="A607" s="3" t="s">
        <v>1441</v>
      </c>
      <c r="B607" s="3" t="s">
        <v>195</v>
      </c>
      <c r="C607" s="3" t="s">
        <v>18</v>
      </c>
      <c r="D607" s="3" t="s">
        <v>90</v>
      </c>
      <c r="E607" s="3" t="s">
        <v>97</v>
      </c>
      <c r="F607" s="3" t="s">
        <v>98</v>
      </c>
      <c r="G607" s="3" t="s">
        <v>41</v>
      </c>
      <c r="H607" s="3" t="s">
        <v>42</v>
      </c>
      <c r="I607" s="3" t="s">
        <v>234</v>
      </c>
      <c r="J607" s="3" t="s">
        <v>100</v>
      </c>
      <c r="K607" s="3">
        <v>1</v>
      </c>
      <c r="L607" s="3">
        <v>42950.11</v>
      </c>
      <c r="M607" s="3">
        <v>42950.11</v>
      </c>
      <c r="N607" s="3">
        <v>36353.919999999998</v>
      </c>
      <c r="O607" s="3">
        <v>6596.19</v>
      </c>
      <c r="P607" s="3" t="s">
        <v>34</v>
      </c>
    </row>
    <row r="608" spans="1:16" x14ac:dyDescent="0.35">
      <c r="A608" s="3" t="s">
        <v>1442</v>
      </c>
      <c r="B608" s="3" t="s">
        <v>1226</v>
      </c>
      <c r="C608" s="3" t="s">
        <v>29</v>
      </c>
      <c r="D608" s="3" t="s">
        <v>90</v>
      </c>
      <c r="E608" s="3" t="s">
        <v>97</v>
      </c>
      <c r="F608" s="3" t="s">
        <v>98</v>
      </c>
      <c r="G608" s="3" t="s">
        <v>51</v>
      </c>
      <c r="H608" s="3" t="s">
        <v>145</v>
      </c>
      <c r="I608" s="3" t="s">
        <v>1443</v>
      </c>
      <c r="J608" s="3" t="s">
        <v>131</v>
      </c>
      <c r="K608" s="3">
        <v>7</v>
      </c>
      <c r="L608" s="3">
        <v>110.76</v>
      </c>
      <c r="M608" s="3">
        <v>775.32</v>
      </c>
      <c r="N608" s="3">
        <v>428.19</v>
      </c>
      <c r="O608" s="3">
        <v>347.13</v>
      </c>
      <c r="P608" s="3" t="s">
        <v>86</v>
      </c>
    </row>
    <row r="609" spans="1:16" x14ac:dyDescent="0.35">
      <c r="A609" s="3" t="s">
        <v>1444</v>
      </c>
      <c r="B609" s="3" t="s">
        <v>760</v>
      </c>
      <c r="C609" s="3" t="s">
        <v>114</v>
      </c>
      <c r="D609" s="3" t="s">
        <v>90</v>
      </c>
      <c r="E609" s="3" t="s">
        <v>91</v>
      </c>
      <c r="F609" s="3" t="s">
        <v>92</v>
      </c>
      <c r="G609" s="3" t="s">
        <v>51</v>
      </c>
      <c r="H609" s="3" t="s">
        <v>77</v>
      </c>
      <c r="I609" s="3" t="s">
        <v>1445</v>
      </c>
      <c r="J609" s="3" t="s">
        <v>79</v>
      </c>
      <c r="K609" s="3">
        <v>7</v>
      </c>
      <c r="L609" s="3">
        <v>10935.37</v>
      </c>
      <c r="M609" s="3">
        <v>76547.59</v>
      </c>
      <c r="N609" s="3">
        <v>62614.42</v>
      </c>
      <c r="O609" s="3">
        <v>13933.17</v>
      </c>
      <c r="P609" s="3" t="s">
        <v>26</v>
      </c>
    </row>
    <row r="610" spans="1:16" x14ac:dyDescent="0.35">
      <c r="A610" s="3" t="s">
        <v>1446</v>
      </c>
      <c r="B610" s="3" t="s">
        <v>672</v>
      </c>
      <c r="C610" s="3" t="s">
        <v>118</v>
      </c>
      <c r="D610" s="3" t="s">
        <v>58</v>
      </c>
      <c r="E610" s="3" t="s">
        <v>176</v>
      </c>
      <c r="F610" s="3" t="s">
        <v>177</v>
      </c>
      <c r="G610" s="3" t="s">
        <v>22</v>
      </c>
      <c r="H610" s="3" t="s">
        <v>93</v>
      </c>
      <c r="I610" s="3" t="s">
        <v>1447</v>
      </c>
      <c r="J610" s="3" t="s">
        <v>131</v>
      </c>
      <c r="K610" s="3">
        <v>1</v>
      </c>
      <c r="L610" s="3">
        <v>6771.19</v>
      </c>
      <c r="M610" s="3">
        <v>6771.19</v>
      </c>
      <c r="N610" s="3">
        <v>5227.1400000000003</v>
      </c>
      <c r="O610" s="3">
        <v>1544.05</v>
      </c>
      <c r="P610" s="3" t="s">
        <v>26</v>
      </c>
    </row>
    <row r="611" spans="1:16" x14ac:dyDescent="0.35">
      <c r="A611" s="3" t="s">
        <v>1448</v>
      </c>
      <c r="B611" s="3" t="s">
        <v>282</v>
      </c>
      <c r="C611" s="3" t="s">
        <v>114</v>
      </c>
      <c r="D611" s="3" t="s">
        <v>38</v>
      </c>
      <c r="E611" s="3" t="s">
        <v>104</v>
      </c>
      <c r="F611" s="3" t="s">
        <v>104</v>
      </c>
      <c r="G611" s="3" t="s">
        <v>51</v>
      </c>
      <c r="H611" s="3" t="s">
        <v>77</v>
      </c>
      <c r="I611" s="3" t="s">
        <v>1449</v>
      </c>
      <c r="J611" s="3" t="s">
        <v>154</v>
      </c>
      <c r="K611" s="3">
        <v>3</v>
      </c>
      <c r="L611" s="3">
        <v>11567.28</v>
      </c>
      <c r="M611" s="3">
        <v>34701.839999999997</v>
      </c>
      <c r="N611" s="3">
        <v>25741.21</v>
      </c>
      <c r="O611" s="3">
        <v>8960.6299999999992</v>
      </c>
      <c r="P611" s="3" t="s">
        <v>34</v>
      </c>
    </row>
    <row r="612" spans="1:16" x14ac:dyDescent="0.35">
      <c r="A612" s="3" t="s">
        <v>1450</v>
      </c>
      <c r="B612" s="3" t="s">
        <v>438</v>
      </c>
      <c r="C612" s="3" t="s">
        <v>89</v>
      </c>
      <c r="D612" s="3" t="s">
        <v>90</v>
      </c>
      <c r="E612" s="3" t="s">
        <v>91</v>
      </c>
      <c r="F612" s="3" t="s">
        <v>92</v>
      </c>
      <c r="G612" s="3" t="s">
        <v>30</v>
      </c>
      <c r="H612" s="3" t="s">
        <v>67</v>
      </c>
      <c r="I612" s="3" t="s">
        <v>1233</v>
      </c>
      <c r="J612" s="3" t="s">
        <v>79</v>
      </c>
      <c r="K612" s="3">
        <v>7</v>
      </c>
      <c r="L612" s="3">
        <v>9993.82</v>
      </c>
      <c r="M612" s="3">
        <v>69956.740000000005</v>
      </c>
      <c r="N612" s="3">
        <v>50855.22</v>
      </c>
      <c r="O612" s="3">
        <v>19101.52</v>
      </c>
      <c r="P612" s="3" t="s">
        <v>86</v>
      </c>
    </row>
    <row r="613" spans="1:16" x14ac:dyDescent="0.35">
      <c r="A613" s="3" t="s">
        <v>1451</v>
      </c>
      <c r="B613" s="3" t="s">
        <v>71</v>
      </c>
      <c r="C613" s="3" t="s">
        <v>72</v>
      </c>
      <c r="D613" s="3" t="s">
        <v>58</v>
      </c>
      <c r="E613" s="3" t="s">
        <v>59</v>
      </c>
      <c r="F613" s="3" t="s">
        <v>60</v>
      </c>
      <c r="G613" s="3" t="s">
        <v>30</v>
      </c>
      <c r="H613" s="3" t="s">
        <v>73</v>
      </c>
      <c r="I613" s="3" t="s">
        <v>1452</v>
      </c>
      <c r="J613" s="3" t="s">
        <v>147</v>
      </c>
      <c r="K613" s="3">
        <v>8</v>
      </c>
      <c r="L613" s="3">
        <v>3269.75</v>
      </c>
      <c r="M613" s="3">
        <v>26158</v>
      </c>
      <c r="N613" s="3">
        <v>18600.939999999999</v>
      </c>
      <c r="O613" s="3">
        <v>7557.06</v>
      </c>
      <c r="P613" s="3" t="s">
        <v>45</v>
      </c>
    </row>
    <row r="614" spans="1:16" x14ac:dyDescent="0.35">
      <c r="A614" s="3" t="s">
        <v>1453</v>
      </c>
      <c r="B614" s="3" t="s">
        <v>1082</v>
      </c>
      <c r="C614" s="3" t="s">
        <v>114</v>
      </c>
      <c r="D614" s="3" t="s">
        <v>58</v>
      </c>
      <c r="E614" s="3" t="s">
        <v>65</v>
      </c>
      <c r="F614" s="3" t="s">
        <v>66</v>
      </c>
      <c r="G614" s="3" t="s">
        <v>41</v>
      </c>
      <c r="H614" s="3" t="s">
        <v>61</v>
      </c>
      <c r="I614" s="3" t="s">
        <v>785</v>
      </c>
      <c r="J614" s="3" t="s">
        <v>106</v>
      </c>
      <c r="K614" s="3">
        <v>6</v>
      </c>
      <c r="L614" s="3">
        <v>2421.09</v>
      </c>
      <c r="M614" s="3">
        <v>14526.54</v>
      </c>
      <c r="N614" s="3">
        <v>10072.64</v>
      </c>
      <c r="O614" s="3">
        <v>4453.8999999999996</v>
      </c>
      <c r="P614" s="3" t="s">
        <v>45</v>
      </c>
    </row>
    <row r="615" spans="1:16" x14ac:dyDescent="0.35">
      <c r="A615" s="3" t="s">
        <v>1454</v>
      </c>
      <c r="B615" s="3" t="s">
        <v>1455</v>
      </c>
      <c r="C615" s="3" t="s">
        <v>103</v>
      </c>
      <c r="D615" s="3" t="s">
        <v>90</v>
      </c>
      <c r="E615" s="3" t="s">
        <v>97</v>
      </c>
      <c r="F615" s="3" t="s">
        <v>98</v>
      </c>
      <c r="G615" s="3" t="s">
        <v>51</v>
      </c>
      <c r="H615" s="3" t="s">
        <v>145</v>
      </c>
      <c r="I615" s="3" t="s">
        <v>1456</v>
      </c>
      <c r="J615" s="3" t="s">
        <v>131</v>
      </c>
      <c r="K615" s="3">
        <v>6</v>
      </c>
      <c r="L615" s="3">
        <v>117.87</v>
      </c>
      <c r="M615" s="3">
        <v>707.22</v>
      </c>
      <c r="N615" s="3">
        <v>377.05</v>
      </c>
      <c r="O615" s="3">
        <v>330.17</v>
      </c>
      <c r="P615" s="3" t="s">
        <v>69</v>
      </c>
    </row>
    <row r="616" spans="1:16" x14ac:dyDescent="0.35">
      <c r="A616" s="3" t="s">
        <v>1457</v>
      </c>
      <c r="B616" s="3" t="s">
        <v>71</v>
      </c>
      <c r="C616" s="3" t="s">
        <v>72</v>
      </c>
      <c r="D616" s="3" t="s">
        <v>58</v>
      </c>
      <c r="E616" s="3" t="s">
        <v>176</v>
      </c>
      <c r="F616" s="3" t="s">
        <v>177</v>
      </c>
      <c r="G616" s="3" t="s">
        <v>30</v>
      </c>
      <c r="H616" s="3" t="s">
        <v>31</v>
      </c>
      <c r="I616" s="3" t="s">
        <v>1458</v>
      </c>
      <c r="J616" s="3" t="s">
        <v>44</v>
      </c>
      <c r="K616" s="3">
        <v>8</v>
      </c>
      <c r="L616" s="3">
        <v>3048.69</v>
      </c>
      <c r="M616" s="3">
        <v>24389.52</v>
      </c>
      <c r="N616" s="3">
        <v>14631.83</v>
      </c>
      <c r="O616" s="3">
        <v>9757.69</v>
      </c>
      <c r="P616" s="3" t="s">
        <v>26</v>
      </c>
    </row>
    <row r="617" spans="1:16" x14ac:dyDescent="0.35">
      <c r="A617" s="3" t="s">
        <v>1459</v>
      </c>
      <c r="B617" s="3" t="s">
        <v>446</v>
      </c>
      <c r="C617" s="3" t="s">
        <v>29</v>
      </c>
      <c r="D617" s="3" t="s">
        <v>58</v>
      </c>
      <c r="E617" s="3" t="s">
        <v>176</v>
      </c>
      <c r="F617" s="3" t="s">
        <v>177</v>
      </c>
      <c r="G617" s="3" t="s">
        <v>41</v>
      </c>
      <c r="H617" s="3" t="s">
        <v>61</v>
      </c>
      <c r="I617" s="3" t="s">
        <v>130</v>
      </c>
      <c r="J617" s="3" t="s">
        <v>54</v>
      </c>
      <c r="K617" s="3">
        <v>2</v>
      </c>
      <c r="L617" s="3">
        <v>2298.04</v>
      </c>
      <c r="M617" s="3">
        <v>4596.08</v>
      </c>
      <c r="N617" s="3">
        <v>3284.93</v>
      </c>
      <c r="O617" s="3">
        <v>1311.15</v>
      </c>
      <c r="P617" s="3" t="s">
        <v>86</v>
      </c>
    </row>
    <row r="618" spans="1:16" x14ac:dyDescent="0.35">
      <c r="A618" s="3" t="s">
        <v>1460</v>
      </c>
      <c r="B618" s="3" t="s">
        <v>1461</v>
      </c>
      <c r="C618" s="3" t="s">
        <v>72</v>
      </c>
      <c r="D618" s="3" t="s">
        <v>38</v>
      </c>
      <c r="E618" s="3" t="s">
        <v>109</v>
      </c>
      <c r="F618" s="3" t="s">
        <v>110</v>
      </c>
      <c r="G618" s="3" t="s">
        <v>41</v>
      </c>
      <c r="H618" s="3" t="s">
        <v>42</v>
      </c>
      <c r="I618" s="3" t="s">
        <v>1462</v>
      </c>
      <c r="J618" s="3" t="s">
        <v>44</v>
      </c>
      <c r="K618" s="3">
        <v>8</v>
      </c>
      <c r="L618" s="3">
        <v>45731.24</v>
      </c>
      <c r="M618" s="3">
        <v>365849.92</v>
      </c>
      <c r="N618" s="3">
        <v>278081.36</v>
      </c>
      <c r="O618" s="3">
        <v>87768.56</v>
      </c>
      <c r="P618" s="3" t="s">
        <v>26</v>
      </c>
    </row>
    <row r="619" spans="1:16" x14ac:dyDescent="0.35">
      <c r="A619" s="3" t="s">
        <v>1463</v>
      </c>
      <c r="B619" s="3" t="s">
        <v>1464</v>
      </c>
      <c r="C619" s="3" t="s">
        <v>137</v>
      </c>
      <c r="D619" s="3" t="s">
        <v>19</v>
      </c>
      <c r="E619" s="3" t="s">
        <v>199</v>
      </c>
      <c r="F619" s="3" t="s">
        <v>200</v>
      </c>
      <c r="G619" s="3" t="s">
        <v>22</v>
      </c>
      <c r="H619" s="3" t="s">
        <v>83</v>
      </c>
      <c r="I619" s="3" t="s">
        <v>1465</v>
      </c>
      <c r="J619" s="3" t="s">
        <v>188</v>
      </c>
      <c r="K619" s="3">
        <v>7</v>
      </c>
      <c r="L619" s="3">
        <v>22503.3</v>
      </c>
      <c r="M619" s="3">
        <v>157523.1</v>
      </c>
      <c r="N619" s="3">
        <v>114011.27</v>
      </c>
      <c r="O619" s="3">
        <v>43511.83</v>
      </c>
      <c r="P619" s="3" t="s">
        <v>26</v>
      </c>
    </row>
    <row r="620" spans="1:16" x14ac:dyDescent="0.35">
      <c r="A620" s="3" t="s">
        <v>1466</v>
      </c>
      <c r="B620" s="3" t="s">
        <v>144</v>
      </c>
      <c r="C620" s="3" t="s">
        <v>37</v>
      </c>
      <c r="D620" s="3" t="s">
        <v>38</v>
      </c>
      <c r="E620" s="3" t="s">
        <v>104</v>
      </c>
      <c r="F620" s="3" t="s">
        <v>104</v>
      </c>
      <c r="G620" s="3" t="s">
        <v>30</v>
      </c>
      <c r="H620" s="3" t="s">
        <v>31</v>
      </c>
      <c r="I620" s="3" t="s">
        <v>261</v>
      </c>
      <c r="J620" s="3" t="s">
        <v>217</v>
      </c>
      <c r="K620" s="3">
        <v>6</v>
      </c>
      <c r="L620" s="3">
        <v>3005.43</v>
      </c>
      <c r="M620" s="3">
        <v>18032.580000000002</v>
      </c>
      <c r="N620" s="3">
        <v>11112.68</v>
      </c>
      <c r="O620" s="3">
        <v>6919.9</v>
      </c>
      <c r="P620" s="3" t="s">
        <v>69</v>
      </c>
    </row>
    <row r="621" spans="1:16" x14ac:dyDescent="0.35">
      <c r="A621" s="3" t="s">
        <v>1467</v>
      </c>
      <c r="B621" s="3" t="s">
        <v>599</v>
      </c>
      <c r="C621" s="3" t="s">
        <v>82</v>
      </c>
      <c r="D621" s="3" t="s">
        <v>58</v>
      </c>
      <c r="E621" s="3" t="s">
        <v>59</v>
      </c>
      <c r="F621" s="3" t="s">
        <v>60</v>
      </c>
      <c r="G621" s="3" t="s">
        <v>51</v>
      </c>
      <c r="H621" s="3" t="s">
        <v>145</v>
      </c>
      <c r="I621" s="3" t="s">
        <v>24</v>
      </c>
      <c r="J621" s="3" t="s">
        <v>106</v>
      </c>
      <c r="K621" s="3">
        <v>3</v>
      </c>
      <c r="L621" s="3">
        <v>119.61</v>
      </c>
      <c r="M621" s="3">
        <v>358.83</v>
      </c>
      <c r="N621" s="3">
        <v>182.65</v>
      </c>
      <c r="O621" s="3">
        <v>176.18</v>
      </c>
      <c r="P621" s="3" t="s">
        <v>34</v>
      </c>
    </row>
    <row r="622" spans="1:16" x14ac:dyDescent="0.35">
      <c r="A622" s="3" t="s">
        <v>1468</v>
      </c>
      <c r="B622" s="3" t="s">
        <v>1240</v>
      </c>
      <c r="C622" s="3" t="s">
        <v>118</v>
      </c>
      <c r="D622" s="3" t="s">
        <v>90</v>
      </c>
      <c r="E622" s="3" t="s">
        <v>91</v>
      </c>
      <c r="F622" s="3" t="s">
        <v>92</v>
      </c>
      <c r="G622" s="3" t="s">
        <v>51</v>
      </c>
      <c r="H622" s="3" t="s">
        <v>145</v>
      </c>
      <c r="I622" s="3" t="s">
        <v>1469</v>
      </c>
      <c r="J622" s="3" t="s">
        <v>161</v>
      </c>
      <c r="K622" s="3">
        <v>8</v>
      </c>
      <c r="L622" s="3">
        <v>119.75</v>
      </c>
      <c r="M622" s="3">
        <v>958</v>
      </c>
      <c r="N622" s="3">
        <v>458.82</v>
      </c>
      <c r="O622" s="3">
        <v>499.18</v>
      </c>
      <c r="P622" s="3" t="s">
        <v>45</v>
      </c>
    </row>
    <row r="623" spans="1:16" x14ac:dyDescent="0.35">
      <c r="A623" s="3" t="s">
        <v>1470</v>
      </c>
      <c r="B623" s="3" t="s">
        <v>1471</v>
      </c>
      <c r="C623" s="3" t="s">
        <v>89</v>
      </c>
      <c r="D623" s="3" t="s">
        <v>19</v>
      </c>
      <c r="E623" s="3" t="s">
        <v>49</v>
      </c>
      <c r="F623" s="3" t="s">
        <v>50</v>
      </c>
      <c r="G623" s="3" t="s">
        <v>41</v>
      </c>
      <c r="H623" s="3" t="s">
        <v>138</v>
      </c>
      <c r="I623" s="3" t="s">
        <v>1472</v>
      </c>
      <c r="J623" s="3" t="s">
        <v>79</v>
      </c>
      <c r="K623" s="3">
        <v>6</v>
      </c>
      <c r="L623" s="3">
        <v>16522.09</v>
      </c>
      <c r="M623" s="3">
        <v>99132.54</v>
      </c>
      <c r="N623" s="3">
        <v>82009.5</v>
      </c>
      <c r="O623" s="3">
        <v>17123.04</v>
      </c>
      <c r="P623" s="3" t="s">
        <v>45</v>
      </c>
    </row>
    <row r="624" spans="1:16" x14ac:dyDescent="0.35">
      <c r="A624" s="3" t="s">
        <v>1473</v>
      </c>
      <c r="B624" s="3" t="s">
        <v>417</v>
      </c>
      <c r="C624" s="3" t="s">
        <v>37</v>
      </c>
      <c r="D624" s="3" t="s">
        <v>19</v>
      </c>
      <c r="E624" s="3" t="s">
        <v>199</v>
      </c>
      <c r="F624" s="3" t="s">
        <v>200</v>
      </c>
      <c r="G624" s="3" t="s">
        <v>41</v>
      </c>
      <c r="H624" s="3" t="s">
        <v>138</v>
      </c>
      <c r="I624" s="3" t="s">
        <v>1474</v>
      </c>
      <c r="J624" s="3" t="s">
        <v>106</v>
      </c>
      <c r="K624" s="3">
        <v>5</v>
      </c>
      <c r="L624" s="3">
        <v>16538.63</v>
      </c>
      <c r="M624" s="3">
        <v>82693.149999999994</v>
      </c>
      <c r="N624" s="3">
        <v>66539.97</v>
      </c>
      <c r="O624" s="3">
        <v>16153.18</v>
      </c>
      <c r="P624" s="3" t="s">
        <v>86</v>
      </c>
    </row>
    <row r="625" spans="1:16" x14ac:dyDescent="0.35">
      <c r="A625" s="3" t="s">
        <v>1475</v>
      </c>
      <c r="B625" s="3" t="s">
        <v>765</v>
      </c>
      <c r="C625" s="3" t="s">
        <v>57</v>
      </c>
      <c r="D625" s="3" t="s">
        <v>19</v>
      </c>
      <c r="E625" s="3" t="s">
        <v>49</v>
      </c>
      <c r="F625" s="3" t="s">
        <v>50</v>
      </c>
      <c r="G625" s="3" t="s">
        <v>41</v>
      </c>
      <c r="H625" s="3" t="s">
        <v>61</v>
      </c>
      <c r="I625" s="3" t="s">
        <v>1476</v>
      </c>
      <c r="J625" s="3" t="s">
        <v>188</v>
      </c>
      <c r="K625" s="3">
        <v>3</v>
      </c>
      <c r="L625" s="3">
        <v>2714.45</v>
      </c>
      <c r="M625" s="3">
        <v>8143.35</v>
      </c>
      <c r="N625" s="3">
        <v>4858.33</v>
      </c>
      <c r="O625" s="3">
        <v>3285.02</v>
      </c>
      <c r="P625" s="3" t="s">
        <v>86</v>
      </c>
    </row>
    <row r="626" spans="1:16" x14ac:dyDescent="0.35">
      <c r="A626" s="3" t="s">
        <v>1477</v>
      </c>
      <c r="B626" s="3" t="s">
        <v>913</v>
      </c>
      <c r="C626" s="3" t="s">
        <v>48</v>
      </c>
      <c r="D626" s="3" t="s">
        <v>38</v>
      </c>
      <c r="E626" s="3" t="s">
        <v>39</v>
      </c>
      <c r="F626" s="3" t="s">
        <v>40</v>
      </c>
      <c r="G626" s="3" t="s">
        <v>30</v>
      </c>
      <c r="H626" s="3" t="s">
        <v>31</v>
      </c>
      <c r="I626" s="3" t="s">
        <v>1478</v>
      </c>
      <c r="J626" s="3" t="s">
        <v>106</v>
      </c>
      <c r="K626" s="3">
        <v>8</v>
      </c>
      <c r="L626" s="3">
        <v>2924.5</v>
      </c>
      <c r="M626" s="3">
        <v>23396</v>
      </c>
      <c r="N626" s="3">
        <v>15251.95</v>
      </c>
      <c r="O626" s="3">
        <v>8144.05</v>
      </c>
      <c r="P626" s="3" t="s">
        <v>45</v>
      </c>
    </row>
    <row r="627" spans="1:16" x14ac:dyDescent="0.35">
      <c r="A627" s="3" t="s">
        <v>1479</v>
      </c>
      <c r="B627" s="3" t="s">
        <v>661</v>
      </c>
      <c r="C627" s="3" t="s">
        <v>114</v>
      </c>
      <c r="D627" s="3" t="s">
        <v>38</v>
      </c>
      <c r="E627" s="3" t="s">
        <v>109</v>
      </c>
      <c r="F627" s="3" t="s">
        <v>110</v>
      </c>
      <c r="G627" s="3" t="s">
        <v>30</v>
      </c>
      <c r="H627" s="3" t="s">
        <v>31</v>
      </c>
      <c r="I627" s="3" t="s">
        <v>1008</v>
      </c>
      <c r="J627" s="3" t="s">
        <v>154</v>
      </c>
      <c r="K627" s="3">
        <v>6</v>
      </c>
      <c r="L627" s="3">
        <v>2528.9899999999998</v>
      </c>
      <c r="M627" s="3">
        <v>15173.94</v>
      </c>
      <c r="N627" s="3">
        <v>11345.82</v>
      </c>
      <c r="O627" s="3">
        <v>3828.12</v>
      </c>
      <c r="P627" s="3" t="s">
        <v>86</v>
      </c>
    </row>
    <row r="628" spans="1:16" x14ac:dyDescent="0.35">
      <c r="A628" s="3" t="s">
        <v>1480</v>
      </c>
      <c r="B628" s="3" t="s">
        <v>81</v>
      </c>
      <c r="C628" s="3" t="s">
        <v>82</v>
      </c>
      <c r="D628" s="3" t="s">
        <v>58</v>
      </c>
      <c r="E628" s="3" t="s">
        <v>59</v>
      </c>
      <c r="F628" s="3" t="s">
        <v>60</v>
      </c>
      <c r="G628" s="3" t="s">
        <v>51</v>
      </c>
      <c r="H628" s="3" t="s">
        <v>77</v>
      </c>
      <c r="I628" s="3" t="s">
        <v>1481</v>
      </c>
      <c r="J628" s="3" t="s">
        <v>44</v>
      </c>
      <c r="K628" s="3">
        <v>4</v>
      </c>
      <c r="L628" s="3">
        <v>13080.98</v>
      </c>
      <c r="M628" s="3">
        <v>52323.92</v>
      </c>
      <c r="N628" s="3">
        <v>37789.449999999997</v>
      </c>
      <c r="O628" s="3">
        <v>14534.47</v>
      </c>
      <c r="P628" s="3" t="s">
        <v>45</v>
      </c>
    </row>
    <row r="629" spans="1:16" x14ac:dyDescent="0.35">
      <c r="A629" s="3" t="s">
        <v>1482</v>
      </c>
      <c r="B629" s="3" t="s">
        <v>257</v>
      </c>
      <c r="C629" s="3" t="s">
        <v>72</v>
      </c>
      <c r="D629" s="3" t="s">
        <v>19</v>
      </c>
      <c r="E629" s="3" t="s">
        <v>49</v>
      </c>
      <c r="F629" s="3" t="s">
        <v>50</v>
      </c>
      <c r="G629" s="3" t="s">
        <v>51</v>
      </c>
      <c r="H629" s="3" t="s">
        <v>77</v>
      </c>
      <c r="I629" s="3" t="s">
        <v>1483</v>
      </c>
      <c r="J629" s="3" t="s">
        <v>79</v>
      </c>
      <c r="K629" s="3">
        <v>2</v>
      </c>
      <c r="L629" s="3">
        <v>12024.41</v>
      </c>
      <c r="M629" s="3">
        <v>24048.82</v>
      </c>
      <c r="N629" s="3">
        <v>17119.810000000001</v>
      </c>
      <c r="O629" s="3">
        <v>6929.01</v>
      </c>
      <c r="P629" s="3" t="s">
        <v>26</v>
      </c>
    </row>
    <row r="630" spans="1:16" x14ac:dyDescent="0.35">
      <c r="A630" s="3" t="s">
        <v>1484</v>
      </c>
      <c r="B630" s="3" t="s">
        <v>1299</v>
      </c>
      <c r="C630" s="3" t="s">
        <v>82</v>
      </c>
      <c r="D630" s="3" t="s">
        <v>19</v>
      </c>
      <c r="E630" s="3" t="s">
        <v>20</v>
      </c>
      <c r="F630" s="3" t="s">
        <v>21</v>
      </c>
      <c r="G630" s="3" t="s">
        <v>22</v>
      </c>
      <c r="H630" s="3" t="s">
        <v>83</v>
      </c>
      <c r="I630" s="3" t="s">
        <v>1485</v>
      </c>
      <c r="J630" s="3" t="s">
        <v>154</v>
      </c>
      <c r="K630" s="3">
        <v>2</v>
      </c>
      <c r="L630" s="3">
        <v>22498.15</v>
      </c>
      <c r="M630" s="3">
        <v>44996.3</v>
      </c>
      <c r="N630" s="3">
        <v>35621.050000000003</v>
      </c>
      <c r="O630" s="3">
        <v>9375.25</v>
      </c>
      <c r="P630" s="3" t="s">
        <v>26</v>
      </c>
    </row>
    <row r="631" spans="1:16" x14ac:dyDescent="0.35">
      <c r="A631" s="3" t="s">
        <v>1486</v>
      </c>
      <c r="B631" s="3" t="s">
        <v>987</v>
      </c>
      <c r="C631" s="3" t="s">
        <v>82</v>
      </c>
      <c r="D631" s="3" t="s">
        <v>38</v>
      </c>
      <c r="E631" s="3" t="s">
        <v>109</v>
      </c>
      <c r="F631" s="3" t="s">
        <v>110</v>
      </c>
      <c r="G631" s="3" t="s">
        <v>22</v>
      </c>
      <c r="H631" s="3" t="s">
        <v>83</v>
      </c>
      <c r="I631" s="3" t="s">
        <v>1487</v>
      </c>
      <c r="J631" s="3" t="s">
        <v>85</v>
      </c>
      <c r="K631" s="3">
        <v>6</v>
      </c>
      <c r="L631" s="3">
        <v>23595.99</v>
      </c>
      <c r="M631" s="3">
        <v>141575.94</v>
      </c>
      <c r="N631" s="3">
        <v>104845.05</v>
      </c>
      <c r="O631" s="3">
        <v>36730.89</v>
      </c>
      <c r="P631" s="3" t="s">
        <v>34</v>
      </c>
    </row>
    <row r="632" spans="1:16" x14ac:dyDescent="0.35">
      <c r="A632" s="3" t="s">
        <v>1488</v>
      </c>
      <c r="B632" s="3" t="s">
        <v>1089</v>
      </c>
      <c r="C632" s="3" t="s">
        <v>48</v>
      </c>
      <c r="D632" s="3" t="s">
        <v>19</v>
      </c>
      <c r="E632" s="3" t="s">
        <v>199</v>
      </c>
      <c r="F632" s="3" t="s">
        <v>200</v>
      </c>
      <c r="G632" s="3" t="s">
        <v>22</v>
      </c>
      <c r="H632" s="3" t="s">
        <v>83</v>
      </c>
      <c r="I632" s="3" t="s">
        <v>1489</v>
      </c>
      <c r="J632" s="3" t="s">
        <v>217</v>
      </c>
      <c r="K632" s="3">
        <v>5</v>
      </c>
      <c r="L632" s="3">
        <v>21853.71</v>
      </c>
      <c r="M632" s="3">
        <v>109268.55</v>
      </c>
      <c r="N632" s="3">
        <v>88274.46</v>
      </c>
      <c r="O632" s="3">
        <v>20994.09</v>
      </c>
      <c r="P632" s="3" t="s">
        <v>26</v>
      </c>
    </row>
    <row r="633" spans="1:16" x14ac:dyDescent="0.35">
      <c r="A633" s="3" t="s">
        <v>1490</v>
      </c>
      <c r="B633" s="3" t="s">
        <v>534</v>
      </c>
      <c r="C633" s="3" t="s">
        <v>29</v>
      </c>
      <c r="D633" s="3" t="s">
        <v>58</v>
      </c>
      <c r="E633" s="3" t="s">
        <v>176</v>
      </c>
      <c r="F633" s="3" t="s">
        <v>177</v>
      </c>
      <c r="G633" s="3" t="s">
        <v>51</v>
      </c>
      <c r="H633" s="3" t="s">
        <v>145</v>
      </c>
      <c r="I633" s="3" t="s">
        <v>1374</v>
      </c>
      <c r="J633" s="3" t="s">
        <v>100</v>
      </c>
      <c r="K633" s="3">
        <v>5</v>
      </c>
      <c r="L633" s="3">
        <v>110.8</v>
      </c>
      <c r="M633" s="3">
        <v>554</v>
      </c>
      <c r="N633" s="3">
        <v>296.57</v>
      </c>
      <c r="O633" s="3">
        <v>257.43</v>
      </c>
      <c r="P633" s="3" t="s">
        <v>34</v>
      </c>
    </row>
    <row r="634" spans="1:16" x14ac:dyDescent="0.35">
      <c r="A634" s="3" t="s">
        <v>1491</v>
      </c>
      <c r="B634" s="3" t="s">
        <v>589</v>
      </c>
      <c r="C634" s="3" t="s">
        <v>137</v>
      </c>
      <c r="D634" s="3" t="s">
        <v>90</v>
      </c>
      <c r="E634" s="3" t="s">
        <v>119</v>
      </c>
      <c r="F634" s="3" t="s">
        <v>120</v>
      </c>
      <c r="G634" s="3" t="s">
        <v>22</v>
      </c>
      <c r="H634" s="3" t="s">
        <v>93</v>
      </c>
      <c r="I634" s="3" t="s">
        <v>342</v>
      </c>
      <c r="J634" s="3" t="s">
        <v>161</v>
      </c>
      <c r="K634" s="3">
        <v>2</v>
      </c>
      <c r="L634" s="3">
        <v>6939</v>
      </c>
      <c r="M634" s="3">
        <v>13878</v>
      </c>
      <c r="N634" s="3">
        <v>9777.2900000000009</v>
      </c>
      <c r="O634" s="3">
        <v>4100.71</v>
      </c>
      <c r="P634" s="3" t="s">
        <v>34</v>
      </c>
    </row>
    <row r="635" spans="1:16" x14ac:dyDescent="0.35">
      <c r="A635" s="3" t="s">
        <v>1492</v>
      </c>
      <c r="B635" s="3" t="s">
        <v>251</v>
      </c>
      <c r="C635" s="3" t="s">
        <v>37</v>
      </c>
      <c r="D635" s="3" t="s">
        <v>38</v>
      </c>
      <c r="E635" s="3" t="s">
        <v>39</v>
      </c>
      <c r="F635" s="3" t="s">
        <v>40</v>
      </c>
      <c r="G635" s="3" t="s">
        <v>22</v>
      </c>
      <c r="H635" s="3" t="s">
        <v>83</v>
      </c>
      <c r="I635" s="3" t="s">
        <v>1493</v>
      </c>
      <c r="J635" s="3" t="s">
        <v>217</v>
      </c>
      <c r="K635" s="3">
        <v>3</v>
      </c>
      <c r="L635" s="3">
        <v>21191.13</v>
      </c>
      <c r="M635" s="3">
        <v>63573.39</v>
      </c>
      <c r="N635" s="3">
        <v>52813.87</v>
      </c>
      <c r="O635" s="3">
        <v>10759.52</v>
      </c>
      <c r="P635" s="3" t="s">
        <v>86</v>
      </c>
    </row>
    <row r="636" spans="1:16" x14ac:dyDescent="0.35">
      <c r="A636" s="3" t="s">
        <v>1494</v>
      </c>
      <c r="B636" s="3" t="s">
        <v>649</v>
      </c>
      <c r="C636" s="3" t="s">
        <v>29</v>
      </c>
      <c r="D636" s="3" t="s">
        <v>58</v>
      </c>
      <c r="E636" s="3" t="s">
        <v>176</v>
      </c>
      <c r="F636" s="3" t="s">
        <v>177</v>
      </c>
      <c r="G636" s="3" t="s">
        <v>41</v>
      </c>
      <c r="H636" s="3" t="s">
        <v>42</v>
      </c>
      <c r="I636" s="3" t="s">
        <v>1495</v>
      </c>
      <c r="J636" s="3" t="s">
        <v>85</v>
      </c>
      <c r="K636" s="3">
        <v>6</v>
      </c>
      <c r="L636" s="3">
        <v>45764.56</v>
      </c>
      <c r="M636" s="3">
        <v>274587.36</v>
      </c>
      <c r="N636" s="3">
        <v>218872.44</v>
      </c>
      <c r="O636" s="3">
        <v>55714.92</v>
      </c>
      <c r="P636" s="3" t="s">
        <v>69</v>
      </c>
    </row>
    <row r="637" spans="1:16" x14ac:dyDescent="0.35">
      <c r="A637" s="3" t="s">
        <v>1496</v>
      </c>
      <c r="B637" s="3" t="s">
        <v>268</v>
      </c>
      <c r="C637" s="3" t="s">
        <v>18</v>
      </c>
      <c r="D637" s="3" t="s">
        <v>90</v>
      </c>
      <c r="E637" s="3" t="s">
        <v>97</v>
      </c>
      <c r="F637" s="3" t="s">
        <v>98</v>
      </c>
      <c r="G637" s="3" t="s">
        <v>30</v>
      </c>
      <c r="H637" s="3" t="s">
        <v>73</v>
      </c>
      <c r="I637" s="3" t="s">
        <v>1497</v>
      </c>
      <c r="J637" s="3" t="s">
        <v>44</v>
      </c>
      <c r="K637" s="3">
        <v>7</v>
      </c>
      <c r="L637" s="3">
        <v>3278.31</v>
      </c>
      <c r="M637" s="3">
        <v>22948.17</v>
      </c>
      <c r="N637" s="3">
        <v>17193.27</v>
      </c>
      <c r="O637" s="3">
        <v>5754.9</v>
      </c>
      <c r="P637" s="3" t="s">
        <v>26</v>
      </c>
    </row>
    <row r="638" spans="1:16" x14ac:dyDescent="0.35">
      <c r="A638" s="3" t="s">
        <v>1498</v>
      </c>
      <c r="B638" s="3" t="s">
        <v>1499</v>
      </c>
      <c r="C638" s="3" t="s">
        <v>103</v>
      </c>
      <c r="D638" s="3" t="s">
        <v>90</v>
      </c>
      <c r="E638" s="3" t="s">
        <v>97</v>
      </c>
      <c r="F638" s="3" t="s">
        <v>98</v>
      </c>
      <c r="G638" s="3" t="s">
        <v>51</v>
      </c>
      <c r="H638" s="3" t="s">
        <v>52</v>
      </c>
      <c r="I638" s="3" t="s">
        <v>1500</v>
      </c>
      <c r="J638" s="3" t="s">
        <v>131</v>
      </c>
      <c r="K638" s="3">
        <v>7</v>
      </c>
      <c r="L638" s="3">
        <v>26</v>
      </c>
      <c r="M638" s="3">
        <v>182</v>
      </c>
      <c r="N638" s="3">
        <v>69.3</v>
      </c>
      <c r="O638" s="3">
        <v>112.7</v>
      </c>
      <c r="P638" s="3" t="s">
        <v>45</v>
      </c>
    </row>
    <row r="639" spans="1:16" x14ac:dyDescent="0.35">
      <c r="A639" s="3" t="s">
        <v>1501</v>
      </c>
      <c r="B639" s="3" t="s">
        <v>1502</v>
      </c>
      <c r="C639" s="3" t="s">
        <v>57</v>
      </c>
      <c r="D639" s="3" t="s">
        <v>38</v>
      </c>
      <c r="E639" s="3" t="s">
        <v>104</v>
      </c>
      <c r="F639" s="3" t="s">
        <v>104</v>
      </c>
      <c r="G639" s="3" t="s">
        <v>30</v>
      </c>
      <c r="H639" s="3" t="s">
        <v>67</v>
      </c>
      <c r="I639" s="3" t="s">
        <v>142</v>
      </c>
      <c r="J639" s="3" t="s">
        <v>217</v>
      </c>
      <c r="K639" s="3">
        <v>1</v>
      </c>
      <c r="L639" s="3">
        <v>9887.51</v>
      </c>
      <c r="M639" s="3">
        <v>9887.51</v>
      </c>
      <c r="N639" s="3">
        <v>7297.37</v>
      </c>
      <c r="O639" s="3">
        <v>2590.14</v>
      </c>
      <c r="P639" s="3" t="s">
        <v>69</v>
      </c>
    </row>
    <row r="640" spans="1:16" x14ac:dyDescent="0.35">
      <c r="A640" s="3" t="s">
        <v>1503</v>
      </c>
      <c r="B640" s="3" t="s">
        <v>1504</v>
      </c>
      <c r="C640" s="3" t="s">
        <v>48</v>
      </c>
      <c r="D640" s="3" t="s">
        <v>58</v>
      </c>
      <c r="E640" s="3" t="s">
        <v>59</v>
      </c>
      <c r="F640" s="3" t="s">
        <v>60</v>
      </c>
      <c r="G640" s="3" t="s">
        <v>51</v>
      </c>
      <c r="H640" s="3" t="s">
        <v>77</v>
      </c>
      <c r="I640" s="3" t="s">
        <v>374</v>
      </c>
      <c r="J640" s="3" t="s">
        <v>147</v>
      </c>
      <c r="K640" s="3">
        <v>7</v>
      </c>
      <c r="L640" s="3">
        <v>11950.33</v>
      </c>
      <c r="M640" s="3">
        <v>83652.31</v>
      </c>
      <c r="N640" s="3">
        <v>60651.43</v>
      </c>
      <c r="O640" s="3">
        <v>23000.880000000001</v>
      </c>
      <c r="P640" s="3" t="s">
        <v>86</v>
      </c>
    </row>
    <row r="641" spans="1:16" x14ac:dyDescent="0.35">
      <c r="A641" s="3" t="s">
        <v>1505</v>
      </c>
      <c r="B641" s="3" t="s">
        <v>1095</v>
      </c>
      <c r="C641" s="3" t="s">
        <v>103</v>
      </c>
      <c r="D641" s="3" t="s">
        <v>58</v>
      </c>
      <c r="E641" s="3" t="s">
        <v>176</v>
      </c>
      <c r="F641" s="3" t="s">
        <v>177</v>
      </c>
      <c r="G641" s="3" t="s">
        <v>30</v>
      </c>
      <c r="H641" s="3" t="s">
        <v>31</v>
      </c>
      <c r="I641" s="3" t="s">
        <v>1506</v>
      </c>
      <c r="J641" s="3" t="s">
        <v>106</v>
      </c>
      <c r="K641" s="3">
        <v>6</v>
      </c>
      <c r="L641" s="3">
        <v>2563.5</v>
      </c>
      <c r="M641" s="3">
        <v>15381</v>
      </c>
      <c r="N641" s="3">
        <v>11877.76</v>
      </c>
      <c r="O641" s="3">
        <v>3503.24</v>
      </c>
      <c r="P641" s="3" t="s">
        <v>69</v>
      </c>
    </row>
    <row r="642" spans="1:16" x14ac:dyDescent="0.35">
      <c r="A642" s="3" t="s">
        <v>1507</v>
      </c>
      <c r="B642" s="3" t="s">
        <v>669</v>
      </c>
      <c r="C642" s="3" t="s">
        <v>57</v>
      </c>
      <c r="D642" s="3" t="s">
        <v>19</v>
      </c>
      <c r="E642" s="3" t="s">
        <v>199</v>
      </c>
      <c r="F642" s="3" t="s">
        <v>200</v>
      </c>
      <c r="G642" s="3" t="s">
        <v>22</v>
      </c>
      <c r="H642" s="3" t="s">
        <v>23</v>
      </c>
      <c r="I642" s="3" t="s">
        <v>1508</v>
      </c>
      <c r="J642" s="3" t="s">
        <v>147</v>
      </c>
      <c r="K642" s="3">
        <v>1</v>
      </c>
      <c r="L642" s="3">
        <v>3776.8</v>
      </c>
      <c r="M642" s="3">
        <v>3776.8</v>
      </c>
      <c r="N642" s="3">
        <v>2309.02</v>
      </c>
      <c r="O642" s="3">
        <v>1467.78</v>
      </c>
      <c r="P642" s="3" t="s">
        <v>69</v>
      </c>
    </row>
    <row r="643" spans="1:16" x14ac:dyDescent="0.35">
      <c r="A643" s="3" t="s">
        <v>1509</v>
      </c>
      <c r="B643" s="3" t="s">
        <v>81</v>
      </c>
      <c r="C643" s="3" t="s">
        <v>82</v>
      </c>
      <c r="D643" s="3" t="s">
        <v>19</v>
      </c>
      <c r="E643" s="3" t="s">
        <v>199</v>
      </c>
      <c r="F643" s="3" t="s">
        <v>200</v>
      </c>
      <c r="G643" s="3" t="s">
        <v>30</v>
      </c>
      <c r="H643" s="3" t="s">
        <v>31</v>
      </c>
      <c r="I643" s="3" t="s">
        <v>1485</v>
      </c>
      <c r="J643" s="3" t="s">
        <v>25</v>
      </c>
      <c r="K643" s="3">
        <v>5</v>
      </c>
      <c r="L643" s="3">
        <v>2636.48</v>
      </c>
      <c r="M643" s="3">
        <v>13182.4</v>
      </c>
      <c r="N643" s="3">
        <v>9566.01</v>
      </c>
      <c r="O643" s="3">
        <v>3616.39</v>
      </c>
      <c r="P643" s="3" t="s">
        <v>86</v>
      </c>
    </row>
    <row r="644" spans="1:16" x14ac:dyDescent="0.35">
      <c r="A644" s="3" t="s">
        <v>1510</v>
      </c>
      <c r="B644" s="3" t="s">
        <v>599</v>
      </c>
      <c r="C644" s="3" t="s">
        <v>82</v>
      </c>
      <c r="D644" s="3" t="s">
        <v>58</v>
      </c>
      <c r="E644" s="3" t="s">
        <v>59</v>
      </c>
      <c r="F644" s="3" t="s">
        <v>60</v>
      </c>
      <c r="G644" s="3" t="s">
        <v>51</v>
      </c>
      <c r="H644" s="3" t="s">
        <v>145</v>
      </c>
      <c r="I644" s="3" t="s">
        <v>1266</v>
      </c>
      <c r="J644" s="3" t="s">
        <v>44</v>
      </c>
      <c r="K644" s="3">
        <v>6</v>
      </c>
      <c r="L644" s="3">
        <v>117.38</v>
      </c>
      <c r="M644" s="3">
        <v>704.28</v>
      </c>
      <c r="N644" s="3">
        <v>365.05</v>
      </c>
      <c r="O644" s="3">
        <v>339.23</v>
      </c>
      <c r="P644" s="3" t="s">
        <v>69</v>
      </c>
    </row>
    <row r="645" spans="1:16" x14ac:dyDescent="0.35">
      <c r="A645" s="3" t="s">
        <v>1511</v>
      </c>
      <c r="B645" s="3" t="s">
        <v>723</v>
      </c>
      <c r="C645" s="3" t="s">
        <v>137</v>
      </c>
      <c r="D645" s="3" t="s">
        <v>58</v>
      </c>
      <c r="E645" s="3" t="s">
        <v>59</v>
      </c>
      <c r="F645" s="3" t="s">
        <v>60</v>
      </c>
      <c r="G645" s="3" t="s">
        <v>22</v>
      </c>
      <c r="H645" s="3" t="s">
        <v>23</v>
      </c>
      <c r="I645" s="3" t="s">
        <v>1512</v>
      </c>
      <c r="J645" s="3" t="s">
        <v>217</v>
      </c>
      <c r="K645" s="3">
        <v>3</v>
      </c>
      <c r="L645" s="3">
        <v>3708.99</v>
      </c>
      <c r="M645" s="3">
        <v>11126.97</v>
      </c>
      <c r="N645" s="3">
        <v>6628.57</v>
      </c>
      <c r="O645" s="3">
        <v>4498.3999999999996</v>
      </c>
      <c r="P645" s="3" t="s">
        <v>26</v>
      </c>
    </row>
    <row r="646" spans="1:16" x14ac:dyDescent="0.35">
      <c r="A646" s="3" t="s">
        <v>1513</v>
      </c>
      <c r="B646" s="3" t="s">
        <v>555</v>
      </c>
      <c r="C646" s="3" t="s">
        <v>137</v>
      </c>
      <c r="D646" s="3" t="s">
        <v>19</v>
      </c>
      <c r="E646" s="3" t="s">
        <v>49</v>
      </c>
      <c r="F646" s="3" t="s">
        <v>50</v>
      </c>
      <c r="G646" s="3" t="s">
        <v>22</v>
      </c>
      <c r="H646" s="3" t="s">
        <v>83</v>
      </c>
      <c r="I646" s="3" t="s">
        <v>1514</v>
      </c>
      <c r="J646" s="3" t="s">
        <v>85</v>
      </c>
      <c r="K646" s="3">
        <v>1</v>
      </c>
      <c r="L646" s="3">
        <v>23024.3</v>
      </c>
      <c r="M646" s="3">
        <v>23024.3</v>
      </c>
      <c r="N646" s="3">
        <v>16929.099999999999</v>
      </c>
      <c r="O646" s="3">
        <v>6095.2</v>
      </c>
      <c r="P646" s="3" t="s">
        <v>34</v>
      </c>
    </row>
    <row r="647" spans="1:16" x14ac:dyDescent="0.35">
      <c r="A647" s="3" t="s">
        <v>1515</v>
      </c>
      <c r="B647" s="3" t="s">
        <v>880</v>
      </c>
      <c r="C647" s="3" t="s">
        <v>114</v>
      </c>
      <c r="D647" s="3" t="s">
        <v>90</v>
      </c>
      <c r="E647" s="3" t="s">
        <v>97</v>
      </c>
      <c r="F647" s="3" t="s">
        <v>98</v>
      </c>
      <c r="G647" s="3" t="s">
        <v>41</v>
      </c>
      <c r="H647" s="3" t="s">
        <v>61</v>
      </c>
      <c r="I647" s="3" t="s">
        <v>207</v>
      </c>
      <c r="J647" s="3" t="s">
        <v>217</v>
      </c>
      <c r="K647" s="3">
        <v>5</v>
      </c>
      <c r="L647" s="3">
        <v>2574.3000000000002</v>
      </c>
      <c r="M647" s="3">
        <v>12871.5</v>
      </c>
      <c r="N647" s="3">
        <v>8368.0499999999993</v>
      </c>
      <c r="O647" s="3">
        <v>4503.45</v>
      </c>
      <c r="P647" s="3" t="s">
        <v>34</v>
      </c>
    </row>
    <row r="648" spans="1:16" x14ac:dyDescent="0.35">
      <c r="A648" s="3" t="s">
        <v>1516</v>
      </c>
      <c r="B648" s="3" t="s">
        <v>1360</v>
      </c>
      <c r="C648" s="3" t="s">
        <v>72</v>
      </c>
      <c r="D648" s="3" t="s">
        <v>19</v>
      </c>
      <c r="E648" s="3" t="s">
        <v>20</v>
      </c>
      <c r="F648" s="3" t="s">
        <v>21</v>
      </c>
      <c r="G648" s="3" t="s">
        <v>22</v>
      </c>
      <c r="H648" s="3" t="s">
        <v>83</v>
      </c>
      <c r="I648" s="3" t="s">
        <v>529</v>
      </c>
      <c r="J648" s="3" t="s">
        <v>85</v>
      </c>
      <c r="K648" s="3">
        <v>2</v>
      </c>
      <c r="L648" s="3">
        <v>22650.39</v>
      </c>
      <c r="M648" s="3">
        <v>45300.78</v>
      </c>
      <c r="N648" s="3">
        <v>34032.800000000003</v>
      </c>
      <c r="O648" s="3">
        <v>11267.98</v>
      </c>
      <c r="P648" s="3" t="s">
        <v>45</v>
      </c>
    </row>
    <row r="649" spans="1:16" x14ac:dyDescent="0.35">
      <c r="A649" s="3" t="s">
        <v>1517</v>
      </c>
      <c r="B649" s="3" t="s">
        <v>76</v>
      </c>
      <c r="C649" s="3" t="s">
        <v>48</v>
      </c>
      <c r="D649" s="3" t="s">
        <v>19</v>
      </c>
      <c r="E649" s="3" t="s">
        <v>49</v>
      </c>
      <c r="F649" s="3" t="s">
        <v>50</v>
      </c>
      <c r="G649" s="3" t="s">
        <v>41</v>
      </c>
      <c r="H649" s="3" t="s">
        <v>42</v>
      </c>
      <c r="I649" s="3" t="s">
        <v>1518</v>
      </c>
      <c r="J649" s="3" t="s">
        <v>131</v>
      </c>
      <c r="K649" s="3">
        <v>1</v>
      </c>
      <c r="L649" s="3">
        <v>43951.44</v>
      </c>
      <c r="M649" s="3">
        <v>43951.44</v>
      </c>
      <c r="N649" s="3">
        <v>35252.89</v>
      </c>
      <c r="O649" s="3">
        <v>8698.5499999999993</v>
      </c>
      <c r="P649" s="3" t="s">
        <v>34</v>
      </c>
    </row>
    <row r="650" spans="1:16" x14ac:dyDescent="0.35">
      <c r="A650" s="3" t="s">
        <v>1519</v>
      </c>
      <c r="B650" s="3" t="s">
        <v>795</v>
      </c>
      <c r="C650" s="3" t="s">
        <v>82</v>
      </c>
      <c r="D650" s="3" t="s">
        <v>90</v>
      </c>
      <c r="E650" s="3" t="s">
        <v>91</v>
      </c>
      <c r="F650" s="3" t="s">
        <v>92</v>
      </c>
      <c r="G650" s="3" t="s">
        <v>30</v>
      </c>
      <c r="H650" s="3" t="s">
        <v>67</v>
      </c>
      <c r="I650" s="3" t="s">
        <v>1379</v>
      </c>
      <c r="J650" s="3" t="s">
        <v>54</v>
      </c>
      <c r="K650" s="3">
        <v>2</v>
      </c>
      <c r="L650" s="3">
        <v>9493.91</v>
      </c>
      <c r="M650" s="3">
        <v>18987.82</v>
      </c>
      <c r="N650" s="3">
        <v>15340.96</v>
      </c>
      <c r="O650" s="3">
        <v>3646.86</v>
      </c>
      <c r="P650" s="3" t="s">
        <v>45</v>
      </c>
    </row>
    <row r="651" spans="1:16" x14ac:dyDescent="0.35">
      <c r="A651" s="3" t="s">
        <v>1520</v>
      </c>
      <c r="B651" s="3" t="s">
        <v>612</v>
      </c>
      <c r="C651" s="3" t="s">
        <v>57</v>
      </c>
      <c r="D651" s="3" t="s">
        <v>19</v>
      </c>
      <c r="E651" s="3" t="s">
        <v>199</v>
      </c>
      <c r="F651" s="3" t="s">
        <v>200</v>
      </c>
      <c r="G651" s="3" t="s">
        <v>51</v>
      </c>
      <c r="H651" s="3" t="s">
        <v>52</v>
      </c>
      <c r="I651" s="3" t="s">
        <v>1521</v>
      </c>
      <c r="J651" s="3" t="s">
        <v>100</v>
      </c>
      <c r="K651" s="3">
        <v>5</v>
      </c>
      <c r="L651" s="3">
        <v>24.79</v>
      </c>
      <c r="M651" s="3">
        <v>123.95</v>
      </c>
      <c r="N651" s="3">
        <v>50.35</v>
      </c>
      <c r="O651" s="3">
        <v>73.599999999999994</v>
      </c>
      <c r="P651" s="3" t="s">
        <v>69</v>
      </c>
    </row>
    <row r="652" spans="1:16" x14ac:dyDescent="0.35">
      <c r="A652" s="3" t="s">
        <v>1522</v>
      </c>
      <c r="B652" s="3" t="s">
        <v>305</v>
      </c>
      <c r="C652" s="3" t="s">
        <v>18</v>
      </c>
      <c r="D652" s="3" t="s">
        <v>90</v>
      </c>
      <c r="E652" s="3" t="s">
        <v>91</v>
      </c>
      <c r="F652" s="3" t="s">
        <v>92</v>
      </c>
      <c r="G652" s="3" t="s">
        <v>51</v>
      </c>
      <c r="H652" s="3" t="s">
        <v>145</v>
      </c>
      <c r="I652" s="3" t="s">
        <v>1523</v>
      </c>
      <c r="J652" s="3" t="s">
        <v>171</v>
      </c>
      <c r="K652" s="3">
        <v>1</v>
      </c>
      <c r="L652" s="3">
        <v>119.47</v>
      </c>
      <c r="M652" s="3">
        <v>119.47</v>
      </c>
      <c r="N652" s="3">
        <v>59.88</v>
      </c>
      <c r="O652" s="3">
        <v>59.59</v>
      </c>
      <c r="P652" s="3" t="s">
        <v>34</v>
      </c>
    </row>
    <row r="653" spans="1:16" x14ac:dyDescent="0.35">
      <c r="A653" s="3" t="s">
        <v>1524</v>
      </c>
      <c r="B653" s="3" t="s">
        <v>1525</v>
      </c>
      <c r="C653" s="3" t="s">
        <v>57</v>
      </c>
      <c r="D653" s="3" t="s">
        <v>19</v>
      </c>
      <c r="E653" s="3" t="s">
        <v>199</v>
      </c>
      <c r="F653" s="3" t="s">
        <v>200</v>
      </c>
      <c r="G653" s="3" t="s">
        <v>22</v>
      </c>
      <c r="H653" s="3" t="s">
        <v>93</v>
      </c>
      <c r="I653" s="3" t="s">
        <v>1445</v>
      </c>
      <c r="J653" s="3" t="s">
        <v>171</v>
      </c>
      <c r="K653" s="3">
        <v>4</v>
      </c>
      <c r="L653" s="3">
        <v>7685.83</v>
      </c>
      <c r="M653" s="3">
        <v>30743.32</v>
      </c>
      <c r="N653" s="3">
        <v>20937.689999999999</v>
      </c>
      <c r="O653" s="3">
        <v>9805.6299999999992</v>
      </c>
      <c r="P653" s="3" t="s">
        <v>26</v>
      </c>
    </row>
    <row r="654" spans="1:16" x14ac:dyDescent="0.35">
      <c r="A654" s="3" t="s">
        <v>1526</v>
      </c>
      <c r="B654" s="3" t="s">
        <v>1527</v>
      </c>
      <c r="C654" s="3" t="s">
        <v>114</v>
      </c>
      <c r="D654" s="3" t="s">
        <v>58</v>
      </c>
      <c r="E654" s="3" t="s">
        <v>59</v>
      </c>
      <c r="F654" s="3" t="s">
        <v>60</v>
      </c>
      <c r="G654" s="3" t="s">
        <v>41</v>
      </c>
      <c r="H654" s="3" t="s">
        <v>61</v>
      </c>
      <c r="I654" s="3" t="s">
        <v>853</v>
      </c>
      <c r="J654" s="3" t="s">
        <v>85</v>
      </c>
      <c r="K654" s="3">
        <v>8</v>
      </c>
      <c r="L654" s="3">
        <v>2627.55</v>
      </c>
      <c r="M654" s="3">
        <v>21020.400000000001</v>
      </c>
      <c r="N654" s="3">
        <v>12796.68</v>
      </c>
      <c r="O654" s="3">
        <v>8223.7199999999993</v>
      </c>
      <c r="P654" s="3" t="s">
        <v>86</v>
      </c>
    </row>
    <row r="655" spans="1:16" x14ac:dyDescent="0.35">
      <c r="A655" s="3" t="s">
        <v>1528</v>
      </c>
      <c r="B655" s="3" t="s">
        <v>941</v>
      </c>
      <c r="C655" s="3" t="s">
        <v>118</v>
      </c>
      <c r="D655" s="3" t="s">
        <v>90</v>
      </c>
      <c r="E655" s="3" t="s">
        <v>97</v>
      </c>
      <c r="F655" s="3" t="s">
        <v>98</v>
      </c>
      <c r="G655" s="3" t="s">
        <v>51</v>
      </c>
      <c r="H655" s="3" t="s">
        <v>145</v>
      </c>
      <c r="I655" s="3" t="s">
        <v>734</v>
      </c>
      <c r="J655" s="3" t="s">
        <v>85</v>
      </c>
      <c r="K655" s="3">
        <v>6</v>
      </c>
      <c r="L655" s="3">
        <v>114.8</v>
      </c>
      <c r="M655" s="3">
        <v>688.8</v>
      </c>
      <c r="N655" s="3">
        <v>368.46</v>
      </c>
      <c r="O655" s="3">
        <v>320.33999999999997</v>
      </c>
      <c r="P655" s="3" t="s">
        <v>34</v>
      </c>
    </row>
    <row r="656" spans="1:16" x14ac:dyDescent="0.35">
      <c r="A656" s="3" t="s">
        <v>1529</v>
      </c>
      <c r="B656" s="3" t="s">
        <v>678</v>
      </c>
      <c r="C656" s="3" t="s">
        <v>137</v>
      </c>
      <c r="D656" s="3" t="s">
        <v>19</v>
      </c>
      <c r="E656" s="3" t="s">
        <v>199</v>
      </c>
      <c r="F656" s="3" t="s">
        <v>200</v>
      </c>
      <c r="G656" s="3" t="s">
        <v>22</v>
      </c>
      <c r="H656" s="3" t="s">
        <v>93</v>
      </c>
      <c r="I656" s="3" t="s">
        <v>1530</v>
      </c>
      <c r="J656" s="3" t="s">
        <v>100</v>
      </c>
      <c r="K656" s="3">
        <v>7</v>
      </c>
      <c r="L656" s="3">
        <v>7360.38</v>
      </c>
      <c r="M656" s="3">
        <v>51522.66</v>
      </c>
      <c r="N656" s="3">
        <v>35410.43</v>
      </c>
      <c r="O656" s="3">
        <v>16112.23</v>
      </c>
      <c r="P656" s="3" t="s">
        <v>26</v>
      </c>
    </row>
    <row r="657" spans="1:16" x14ac:dyDescent="0.35">
      <c r="A657" s="3" t="s">
        <v>1531</v>
      </c>
      <c r="B657" s="3" t="s">
        <v>1159</v>
      </c>
      <c r="C657" s="3" t="s">
        <v>29</v>
      </c>
      <c r="D657" s="3" t="s">
        <v>58</v>
      </c>
      <c r="E657" s="3" t="s">
        <v>176</v>
      </c>
      <c r="F657" s="3" t="s">
        <v>177</v>
      </c>
      <c r="G657" s="3" t="s">
        <v>22</v>
      </c>
      <c r="H657" s="3" t="s">
        <v>93</v>
      </c>
      <c r="I657" s="3" t="s">
        <v>1532</v>
      </c>
      <c r="J657" s="3" t="s">
        <v>85</v>
      </c>
      <c r="K657" s="3">
        <v>3</v>
      </c>
      <c r="L657" s="3">
        <v>6492.45</v>
      </c>
      <c r="M657" s="3">
        <v>19477.349999999999</v>
      </c>
      <c r="N657" s="3">
        <v>15587.72</v>
      </c>
      <c r="O657" s="3">
        <v>3889.63</v>
      </c>
      <c r="P657" s="3" t="s">
        <v>34</v>
      </c>
    </row>
    <row r="658" spans="1:16" x14ac:dyDescent="0.35">
      <c r="A658" s="3" t="s">
        <v>1533</v>
      </c>
      <c r="B658" s="3" t="s">
        <v>212</v>
      </c>
      <c r="C658" s="3" t="s">
        <v>37</v>
      </c>
      <c r="D658" s="3" t="s">
        <v>90</v>
      </c>
      <c r="E658" s="3" t="s">
        <v>97</v>
      </c>
      <c r="F658" s="3" t="s">
        <v>98</v>
      </c>
      <c r="G658" s="3" t="s">
        <v>30</v>
      </c>
      <c r="H658" s="3" t="s">
        <v>31</v>
      </c>
      <c r="I658" s="3" t="s">
        <v>820</v>
      </c>
      <c r="J658" s="3" t="s">
        <v>188</v>
      </c>
      <c r="K658" s="3">
        <v>3</v>
      </c>
      <c r="L658" s="3">
        <v>2880.79</v>
      </c>
      <c r="M658" s="3">
        <v>8642.3700000000008</v>
      </c>
      <c r="N658" s="3">
        <v>5624.73</v>
      </c>
      <c r="O658" s="3">
        <v>3017.64</v>
      </c>
      <c r="P658" s="3" t="s">
        <v>45</v>
      </c>
    </row>
    <row r="659" spans="1:16" x14ac:dyDescent="0.35">
      <c r="A659" s="3" t="s">
        <v>1534</v>
      </c>
      <c r="B659" s="3" t="s">
        <v>1216</v>
      </c>
      <c r="C659" s="3" t="s">
        <v>114</v>
      </c>
      <c r="D659" s="3" t="s">
        <v>19</v>
      </c>
      <c r="E659" s="3" t="s">
        <v>199</v>
      </c>
      <c r="F659" s="3" t="s">
        <v>200</v>
      </c>
      <c r="G659" s="3" t="s">
        <v>41</v>
      </c>
      <c r="H659" s="3" t="s">
        <v>138</v>
      </c>
      <c r="I659" s="3" t="s">
        <v>643</v>
      </c>
      <c r="J659" s="3" t="s">
        <v>171</v>
      </c>
      <c r="K659" s="3">
        <v>7</v>
      </c>
      <c r="L659" s="3">
        <v>16911.14</v>
      </c>
      <c r="M659" s="3">
        <v>118377.98</v>
      </c>
      <c r="N659" s="3">
        <v>100034.81</v>
      </c>
      <c r="O659" s="3">
        <v>18343.169999999998</v>
      </c>
      <c r="P659" s="3" t="s">
        <v>86</v>
      </c>
    </row>
    <row r="660" spans="1:16" x14ac:dyDescent="0.35">
      <c r="A660" s="3" t="s">
        <v>1535</v>
      </c>
      <c r="B660" s="3" t="s">
        <v>767</v>
      </c>
      <c r="C660" s="3" t="s">
        <v>82</v>
      </c>
      <c r="D660" s="3" t="s">
        <v>38</v>
      </c>
      <c r="E660" s="3" t="s">
        <v>39</v>
      </c>
      <c r="F660" s="3" t="s">
        <v>40</v>
      </c>
      <c r="G660" s="3" t="s">
        <v>41</v>
      </c>
      <c r="H660" s="3" t="s">
        <v>61</v>
      </c>
      <c r="I660" s="3" t="s">
        <v>662</v>
      </c>
      <c r="J660" s="3" t="s">
        <v>54</v>
      </c>
      <c r="K660" s="3">
        <v>6</v>
      </c>
      <c r="L660" s="3">
        <v>2581.87</v>
      </c>
      <c r="M660" s="3">
        <v>15491.22</v>
      </c>
      <c r="N660" s="3">
        <v>9694.9599999999991</v>
      </c>
      <c r="O660" s="3">
        <v>5796.26</v>
      </c>
      <c r="P660" s="3" t="s">
        <v>34</v>
      </c>
    </row>
    <row r="661" spans="1:16" x14ac:dyDescent="0.35">
      <c r="A661" s="3" t="s">
        <v>1536</v>
      </c>
      <c r="B661" s="3" t="s">
        <v>621</v>
      </c>
      <c r="C661" s="3" t="s">
        <v>118</v>
      </c>
      <c r="D661" s="3" t="s">
        <v>58</v>
      </c>
      <c r="E661" s="3" t="s">
        <v>59</v>
      </c>
      <c r="F661" s="3" t="s">
        <v>60</v>
      </c>
      <c r="G661" s="3" t="s">
        <v>22</v>
      </c>
      <c r="H661" s="3" t="s">
        <v>83</v>
      </c>
      <c r="I661" s="3" t="s">
        <v>1537</v>
      </c>
      <c r="J661" s="3" t="s">
        <v>100</v>
      </c>
      <c r="K661" s="3">
        <v>3</v>
      </c>
      <c r="L661" s="3">
        <v>23859.58</v>
      </c>
      <c r="M661" s="3">
        <v>71578.740000000005</v>
      </c>
      <c r="N661" s="3">
        <v>50761.47</v>
      </c>
      <c r="O661" s="3">
        <v>20817.27</v>
      </c>
      <c r="P661" s="3" t="s">
        <v>86</v>
      </c>
    </row>
    <row r="662" spans="1:16" x14ac:dyDescent="0.35">
      <c r="A662" s="3" t="s">
        <v>1538</v>
      </c>
      <c r="B662" s="3" t="s">
        <v>458</v>
      </c>
      <c r="C662" s="3" t="s">
        <v>18</v>
      </c>
      <c r="D662" s="3" t="s">
        <v>38</v>
      </c>
      <c r="E662" s="3" t="s">
        <v>109</v>
      </c>
      <c r="F662" s="3" t="s">
        <v>110</v>
      </c>
      <c r="G662" s="3" t="s">
        <v>22</v>
      </c>
      <c r="H662" s="3" t="s">
        <v>83</v>
      </c>
      <c r="I662" s="3" t="s">
        <v>1539</v>
      </c>
      <c r="J662" s="3" t="s">
        <v>54</v>
      </c>
      <c r="K662" s="3">
        <v>5</v>
      </c>
      <c r="L662" s="3">
        <v>24125.93</v>
      </c>
      <c r="M662" s="3">
        <v>120629.65</v>
      </c>
      <c r="N662" s="3">
        <v>86230.84</v>
      </c>
      <c r="O662" s="3">
        <v>34398.81</v>
      </c>
      <c r="P662" s="3" t="s">
        <v>34</v>
      </c>
    </row>
    <row r="663" spans="1:16" x14ac:dyDescent="0.35">
      <c r="A663" s="3" t="s">
        <v>1540</v>
      </c>
      <c r="B663" s="3" t="s">
        <v>180</v>
      </c>
      <c r="C663" s="3" t="s">
        <v>48</v>
      </c>
      <c r="D663" s="3" t="s">
        <v>90</v>
      </c>
      <c r="E663" s="3" t="s">
        <v>91</v>
      </c>
      <c r="F663" s="3" t="s">
        <v>92</v>
      </c>
      <c r="G663" s="3" t="s">
        <v>41</v>
      </c>
      <c r="H663" s="3" t="s">
        <v>138</v>
      </c>
      <c r="I663" s="3" t="s">
        <v>736</v>
      </c>
      <c r="J663" s="3" t="s">
        <v>79</v>
      </c>
      <c r="K663" s="3">
        <v>3</v>
      </c>
      <c r="L663" s="3">
        <v>18424.48</v>
      </c>
      <c r="M663" s="3">
        <v>55273.440000000002</v>
      </c>
      <c r="N663" s="3">
        <v>42552.81</v>
      </c>
      <c r="O663" s="3">
        <v>12720.63</v>
      </c>
      <c r="P663" s="3" t="s">
        <v>26</v>
      </c>
    </row>
    <row r="664" spans="1:16" x14ac:dyDescent="0.35">
      <c r="A664" s="3" t="s">
        <v>1541</v>
      </c>
      <c r="B664" s="3" t="s">
        <v>1240</v>
      </c>
      <c r="C664" s="3" t="s">
        <v>118</v>
      </c>
      <c r="D664" s="3" t="s">
        <v>58</v>
      </c>
      <c r="E664" s="3" t="s">
        <v>176</v>
      </c>
      <c r="F664" s="3" t="s">
        <v>177</v>
      </c>
      <c r="G664" s="3" t="s">
        <v>41</v>
      </c>
      <c r="H664" s="3" t="s">
        <v>42</v>
      </c>
      <c r="I664" s="3" t="s">
        <v>1542</v>
      </c>
      <c r="J664" s="3" t="s">
        <v>85</v>
      </c>
      <c r="K664" s="3">
        <v>2</v>
      </c>
      <c r="L664" s="3">
        <v>44620.33</v>
      </c>
      <c r="M664" s="3">
        <v>89240.66</v>
      </c>
      <c r="N664" s="3">
        <v>70762.81</v>
      </c>
      <c r="O664" s="3">
        <v>18477.849999999999</v>
      </c>
      <c r="P664" s="3" t="s">
        <v>26</v>
      </c>
    </row>
    <row r="665" spans="1:16" x14ac:dyDescent="0.35">
      <c r="A665" s="3" t="s">
        <v>1543</v>
      </c>
      <c r="B665" s="3" t="s">
        <v>669</v>
      </c>
      <c r="C665" s="3" t="s">
        <v>57</v>
      </c>
      <c r="D665" s="3" t="s">
        <v>58</v>
      </c>
      <c r="E665" s="3" t="s">
        <v>176</v>
      </c>
      <c r="F665" s="3" t="s">
        <v>177</v>
      </c>
      <c r="G665" s="3" t="s">
        <v>30</v>
      </c>
      <c r="H665" s="3" t="s">
        <v>31</v>
      </c>
      <c r="I665" s="3" t="s">
        <v>1544</v>
      </c>
      <c r="J665" s="3" t="s">
        <v>54</v>
      </c>
      <c r="K665" s="3">
        <v>6</v>
      </c>
      <c r="L665" s="3">
        <v>2710.15</v>
      </c>
      <c r="M665" s="3">
        <v>16260.9</v>
      </c>
      <c r="N665" s="3">
        <v>11922.01</v>
      </c>
      <c r="O665" s="3">
        <v>4338.8900000000003</v>
      </c>
      <c r="P665" s="3" t="s">
        <v>69</v>
      </c>
    </row>
    <row r="666" spans="1:16" x14ac:dyDescent="0.35">
      <c r="A666" s="3" t="s">
        <v>1545</v>
      </c>
      <c r="B666" s="3" t="s">
        <v>1546</v>
      </c>
      <c r="C666" s="3" t="s">
        <v>82</v>
      </c>
      <c r="D666" s="3" t="s">
        <v>58</v>
      </c>
      <c r="E666" s="3" t="s">
        <v>59</v>
      </c>
      <c r="F666" s="3" t="s">
        <v>60</v>
      </c>
      <c r="G666" s="3" t="s">
        <v>51</v>
      </c>
      <c r="H666" s="3" t="s">
        <v>52</v>
      </c>
      <c r="I666" s="3" t="s">
        <v>1547</v>
      </c>
      <c r="J666" s="3" t="s">
        <v>147</v>
      </c>
      <c r="K666" s="3">
        <v>3</v>
      </c>
      <c r="L666" s="3">
        <v>23.65</v>
      </c>
      <c r="M666" s="3">
        <v>70.95</v>
      </c>
      <c r="N666" s="3">
        <v>29.44</v>
      </c>
      <c r="O666" s="3">
        <v>41.51</v>
      </c>
      <c r="P666" s="3" t="s">
        <v>34</v>
      </c>
    </row>
    <row r="667" spans="1:16" x14ac:dyDescent="0.35">
      <c r="A667" s="3" t="s">
        <v>1548</v>
      </c>
      <c r="B667" s="3" t="s">
        <v>260</v>
      </c>
      <c r="C667" s="3" t="s">
        <v>37</v>
      </c>
      <c r="D667" s="3" t="s">
        <v>90</v>
      </c>
      <c r="E667" s="3" t="s">
        <v>91</v>
      </c>
      <c r="F667" s="3" t="s">
        <v>92</v>
      </c>
      <c r="G667" s="3" t="s">
        <v>22</v>
      </c>
      <c r="H667" s="3" t="s">
        <v>23</v>
      </c>
      <c r="I667" s="3" t="s">
        <v>1549</v>
      </c>
      <c r="J667" s="3" t="s">
        <v>79</v>
      </c>
      <c r="K667" s="3">
        <v>5</v>
      </c>
      <c r="L667" s="3">
        <v>3830.82</v>
      </c>
      <c r="M667" s="3">
        <v>19154.099999999999</v>
      </c>
      <c r="N667" s="3">
        <v>10759.5</v>
      </c>
      <c r="O667" s="3">
        <v>8394.6</v>
      </c>
      <c r="P667" s="3" t="s">
        <v>69</v>
      </c>
    </row>
    <row r="668" spans="1:16" x14ac:dyDescent="0.35">
      <c r="A668" s="3" t="s">
        <v>1550</v>
      </c>
      <c r="B668" s="3" t="s">
        <v>310</v>
      </c>
      <c r="C668" s="3" t="s">
        <v>37</v>
      </c>
      <c r="D668" s="3" t="s">
        <v>38</v>
      </c>
      <c r="E668" s="3" t="s">
        <v>104</v>
      </c>
      <c r="F668" s="3" t="s">
        <v>104</v>
      </c>
      <c r="G668" s="3" t="s">
        <v>30</v>
      </c>
      <c r="H668" s="3" t="s">
        <v>67</v>
      </c>
      <c r="I668" s="3" t="s">
        <v>240</v>
      </c>
      <c r="J668" s="3" t="s">
        <v>154</v>
      </c>
      <c r="K668" s="3">
        <v>8</v>
      </c>
      <c r="L668" s="3">
        <v>9166.2999999999993</v>
      </c>
      <c r="M668" s="3">
        <v>73330.399999999994</v>
      </c>
      <c r="N668" s="3">
        <v>63525.23</v>
      </c>
      <c r="O668" s="3">
        <v>9805.17</v>
      </c>
      <c r="P668" s="3" t="s">
        <v>86</v>
      </c>
    </row>
    <row r="669" spans="1:16" x14ac:dyDescent="0.35">
      <c r="A669" s="3" t="s">
        <v>1551</v>
      </c>
      <c r="B669" s="3" t="s">
        <v>1552</v>
      </c>
      <c r="C669" s="3" t="s">
        <v>114</v>
      </c>
      <c r="D669" s="3" t="s">
        <v>38</v>
      </c>
      <c r="E669" s="3" t="s">
        <v>109</v>
      </c>
      <c r="F669" s="3" t="s">
        <v>110</v>
      </c>
      <c r="G669" s="3" t="s">
        <v>51</v>
      </c>
      <c r="H669" s="3" t="s">
        <v>77</v>
      </c>
      <c r="I669" s="3" t="s">
        <v>943</v>
      </c>
      <c r="J669" s="3" t="s">
        <v>154</v>
      </c>
      <c r="K669" s="3">
        <v>5</v>
      </c>
      <c r="L669" s="3">
        <v>12106.81</v>
      </c>
      <c r="M669" s="3">
        <v>60534.05</v>
      </c>
      <c r="N669" s="3">
        <v>42962.95</v>
      </c>
      <c r="O669" s="3">
        <v>17571.099999999999</v>
      </c>
      <c r="P669" s="3" t="s">
        <v>86</v>
      </c>
    </row>
    <row r="670" spans="1:16" x14ac:dyDescent="0.35">
      <c r="A670" s="3" t="s">
        <v>1553</v>
      </c>
      <c r="B670" s="3" t="s">
        <v>102</v>
      </c>
      <c r="C670" s="3" t="s">
        <v>103</v>
      </c>
      <c r="D670" s="3" t="s">
        <v>19</v>
      </c>
      <c r="E670" s="3" t="s">
        <v>20</v>
      </c>
      <c r="F670" s="3" t="s">
        <v>21</v>
      </c>
      <c r="G670" s="3" t="s">
        <v>30</v>
      </c>
      <c r="H670" s="3" t="s">
        <v>67</v>
      </c>
      <c r="I670" s="3" t="s">
        <v>1368</v>
      </c>
      <c r="J670" s="3" t="s">
        <v>217</v>
      </c>
      <c r="K670" s="3">
        <v>5</v>
      </c>
      <c r="L670" s="3">
        <v>9527.51</v>
      </c>
      <c r="M670" s="3">
        <v>47637.55</v>
      </c>
      <c r="N670" s="3">
        <v>36936.53</v>
      </c>
      <c r="O670" s="3">
        <v>10701.02</v>
      </c>
      <c r="P670" s="3" t="s">
        <v>26</v>
      </c>
    </row>
    <row r="671" spans="1:16" x14ac:dyDescent="0.35">
      <c r="A671" s="3" t="s">
        <v>1554</v>
      </c>
      <c r="B671" s="3" t="s">
        <v>384</v>
      </c>
      <c r="C671" s="3" t="s">
        <v>57</v>
      </c>
      <c r="D671" s="3" t="s">
        <v>58</v>
      </c>
      <c r="E671" s="3" t="s">
        <v>59</v>
      </c>
      <c r="F671" s="3" t="s">
        <v>60</v>
      </c>
      <c r="G671" s="3" t="s">
        <v>22</v>
      </c>
      <c r="H671" s="3" t="s">
        <v>23</v>
      </c>
      <c r="I671" s="3" t="s">
        <v>1555</v>
      </c>
      <c r="J671" s="3" t="s">
        <v>54</v>
      </c>
      <c r="K671" s="3">
        <v>5</v>
      </c>
      <c r="L671" s="3">
        <v>3576.66</v>
      </c>
      <c r="M671" s="3">
        <v>17883.3</v>
      </c>
      <c r="N671" s="3">
        <v>10956.97</v>
      </c>
      <c r="O671" s="3">
        <v>6926.33</v>
      </c>
      <c r="P671" s="3" t="s">
        <v>34</v>
      </c>
    </row>
    <row r="672" spans="1:16" x14ac:dyDescent="0.35">
      <c r="A672" s="3" t="s">
        <v>1556</v>
      </c>
      <c r="B672" s="3" t="s">
        <v>717</v>
      </c>
      <c r="C672" s="3" t="s">
        <v>114</v>
      </c>
      <c r="D672" s="3" t="s">
        <v>19</v>
      </c>
      <c r="E672" s="3" t="s">
        <v>199</v>
      </c>
      <c r="F672" s="3" t="s">
        <v>200</v>
      </c>
      <c r="G672" s="3" t="s">
        <v>30</v>
      </c>
      <c r="H672" s="3" t="s">
        <v>73</v>
      </c>
      <c r="I672" s="3" t="s">
        <v>753</v>
      </c>
      <c r="J672" s="3" t="s">
        <v>85</v>
      </c>
      <c r="K672" s="3">
        <v>5</v>
      </c>
      <c r="L672" s="3">
        <v>3462.6</v>
      </c>
      <c r="M672" s="3">
        <v>17313</v>
      </c>
      <c r="N672" s="3">
        <v>11745.73</v>
      </c>
      <c r="O672" s="3">
        <v>5567.27</v>
      </c>
      <c r="P672" s="3" t="s">
        <v>45</v>
      </c>
    </row>
    <row r="673" spans="1:16" x14ac:dyDescent="0.35">
      <c r="A673" s="3" t="s">
        <v>1557</v>
      </c>
      <c r="B673" s="3" t="s">
        <v>949</v>
      </c>
      <c r="C673" s="3" t="s">
        <v>18</v>
      </c>
      <c r="D673" s="3" t="s">
        <v>58</v>
      </c>
      <c r="E673" s="3" t="s">
        <v>65</v>
      </c>
      <c r="F673" s="3" t="s">
        <v>66</v>
      </c>
      <c r="G673" s="3" t="s">
        <v>30</v>
      </c>
      <c r="H673" s="3" t="s">
        <v>73</v>
      </c>
      <c r="I673" s="3" t="s">
        <v>187</v>
      </c>
      <c r="J673" s="3" t="s">
        <v>106</v>
      </c>
      <c r="K673" s="3">
        <v>8</v>
      </c>
      <c r="L673" s="3">
        <v>3441.29</v>
      </c>
      <c r="M673" s="3">
        <v>27530.32</v>
      </c>
      <c r="N673" s="3">
        <v>20017.349999999999</v>
      </c>
      <c r="O673" s="3">
        <v>7512.97</v>
      </c>
      <c r="P673" s="3" t="s">
        <v>69</v>
      </c>
    </row>
    <row r="674" spans="1:16" x14ac:dyDescent="0.35">
      <c r="A674" s="3" t="s">
        <v>1558</v>
      </c>
      <c r="B674" s="3" t="s">
        <v>248</v>
      </c>
      <c r="C674" s="3" t="s">
        <v>82</v>
      </c>
      <c r="D674" s="3" t="s">
        <v>58</v>
      </c>
      <c r="E674" s="3" t="s">
        <v>176</v>
      </c>
      <c r="F674" s="3" t="s">
        <v>177</v>
      </c>
      <c r="G674" s="3" t="s">
        <v>41</v>
      </c>
      <c r="H674" s="3" t="s">
        <v>61</v>
      </c>
      <c r="I674" s="3" t="s">
        <v>1200</v>
      </c>
      <c r="J674" s="3" t="s">
        <v>161</v>
      </c>
      <c r="K674" s="3">
        <v>4</v>
      </c>
      <c r="L674" s="3">
        <v>2702.28</v>
      </c>
      <c r="M674" s="3">
        <v>10809.12</v>
      </c>
      <c r="N674" s="3">
        <v>6174.36</v>
      </c>
      <c r="O674" s="3">
        <v>4634.76</v>
      </c>
      <c r="P674" s="3" t="s">
        <v>26</v>
      </c>
    </row>
    <row r="675" spans="1:16" x14ac:dyDescent="0.35">
      <c r="A675" s="3" t="s">
        <v>1559</v>
      </c>
      <c r="B675" s="3" t="s">
        <v>321</v>
      </c>
      <c r="C675" s="3" t="s">
        <v>137</v>
      </c>
      <c r="D675" s="3" t="s">
        <v>58</v>
      </c>
      <c r="E675" s="3" t="s">
        <v>65</v>
      </c>
      <c r="F675" s="3" t="s">
        <v>66</v>
      </c>
      <c r="G675" s="3" t="s">
        <v>51</v>
      </c>
      <c r="H675" s="3" t="s">
        <v>77</v>
      </c>
      <c r="I675" s="3" t="s">
        <v>1256</v>
      </c>
      <c r="J675" s="3" t="s">
        <v>131</v>
      </c>
      <c r="K675" s="3">
        <v>6</v>
      </c>
      <c r="L675" s="3">
        <v>11140.5</v>
      </c>
      <c r="M675" s="3">
        <v>66843</v>
      </c>
      <c r="N675" s="3">
        <v>54854.19</v>
      </c>
      <c r="O675" s="3">
        <v>11988.81</v>
      </c>
      <c r="P675" s="3" t="s">
        <v>34</v>
      </c>
    </row>
    <row r="676" spans="1:16" x14ac:dyDescent="0.35">
      <c r="A676" s="3" t="s">
        <v>1560</v>
      </c>
      <c r="B676" s="3" t="s">
        <v>1031</v>
      </c>
      <c r="C676" s="3" t="s">
        <v>82</v>
      </c>
      <c r="D676" s="3" t="s">
        <v>38</v>
      </c>
      <c r="E676" s="3" t="s">
        <v>104</v>
      </c>
      <c r="F676" s="3" t="s">
        <v>104</v>
      </c>
      <c r="G676" s="3" t="s">
        <v>22</v>
      </c>
      <c r="H676" s="3" t="s">
        <v>83</v>
      </c>
      <c r="I676" s="3" t="s">
        <v>1561</v>
      </c>
      <c r="J676" s="3" t="s">
        <v>85</v>
      </c>
      <c r="K676" s="3">
        <v>3</v>
      </c>
      <c r="L676" s="3">
        <v>24002.21</v>
      </c>
      <c r="M676" s="3">
        <v>72006.63</v>
      </c>
      <c r="N676" s="3">
        <v>51780.19</v>
      </c>
      <c r="O676" s="3">
        <v>20226.439999999999</v>
      </c>
      <c r="P676" s="3" t="s">
        <v>34</v>
      </c>
    </row>
    <row r="677" spans="1:16" x14ac:dyDescent="0.35">
      <c r="A677" s="3" t="s">
        <v>1562</v>
      </c>
      <c r="B677" s="3" t="s">
        <v>333</v>
      </c>
      <c r="C677" s="3" t="s">
        <v>118</v>
      </c>
      <c r="D677" s="3" t="s">
        <v>58</v>
      </c>
      <c r="E677" s="3" t="s">
        <v>65</v>
      </c>
      <c r="F677" s="3" t="s">
        <v>66</v>
      </c>
      <c r="G677" s="3" t="s">
        <v>30</v>
      </c>
      <c r="H677" s="3" t="s">
        <v>67</v>
      </c>
      <c r="I677" s="3" t="s">
        <v>1563</v>
      </c>
      <c r="J677" s="3" t="s">
        <v>147</v>
      </c>
      <c r="K677" s="3">
        <v>4</v>
      </c>
      <c r="L677" s="3">
        <v>9315.4599999999991</v>
      </c>
      <c r="M677" s="3">
        <v>37261.839999999997</v>
      </c>
      <c r="N677" s="3">
        <v>30378.75</v>
      </c>
      <c r="O677" s="3">
        <v>6883.09</v>
      </c>
      <c r="P677" s="3" t="s">
        <v>86</v>
      </c>
    </row>
    <row r="678" spans="1:16" x14ac:dyDescent="0.35">
      <c r="A678" s="3" t="s">
        <v>1564</v>
      </c>
      <c r="B678" s="3" t="s">
        <v>1464</v>
      </c>
      <c r="C678" s="3" t="s">
        <v>137</v>
      </c>
      <c r="D678" s="3" t="s">
        <v>19</v>
      </c>
      <c r="E678" s="3" t="s">
        <v>199</v>
      </c>
      <c r="F678" s="3" t="s">
        <v>200</v>
      </c>
      <c r="G678" s="3" t="s">
        <v>22</v>
      </c>
      <c r="H678" s="3" t="s">
        <v>93</v>
      </c>
      <c r="I678" s="3" t="s">
        <v>853</v>
      </c>
      <c r="J678" s="3" t="s">
        <v>106</v>
      </c>
      <c r="K678" s="3">
        <v>2</v>
      </c>
      <c r="L678" s="3">
        <v>7411.29</v>
      </c>
      <c r="M678" s="3">
        <v>14822.58</v>
      </c>
      <c r="N678" s="3">
        <v>10045.120000000001</v>
      </c>
      <c r="O678" s="3">
        <v>4777.46</v>
      </c>
      <c r="P678" s="3" t="s">
        <v>45</v>
      </c>
    </row>
    <row r="679" spans="1:16" x14ac:dyDescent="0.35">
      <c r="A679" s="3" t="s">
        <v>1565</v>
      </c>
      <c r="B679" s="3" t="s">
        <v>1306</v>
      </c>
      <c r="C679" s="3" t="s">
        <v>57</v>
      </c>
      <c r="D679" s="3" t="s">
        <v>19</v>
      </c>
      <c r="E679" s="3" t="s">
        <v>199</v>
      </c>
      <c r="F679" s="3" t="s">
        <v>200</v>
      </c>
      <c r="G679" s="3" t="s">
        <v>41</v>
      </c>
      <c r="H679" s="3" t="s">
        <v>42</v>
      </c>
      <c r="I679" s="3" t="s">
        <v>243</v>
      </c>
      <c r="J679" s="3" t="s">
        <v>217</v>
      </c>
      <c r="K679" s="3">
        <v>8</v>
      </c>
      <c r="L679" s="3">
        <v>43629.04</v>
      </c>
      <c r="M679" s="3">
        <v>349032.32</v>
      </c>
      <c r="N679" s="3">
        <v>288290.55</v>
      </c>
      <c r="O679" s="3">
        <v>60741.77</v>
      </c>
      <c r="P679" s="3" t="s">
        <v>69</v>
      </c>
    </row>
    <row r="680" spans="1:16" x14ac:dyDescent="0.35">
      <c r="A680" s="3" t="s">
        <v>1566</v>
      </c>
      <c r="B680" s="3" t="s">
        <v>1567</v>
      </c>
      <c r="C680" s="3" t="s">
        <v>82</v>
      </c>
      <c r="D680" s="3" t="s">
        <v>58</v>
      </c>
      <c r="E680" s="3" t="s">
        <v>176</v>
      </c>
      <c r="F680" s="3" t="s">
        <v>177</v>
      </c>
      <c r="G680" s="3" t="s">
        <v>22</v>
      </c>
      <c r="H680" s="3" t="s">
        <v>93</v>
      </c>
      <c r="I680" s="3" t="s">
        <v>181</v>
      </c>
      <c r="J680" s="3" t="s">
        <v>154</v>
      </c>
      <c r="K680" s="3">
        <v>4</v>
      </c>
      <c r="L680" s="3">
        <v>7035.03</v>
      </c>
      <c r="M680" s="3">
        <v>28140.12</v>
      </c>
      <c r="N680" s="3">
        <v>19953.34</v>
      </c>
      <c r="O680" s="3">
        <v>8186.78</v>
      </c>
      <c r="P680" s="3" t="s">
        <v>45</v>
      </c>
    </row>
    <row r="681" spans="1:16" x14ac:dyDescent="0.35">
      <c r="A681" s="3" t="s">
        <v>1568</v>
      </c>
      <c r="B681" s="3" t="s">
        <v>583</v>
      </c>
      <c r="C681" s="3" t="s">
        <v>89</v>
      </c>
      <c r="D681" s="3" t="s">
        <v>19</v>
      </c>
      <c r="E681" s="3" t="s">
        <v>199</v>
      </c>
      <c r="F681" s="3" t="s">
        <v>200</v>
      </c>
      <c r="G681" s="3" t="s">
        <v>30</v>
      </c>
      <c r="H681" s="3" t="s">
        <v>31</v>
      </c>
      <c r="I681" s="3" t="s">
        <v>439</v>
      </c>
      <c r="J681" s="3" t="s">
        <v>85</v>
      </c>
      <c r="K681" s="3">
        <v>4</v>
      </c>
      <c r="L681" s="3">
        <v>3012.83</v>
      </c>
      <c r="M681" s="3">
        <v>12051.32</v>
      </c>
      <c r="N681" s="3">
        <v>7954.79</v>
      </c>
      <c r="O681" s="3">
        <v>4096.53</v>
      </c>
      <c r="P681" s="3" t="s">
        <v>45</v>
      </c>
    </row>
    <row r="682" spans="1:16" x14ac:dyDescent="0.35">
      <c r="A682" s="3" t="s">
        <v>1569</v>
      </c>
      <c r="B682" s="3" t="s">
        <v>1092</v>
      </c>
      <c r="C682" s="3" t="s">
        <v>103</v>
      </c>
      <c r="D682" s="3" t="s">
        <v>90</v>
      </c>
      <c r="E682" s="3" t="s">
        <v>91</v>
      </c>
      <c r="F682" s="3" t="s">
        <v>92</v>
      </c>
      <c r="G682" s="3" t="s">
        <v>30</v>
      </c>
      <c r="H682" s="3" t="s">
        <v>73</v>
      </c>
      <c r="I682" s="3" t="s">
        <v>399</v>
      </c>
      <c r="J682" s="3" t="s">
        <v>85</v>
      </c>
      <c r="K682" s="3">
        <v>8</v>
      </c>
      <c r="L682" s="3">
        <v>3136.31</v>
      </c>
      <c r="M682" s="3">
        <v>25090.48</v>
      </c>
      <c r="N682" s="3">
        <v>18614.23</v>
      </c>
      <c r="O682" s="3">
        <v>6476.25</v>
      </c>
      <c r="P682" s="3" t="s">
        <v>86</v>
      </c>
    </row>
    <row r="683" spans="1:16" x14ac:dyDescent="0.35">
      <c r="A683" s="3" t="s">
        <v>1570</v>
      </c>
      <c r="B683" s="3" t="s">
        <v>999</v>
      </c>
      <c r="C683" s="3" t="s">
        <v>103</v>
      </c>
      <c r="D683" s="3" t="s">
        <v>19</v>
      </c>
      <c r="E683" s="3" t="s">
        <v>49</v>
      </c>
      <c r="F683" s="3" t="s">
        <v>50</v>
      </c>
      <c r="G683" s="3" t="s">
        <v>51</v>
      </c>
      <c r="H683" s="3" t="s">
        <v>52</v>
      </c>
      <c r="I683" s="3" t="s">
        <v>1571</v>
      </c>
      <c r="J683" s="3" t="s">
        <v>147</v>
      </c>
      <c r="K683" s="3">
        <v>4</v>
      </c>
      <c r="L683" s="3">
        <v>23.92</v>
      </c>
      <c r="M683" s="3">
        <v>95.68</v>
      </c>
      <c r="N683" s="3">
        <v>41.06</v>
      </c>
      <c r="O683" s="3">
        <v>54.62</v>
      </c>
      <c r="P683" s="3" t="s">
        <v>45</v>
      </c>
    </row>
    <row r="684" spans="1:16" x14ac:dyDescent="0.35">
      <c r="A684" s="3" t="s">
        <v>1572</v>
      </c>
      <c r="B684" s="3" t="s">
        <v>215</v>
      </c>
      <c r="C684" s="3" t="s">
        <v>37</v>
      </c>
      <c r="D684" s="3" t="s">
        <v>90</v>
      </c>
      <c r="E684" s="3" t="s">
        <v>119</v>
      </c>
      <c r="F684" s="3" t="s">
        <v>120</v>
      </c>
      <c r="G684" s="3" t="s">
        <v>22</v>
      </c>
      <c r="H684" s="3" t="s">
        <v>23</v>
      </c>
      <c r="I684" s="3" t="s">
        <v>1573</v>
      </c>
      <c r="J684" s="3" t="s">
        <v>161</v>
      </c>
      <c r="K684" s="3">
        <v>8</v>
      </c>
      <c r="L684" s="3">
        <v>3586.72</v>
      </c>
      <c r="M684" s="3">
        <v>28693.759999999998</v>
      </c>
      <c r="N684" s="3">
        <v>17110.02</v>
      </c>
      <c r="O684" s="3">
        <v>11583.74</v>
      </c>
      <c r="P684" s="3" t="s">
        <v>69</v>
      </c>
    </row>
    <row r="685" spans="1:16" x14ac:dyDescent="0.35">
      <c r="A685" s="3" t="s">
        <v>1574</v>
      </c>
      <c r="B685" s="3" t="s">
        <v>198</v>
      </c>
      <c r="C685" s="3" t="s">
        <v>29</v>
      </c>
      <c r="D685" s="3" t="s">
        <v>90</v>
      </c>
      <c r="E685" s="3" t="s">
        <v>97</v>
      </c>
      <c r="F685" s="3" t="s">
        <v>98</v>
      </c>
      <c r="G685" s="3" t="s">
        <v>30</v>
      </c>
      <c r="H685" s="3" t="s">
        <v>31</v>
      </c>
      <c r="I685" s="3" t="s">
        <v>843</v>
      </c>
      <c r="J685" s="3" t="s">
        <v>25</v>
      </c>
      <c r="K685" s="3">
        <v>1</v>
      </c>
      <c r="L685" s="3">
        <v>2709.48</v>
      </c>
      <c r="M685" s="3">
        <v>2709.48</v>
      </c>
      <c r="N685" s="3">
        <v>1925.65</v>
      </c>
      <c r="O685" s="3">
        <v>783.83</v>
      </c>
      <c r="P685" s="3" t="s">
        <v>34</v>
      </c>
    </row>
    <row r="686" spans="1:16" x14ac:dyDescent="0.35">
      <c r="A686" s="3" t="s">
        <v>1575</v>
      </c>
      <c r="B686" s="3" t="s">
        <v>443</v>
      </c>
      <c r="C686" s="3" t="s">
        <v>57</v>
      </c>
      <c r="D686" s="3" t="s">
        <v>58</v>
      </c>
      <c r="E686" s="3" t="s">
        <v>59</v>
      </c>
      <c r="F686" s="3" t="s">
        <v>60</v>
      </c>
      <c r="G686" s="3" t="s">
        <v>30</v>
      </c>
      <c r="H686" s="3" t="s">
        <v>73</v>
      </c>
      <c r="I686" s="3" t="s">
        <v>1576</v>
      </c>
      <c r="J686" s="3" t="s">
        <v>131</v>
      </c>
      <c r="K686" s="3">
        <v>7</v>
      </c>
      <c r="L686" s="3">
        <v>2980.23</v>
      </c>
      <c r="M686" s="3">
        <v>20861.61</v>
      </c>
      <c r="N686" s="3">
        <v>16398.46</v>
      </c>
      <c r="O686" s="3">
        <v>4463.1499999999996</v>
      </c>
      <c r="P686" s="3" t="s">
        <v>69</v>
      </c>
    </row>
    <row r="687" spans="1:16" x14ac:dyDescent="0.35">
      <c r="A687" s="3" t="s">
        <v>1577</v>
      </c>
      <c r="B687" s="3" t="s">
        <v>1578</v>
      </c>
      <c r="C687" s="3" t="s">
        <v>137</v>
      </c>
      <c r="D687" s="3" t="s">
        <v>90</v>
      </c>
      <c r="E687" s="3" t="s">
        <v>91</v>
      </c>
      <c r="F687" s="3" t="s">
        <v>92</v>
      </c>
      <c r="G687" s="3" t="s">
        <v>51</v>
      </c>
      <c r="H687" s="3" t="s">
        <v>52</v>
      </c>
      <c r="I687" s="3" t="s">
        <v>1579</v>
      </c>
      <c r="J687" s="3" t="s">
        <v>106</v>
      </c>
      <c r="K687" s="3">
        <v>4</v>
      </c>
      <c r="L687" s="3">
        <v>26.05</v>
      </c>
      <c r="M687" s="3">
        <v>104.2</v>
      </c>
      <c r="N687" s="3">
        <v>40.14</v>
      </c>
      <c r="O687" s="3">
        <v>64.06</v>
      </c>
      <c r="P687" s="3" t="s">
        <v>45</v>
      </c>
    </row>
    <row r="688" spans="1:16" x14ac:dyDescent="0.35">
      <c r="A688" s="3" t="s">
        <v>1580</v>
      </c>
      <c r="B688" s="3" t="s">
        <v>728</v>
      </c>
      <c r="C688" s="3" t="s">
        <v>82</v>
      </c>
      <c r="D688" s="3" t="s">
        <v>58</v>
      </c>
      <c r="E688" s="3" t="s">
        <v>59</v>
      </c>
      <c r="F688" s="3" t="s">
        <v>60</v>
      </c>
      <c r="G688" s="3" t="s">
        <v>51</v>
      </c>
      <c r="H688" s="3" t="s">
        <v>145</v>
      </c>
      <c r="I688" s="3" t="s">
        <v>441</v>
      </c>
      <c r="J688" s="3" t="s">
        <v>44</v>
      </c>
      <c r="K688" s="3">
        <v>2</v>
      </c>
      <c r="L688" s="3">
        <v>108.65</v>
      </c>
      <c r="M688" s="3">
        <v>217.3</v>
      </c>
      <c r="N688" s="3">
        <v>121.59</v>
      </c>
      <c r="O688" s="3">
        <v>95.71</v>
      </c>
      <c r="P688" s="3" t="s">
        <v>69</v>
      </c>
    </row>
    <row r="689" spans="1:16" x14ac:dyDescent="0.35">
      <c r="A689" s="3" t="s">
        <v>1581</v>
      </c>
      <c r="B689" s="3" t="s">
        <v>1072</v>
      </c>
      <c r="C689" s="3" t="s">
        <v>18</v>
      </c>
      <c r="D689" s="3" t="s">
        <v>58</v>
      </c>
      <c r="E689" s="3" t="s">
        <v>65</v>
      </c>
      <c r="F689" s="3" t="s">
        <v>66</v>
      </c>
      <c r="G689" s="3" t="s">
        <v>22</v>
      </c>
      <c r="H689" s="3" t="s">
        <v>83</v>
      </c>
      <c r="I689" s="3" t="s">
        <v>1582</v>
      </c>
      <c r="J689" s="3" t="s">
        <v>161</v>
      </c>
      <c r="K689" s="3">
        <v>8</v>
      </c>
      <c r="L689" s="3">
        <v>20090.88</v>
      </c>
      <c r="M689" s="3">
        <v>160727.04000000001</v>
      </c>
      <c r="N689" s="3">
        <v>137256.94</v>
      </c>
      <c r="O689" s="3">
        <v>23470.1</v>
      </c>
      <c r="P689" s="3" t="s">
        <v>69</v>
      </c>
    </row>
    <row r="690" spans="1:16" x14ac:dyDescent="0.35">
      <c r="A690" s="3" t="s">
        <v>1583</v>
      </c>
      <c r="B690" s="3" t="s">
        <v>989</v>
      </c>
      <c r="C690" s="3" t="s">
        <v>29</v>
      </c>
      <c r="D690" s="3" t="s">
        <v>38</v>
      </c>
      <c r="E690" s="3" t="s">
        <v>39</v>
      </c>
      <c r="F690" s="3" t="s">
        <v>40</v>
      </c>
      <c r="G690" s="3" t="s">
        <v>41</v>
      </c>
      <c r="H690" s="3" t="s">
        <v>61</v>
      </c>
      <c r="I690" s="3" t="s">
        <v>1584</v>
      </c>
      <c r="J690" s="3" t="s">
        <v>131</v>
      </c>
      <c r="K690" s="3">
        <v>8</v>
      </c>
      <c r="L690" s="3">
        <v>2623.06</v>
      </c>
      <c r="M690" s="3">
        <v>20984.48</v>
      </c>
      <c r="N690" s="3">
        <v>12226.28</v>
      </c>
      <c r="O690" s="3">
        <v>8758.2000000000007</v>
      </c>
      <c r="P690" s="3" t="s">
        <v>86</v>
      </c>
    </row>
    <row r="691" spans="1:16" x14ac:dyDescent="0.35">
      <c r="A691" s="3" t="s">
        <v>1585</v>
      </c>
      <c r="B691" s="3" t="s">
        <v>1578</v>
      </c>
      <c r="C691" s="3" t="s">
        <v>137</v>
      </c>
      <c r="D691" s="3" t="s">
        <v>90</v>
      </c>
      <c r="E691" s="3" t="s">
        <v>97</v>
      </c>
      <c r="F691" s="3" t="s">
        <v>98</v>
      </c>
      <c r="G691" s="3" t="s">
        <v>30</v>
      </c>
      <c r="H691" s="3" t="s">
        <v>31</v>
      </c>
      <c r="I691" s="3" t="s">
        <v>385</v>
      </c>
      <c r="J691" s="3" t="s">
        <v>161</v>
      </c>
      <c r="K691" s="3">
        <v>1</v>
      </c>
      <c r="L691" s="3">
        <v>2977.56</v>
      </c>
      <c r="M691" s="3">
        <v>2977.56</v>
      </c>
      <c r="N691" s="3">
        <v>1834.43</v>
      </c>
      <c r="O691" s="3">
        <v>1143.1300000000001</v>
      </c>
      <c r="P691" s="3" t="s">
        <v>34</v>
      </c>
    </row>
    <row r="692" spans="1:16" x14ac:dyDescent="0.35">
      <c r="A692" s="3" t="s">
        <v>1586</v>
      </c>
      <c r="B692" s="3" t="s">
        <v>242</v>
      </c>
      <c r="C692" s="3" t="s">
        <v>137</v>
      </c>
      <c r="D692" s="3" t="s">
        <v>58</v>
      </c>
      <c r="E692" s="3" t="s">
        <v>176</v>
      </c>
      <c r="F692" s="3" t="s">
        <v>177</v>
      </c>
      <c r="G692" s="3" t="s">
        <v>30</v>
      </c>
      <c r="H692" s="3" t="s">
        <v>73</v>
      </c>
      <c r="I692" s="3" t="s">
        <v>1587</v>
      </c>
      <c r="J692" s="3" t="s">
        <v>106</v>
      </c>
      <c r="K692" s="3">
        <v>5</v>
      </c>
      <c r="L692" s="3">
        <v>3118.67</v>
      </c>
      <c r="M692" s="3">
        <v>15593.35</v>
      </c>
      <c r="N692" s="3">
        <v>11609.51</v>
      </c>
      <c r="O692" s="3">
        <v>3983.84</v>
      </c>
      <c r="P692" s="3" t="s">
        <v>45</v>
      </c>
    </row>
    <row r="693" spans="1:16" x14ac:dyDescent="0.35">
      <c r="A693" s="3" t="s">
        <v>1588</v>
      </c>
      <c r="B693" s="3" t="s">
        <v>274</v>
      </c>
      <c r="C693" s="3" t="s">
        <v>57</v>
      </c>
      <c r="D693" s="3" t="s">
        <v>90</v>
      </c>
      <c r="E693" s="3" t="s">
        <v>97</v>
      </c>
      <c r="F693" s="3" t="s">
        <v>98</v>
      </c>
      <c r="G693" s="3" t="s">
        <v>30</v>
      </c>
      <c r="H693" s="3" t="s">
        <v>67</v>
      </c>
      <c r="I693" s="3" t="s">
        <v>1243</v>
      </c>
      <c r="J693" s="3" t="s">
        <v>188</v>
      </c>
      <c r="K693" s="3">
        <v>4</v>
      </c>
      <c r="L693" s="3">
        <v>9794.24</v>
      </c>
      <c r="M693" s="3">
        <v>39176.959999999999</v>
      </c>
      <c r="N693" s="3">
        <v>29252.9</v>
      </c>
      <c r="O693" s="3">
        <v>9924.06</v>
      </c>
      <c r="P693" s="3" t="s">
        <v>34</v>
      </c>
    </row>
    <row r="694" spans="1:16" x14ac:dyDescent="0.35">
      <c r="A694" s="3" t="s">
        <v>1589</v>
      </c>
      <c r="B694" s="3" t="s">
        <v>163</v>
      </c>
      <c r="C694" s="3" t="s">
        <v>137</v>
      </c>
      <c r="D694" s="3" t="s">
        <v>38</v>
      </c>
      <c r="E694" s="3" t="s">
        <v>109</v>
      </c>
      <c r="F694" s="3" t="s">
        <v>110</v>
      </c>
      <c r="G694" s="3" t="s">
        <v>22</v>
      </c>
      <c r="H694" s="3" t="s">
        <v>23</v>
      </c>
      <c r="I694" s="3" t="s">
        <v>729</v>
      </c>
      <c r="J694" s="3" t="s">
        <v>54</v>
      </c>
      <c r="K694" s="3">
        <v>2</v>
      </c>
      <c r="L694" s="3">
        <v>3775.95</v>
      </c>
      <c r="M694" s="3">
        <v>7551.9</v>
      </c>
      <c r="N694" s="3">
        <v>4521.0200000000004</v>
      </c>
      <c r="O694" s="3">
        <v>3030.88</v>
      </c>
      <c r="P694" s="3" t="s">
        <v>34</v>
      </c>
    </row>
    <row r="695" spans="1:16" x14ac:dyDescent="0.35">
      <c r="A695" s="3" t="s">
        <v>1590</v>
      </c>
      <c r="B695" s="3" t="s">
        <v>1306</v>
      </c>
      <c r="C695" s="3" t="s">
        <v>57</v>
      </c>
      <c r="D695" s="3" t="s">
        <v>58</v>
      </c>
      <c r="E695" s="3" t="s">
        <v>65</v>
      </c>
      <c r="F695" s="3" t="s">
        <v>66</v>
      </c>
      <c r="G695" s="3" t="s">
        <v>22</v>
      </c>
      <c r="H695" s="3" t="s">
        <v>83</v>
      </c>
      <c r="I695" s="3" t="s">
        <v>1340</v>
      </c>
      <c r="J695" s="3" t="s">
        <v>100</v>
      </c>
      <c r="K695" s="3">
        <v>5</v>
      </c>
      <c r="L695" s="3">
        <v>22796.03</v>
      </c>
      <c r="M695" s="3">
        <v>113980.15</v>
      </c>
      <c r="N695" s="3">
        <v>85514.7</v>
      </c>
      <c r="O695" s="3">
        <v>28465.45</v>
      </c>
      <c r="P695" s="3" t="s">
        <v>86</v>
      </c>
    </row>
    <row r="696" spans="1:16" x14ac:dyDescent="0.35">
      <c r="A696" s="3" t="s">
        <v>1591</v>
      </c>
      <c r="B696" s="3" t="s">
        <v>1092</v>
      </c>
      <c r="C696" s="3" t="s">
        <v>103</v>
      </c>
      <c r="D696" s="3" t="s">
        <v>38</v>
      </c>
      <c r="E696" s="3" t="s">
        <v>109</v>
      </c>
      <c r="F696" s="3" t="s">
        <v>110</v>
      </c>
      <c r="G696" s="3" t="s">
        <v>41</v>
      </c>
      <c r="H696" s="3" t="s">
        <v>42</v>
      </c>
      <c r="I696" s="3" t="s">
        <v>1592</v>
      </c>
      <c r="J696" s="3" t="s">
        <v>100</v>
      </c>
      <c r="K696" s="3">
        <v>2</v>
      </c>
      <c r="L696" s="3">
        <v>47208.43</v>
      </c>
      <c r="M696" s="3">
        <v>94416.86</v>
      </c>
      <c r="N696" s="3">
        <v>67818.720000000001</v>
      </c>
      <c r="O696" s="3">
        <v>26598.14</v>
      </c>
      <c r="P696" s="3" t="s">
        <v>26</v>
      </c>
    </row>
    <row r="697" spans="1:16" x14ac:dyDescent="0.35">
      <c r="A697" s="3" t="s">
        <v>1593</v>
      </c>
      <c r="B697" s="3" t="s">
        <v>1594</v>
      </c>
      <c r="C697" s="3" t="s">
        <v>48</v>
      </c>
      <c r="D697" s="3" t="s">
        <v>38</v>
      </c>
      <c r="E697" s="3" t="s">
        <v>104</v>
      </c>
      <c r="F697" s="3" t="s">
        <v>104</v>
      </c>
      <c r="G697" s="3" t="s">
        <v>41</v>
      </c>
      <c r="H697" s="3" t="s">
        <v>61</v>
      </c>
      <c r="I697" s="3" t="s">
        <v>1595</v>
      </c>
      <c r="J697" s="3" t="s">
        <v>131</v>
      </c>
      <c r="K697" s="3">
        <v>7</v>
      </c>
      <c r="L697" s="3">
        <v>2620.8000000000002</v>
      </c>
      <c r="M697" s="3">
        <v>18345.599999999999</v>
      </c>
      <c r="N697" s="3">
        <v>11152.33</v>
      </c>
      <c r="O697" s="3">
        <v>7193.27</v>
      </c>
      <c r="P697" s="3" t="s">
        <v>34</v>
      </c>
    </row>
    <row r="698" spans="1:16" x14ac:dyDescent="0.35">
      <c r="A698" s="3" t="s">
        <v>1596</v>
      </c>
      <c r="B698" s="3" t="s">
        <v>816</v>
      </c>
      <c r="C698" s="3" t="s">
        <v>57</v>
      </c>
      <c r="D698" s="3" t="s">
        <v>90</v>
      </c>
      <c r="E698" s="3" t="s">
        <v>91</v>
      </c>
      <c r="F698" s="3" t="s">
        <v>92</v>
      </c>
      <c r="G698" s="3" t="s">
        <v>51</v>
      </c>
      <c r="H698" s="3" t="s">
        <v>145</v>
      </c>
      <c r="I698" s="3" t="s">
        <v>1043</v>
      </c>
      <c r="J698" s="3" t="s">
        <v>154</v>
      </c>
      <c r="K698" s="3">
        <v>1</v>
      </c>
      <c r="L698" s="3">
        <v>113.27</v>
      </c>
      <c r="M698" s="3">
        <v>113.27</v>
      </c>
      <c r="N698" s="3">
        <v>59.93</v>
      </c>
      <c r="O698" s="3">
        <v>53.34</v>
      </c>
      <c r="P698" s="3" t="s">
        <v>34</v>
      </c>
    </row>
    <row r="699" spans="1:16" x14ac:dyDescent="0.35">
      <c r="A699" s="3" t="s">
        <v>1597</v>
      </c>
      <c r="B699" s="3" t="s">
        <v>1159</v>
      </c>
      <c r="C699" s="3" t="s">
        <v>29</v>
      </c>
      <c r="D699" s="3" t="s">
        <v>19</v>
      </c>
      <c r="E699" s="3" t="s">
        <v>49</v>
      </c>
      <c r="F699" s="3" t="s">
        <v>50</v>
      </c>
      <c r="G699" s="3" t="s">
        <v>30</v>
      </c>
      <c r="H699" s="3" t="s">
        <v>67</v>
      </c>
      <c r="I699" s="3" t="s">
        <v>1598</v>
      </c>
      <c r="J699" s="3" t="s">
        <v>171</v>
      </c>
      <c r="K699" s="3">
        <v>1</v>
      </c>
      <c r="L699" s="3">
        <v>10354.73</v>
      </c>
      <c r="M699" s="3">
        <v>10354.73</v>
      </c>
      <c r="N699" s="3">
        <v>7471.23</v>
      </c>
      <c r="O699" s="3">
        <v>2883.5</v>
      </c>
      <c r="P699" s="3" t="s">
        <v>26</v>
      </c>
    </row>
    <row r="700" spans="1:16" x14ac:dyDescent="0.35">
      <c r="A700" s="3" t="s">
        <v>1599</v>
      </c>
      <c r="B700" s="3" t="s">
        <v>1600</v>
      </c>
      <c r="C700" s="3" t="s">
        <v>103</v>
      </c>
      <c r="D700" s="3" t="s">
        <v>90</v>
      </c>
      <c r="E700" s="3" t="s">
        <v>119</v>
      </c>
      <c r="F700" s="3" t="s">
        <v>120</v>
      </c>
      <c r="G700" s="3" t="s">
        <v>51</v>
      </c>
      <c r="H700" s="3" t="s">
        <v>52</v>
      </c>
      <c r="I700" s="3" t="s">
        <v>1601</v>
      </c>
      <c r="J700" s="3" t="s">
        <v>100</v>
      </c>
      <c r="K700" s="3">
        <v>7</v>
      </c>
      <c r="L700" s="3">
        <v>23.35</v>
      </c>
      <c r="M700" s="3">
        <v>163.44999999999999</v>
      </c>
      <c r="N700" s="3">
        <v>72.05</v>
      </c>
      <c r="O700" s="3">
        <v>91.4</v>
      </c>
      <c r="P700" s="3" t="s">
        <v>86</v>
      </c>
    </row>
    <row r="701" spans="1:16" x14ac:dyDescent="0.35">
      <c r="A701" s="3" t="s">
        <v>1602</v>
      </c>
      <c r="B701" s="3" t="s">
        <v>604</v>
      </c>
      <c r="C701" s="3" t="s">
        <v>118</v>
      </c>
      <c r="D701" s="3" t="s">
        <v>90</v>
      </c>
      <c r="E701" s="3" t="s">
        <v>119</v>
      </c>
      <c r="F701" s="3" t="s">
        <v>120</v>
      </c>
      <c r="G701" s="3" t="s">
        <v>30</v>
      </c>
      <c r="H701" s="3" t="s">
        <v>31</v>
      </c>
      <c r="I701" s="3" t="s">
        <v>1603</v>
      </c>
      <c r="J701" s="3" t="s">
        <v>25</v>
      </c>
      <c r="K701" s="3">
        <v>4</v>
      </c>
      <c r="L701" s="3">
        <v>2646.56</v>
      </c>
      <c r="M701" s="3">
        <v>10586.24</v>
      </c>
      <c r="N701" s="3">
        <v>7272.52</v>
      </c>
      <c r="O701" s="3">
        <v>3313.72</v>
      </c>
      <c r="P701" s="3" t="s">
        <v>45</v>
      </c>
    </row>
    <row r="702" spans="1:16" x14ac:dyDescent="0.35">
      <c r="A702" s="3" t="s">
        <v>1604</v>
      </c>
      <c r="B702" s="3" t="s">
        <v>1142</v>
      </c>
      <c r="C702" s="3" t="s">
        <v>37</v>
      </c>
      <c r="D702" s="3" t="s">
        <v>38</v>
      </c>
      <c r="E702" s="3" t="s">
        <v>39</v>
      </c>
      <c r="F702" s="3" t="s">
        <v>40</v>
      </c>
      <c r="G702" s="3" t="s">
        <v>41</v>
      </c>
      <c r="H702" s="3" t="s">
        <v>61</v>
      </c>
      <c r="I702" s="3" t="s">
        <v>1605</v>
      </c>
      <c r="J702" s="3" t="s">
        <v>171</v>
      </c>
      <c r="K702" s="3">
        <v>4</v>
      </c>
      <c r="L702" s="3">
        <v>2618.67</v>
      </c>
      <c r="M702" s="3">
        <v>10474.68</v>
      </c>
      <c r="N702" s="3">
        <v>6627.79</v>
      </c>
      <c r="O702" s="3">
        <v>3846.89</v>
      </c>
      <c r="P702" s="3" t="s">
        <v>45</v>
      </c>
    </row>
    <row r="703" spans="1:16" x14ac:dyDescent="0.35">
      <c r="A703" s="3" t="s">
        <v>1606</v>
      </c>
      <c r="B703" s="3" t="s">
        <v>565</v>
      </c>
      <c r="C703" s="3" t="s">
        <v>137</v>
      </c>
      <c r="D703" s="3" t="s">
        <v>90</v>
      </c>
      <c r="E703" s="3" t="s">
        <v>97</v>
      </c>
      <c r="F703" s="3" t="s">
        <v>98</v>
      </c>
      <c r="G703" s="3" t="s">
        <v>41</v>
      </c>
      <c r="H703" s="3" t="s">
        <v>138</v>
      </c>
      <c r="I703" s="3" t="s">
        <v>1607</v>
      </c>
      <c r="J703" s="3" t="s">
        <v>25</v>
      </c>
      <c r="K703" s="3">
        <v>6</v>
      </c>
      <c r="L703" s="3">
        <v>18977.23</v>
      </c>
      <c r="M703" s="3">
        <v>113863.38</v>
      </c>
      <c r="N703" s="3">
        <v>86264.05</v>
      </c>
      <c r="O703" s="3">
        <v>27599.33</v>
      </c>
      <c r="P703" s="3" t="s">
        <v>86</v>
      </c>
    </row>
    <row r="704" spans="1:16" x14ac:dyDescent="0.35">
      <c r="A704" s="3" t="s">
        <v>1608</v>
      </c>
      <c r="B704" s="3" t="s">
        <v>209</v>
      </c>
      <c r="C704" s="3" t="s">
        <v>118</v>
      </c>
      <c r="D704" s="3" t="s">
        <v>19</v>
      </c>
      <c r="E704" s="3" t="s">
        <v>199</v>
      </c>
      <c r="F704" s="3" t="s">
        <v>200</v>
      </c>
      <c r="G704" s="3" t="s">
        <v>51</v>
      </c>
      <c r="H704" s="3" t="s">
        <v>145</v>
      </c>
      <c r="I704" s="3" t="s">
        <v>456</v>
      </c>
      <c r="J704" s="3" t="s">
        <v>161</v>
      </c>
      <c r="K704" s="3">
        <v>4</v>
      </c>
      <c r="L704" s="3">
        <v>112.83</v>
      </c>
      <c r="M704" s="3">
        <v>451.32</v>
      </c>
      <c r="N704" s="3">
        <v>250.12</v>
      </c>
      <c r="O704" s="3">
        <v>201.2</v>
      </c>
      <c r="P704" s="3" t="s">
        <v>69</v>
      </c>
    </row>
    <row r="705" spans="1:16" x14ac:dyDescent="0.35">
      <c r="A705" s="3" t="s">
        <v>1609</v>
      </c>
      <c r="B705" s="3" t="s">
        <v>639</v>
      </c>
      <c r="C705" s="3" t="s">
        <v>72</v>
      </c>
      <c r="D705" s="3" t="s">
        <v>19</v>
      </c>
      <c r="E705" s="3" t="s">
        <v>199</v>
      </c>
      <c r="F705" s="3" t="s">
        <v>200</v>
      </c>
      <c r="G705" s="3" t="s">
        <v>51</v>
      </c>
      <c r="H705" s="3" t="s">
        <v>52</v>
      </c>
      <c r="I705" s="3" t="s">
        <v>1610</v>
      </c>
      <c r="J705" s="3" t="s">
        <v>188</v>
      </c>
      <c r="K705" s="3">
        <v>4</v>
      </c>
      <c r="L705" s="3">
        <v>27.01</v>
      </c>
      <c r="M705" s="3">
        <v>108.04</v>
      </c>
      <c r="N705" s="3">
        <v>38.799999999999997</v>
      </c>
      <c r="O705" s="3">
        <v>69.239999999999995</v>
      </c>
      <c r="P705" s="3" t="s">
        <v>86</v>
      </c>
    </row>
    <row r="706" spans="1:16" x14ac:dyDescent="0.35">
      <c r="A706" s="3" t="s">
        <v>1611</v>
      </c>
      <c r="B706" s="3" t="s">
        <v>1612</v>
      </c>
      <c r="C706" s="3" t="s">
        <v>48</v>
      </c>
      <c r="D706" s="3" t="s">
        <v>19</v>
      </c>
      <c r="E706" s="3" t="s">
        <v>49</v>
      </c>
      <c r="F706" s="3" t="s">
        <v>50</v>
      </c>
      <c r="G706" s="3" t="s">
        <v>41</v>
      </c>
      <c r="H706" s="3" t="s">
        <v>138</v>
      </c>
      <c r="I706" s="3" t="s">
        <v>1068</v>
      </c>
      <c r="J706" s="3" t="s">
        <v>161</v>
      </c>
      <c r="K706" s="3">
        <v>2</v>
      </c>
      <c r="L706" s="3">
        <v>18441.939999999999</v>
      </c>
      <c r="M706" s="3">
        <v>36883.879999999997</v>
      </c>
      <c r="N706" s="3">
        <v>29352.91</v>
      </c>
      <c r="O706" s="3">
        <v>7530.97</v>
      </c>
      <c r="P706" s="3" t="s">
        <v>45</v>
      </c>
    </row>
    <row r="707" spans="1:16" x14ac:dyDescent="0.35">
      <c r="A707" s="3" t="s">
        <v>1613</v>
      </c>
      <c r="B707" s="3" t="s">
        <v>438</v>
      </c>
      <c r="C707" s="3" t="s">
        <v>89</v>
      </c>
      <c r="D707" s="3" t="s">
        <v>19</v>
      </c>
      <c r="E707" s="3" t="s">
        <v>20</v>
      </c>
      <c r="F707" s="3" t="s">
        <v>21</v>
      </c>
      <c r="G707" s="3" t="s">
        <v>30</v>
      </c>
      <c r="H707" s="3" t="s">
        <v>31</v>
      </c>
      <c r="I707" s="3" t="s">
        <v>1614</v>
      </c>
      <c r="J707" s="3" t="s">
        <v>154</v>
      </c>
      <c r="K707" s="3">
        <v>5</v>
      </c>
      <c r="L707" s="3">
        <v>2537.02</v>
      </c>
      <c r="M707" s="3">
        <v>12685.1</v>
      </c>
      <c r="N707" s="3">
        <v>9929.18</v>
      </c>
      <c r="O707" s="3">
        <v>2755.92</v>
      </c>
      <c r="P707" s="3" t="s">
        <v>45</v>
      </c>
    </row>
    <row r="708" spans="1:16" x14ac:dyDescent="0.35">
      <c r="A708" s="3" t="s">
        <v>1615</v>
      </c>
      <c r="B708" s="3" t="s">
        <v>840</v>
      </c>
      <c r="C708" s="3" t="s">
        <v>57</v>
      </c>
      <c r="D708" s="3" t="s">
        <v>38</v>
      </c>
      <c r="E708" s="3" t="s">
        <v>104</v>
      </c>
      <c r="F708" s="3" t="s">
        <v>104</v>
      </c>
      <c r="G708" s="3" t="s">
        <v>51</v>
      </c>
      <c r="H708" s="3" t="s">
        <v>145</v>
      </c>
      <c r="I708" s="3" t="s">
        <v>1616</v>
      </c>
      <c r="J708" s="3" t="s">
        <v>154</v>
      </c>
      <c r="K708" s="3">
        <v>4</v>
      </c>
      <c r="L708" s="3">
        <v>109.07</v>
      </c>
      <c r="M708" s="3">
        <v>436.28</v>
      </c>
      <c r="N708" s="3">
        <v>236.15</v>
      </c>
      <c r="O708" s="3">
        <v>200.13</v>
      </c>
      <c r="P708" s="3" t="s">
        <v>34</v>
      </c>
    </row>
    <row r="709" spans="1:16" x14ac:dyDescent="0.35">
      <c r="A709" s="3" t="s">
        <v>1617</v>
      </c>
      <c r="B709" s="3" t="s">
        <v>547</v>
      </c>
      <c r="C709" s="3" t="s">
        <v>89</v>
      </c>
      <c r="D709" s="3" t="s">
        <v>58</v>
      </c>
      <c r="E709" s="3" t="s">
        <v>59</v>
      </c>
      <c r="F709" s="3" t="s">
        <v>60</v>
      </c>
      <c r="G709" s="3" t="s">
        <v>30</v>
      </c>
      <c r="H709" s="3" t="s">
        <v>67</v>
      </c>
      <c r="I709" s="3" t="s">
        <v>1571</v>
      </c>
      <c r="J709" s="3" t="s">
        <v>131</v>
      </c>
      <c r="K709" s="3">
        <v>5</v>
      </c>
      <c r="L709" s="3">
        <v>9652.64</v>
      </c>
      <c r="M709" s="3">
        <v>48263.199999999997</v>
      </c>
      <c r="N709" s="3">
        <v>36805.769999999997</v>
      </c>
      <c r="O709" s="3">
        <v>11457.43</v>
      </c>
      <c r="P709" s="3" t="s">
        <v>45</v>
      </c>
    </row>
    <row r="710" spans="1:16" x14ac:dyDescent="0.35">
      <c r="A710" s="3" t="s">
        <v>1618</v>
      </c>
      <c r="B710" s="3" t="s">
        <v>228</v>
      </c>
      <c r="C710" s="3" t="s">
        <v>114</v>
      </c>
      <c r="D710" s="3" t="s">
        <v>58</v>
      </c>
      <c r="E710" s="3" t="s">
        <v>176</v>
      </c>
      <c r="F710" s="3" t="s">
        <v>177</v>
      </c>
      <c r="G710" s="3" t="s">
        <v>22</v>
      </c>
      <c r="H710" s="3" t="s">
        <v>83</v>
      </c>
      <c r="I710" s="3" t="s">
        <v>1619</v>
      </c>
      <c r="J710" s="3" t="s">
        <v>85</v>
      </c>
      <c r="K710" s="3">
        <v>2</v>
      </c>
      <c r="L710" s="3">
        <v>23570.61</v>
      </c>
      <c r="M710" s="3">
        <v>47141.22</v>
      </c>
      <c r="N710" s="3">
        <v>34423.300000000003</v>
      </c>
      <c r="O710" s="3">
        <v>12717.92</v>
      </c>
      <c r="P710" s="3" t="s">
        <v>45</v>
      </c>
    </row>
    <row r="711" spans="1:16" x14ac:dyDescent="0.35">
      <c r="A711" s="3" t="s">
        <v>1620</v>
      </c>
      <c r="B711" s="3" t="s">
        <v>883</v>
      </c>
      <c r="C711" s="3" t="s">
        <v>37</v>
      </c>
      <c r="D711" s="3" t="s">
        <v>38</v>
      </c>
      <c r="E711" s="3" t="s">
        <v>104</v>
      </c>
      <c r="F711" s="3" t="s">
        <v>104</v>
      </c>
      <c r="G711" s="3" t="s">
        <v>30</v>
      </c>
      <c r="H711" s="3" t="s">
        <v>73</v>
      </c>
      <c r="I711" s="3" t="s">
        <v>1621</v>
      </c>
      <c r="J711" s="3" t="s">
        <v>217</v>
      </c>
      <c r="K711" s="3">
        <v>1</v>
      </c>
      <c r="L711" s="3">
        <v>3259.93</v>
      </c>
      <c r="M711" s="3">
        <v>3259.93</v>
      </c>
      <c r="N711" s="3">
        <v>2515.2600000000002</v>
      </c>
      <c r="O711" s="3">
        <v>744.67</v>
      </c>
      <c r="P711" s="3" t="s">
        <v>34</v>
      </c>
    </row>
    <row r="712" spans="1:16" x14ac:dyDescent="0.35">
      <c r="A712" s="3" t="s">
        <v>1622</v>
      </c>
      <c r="B712" s="3" t="s">
        <v>1623</v>
      </c>
      <c r="C712" s="3" t="s">
        <v>29</v>
      </c>
      <c r="D712" s="3" t="s">
        <v>19</v>
      </c>
      <c r="E712" s="3" t="s">
        <v>199</v>
      </c>
      <c r="F712" s="3" t="s">
        <v>200</v>
      </c>
      <c r="G712" s="3" t="s">
        <v>22</v>
      </c>
      <c r="H712" s="3" t="s">
        <v>83</v>
      </c>
      <c r="I712" s="3" t="s">
        <v>1624</v>
      </c>
      <c r="J712" s="3" t="s">
        <v>154</v>
      </c>
      <c r="K712" s="3">
        <v>5</v>
      </c>
      <c r="L712" s="3">
        <v>22519.53</v>
      </c>
      <c r="M712" s="3">
        <v>112597.65</v>
      </c>
      <c r="N712" s="3">
        <v>86730.82</v>
      </c>
      <c r="O712" s="3">
        <v>25866.83</v>
      </c>
      <c r="P712" s="3" t="s">
        <v>69</v>
      </c>
    </row>
    <row r="713" spans="1:16" x14ac:dyDescent="0.35">
      <c r="A713" s="3" t="s">
        <v>1625</v>
      </c>
      <c r="B713" s="3" t="s">
        <v>478</v>
      </c>
      <c r="C713" s="3" t="s">
        <v>82</v>
      </c>
      <c r="D713" s="3" t="s">
        <v>19</v>
      </c>
      <c r="E713" s="3" t="s">
        <v>20</v>
      </c>
      <c r="F713" s="3" t="s">
        <v>21</v>
      </c>
      <c r="G713" s="3" t="s">
        <v>22</v>
      </c>
      <c r="H713" s="3" t="s">
        <v>23</v>
      </c>
      <c r="I713" s="3" t="s">
        <v>1626</v>
      </c>
      <c r="J713" s="3" t="s">
        <v>171</v>
      </c>
      <c r="K713" s="3">
        <v>3</v>
      </c>
      <c r="L713" s="3">
        <v>3743.83</v>
      </c>
      <c r="M713" s="3">
        <v>11231.49</v>
      </c>
      <c r="N713" s="3">
        <v>6391.39</v>
      </c>
      <c r="O713" s="3">
        <v>4840.1000000000004</v>
      </c>
      <c r="P713" s="3" t="s">
        <v>69</v>
      </c>
    </row>
    <row r="714" spans="1:16" x14ac:dyDescent="0.35">
      <c r="A714" s="3" t="s">
        <v>1627</v>
      </c>
      <c r="B714" s="3" t="s">
        <v>654</v>
      </c>
      <c r="C714" s="3" t="s">
        <v>103</v>
      </c>
      <c r="D714" s="3" t="s">
        <v>38</v>
      </c>
      <c r="E714" s="3" t="s">
        <v>39</v>
      </c>
      <c r="F714" s="3" t="s">
        <v>40</v>
      </c>
      <c r="G714" s="3" t="s">
        <v>22</v>
      </c>
      <c r="H714" s="3" t="s">
        <v>83</v>
      </c>
      <c r="I714" s="3" t="s">
        <v>1628</v>
      </c>
      <c r="J714" s="3" t="s">
        <v>85</v>
      </c>
      <c r="K714" s="3">
        <v>6</v>
      </c>
      <c r="L714" s="3">
        <v>21922.31</v>
      </c>
      <c r="M714" s="3">
        <v>131533.85999999999</v>
      </c>
      <c r="N714" s="3">
        <v>103693.08</v>
      </c>
      <c r="O714" s="3">
        <v>27840.78</v>
      </c>
      <c r="P714" s="3" t="s">
        <v>45</v>
      </c>
    </row>
    <row r="715" spans="1:16" x14ac:dyDescent="0.35">
      <c r="A715" s="3" t="s">
        <v>1629</v>
      </c>
      <c r="B715" s="3" t="s">
        <v>381</v>
      </c>
      <c r="C715" s="3" t="s">
        <v>18</v>
      </c>
      <c r="D715" s="3" t="s">
        <v>38</v>
      </c>
      <c r="E715" s="3" t="s">
        <v>109</v>
      </c>
      <c r="F715" s="3" t="s">
        <v>110</v>
      </c>
      <c r="G715" s="3" t="s">
        <v>51</v>
      </c>
      <c r="H715" s="3" t="s">
        <v>145</v>
      </c>
      <c r="I715" s="3" t="s">
        <v>1630</v>
      </c>
      <c r="J715" s="3" t="s">
        <v>33</v>
      </c>
      <c r="K715" s="3">
        <v>7</v>
      </c>
      <c r="L715" s="3">
        <v>119.2</v>
      </c>
      <c r="M715" s="3">
        <v>834.4</v>
      </c>
      <c r="N715" s="3">
        <v>440.79</v>
      </c>
      <c r="O715" s="3">
        <v>393.61</v>
      </c>
      <c r="P715" s="3" t="s">
        <v>69</v>
      </c>
    </row>
    <row r="716" spans="1:16" x14ac:dyDescent="0.35">
      <c r="A716" s="3" t="s">
        <v>1631</v>
      </c>
      <c r="B716" s="3" t="s">
        <v>904</v>
      </c>
      <c r="C716" s="3" t="s">
        <v>118</v>
      </c>
      <c r="D716" s="3" t="s">
        <v>38</v>
      </c>
      <c r="E716" s="3" t="s">
        <v>39</v>
      </c>
      <c r="F716" s="3" t="s">
        <v>40</v>
      </c>
      <c r="G716" s="3" t="s">
        <v>30</v>
      </c>
      <c r="H716" s="3" t="s">
        <v>73</v>
      </c>
      <c r="I716" s="3" t="s">
        <v>1632</v>
      </c>
      <c r="J716" s="3" t="s">
        <v>79</v>
      </c>
      <c r="K716" s="3">
        <v>5</v>
      </c>
      <c r="L716" s="3">
        <v>3286.09</v>
      </c>
      <c r="M716" s="3">
        <v>16430.45</v>
      </c>
      <c r="N716" s="3">
        <v>11824.65</v>
      </c>
      <c r="O716" s="3">
        <v>4605.8</v>
      </c>
      <c r="P716" s="3" t="s">
        <v>45</v>
      </c>
    </row>
    <row r="717" spans="1:16" x14ac:dyDescent="0.35">
      <c r="A717" s="3" t="s">
        <v>1633</v>
      </c>
      <c r="B717" s="3" t="s">
        <v>629</v>
      </c>
      <c r="C717" s="3" t="s">
        <v>29</v>
      </c>
      <c r="D717" s="3" t="s">
        <v>38</v>
      </c>
      <c r="E717" s="3" t="s">
        <v>39</v>
      </c>
      <c r="F717" s="3" t="s">
        <v>40</v>
      </c>
      <c r="G717" s="3" t="s">
        <v>51</v>
      </c>
      <c r="H717" s="3" t="s">
        <v>77</v>
      </c>
      <c r="I717" s="3" t="s">
        <v>1634</v>
      </c>
      <c r="J717" s="3" t="s">
        <v>217</v>
      </c>
      <c r="K717" s="3">
        <v>4</v>
      </c>
      <c r="L717" s="3">
        <v>12139.04</v>
      </c>
      <c r="M717" s="3">
        <v>48556.160000000003</v>
      </c>
      <c r="N717" s="3">
        <v>34914.639999999999</v>
      </c>
      <c r="O717" s="3">
        <v>13641.52</v>
      </c>
      <c r="P717" s="3" t="s">
        <v>34</v>
      </c>
    </row>
    <row r="718" spans="1:16" x14ac:dyDescent="0.35">
      <c r="A718" s="3" t="s">
        <v>1635</v>
      </c>
      <c r="B718" s="3" t="s">
        <v>889</v>
      </c>
      <c r="C718" s="3" t="s">
        <v>82</v>
      </c>
      <c r="D718" s="3" t="s">
        <v>90</v>
      </c>
      <c r="E718" s="3" t="s">
        <v>119</v>
      </c>
      <c r="F718" s="3" t="s">
        <v>120</v>
      </c>
      <c r="G718" s="3" t="s">
        <v>30</v>
      </c>
      <c r="H718" s="3" t="s">
        <v>67</v>
      </c>
      <c r="I718" s="3" t="s">
        <v>803</v>
      </c>
      <c r="J718" s="3" t="s">
        <v>54</v>
      </c>
      <c r="K718" s="3">
        <v>8</v>
      </c>
      <c r="L718" s="3">
        <v>9370.92</v>
      </c>
      <c r="M718" s="3">
        <v>74967.360000000001</v>
      </c>
      <c r="N718" s="3">
        <v>59590.37</v>
      </c>
      <c r="O718" s="3">
        <v>15376.99</v>
      </c>
      <c r="P718" s="3" t="s">
        <v>45</v>
      </c>
    </row>
    <row r="719" spans="1:16" x14ac:dyDescent="0.35">
      <c r="A719" s="3" t="s">
        <v>1636</v>
      </c>
      <c r="B719" s="3" t="s">
        <v>446</v>
      </c>
      <c r="C719" s="3" t="s">
        <v>29</v>
      </c>
      <c r="D719" s="3" t="s">
        <v>58</v>
      </c>
      <c r="E719" s="3" t="s">
        <v>176</v>
      </c>
      <c r="F719" s="3" t="s">
        <v>177</v>
      </c>
      <c r="G719" s="3" t="s">
        <v>41</v>
      </c>
      <c r="H719" s="3" t="s">
        <v>42</v>
      </c>
      <c r="I719" s="3" t="s">
        <v>1637</v>
      </c>
      <c r="J719" s="3" t="s">
        <v>161</v>
      </c>
      <c r="K719" s="3">
        <v>2</v>
      </c>
      <c r="L719" s="3">
        <v>42168.6</v>
      </c>
      <c r="M719" s="3">
        <v>84337.2</v>
      </c>
      <c r="N719" s="3">
        <v>73249.509999999995</v>
      </c>
      <c r="O719" s="3">
        <v>11087.69</v>
      </c>
      <c r="P719" s="3" t="s">
        <v>69</v>
      </c>
    </row>
    <row r="720" spans="1:16" x14ac:dyDescent="0.35">
      <c r="A720" s="3" t="s">
        <v>1638</v>
      </c>
      <c r="B720" s="3" t="s">
        <v>102</v>
      </c>
      <c r="C720" s="3" t="s">
        <v>103</v>
      </c>
      <c r="D720" s="3" t="s">
        <v>38</v>
      </c>
      <c r="E720" s="3" t="s">
        <v>104</v>
      </c>
      <c r="F720" s="3" t="s">
        <v>104</v>
      </c>
      <c r="G720" s="3" t="s">
        <v>51</v>
      </c>
      <c r="H720" s="3" t="s">
        <v>77</v>
      </c>
      <c r="I720" s="3" t="s">
        <v>878</v>
      </c>
      <c r="J720" s="3" t="s">
        <v>85</v>
      </c>
      <c r="K720" s="3">
        <v>2</v>
      </c>
      <c r="L720" s="3">
        <v>11750.12</v>
      </c>
      <c r="M720" s="3">
        <v>23500.240000000002</v>
      </c>
      <c r="N720" s="3">
        <v>18142.91</v>
      </c>
      <c r="O720" s="3">
        <v>5357.33</v>
      </c>
      <c r="P720" s="3" t="s">
        <v>69</v>
      </c>
    </row>
    <row r="721" spans="1:16" x14ac:dyDescent="0.35">
      <c r="A721" s="3" t="s">
        <v>1639</v>
      </c>
      <c r="B721" s="3" t="s">
        <v>305</v>
      </c>
      <c r="C721" s="3" t="s">
        <v>18</v>
      </c>
      <c r="D721" s="3" t="s">
        <v>90</v>
      </c>
      <c r="E721" s="3" t="s">
        <v>119</v>
      </c>
      <c r="F721" s="3" t="s">
        <v>120</v>
      </c>
      <c r="G721" s="3" t="s">
        <v>22</v>
      </c>
      <c r="H721" s="3" t="s">
        <v>23</v>
      </c>
      <c r="I721" s="3" t="s">
        <v>1640</v>
      </c>
      <c r="J721" s="3" t="s">
        <v>154</v>
      </c>
      <c r="K721" s="3">
        <v>1</v>
      </c>
      <c r="L721" s="3">
        <v>3163.95</v>
      </c>
      <c r="M721" s="3">
        <v>3163.95</v>
      </c>
      <c r="N721" s="3">
        <v>2144.44</v>
      </c>
      <c r="O721" s="3">
        <v>1019.51</v>
      </c>
      <c r="P721" s="3" t="s">
        <v>86</v>
      </c>
    </row>
    <row r="722" spans="1:16" x14ac:dyDescent="0.35">
      <c r="A722" s="3" t="s">
        <v>1641</v>
      </c>
      <c r="B722" s="3" t="s">
        <v>336</v>
      </c>
      <c r="C722" s="3" t="s">
        <v>29</v>
      </c>
      <c r="D722" s="3" t="s">
        <v>38</v>
      </c>
      <c r="E722" s="3" t="s">
        <v>39</v>
      </c>
      <c r="F722" s="3" t="s">
        <v>40</v>
      </c>
      <c r="G722" s="3" t="s">
        <v>30</v>
      </c>
      <c r="H722" s="3" t="s">
        <v>73</v>
      </c>
      <c r="I722" s="3" t="s">
        <v>1642</v>
      </c>
      <c r="J722" s="3" t="s">
        <v>161</v>
      </c>
      <c r="K722" s="3">
        <v>6</v>
      </c>
      <c r="L722" s="3">
        <v>3004.23</v>
      </c>
      <c r="M722" s="3">
        <v>18025.38</v>
      </c>
      <c r="N722" s="3">
        <v>14482.45</v>
      </c>
      <c r="O722" s="3">
        <v>3542.93</v>
      </c>
      <c r="P722" s="3" t="s">
        <v>86</v>
      </c>
    </row>
    <row r="723" spans="1:16" x14ac:dyDescent="0.35">
      <c r="A723" s="3" t="s">
        <v>1643</v>
      </c>
      <c r="B723" s="3" t="s">
        <v>1644</v>
      </c>
      <c r="C723" s="3" t="s">
        <v>118</v>
      </c>
      <c r="D723" s="3" t="s">
        <v>19</v>
      </c>
      <c r="E723" s="3" t="s">
        <v>20</v>
      </c>
      <c r="F723" s="3" t="s">
        <v>21</v>
      </c>
      <c r="G723" s="3" t="s">
        <v>41</v>
      </c>
      <c r="H723" s="3" t="s">
        <v>61</v>
      </c>
      <c r="I723" s="3" t="s">
        <v>1645</v>
      </c>
      <c r="J723" s="3" t="s">
        <v>79</v>
      </c>
      <c r="K723" s="3">
        <v>2</v>
      </c>
      <c r="L723" s="3">
        <v>2740.2</v>
      </c>
      <c r="M723" s="3">
        <v>5480.4</v>
      </c>
      <c r="N723" s="3">
        <v>3178.88</v>
      </c>
      <c r="O723" s="3">
        <v>2301.52</v>
      </c>
      <c r="P723" s="3" t="s">
        <v>86</v>
      </c>
    </row>
    <row r="724" spans="1:16" x14ac:dyDescent="0.35">
      <c r="A724" s="3" t="s">
        <v>1646</v>
      </c>
      <c r="B724" s="3" t="s">
        <v>1216</v>
      </c>
      <c r="C724" s="3" t="s">
        <v>114</v>
      </c>
      <c r="D724" s="3" t="s">
        <v>90</v>
      </c>
      <c r="E724" s="3" t="s">
        <v>91</v>
      </c>
      <c r="F724" s="3" t="s">
        <v>92</v>
      </c>
      <c r="G724" s="3" t="s">
        <v>30</v>
      </c>
      <c r="H724" s="3" t="s">
        <v>67</v>
      </c>
      <c r="I724" s="3" t="s">
        <v>1647</v>
      </c>
      <c r="J724" s="3" t="s">
        <v>79</v>
      </c>
      <c r="K724" s="3">
        <v>8</v>
      </c>
      <c r="L724" s="3">
        <v>10153.870000000001</v>
      </c>
      <c r="M724" s="3">
        <v>81230.960000000006</v>
      </c>
      <c r="N724" s="3">
        <v>62942.35</v>
      </c>
      <c r="O724" s="3">
        <v>18288.61</v>
      </c>
      <c r="P724" s="3" t="s">
        <v>34</v>
      </c>
    </row>
    <row r="725" spans="1:16" x14ac:dyDescent="0.35">
      <c r="A725" s="3" t="s">
        <v>1648</v>
      </c>
      <c r="B725" s="3" t="s">
        <v>1455</v>
      </c>
      <c r="C725" s="3" t="s">
        <v>103</v>
      </c>
      <c r="D725" s="3" t="s">
        <v>38</v>
      </c>
      <c r="E725" s="3" t="s">
        <v>104</v>
      </c>
      <c r="F725" s="3" t="s">
        <v>104</v>
      </c>
      <c r="G725" s="3" t="s">
        <v>51</v>
      </c>
      <c r="H725" s="3" t="s">
        <v>77</v>
      </c>
      <c r="I725" s="3" t="s">
        <v>1649</v>
      </c>
      <c r="J725" s="3" t="s">
        <v>79</v>
      </c>
      <c r="K725" s="3">
        <v>3</v>
      </c>
      <c r="L725" s="3">
        <v>12789.63</v>
      </c>
      <c r="M725" s="3">
        <v>38368.89</v>
      </c>
      <c r="N725" s="3">
        <v>27832.15</v>
      </c>
      <c r="O725" s="3">
        <v>10536.74</v>
      </c>
      <c r="P725" s="3" t="s">
        <v>69</v>
      </c>
    </row>
    <row r="726" spans="1:16" x14ac:dyDescent="0.35">
      <c r="A726" s="3" t="s">
        <v>1650</v>
      </c>
      <c r="B726" s="3" t="s">
        <v>1224</v>
      </c>
      <c r="C726" s="3" t="s">
        <v>37</v>
      </c>
      <c r="D726" s="3" t="s">
        <v>19</v>
      </c>
      <c r="E726" s="3" t="s">
        <v>199</v>
      </c>
      <c r="F726" s="3" t="s">
        <v>200</v>
      </c>
      <c r="G726" s="3" t="s">
        <v>22</v>
      </c>
      <c r="H726" s="3" t="s">
        <v>93</v>
      </c>
      <c r="I726" s="3" t="s">
        <v>1651</v>
      </c>
      <c r="J726" s="3" t="s">
        <v>217</v>
      </c>
      <c r="K726" s="3">
        <v>2</v>
      </c>
      <c r="L726" s="3">
        <v>7258.4</v>
      </c>
      <c r="M726" s="3">
        <v>14516.8</v>
      </c>
      <c r="N726" s="3">
        <v>9985.99</v>
      </c>
      <c r="O726" s="3">
        <v>4530.8100000000004</v>
      </c>
      <c r="P726" s="3" t="s">
        <v>86</v>
      </c>
    </row>
    <row r="727" spans="1:16" x14ac:dyDescent="0.35">
      <c r="A727" s="3" t="s">
        <v>1652</v>
      </c>
      <c r="B727" s="3" t="s">
        <v>1552</v>
      </c>
      <c r="C727" s="3" t="s">
        <v>114</v>
      </c>
      <c r="D727" s="3" t="s">
        <v>58</v>
      </c>
      <c r="E727" s="3" t="s">
        <v>65</v>
      </c>
      <c r="F727" s="3" t="s">
        <v>66</v>
      </c>
      <c r="G727" s="3" t="s">
        <v>30</v>
      </c>
      <c r="H727" s="3" t="s">
        <v>31</v>
      </c>
      <c r="I727" s="3" t="s">
        <v>62</v>
      </c>
      <c r="J727" s="3" t="s">
        <v>171</v>
      </c>
      <c r="K727" s="3">
        <v>2</v>
      </c>
      <c r="L727" s="3">
        <v>2822.84</v>
      </c>
      <c r="M727" s="3">
        <v>5645.68</v>
      </c>
      <c r="N727" s="3">
        <v>3657.56</v>
      </c>
      <c r="O727" s="3">
        <v>1988.12</v>
      </c>
      <c r="P727" s="3" t="s">
        <v>45</v>
      </c>
    </row>
    <row r="728" spans="1:16" x14ac:dyDescent="0.35">
      <c r="A728" s="3" t="s">
        <v>1653</v>
      </c>
      <c r="B728" s="3" t="s">
        <v>960</v>
      </c>
      <c r="C728" s="3" t="s">
        <v>114</v>
      </c>
      <c r="D728" s="3" t="s">
        <v>58</v>
      </c>
      <c r="E728" s="3" t="s">
        <v>176</v>
      </c>
      <c r="F728" s="3" t="s">
        <v>177</v>
      </c>
      <c r="G728" s="3" t="s">
        <v>22</v>
      </c>
      <c r="H728" s="3" t="s">
        <v>83</v>
      </c>
      <c r="I728" s="3" t="s">
        <v>983</v>
      </c>
      <c r="J728" s="3" t="s">
        <v>106</v>
      </c>
      <c r="K728" s="3">
        <v>7</v>
      </c>
      <c r="L728" s="3">
        <v>20902.63</v>
      </c>
      <c r="M728" s="3">
        <v>146318.41</v>
      </c>
      <c r="N728" s="3">
        <v>120812.47</v>
      </c>
      <c r="O728" s="3">
        <v>25505.94</v>
      </c>
      <c r="P728" s="3" t="s">
        <v>34</v>
      </c>
    </row>
    <row r="729" spans="1:16" x14ac:dyDescent="0.35">
      <c r="A729" s="3" t="s">
        <v>1654</v>
      </c>
      <c r="B729" s="3" t="s">
        <v>209</v>
      </c>
      <c r="C729" s="3" t="s">
        <v>118</v>
      </c>
      <c r="D729" s="3" t="s">
        <v>90</v>
      </c>
      <c r="E729" s="3" t="s">
        <v>119</v>
      </c>
      <c r="F729" s="3" t="s">
        <v>120</v>
      </c>
      <c r="G729" s="3" t="s">
        <v>30</v>
      </c>
      <c r="H729" s="3" t="s">
        <v>73</v>
      </c>
      <c r="I729" s="3" t="s">
        <v>1655</v>
      </c>
      <c r="J729" s="3" t="s">
        <v>154</v>
      </c>
      <c r="K729" s="3">
        <v>2</v>
      </c>
      <c r="L729" s="3">
        <v>3411.65</v>
      </c>
      <c r="M729" s="3">
        <v>6823.3</v>
      </c>
      <c r="N729" s="3">
        <v>4648.96</v>
      </c>
      <c r="O729" s="3">
        <v>2174.34</v>
      </c>
      <c r="P729" s="3" t="s">
        <v>45</v>
      </c>
    </row>
    <row r="730" spans="1:16" x14ac:dyDescent="0.35">
      <c r="A730" s="3" t="s">
        <v>1656</v>
      </c>
      <c r="B730" s="3" t="s">
        <v>299</v>
      </c>
      <c r="C730" s="3" t="s">
        <v>89</v>
      </c>
      <c r="D730" s="3" t="s">
        <v>90</v>
      </c>
      <c r="E730" s="3" t="s">
        <v>119</v>
      </c>
      <c r="F730" s="3" t="s">
        <v>120</v>
      </c>
      <c r="G730" s="3" t="s">
        <v>30</v>
      </c>
      <c r="H730" s="3" t="s">
        <v>73</v>
      </c>
      <c r="I730" s="3" t="s">
        <v>512</v>
      </c>
      <c r="J730" s="3" t="s">
        <v>33</v>
      </c>
      <c r="K730" s="3">
        <v>5</v>
      </c>
      <c r="L730" s="3">
        <v>3182.83</v>
      </c>
      <c r="M730" s="3">
        <v>15914.15</v>
      </c>
      <c r="N730" s="3">
        <v>12252.19</v>
      </c>
      <c r="O730" s="3">
        <v>3661.96</v>
      </c>
      <c r="P730" s="3" t="s">
        <v>34</v>
      </c>
    </row>
    <row r="731" spans="1:16" x14ac:dyDescent="0.35">
      <c r="A731" s="3" t="s">
        <v>1657</v>
      </c>
      <c r="B731" s="3" t="s">
        <v>636</v>
      </c>
      <c r="C731" s="3" t="s">
        <v>57</v>
      </c>
      <c r="D731" s="3" t="s">
        <v>38</v>
      </c>
      <c r="E731" s="3" t="s">
        <v>104</v>
      </c>
      <c r="F731" s="3" t="s">
        <v>104</v>
      </c>
      <c r="G731" s="3" t="s">
        <v>51</v>
      </c>
      <c r="H731" s="3" t="s">
        <v>145</v>
      </c>
      <c r="I731" s="3" t="s">
        <v>1658</v>
      </c>
      <c r="J731" s="3" t="s">
        <v>154</v>
      </c>
      <c r="K731" s="3">
        <v>8</v>
      </c>
      <c r="L731" s="3">
        <v>109.07</v>
      </c>
      <c r="M731" s="3">
        <v>872.56</v>
      </c>
      <c r="N731" s="3">
        <v>500.59</v>
      </c>
      <c r="O731" s="3">
        <v>371.97</v>
      </c>
      <c r="P731" s="3" t="s">
        <v>86</v>
      </c>
    </row>
    <row r="732" spans="1:16" x14ac:dyDescent="0.35">
      <c r="A732" s="3" t="s">
        <v>1659</v>
      </c>
      <c r="B732" s="3" t="s">
        <v>1216</v>
      </c>
      <c r="C732" s="3" t="s">
        <v>114</v>
      </c>
      <c r="D732" s="3" t="s">
        <v>58</v>
      </c>
      <c r="E732" s="3" t="s">
        <v>59</v>
      </c>
      <c r="F732" s="3" t="s">
        <v>60</v>
      </c>
      <c r="G732" s="3" t="s">
        <v>22</v>
      </c>
      <c r="H732" s="3" t="s">
        <v>23</v>
      </c>
      <c r="I732" s="3" t="s">
        <v>1200</v>
      </c>
      <c r="J732" s="3" t="s">
        <v>33</v>
      </c>
      <c r="K732" s="3">
        <v>3</v>
      </c>
      <c r="L732" s="3">
        <v>3437.69</v>
      </c>
      <c r="M732" s="3">
        <v>10313.07</v>
      </c>
      <c r="N732" s="3">
        <v>6571.62</v>
      </c>
      <c r="O732" s="3">
        <v>3741.45</v>
      </c>
      <c r="P732" s="3" t="s">
        <v>86</v>
      </c>
    </row>
    <row r="733" spans="1:16" x14ac:dyDescent="0.35">
      <c r="A733" s="3" t="s">
        <v>1660</v>
      </c>
      <c r="B733" s="3" t="s">
        <v>572</v>
      </c>
      <c r="C733" s="3" t="s">
        <v>72</v>
      </c>
      <c r="D733" s="3" t="s">
        <v>38</v>
      </c>
      <c r="E733" s="3" t="s">
        <v>104</v>
      </c>
      <c r="F733" s="3" t="s">
        <v>104</v>
      </c>
      <c r="G733" s="3" t="s">
        <v>22</v>
      </c>
      <c r="H733" s="3" t="s">
        <v>23</v>
      </c>
      <c r="I733" s="3" t="s">
        <v>755</v>
      </c>
      <c r="J733" s="3" t="s">
        <v>188</v>
      </c>
      <c r="K733" s="3">
        <v>6</v>
      </c>
      <c r="L733" s="3">
        <v>3320.53</v>
      </c>
      <c r="M733" s="3">
        <v>19923.18</v>
      </c>
      <c r="N733" s="3">
        <v>13856.01</v>
      </c>
      <c r="O733" s="3">
        <v>6067.17</v>
      </c>
      <c r="P733" s="3" t="s">
        <v>45</v>
      </c>
    </row>
    <row r="734" spans="1:16" x14ac:dyDescent="0.35">
      <c r="A734" s="3" t="s">
        <v>1661</v>
      </c>
      <c r="B734" s="3" t="s">
        <v>834</v>
      </c>
      <c r="C734" s="3" t="s">
        <v>114</v>
      </c>
      <c r="D734" s="3" t="s">
        <v>90</v>
      </c>
      <c r="E734" s="3" t="s">
        <v>97</v>
      </c>
      <c r="F734" s="3" t="s">
        <v>98</v>
      </c>
      <c r="G734" s="3" t="s">
        <v>22</v>
      </c>
      <c r="H734" s="3" t="s">
        <v>23</v>
      </c>
      <c r="I734" s="3" t="s">
        <v>1662</v>
      </c>
      <c r="J734" s="3" t="s">
        <v>79</v>
      </c>
      <c r="K734" s="3">
        <v>6</v>
      </c>
      <c r="L734" s="3">
        <v>3634.72</v>
      </c>
      <c r="M734" s="3">
        <v>21808.32</v>
      </c>
      <c r="N734" s="3">
        <v>13197.01</v>
      </c>
      <c r="O734" s="3">
        <v>8611.31</v>
      </c>
      <c r="P734" s="3" t="s">
        <v>26</v>
      </c>
    </row>
    <row r="735" spans="1:16" x14ac:dyDescent="0.35">
      <c r="A735" s="3" t="s">
        <v>1663</v>
      </c>
      <c r="B735" s="3" t="s">
        <v>547</v>
      </c>
      <c r="C735" s="3" t="s">
        <v>89</v>
      </c>
      <c r="D735" s="3" t="s">
        <v>19</v>
      </c>
      <c r="E735" s="3" t="s">
        <v>49</v>
      </c>
      <c r="F735" s="3" t="s">
        <v>50</v>
      </c>
      <c r="G735" s="3" t="s">
        <v>22</v>
      </c>
      <c r="H735" s="3" t="s">
        <v>23</v>
      </c>
      <c r="I735" s="3" t="s">
        <v>812</v>
      </c>
      <c r="J735" s="3" t="s">
        <v>79</v>
      </c>
      <c r="K735" s="3">
        <v>4</v>
      </c>
      <c r="L735" s="3">
        <v>3678.96</v>
      </c>
      <c r="M735" s="3">
        <v>14715.84</v>
      </c>
      <c r="N735" s="3">
        <v>8499.59</v>
      </c>
      <c r="O735" s="3">
        <v>6216.25</v>
      </c>
      <c r="P735" s="3" t="s">
        <v>45</v>
      </c>
    </row>
    <row r="736" spans="1:16" x14ac:dyDescent="0.35">
      <c r="A736" s="3" t="s">
        <v>1664</v>
      </c>
      <c r="B736" s="3" t="s">
        <v>883</v>
      </c>
      <c r="C736" s="3" t="s">
        <v>37</v>
      </c>
      <c r="D736" s="3" t="s">
        <v>90</v>
      </c>
      <c r="E736" s="3" t="s">
        <v>91</v>
      </c>
      <c r="F736" s="3" t="s">
        <v>92</v>
      </c>
      <c r="G736" s="3" t="s">
        <v>41</v>
      </c>
      <c r="H736" s="3" t="s">
        <v>61</v>
      </c>
      <c r="I736" s="3" t="s">
        <v>196</v>
      </c>
      <c r="J736" s="3" t="s">
        <v>154</v>
      </c>
      <c r="K736" s="3">
        <v>8</v>
      </c>
      <c r="L736" s="3">
        <v>2584.54</v>
      </c>
      <c r="M736" s="3">
        <v>20676.32</v>
      </c>
      <c r="N736" s="3">
        <v>12498.02</v>
      </c>
      <c r="O736" s="3">
        <v>8178.3</v>
      </c>
      <c r="P736" s="3" t="s">
        <v>69</v>
      </c>
    </row>
    <row r="737" spans="1:16" x14ac:dyDescent="0.35">
      <c r="A737" s="3" t="s">
        <v>1665</v>
      </c>
      <c r="B737" s="3" t="s">
        <v>443</v>
      </c>
      <c r="C737" s="3" t="s">
        <v>57</v>
      </c>
      <c r="D737" s="3" t="s">
        <v>58</v>
      </c>
      <c r="E737" s="3" t="s">
        <v>59</v>
      </c>
      <c r="F737" s="3" t="s">
        <v>60</v>
      </c>
      <c r="G737" s="3" t="s">
        <v>22</v>
      </c>
      <c r="H737" s="3" t="s">
        <v>23</v>
      </c>
      <c r="I737" s="3" t="s">
        <v>1000</v>
      </c>
      <c r="J737" s="3" t="s">
        <v>171</v>
      </c>
      <c r="K737" s="3">
        <v>7</v>
      </c>
      <c r="L737" s="3">
        <v>3577.33</v>
      </c>
      <c r="M737" s="3">
        <v>25041.31</v>
      </c>
      <c r="N737" s="3">
        <v>15735.08</v>
      </c>
      <c r="O737" s="3">
        <v>9306.23</v>
      </c>
      <c r="P737" s="3" t="s">
        <v>69</v>
      </c>
    </row>
    <row r="738" spans="1:16" x14ac:dyDescent="0.35">
      <c r="A738" s="3" t="s">
        <v>1666</v>
      </c>
      <c r="B738" s="3" t="s">
        <v>1667</v>
      </c>
      <c r="C738" s="3" t="s">
        <v>48</v>
      </c>
      <c r="D738" s="3" t="s">
        <v>19</v>
      </c>
      <c r="E738" s="3" t="s">
        <v>199</v>
      </c>
      <c r="F738" s="3" t="s">
        <v>200</v>
      </c>
      <c r="G738" s="3" t="s">
        <v>41</v>
      </c>
      <c r="H738" s="3" t="s">
        <v>138</v>
      </c>
      <c r="I738" s="3" t="s">
        <v>1668</v>
      </c>
      <c r="J738" s="3" t="s">
        <v>54</v>
      </c>
      <c r="K738" s="3">
        <v>2</v>
      </c>
      <c r="L738" s="3">
        <v>18442.07</v>
      </c>
      <c r="M738" s="3">
        <v>36884.14</v>
      </c>
      <c r="N738" s="3">
        <v>27221.59</v>
      </c>
      <c r="O738" s="3">
        <v>9662.5499999999993</v>
      </c>
      <c r="P738" s="3" t="s">
        <v>45</v>
      </c>
    </row>
    <row r="739" spans="1:16" x14ac:dyDescent="0.35">
      <c r="A739" s="3" t="s">
        <v>1669</v>
      </c>
      <c r="B739" s="3" t="s">
        <v>1670</v>
      </c>
      <c r="C739" s="3" t="s">
        <v>114</v>
      </c>
      <c r="D739" s="3" t="s">
        <v>38</v>
      </c>
      <c r="E739" s="3" t="s">
        <v>109</v>
      </c>
      <c r="F739" s="3" t="s">
        <v>110</v>
      </c>
      <c r="G739" s="3" t="s">
        <v>22</v>
      </c>
      <c r="H739" s="3" t="s">
        <v>83</v>
      </c>
      <c r="I739" s="3" t="s">
        <v>1671</v>
      </c>
      <c r="J739" s="3" t="s">
        <v>161</v>
      </c>
      <c r="K739" s="3">
        <v>4</v>
      </c>
      <c r="L739" s="3">
        <v>23691.23</v>
      </c>
      <c r="M739" s="3">
        <v>94764.92</v>
      </c>
      <c r="N739" s="3">
        <v>69930.03</v>
      </c>
      <c r="O739" s="3">
        <v>24834.89</v>
      </c>
      <c r="P739" s="3" t="s">
        <v>86</v>
      </c>
    </row>
    <row r="740" spans="1:16" x14ac:dyDescent="0.35">
      <c r="A740" s="3" t="s">
        <v>1672</v>
      </c>
      <c r="B740" s="3" t="s">
        <v>589</v>
      </c>
      <c r="C740" s="3" t="s">
        <v>137</v>
      </c>
      <c r="D740" s="3" t="s">
        <v>38</v>
      </c>
      <c r="E740" s="3" t="s">
        <v>109</v>
      </c>
      <c r="F740" s="3" t="s">
        <v>110</v>
      </c>
      <c r="G740" s="3" t="s">
        <v>41</v>
      </c>
      <c r="H740" s="3" t="s">
        <v>42</v>
      </c>
      <c r="I740" s="3" t="s">
        <v>1673</v>
      </c>
      <c r="J740" s="3" t="s">
        <v>171</v>
      </c>
      <c r="K740" s="3">
        <v>8</v>
      </c>
      <c r="L740" s="3">
        <v>46390.06</v>
      </c>
      <c r="M740" s="3">
        <v>371120.48</v>
      </c>
      <c r="N740" s="3">
        <v>288016.09000000003</v>
      </c>
      <c r="O740" s="3">
        <v>83104.39</v>
      </c>
      <c r="P740" s="3" t="s">
        <v>86</v>
      </c>
    </row>
    <row r="741" spans="1:16" x14ac:dyDescent="0.35">
      <c r="A741" s="3" t="s">
        <v>1674</v>
      </c>
      <c r="B741" s="3" t="s">
        <v>1667</v>
      </c>
      <c r="C741" s="3" t="s">
        <v>48</v>
      </c>
      <c r="D741" s="3" t="s">
        <v>38</v>
      </c>
      <c r="E741" s="3" t="s">
        <v>109</v>
      </c>
      <c r="F741" s="3" t="s">
        <v>110</v>
      </c>
      <c r="G741" s="3" t="s">
        <v>22</v>
      </c>
      <c r="H741" s="3" t="s">
        <v>93</v>
      </c>
      <c r="I741" s="3" t="s">
        <v>99</v>
      </c>
      <c r="J741" s="3" t="s">
        <v>106</v>
      </c>
      <c r="K741" s="3">
        <v>3</v>
      </c>
      <c r="L741" s="3">
        <v>6330.49</v>
      </c>
      <c r="M741" s="3">
        <v>18991.47</v>
      </c>
      <c r="N741" s="3">
        <v>15506.09</v>
      </c>
      <c r="O741" s="3">
        <v>3485.38</v>
      </c>
      <c r="P741" s="3" t="s">
        <v>45</v>
      </c>
    </row>
    <row r="742" spans="1:16" x14ac:dyDescent="0.35">
      <c r="A742" s="3" t="s">
        <v>1675</v>
      </c>
      <c r="B742" s="3" t="s">
        <v>634</v>
      </c>
      <c r="C742" s="3" t="s">
        <v>29</v>
      </c>
      <c r="D742" s="3" t="s">
        <v>58</v>
      </c>
      <c r="E742" s="3" t="s">
        <v>65</v>
      </c>
      <c r="F742" s="3" t="s">
        <v>66</v>
      </c>
      <c r="G742" s="3" t="s">
        <v>22</v>
      </c>
      <c r="H742" s="3" t="s">
        <v>93</v>
      </c>
      <c r="I742" s="3" t="s">
        <v>345</v>
      </c>
      <c r="J742" s="3" t="s">
        <v>131</v>
      </c>
      <c r="K742" s="3">
        <v>5</v>
      </c>
      <c r="L742" s="3">
        <v>6855.26</v>
      </c>
      <c r="M742" s="3">
        <v>34276.300000000003</v>
      </c>
      <c r="N742" s="3">
        <v>24896.1</v>
      </c>
      <c r="O742" s="3">
        <v>9380.2000000000007</v>
      </c>
      <c r="P742" s="3" t="s">
        <v>86</v>
      </c>
    </row>
    <row r="743" spans="1:16" x14ac:dyDescent="0.35">
      <c r="A743" s="3" t="s">
        <v>1676</v>
      </c>
      <c r="B743" s="3" t="s">
        <v>206</v>
      </c>
      <c r="C743" s="3" t="s">
        <v>137</v>
      </c>
      <c r="D743" s="3" t="s">
        <v>90</v>
      </c>
      <c r="E743" s="3" t="s">
        <v>97</v>
      </c>
      <c r="F743" s="3" t="s">
        <v>98</v>
      </c>
      <c r="G743" s="3" t="s">
        <v>51</v>
      </c>
      <c r="H743" s="3" t="s">
        <v>52</v>
      </c>
      <c r="I743" s="3" t="s">
        <v>43</v>
      </c>
      <c r="J743" s="3" t="s">
        <v>54</v>
      </c>
      <c r="K743" s="3">
        <v>8</v>
      </c>
      <c r="L743" s="3">
        <v>23.78</v>
      </c>
      <c r="M743" s="3">
        <v>190.24</v>
      </c>
      <c r="N743" s="3">
        <v>81.97</v>
      </c>
      <c r="O743" s="3">
        <v>108.27</v>
      </c>
      <c r="P743" s="3" t="s">
        <v>34</v>
      </c>
    </row>
    <row r="744" spans="1:16" x14ac:dyDescent="0.35">
      <c r="A744" s="3" t="s">
        <v>1677</v>
      </c>
      <c r="B744" s="3" t="s">
        <v>536</v>
      </c>
      <c r="C744" s="3" t="s">
        <v>18</v>
      </c>
      <c r="D744" s="3" t="s">
        <v>38</v>
      </c>
      <c r="E744" s="3" t="s">
        <v>109</v>
      </c>
      <c r="F744" s="3" t="s">
        <v>110</v>
      </c>
      <c r="G744" s="3" t="s">
        <v>51</v>
      </c>
      <c r="H744" s="3" t="s">
        <v>52</v>
      </c>
      <c r="I744" s="3" t="s">
        <v>1045</v>
      </c>
      <c r="J744" s="3" t="s">
        <v>147</v>
      </c>
      <c r="K744" s="3">
        <v>6</v>
      </c>
      <c r="L744" s="3">
        <v>24.94</v>
      </c>
      <c r="M744" s="3">
        <v>149.63999999999999</v>
      </c>
      <c r="N744" s="3">
        <v>60.68</v>
      </c>
      <c r="O744" s="3">
        <v>88.96</v>
      </c>
      <c r="P744" s="3" t="s">
        <v>34</v>
      </c>
    </row>
    <row r="745" spans="1:16" x14ac:dyDescent="0.35">
      <c r="A745" s="3" t="s">
        <v>1678</v>
      </c>
      <c r="B745" s="3" t="s">
        <v>1427</v>
      </c>
      <c r="C745" s="3" t="s">
        <v>29</v>
      </c>
      <c r="D745" s="3" t="s">
        <v>90</v>
      </c>
      <c r="E745" s="3" t="s">
        <v>97</v>
      </c>
      <c r="F745" s="3" t="s">
        <v>98</v>
      </c>
      <c r="G745" s="3" t="s">
        <v>30</v>
      </c>
      <c r="H745" s="3" t="s">
        <v>73</v>
      </c>
      <c r="I745" s="3" t="s">
        <v>1679</v>
      </c>
      <c r="J745" s="3" t="s">
        <v>25</v>
      </c>
      <c r="K745" s="3">
        <v>1</v>
      </c>
      <c r="L745" s="3">
        <v>3195.9</v>
      </c>
      <c r="M745" s="3">
        <v>3195.9</v>
      </c>
      <c r="N745" s="3">
        <v>2405.08</v>
      </c>
      <c r="O745" s="3">
        <v>790.82</v>
      </c>
      <c r="P745" s="3" t="s">
        <v>34</v>
      </c>
    </row>
    <row r="746" spans="1:16" x14ac:dyDescent="0.35">
      <c r="A746" s="3" t="s">
        <v>1680</v>
      </c>
      <c r="B746" s="3" t="s">
        <v>1320</v>
      </c>
      <c r="C746" s="3" t="s">
        <v>37</v>
      </c>
      <c r="D746" s="3" t="s">
        <v>19</v>
      </c>
      <c r="E746" s="3" t="s">
        <v>49</v>
      </c>
      <c r="F746" s="3" t="s">
        <v>50</v>
      </c>
      <c r="G746" s="3" t="s">
        <v>22</v>
      </c>
      <c r="H746" s="3" t="s">
        <v>93</v>
      </c>
      <c r="I746" s="3" t="s">
        <v>1681</v>
      </c>
      <c r="J746" s="3" t="s">
        <v>131</v>
      </c>
      <c r="K746" s="3">
        <v>6</v>
      </c>
      <c r="L746" s="3">
        <v>7493.55</v>
      </c>
      <c r="M746" s="3">
        <v>44961.3</v>
      </c>
      <c r="N746" s="3">
        <v>31180.98</v>
      </c>
      <c r="O746" s="3">
        <v>13780.32</v>
      </c>
      <c r="P746" s="3" t="s">
        <v>69</v>
      </c>
    </row>
    <row r="747" spans="1:16" x14ac:dyDescent="0.35">
      <c r="A747" s="3" t="s">
        <v>1682</v>
      </c>
      <c r="B747" s="3" t="s">
        <v>1499</v>
      </c>
      <c r="C747" s="3" t="s">
        <v>103</v>
      </c>
      <c r="D747" s="3" t="s">
        <v>90</v>
      </c>
      <c r="E747" s="3" t="s">
        <v>119</v>
      </c>
      <c r="F747" s="3" t="s">
        <v>120</v>
      </c>
      <c r="G747" s="3" t="s">
        <v>30</v>
      </c>
      <c r="H747" s="3" t="s">
        <v>67</v>
      </c>
      <c r="I747" s="3" t="s">
        <v>1057</v>
      </c>
      <c r="J747" s="3" t="s">
        <v>54</v>
      </c>
      <c r="K747" s="3">
        <v>8</v>
      </c>
      <c r="L747" s="3">
        <v>9622.66</v>
      </c>
      <c r="M747" s="3">
        <v>76981.279999999999</v>
      </c>
      <c r="N747" s="3">
        <v>61782.49</v>
      </c>
      <c r="O747" s="3">
        <v>15198.79</v>
      </c>
      <c r="P747" s="3" t="s">
        <v>69</v>
      </c>
    </row>
    <row r="748" spans="1:16" x14ac:dyDescent="0.35">
      <c r="A748" s="3" t="s">
        <v>1683</v>
      </c>
      <c r="B748" s="3" t="s">
        <v>183</v>
      </c>
      <c r="C748" s="3" t="s">
        <v>114</v>
      </c>
      <c r="D748" s="3" t="s">
        <v>38</v>
      </c>
      <c r="E748" s="3" t="s">
        <v>39</v>
      </c>
      <c r="F748" s="3" t="s">
        <v>40</v>
      </c>
      <c r="G748" s="3" t="s">
        <v>51</v>
      </c>
      <c r="H748" s="3" t="s">
        <v>77</v>
      </c>
      <c r="I748" s="3" t="s">
        <v>557</v>
      </c>
      <c r="J748" s="3" t="s">
        <v>85</v>
      </c>
      <c r="K748" s="3">
        <v>8</v>
      </c>
      <c r="L748" s="3">
        <v>12322.56</v>
      </c>
      <c r="M748" s="3">
        <v>98580.479999999996</v>
      </c>
      <c r="N748" s="3">
        <v>69496.320000000007</v>
      </c>
      <c r="O748" s="3">
        <v>29084.16</v>
      </c>
      <c r="P748" s="3" t="s">
        <v>26</v>
      </c>
    </row>
    <row r="749" spans="1:16" x14ac:dyDescent="0.35">
      <c r="A749" s="3" t="s">
        <v>1684</v>
      </c>
      <c r="B749" s="3" t="s">
        <v>1082</v>
      </c>
      <c r="C749" s="3" t="s">
        <v>114</v>
      </c>
      <c r="D749" s="3" t="s">
        <v>58</v>
      </c>
      <c r="E749" s="3" t="s">
        <v>65</v>
      </c>
      <c r="F749" s="3" t="s">
        <v>66</v>
      </c>
      <c r="G749" s="3" t="s">
        <v>30</v>
      </c>
      <c r="H749" s="3" t="s">
        <v>73</v>
      </c>
      <c r="I749" s="3" t="s">
        <v>1685</v>
      </c>
      <c r="J749" s="3" t="s">
        <v>25</v>
      </c>
      <c r="K749" s="3">
        <v>2</v>
      </c>
      <c r="L749" s="3">
        <v>3317.33</v>
      </c>
      <c r="M749" s="3">
        <v>6634.66</v>
      </c>
      <c r="N749" s="3">
        <v>4911.6400000000003</v>
      </c>
      <c r="O749" s="3">
        <v>1723.02</v>
      </c>
      <c r="P749" s="3" t="s">
        <v>45</v>
      </c>
    </row>
    <row r="750" spans="1:16" x14ac:dyDescent="0.35">
      <c r="A750" s="3" t="s">
        <v>1686</v>
      </c>
      <c r="B750" s="3" t="s">
        <v>1687</v>
      </c>
      <c r="C750" s="3" t="s">
        <v>18</v>
      </c>
      <c r="D750" s="3" t="s">
        <v>58</v>
      </c>
      <c r="E750" s="3" t="s">
        <v>176</v>
      </c>
      <c r="F750" s="3" t="s">
        <v>177</v>
      </c>
      <c r="G750" s="3" t="s">
        <v>22</v>
      </c>
      <c r="H750" s="3" t="s">
        <v>93</v>
      </c>
      <c r="I750" s="3" t="s">
        <v>1483</v>
      </c>
      <c r="J750" s="3" t="s">
        <v>25</v>
      </c>
      <c r="K750" s="3">
        <v>2</v>
      </c>
      <c r="L750" s="3">
        <v>7534.58</v>
      </c>
      <c r="M750" s="3">
        <v>15069.16</v>
      </c>
      <c r="N750" s="3">
        <v>9647.59</v>
      </c>
      <c r="O750" s="3">
        <v>5421.57</v>
      </c>
      <c r="P750" s="3" t="s">
        <v>34</v>
      </c>
    </row>
    <row r="751" spans="1:16" x14ac:dyDescent="0.35">
      <c r="A751" s="3" t="s">
        <v>1688</v>
      </c>
      <c r="B751" s="3" t="s">
        <v>268</v>
      </c>
      <c r="C751" s="3" t="s">
        <v>18</v>
      </c>
      <c r="D751" s="3" t="s">
        <v>58</v>
      </c>
      <c r="E751" s="3" t="s">
        <v>176</v>
      </c>
      <c r="F751" s="3" t="s">
        <v>177</v>
      </c>
      <c r="G751" s="3" t="s">
        <v>30</v>
      </c>
      <c r="H751" s="3" t="s">
        <v>67</v>
      </c>
      <c r="I751" s="3" t="s">
        <v>1019</v>
      </c>
      <c r="J751" s="3" t="s">
        <v>33</v>
      </c>
      <c r="K751" s="3">
        <v>6</v>
      </c>
      <c r="L751" s="3">
        <v>10273.469999999999</v>
      </c>
      <c r="M751" s="3">
        <v>61640.82</v>
      </c>
      <c r="N751" s="3">
        <v>46149.4</v>
      </c>
      <c r="O751" s="3">
        <v>15491.42</v>
      </c>
      <c r="P751" s="3" t="s">
        <v>34</v>
      </c>
    </row>
    <row r="752" spans="1:16" x14ac:dyDescent="0.35">
      <c r="A752" s="3" t="s">
        <v>1689</v>
      </c>
      <c r="B752" s="3" t="s">
        <v>370</v>
      </c>
      <c r="C752" s="3" t="s">
        <v>137</v>
      </c>
      <c r="D752" s="3" t="s">
        <v>58</v>
      </c>
      <c r="E752" s="3" t="s">
        <v>65</v>
      </c>
      <c r="F752" s="3" t="s">
        <v>66</v>
      </c>
      <c r="G752" s="3" t="s">
        <v>41</v>
      </c>
      <c r="H752" s="3" t="s">
        <v>61</v>
      </c>
      <c r="I752" s="3" t="s">
        <v>1690</v>
      </c>
      <c r="J752" s="3" t="s">
        <v>100</v>
      </c>
      <c r="K752" s="3">
        <v>7</v>
      </c>
      <c r="L752" s="3">
        <v>2658.61</v>
      </c>
      <c r="M752" s="3">
        <v>18610.27</v>
      </c>
      <c r="N752" s="3">
        <v>11547.84</v>
      </c>
      <c r="O752" s="3">
        <v>7062.43</v>
      </c>
      <c r="P752" s="3" t="s">
        <v>26</v>
      </c>
    </row>
    <row r="753" spans="1:16" x14ac:dyDescent="0.35">
      <c r="A753" s="3" t="s">
        <v>1691</v>
      </c>
      <c r="B753" s="3" t="s">
        <v>1299</v>
      </c>
      <c r="C753" s="3" t="s">
        <v>82</v>
      </c>
      <c r="D753" s="3" t="s">
        <v>38</v>
      </c>
      <c r="E753" s="3" t="s">
        <v>39</v>
      </c>
      <c r="F753" s="3" t="s">
        <v>40</v>
      </c>
      <c r="G753" s="3" t="s">
        <v>51</v>
      </c>
      <c r="H753" s="3" t="s">
        <v>52</v>
      </c>
      <c r="I753" s="3" t="s">
        <v>1692</v>
      </c>
      <c r="J753" s="3" t="s">
        <v>100</v>
      </c>
      <c r="K753" s="3">
        <v>2</v>
      </c>
      <c r="L753" s="3">
        <v>24.2</v>
      </c>
      <c r="M753" s="3">
        <v>48.4</v>
      </c>
      <c r="N753" s="3">
        <v>20.92</v>
      </c>
      <c r="O753" s="3">
        <v>27.48</v>
      </c>
      <c r="P753" s="3" t="s">
        <v>26</v>
      </c>
    </row>
    <row r="754" spans="1:16" x14ac:dyDescent="0.35">
      <c r="A754" s="3" t="s">
        <v>1693</v>
      </c>
      <c r="B754" s="3" t="s">
        <v>639</v>
      </c>
      <c r="C754" s="3" t="s">
        <v>72</v>
      </c>
      <c r="D754" s="3" t="s">
        <v>58</v>
      </c>
      <c r="E754" s="3" t="s">
        <v>176</v>
      </c>
      <c r="F754" s="3" t="s">
        <v>177</v>
      </c>
      <c r="G754" s="3" t="s">
        <v>51</v>
      </c>
      <c r="H754" s="3" t="s">
        <v>52</v>
      </c>
      <c r="I754" s="3" t="s">
        <v>1634</v>
      </c>
      <c r="J754" s="3" t="s">
        <v>171</v>
      </c>
      <c r="K754" s="3">
        <v>3</v>
      </c>
      <c r="L754" s="3">
        <v>27.01</v>
      </c>
      <c r="M754" s="3">
        <v>81.03</v>
      </c>
      <c r="N754" s="3">
        <v>30.89</v>
      </c>
      <c r="O754" s="3">
        <v>50.14</v>
      </c>
      <c r="P754" s="3" t="s">
        <v>26</v>
      </c>
    </row>
    <row r="755" spans="1:16" x14ac:dyDescent="0.35">
      <c r="A755" s="3" t="s">
        <v>1694</v>
      </c>
      <c r="B755" s="3" t="s">
        <v>1695</v>
      </c>
      <c r="C755" s="3" t="s">
        <v>89</v>
      </c>
      <c r="D755" s="3" t="s">
        <v>38</v>
      </c>
      <c r="E755" s="3" t="s">
        <v>109</v>
      </c>
      <c r="F755" s="3" t="s">
        <v>110</v>
      </c>
      <c r="G755" s="3" t="s">
        <v>30</v>
      </c>
      <c r="H755" s="3" t="s">
        <v>67</v>
      </c>
      <c r="I755" s="3" t="s">
        <v>1696</v>
      </c>
      <c r="J755" s="3" t="s">
        <v>44</v>
      </c>
      <c r="K755" s="3">
        <v>3</v>
      </c>
      <c r="L755" s="3">
        <v>9145.2099999999991</v>
      </c>
      <c r="M755" s="3">
        <v>27435.63</v>
      </c>
      <c r="N755" s="3">
        <v>23417.75</v>
      </c>
      <c r="O755" s="3">
        <v>4017.88</v>
      </c>
      <c r="P755" s="3" t="s">
        <v>69</v>
      </c>
    </row>
    <row r="756" spans="1:16" x14ac:dyDescent="0.35">
      <c r="A756" s="3" t="s">
        <v>1697</v>
      </c>
      <c r="B756" s="3" t="s">
        <v>1698</v>
      </c>
      <c r="C756" s="3" t="s">
        <v>18</v>
      </c>
      <c r="D756" s="3" t="s">
        <v>19</v>
      </c>
      <c r="E756" s="3" t="s">
        <v>49</v>
      </c>
      <c r="F756" s="3" t="s">
        <v>50</v>
      </c>
      <c r="G756" s="3" t="s">
        <v>30</v>
      </c>
      <c r="H756" s="3" t="s">
        <v>31</v>
      </c>
      <c r="I756" s="3" t="s">
        <v>139</v>
      </c>
      <c r="J756" s="3" t="s">
        <v>100</v>
      </c>
      <c r="K756" s="3">
        <v>1</v>
      </c>
      <c r="L756" s="3">
        <v>3000.18</v>
      </c>
      <c r="M756" s="3">
        <v>3000.18</v>
      </c>
      <c r="N756" s="3">
        <v>1879.98</v>
      </c>
      <c r="O756" s="3">
        <v>1120.2</v>
      </c>
      <c r="P756" s="3" t="s">
        <v>34</v>
      </c>
    </row>
    <row r="757" spans="1:16" x14ac:dyDescent="0.35">
      <c r="A757" s="3" t="s">
        <v>1699</v>
      </c>
      <c r="B757" s="3" t="s">
        <v>531</v>
      </c>
      <c r="C757" s="3" t="s">
        <v>137</v>
      </c>
      <c r="D757" s="3" t="s">
        <v>19</v>
      </c>
      <c r="E757" s="3" t="s">
        <v>20</v>
      </c>
      <c r="F757" s="3" t="s">
        <v>21</v>
      </c>
      <c r="G757" s="3" t="s">
        <v>41</v>
      </c>
      <c r="H757" s="3" t="s">
        <v>42</v>
      </c>
      <c r="I757" s="3" t="s">
        <v>1700</v>
      </c>
      <c r="J757" s="3" t="s">
        <v>85</v>
      </c>
      <c r="K757" s="3">
        <v>4</v>
      </c>
      <c r="L757" s="3">
        <v>41924.050000000003</v>
      </c>
      <c r="M757" s="3">
        <v>167696.20000000001</v>
      </c>
      <c r="N757" s="3">
        <v>146018.37</v>
      </c>
      <c r="O757" s="3">
        <v>21677.83</v>
      </c>
      <c r="P757" s="3" t="s">
        <v>34</v>
      </c>
    </row>
    <row r="758" spans="1:16" x14ac:dyDescent="0.35">
      <c r="A758" s="3" t="s">
        <v>1701</v>
      </c>
      <c r="B758" s="3" t="s">
        <v>1612</v>
      </c>
      <c r="C758" s="3" t="s">
        <v>48</v>
      </c>
      <c r="D758" s="3" t="s">
        <v>90</v>
      </c>
      <c r="E758" s="3" t="s">
        <v>119</v>
      </c>
      <c r="F758" s="3" t="s">
        <v>120</v>
      </c>
      <c r="G758" s="3" t="s">
        <v>30</v>
      </c>
      <c r="H758" s="3" t="s">
        <v>31</v>
      </c>
      <c r="I758" s="3" t="s">
        <v>667</v>
      </c>
      <c r="J758" s="3" t="s">
        <v>154</v>
      </c>
      <c r="K758" s="3">
        <v>2</v>
      </c>
      <c r="L758" s="3">
        <v>2825.91</v>
      </c>
      <c r="M758" s="3">
        <v>5651.82</v>
      </c>
      <c r="N758" s="3">
        <v>3872.65</v>
      </c>
      <c r="O758" s="3">
        <v>1779.17</v>
      </c>
      <c r="P758" s="3" t="s">
        <v>34</v>
      </c>
    </row>
    <row r="759" spans="1:16" x14ac:dyDescent="0.35">
      <c r="A759" s="3" t="s">
        <v>1702</v>
      </c>
      <c r="B759" s="3" t="s">
        <v>373</v>
      </c>
      <c r="C759" s="3" t="s">
        <v>137</v>
      </c>
      <c r="D759" s="3" t="s">
        <v>19</v>
      </c>
      <c r="E759" s="3" t="s">
        <v>20</v>
      </c>
      <c r="F759" s="3" t="s">
        <v>21</v>
      </c>
      <c r="G759" s="3" t="s">
        <v>51</v>
      </c>
      <c r="H759" s="3" t="s">
        <v>77</v>
      </c>
      <c r="I759" s="3" t="s">
        <v>481</v>
      </c>
      <c r="J759" s="3" t="s">
        <v>33</v>
      </c>
      <c r="K759" s="3">
        <v>2</v>
      </c>
      <c r="L759" s="3">
        <v>11938.22</v>
      </c>
      <c r="M759" s="3">
        <v>23876.44</v>
      </c>
      <c r="N759" s="3">
        <v>18509.75</v>
      </c>
      <c r="O759" s="3">
        <v>5366.69</v>
      </c>
      <c r="P759" s="3" t="s">
        <v>69</v>
      </c>
    </row>
    <row r="760" spans="1:16" x14ac:dyDescent="0.35">
      <c r="A760" s="3" t="s">
        <v>1703</v>
      </c>
      <c r="B760" s="3" t="s">
        <v>1704</v>
      </c>
      <c r="C760" s="3" t="s">
        <v>48</v>
      </c>
      <c r="D760" s="3" t="s">
        <v>38</v>
      </c>
      <c r="E760" s="3" t="s">
        <v>104</v>
      </c>
      <c r="F760" s="3" t="s">
        <v>104</v>
      </c>
      <c r="G760" s="3" t="s">
        <v>41</v>
      </c>
      <c r="H760" s="3" t="s">
        <v>138</v>
      </c>
      <c r="I760" s="3" t="s">
        <v>1705</v>
      </c>
      <c r="J760" s="3" t="s">
        <v>44</v>
      </c>
      <c r="K760" s="3">
        <v>5</v>
      </c>
      <c r="L760" s="3">
        <v>18325.169999999998</v>
      </c>
      <c r="M760" s="3">
        <v>91625.85</v>
      </c>
      <c r="N760" s="3">
        <v>68040.960000000006</v>
      </c>
      <c r="O760" s="3">
        <v>23584.89</v>
      </c>
      <c r="P760" s="3" t="s">
        <v>34</v>
      </c>
    </row>
    <row r="761" spans="1:16" x14ac:dyDescent="0.35">
      <c r="A761" s="3" t="s">
        <v>1706</v>
      </c>
      <c r="B761" s="3" t="s">
        <v>1053</v>
      </c>
      <c r="C761" s="3" t="s">
        <v>82</v>
      </c>
      <c r="D761" s="3" t="s">
        <v>38</v>
      </c>
      <c r="E761" s="3" t="s">
        <v>109</v>
      </c>
      <c r="F761" s="3" t="s">
        <v>110</v>
      </c>
      <c r="G761" s="3" t="s">
        <v>41</v>
      </c>
      <c r="H761" s="3" t="s">
        <v>138</v>
      </c>
      <c r="I761" s="3" t="s">
        <v>1260</v>
      </c>
      <c r="J761" s="3" t="s">
        <v>131</v>
      </c>
      <c r="K761" s="3">
        <v>2</v>
      </c>
      <c r="L761" s="3">
        <v>16885.8</v>
      </c>
      <c r="M761" s="3">
        <v>33771.599999999999</v>
      </c>
      <c r="N761" s="3">
        <v>27471.26</v>
      </c>
      <c r="O761" s="3">
        <v>6300.34</v>
      </c>
      <c r="P761" s="3" t="s">
        <v>45</v>
      </c>
    </row>
    <row r="762" spans="1:16" x14ac:dyDescent="0.35">
      <c r="A762" s="3" t="s">
        <v>1707</v>
      </c>
      <c r="B762" s="3" t="s">
        <v>294</v>
      </c>
      <c r="C762" s="3" t="s">
        <v>103</v>
      </c>
      <c r="D762" s="3" t="s">
        <v>19</v>
      </c>
      <c r="E762" s="3" t="s">
        <v>20</v>
      </c>
      <c r="F762" s="3" t="s">
        <v>21</v>
      </c>
      <c r="G762" s="3" t="s">
        <v>41</v>
      </c>
      <c r="H762" s="3" t="s">
        <v>42</v>
      </c>
      <c r="I762" s="3" t="s">
        <v>368</v>
      </c>
      <c r="J762" s="3" t="s">
        <v>217</v>
      </c>
      <c r="K762" s="3">
        <v>6</v>
      </c>
      <c r="L762" s="3">
        <v>41709.5</v>
      </c>
      <c r="M762" s="3">
        <v>250257</v>
      </c>
      <c r="N762" s="3">
        <v>210217.95</v>
      </c>
      <c r="O762" s="3">
        <v>40039.050000000003</v>
      </c>
      <c r="P762" s="3" t="s">
        <v>26</v>
      </c>
    </row>
    <row r="763" spans="1:16" x14ac:dyDescent="0.35">
      <c r="A763" s="3" t="s">
        <v>1708</v>
      </c>
      <c r="B763" s="3" t="s">
        <v>370</v>
      </c>
      <c r="C763" s="3" t="s">
        <v>137</v>
      </c>
      <c r="D763" s="3" t="s">
        <v>19</v>
      </c>
      <c r="E763" s="3" t="s">
        <v>49</v>
      </c>
      <c r="F763" s="3" t="s">
        <v>50</v>
      </c>
      <c r="G763" s="3" t="s">
        <v>30</v>
      </c>
      <c r="H763" s="3" t="s">
        <v>73</v>
      </c>
      <c r="I763" s="3" t="s">
        <v>614</v>
      </c>
      <c r="J763" s="3" t="s">
        <v>33</v>
      </c>
      <c r="K763" s="3">
        <v>2</v>
      </c>
      <c r="L763" s="3">
        <v>3517.54</v>
      </c>
      <c r="M763" s="3">
        <v>7035.08</v>
      </c>
      <c r="N763" s="3">
        <v>4980.55</v>
      </c>
      <c r="O763" s="3">
        <v>2054.5300000000002</v>
      </c>
      <c r="P763" s="3" t="s">
        <v>34</v>
      </c>
    </row>
    <row r="764" spans="1:16" x14ac:dyDescent="0.35">
      <c r="A764" s="3" t="s">
        <v>1709</v>
      </c>
      <c r="B764" s="3" t="s">
        <v>507</v>
      </c>
      <c r="C764" s="3" t="s">
        <v>118</v>
      </c>
      <c r="D764" s="3" t="s">
        <v>38</v>
      </c>
      <c r="E764" s="3" t="s">
        <v>39</v>
      </c>
      <c r="F764" s="3" t="s">
        <v>40</v>
      </c>
      <c r="G764" s="3" t="s">
        <v>41</v>
      </c>
      <c r="H764" s="3" t="s">
        <v>61</v>
      </c>
      <c r="I764" s="3" t="s">
        <v>1134</v>
      </c>
      <c r="J764" s="3" t="s">
        <v>147</v>
      </c>
      <c r="K764" s="3">
        <v>2</v>
      </c>
      <c r="L764" s="3">
        <v>2636</v>
      </c>
      <c r="M764" s="3">
        <v>5272</v>
      </c>
      <c r="N764" s="3">
        <v>3141.35</v>
      </c>
      <c r="O764" s="3">
        <v>2130.65</v>
      </c>
      <c r="P764" s="3" t="s">
        <v>69</v>
      </c>
    </row>
    <row r="765" spans="1:16" x14ac:dyDescent="0.35">
      <c r="A765" s="3" t="s">
        <v>1710</v>
      </c>
      <c r="B765" s="3" t="s">
        <v>392</v>
      </c>
      <c r="C765" s="3" t="s">
        <v>103</v>
      </c>
      <c r="D765" s="3" t="s">
        <v>38</v>
      </c>
      <c r="E765" s="3" t="s">
        <v>109</v>
      </c>
      <c r="F765" s="3" t="s">
        <v>110</v>
      </c>
      <c r="G765" s="3" t="s">
        <v>30</v>
      </c>
      <c r="H765" s="3" t="s">
        <v>67</v>
      </c>
      <c r="I765" s="3" t="s">
        <v>258</v>
      </c>
      <c r="J765" s="3" t="s">
        <v>44</v>
      </c>
      <c r="K765" s="3">
        <v>6</v>
      </c>
      <c r="L765" s="3">
        <v>9228.64</v>
      </c>
      <c r="M765" s="3">
        <v>55371.839999999997</v>
      </c>
      <c r="N765" s="3">
        <v>44127.46</v>
      </c>
      <c r="O765" s="3">
        <v>11244.38</v>
      </c>
      <c r="P765" s="3" t="s">
        <v>86</v>
      </c>
    </row>
    <row r="766" spans="1:16" x14ac:dyDescent="0.35">
      <c r="A766" s="3" t="s">
        <v>1711</v>
      </c>
      <c r="B766" s="3" t="s">
        <v>230</v>
      </c>
      <c r="C766" s="3" t="s">
        <v>118</v>
      </c>
      <c r="D766" s="3" t="s">
        <v>90</v>
      </c>
      <c r="E766" s="3" t="s">
        <v>119</v>
      </c>
      <c r="F766" s="3" t="s">
        <v>120</v>
      </c>
      <c r="G766" s="3" t="s">
        <v>51</v>
      </c>
      <c r="H766" s="3" t="s">
        <v>145</v>
      </c>
      <c r="I766" s="3" t="s">
        <v>170</v>
      </c>
      <c r="J766" s="3" t="s">
        <v>131</v>
      </c>
      <c r="K766" s="3">
        <v>5</v>
      </c>
      <c r="L766" s="3">
        <v>108.62</v>
      </c>
      <c r="M766" s="3">
        <v>543.1</v>
      </c>
      <c r="N766" s="3">
        <v>287.64999999999998</v>
      </c>
      <c r="O766" s="3">
        <v>255.45</v>
      </c>
      <c r="P766" s="3" t="s">
        <v>86</v>
      </c>
    </row>
    <row r="767" spans="1:16" x14ac:dyDescent="0.35">
      <c r="A767" s="3" t="s">
        <v>1712</v>
      </c>
      <c r="B767" s="3" t="s">
        <v>233</v>
      </c>
      <c r="C767" s="3" t="s">
        <v>103</v>
      </c>
      <c r="D767" s="3" t="s">
        <v>19</v>
      </c>
      <c r="E767" s="3" t="s">
        <v>20</v>
      </c>
      <c r="F767" s="3" t="s">
        <v>21</v>
      </c>
      <c r="G767" s="3" t="s">
        <v>51</v>
      </c>
      <c r="H767" s="3" t="s">
        <v>77</v>
      </c>
      <c r="I767" s="3" t="s">
        <v>1713</v>
      </c>
      <c r="J767" s="3" t="s">
        <v>33</v>
      </c>
      <c r="K767" s="3">
        <v>3</v>
      </c>
      <c r="L767" s="3">
        <v>11775.89</v>
      </c>
      <c r="M767" s="3">
        <v>35327.67</v>
      </c>
      <c r="N767" s="3">
        <v>27736.79</v>
      </c>
      <c r="O767" s="3">
        <v>7590.88</v>
      </c>
      <c r="P767" s="3" t="s">
        <v>69</v>
      </c>
    </row>
    <row r="768" spans="1:16" x14ac:dyDescent="0.35">
      <c r="A768" s="3" t="s">
        <v>1714</v>
      </c>
      <c r="B768" s="3" t="s">
        <v>883</v>
      </c>
      <c r="C768" s="3" t="s">
        <v>37</v>
      </c>
      <c r="D768" s="3" t="s">
        <v>58</v>
      </c>
      <c r="E768" s="3" t="s">
        <v>176</v>
      </c>
      <c r="F768" s="3" t="s">
        <v>177</v>
      </c>
      <c r="G768" s="3" t="s">
        <v>41</v>
      </c>
      <c r="H768" s="3" t="s">
        <v>42</v>
      </c>
      <c r="I768" s="3" t="s">
        <v>1715</v>
      </c>
      <c r="J768" s="3" t="s">
        <v>188</v>
      </c>
      <c r="K768" s="3">
        <v>2</v>
      </c>
      <c r="L768" s="3">
        <v>46851.09</v>
      </c>
      <c r="M768" s="3">
        <v>93702.18</v>
      </c>
      <c r="N768" s="3">
        <v>70340.78</v>
      </c>
      <c r="O768" s="3">
        <v>23361.4</v>
      </c>
      <c r="P768" s="3" t="s">
        <v>26</v>
      </c>
    </row>
    <row r="769" spans="1:16" x14ac:dyDescent="0.35">
      <c r="A769" s="3" t="s">
        <v>1716</v>
      </c>
      <c r="B769" s="3" t="s">
        <v>1113</v>
      </c>
      <c r="C769" s="3" t="s">
        <v>82</v>
      </c>
      <c r="D769" s="3" t="s">
        <v>19</v>
      </c>
      <c r="E769" s="3" t="s">
        <v>49</v>
      </c>
      <c r="F769" s="3" t="s">
        <v>50</v>
      </c>
      <c r="G769" s="3" t="s">
        <v>41</v>
      </c>
      <c r="H769" s="3" t="s">
        <v>42</v>
      </c>
      <c r="I769" s="3" t="s">
        <v>1093</v>
      </c>
      <c r="J769" s="3" t="s">
        <v>154</v>
      </c>
      <c r="K769" s="3">
        <v>5</v>
      </c>
      <c r="L769" s="3">
        <v>46533.120000000003</v>
      </c>
      <c r="M769" s="3">
        <v>232665.60000000001</v>
      </c>
      <c r="N769" s="3">
        <v>177329.42</v>
      </c>
      <c r="O769" s="3">
        <v>55336.18</v>
      </c>
      <c r="P769" s="3" t="s">
        <v>26</v>
      </c>
    </row>
    <row r="770" spans="1:16" x14ac:dyDescent="0.35">
      <c r="A770" s="3" t="s">
        <v>1717</v>
      </c>
      <c r="B770" s="3" t="s">
        <v>222</v>
      </c>
      <c r="C770" s="3" t="s">
        <v>48</v>
      </c>
      <c r="D770" s="3" t="s">
        <v>58</v>
      </c>
      <c r="E770" s="3" t="s">
        <v>59</v>
      </c>
      <c r="F770" s="3" t="s">
        <v>60</v>
      </c>
      <c r="G770" s="3" t="s">
        <v>41</v>
      </c>
      <c r="H770" s="3" t="s">
        <v>42</v>
      </c>
      <c r="I770" s="3" t="s">
        <v>1718</v>
      </c>
      <c r="J770" s="3" t="s">
        <v>217</v>
      </c>
      <c r="K770" s="3">
        <v>6</v>
      </c>
      <c r="L770" s="3">
        <v>43241.11</v>
      </c>
      <c r="M770" s="3">
        <v>259446.66</v>
      </c>
      <c r="N770" s="3">
        <v>202811.01</v>
      </c>
      <c r="O770" s="3">
        <v>56635.65</v>
      </c>
      <c r="P770" s="3" t="s">
        <v>26</v>
      </c>
    </row>
    <row r="771" spans="1:16" x14ac:dyDescent="0.35">
      <c r="A771" s="3" t="s">
        <v>1719</v>
      </c>
      <c r="B771" s="3" t="s">
        <v>225</v>
      </c>
      <c r="C771" s="3" t="s">
        <v>89</v>
      </c>
      <c r="D771" s="3" t="s">
        <v>58</v>
      </c>
      <c r="E771" s="3" t="s">
        <v>59</v>
      </c>
      <c r="F771" s="3" t="s">
        <v>60</v>
      </c>
      <c r="G771" s="3" t="s">
        <v>41</v>
      </c>
      <c r="H771" s="3" t="s">
        <v>42</v>
      </c>
      <c r="I771" s="3" t="s">
        <v>1430</v>
      </c>
      <c r="J771" s="3" t="s">
        <v>131</v>
      </c>
      <c r="K771" s="3">
        <v>7</v>
      </c>
      <c r="L771" s="3">
        <v>41465.839999999997</v>
      </c>
      <c r="M771" s="3">
        <v>290260.88</v>
      </c>
      <c r="N771" s="3">
        <v>246143.28</v>
      </c>
      <c r="O771" s="3">
        <v>44117.599999999999</v>
      </c>
      <c r="P771" s="3" t="s">
        <v>45</v>
      </c>
    </row>
    <row r="772" spans="1:16" x14ac:dyDescent="0.35">
      <c r="A772" s="3" t="s">
        <v>1720</v>
      </c>
      <c r="B772" s="3" t="s">
        <v>173</v>
      </c>
      <c r="C772" s="3" t="s">
        <v>118</v>
      </c>
      <c r="D772" s="3" t="s">
        <v>58</v>
      </c>
      <c r="E772" s="3" t="s">
        <v>176</v>
      </c>
      <c r="F772" s="3" t="s">
        <v>177</v>
      </c>
      <c r="G772" s="3" t="s">
        <v>51</v>
      </c>
      <c r="H772" s="3" t="s">
        <v>145</v>
      </c>
      <c r="I772" s="3" t="s">
        <v>130</v>
      </c>
      <c r="J772" s="3" t="s">
        <v>217</v>
      </c>
      <c r="K772" s="3">
        <v>6</v>
      </c>
      <c r="L772" s="3">
        <v>130.27000000000001</v>
      </c>
      <c r="M772" s="3">
        <v>781.62</v>
      </c>
      <c r="N772" s="3">
        <v>355.56</v>
      </c>
      <c r="O772" s="3">
        <v>426.06</v>
      </c>
      <c r="P772" s="3" t="s">
        <v>86</v>
      </c>
    </row>
    <row r="773" spans="1:16" x14ac:dyDescent="0.35">
      <c r="A773" s="3" t="s">
        <v>1721</v>
      </c>
      <c r="B773" s="3" t="s">
        <v>1299</v>
      </c>
      <c r="C773" s="3" t="s">
        <v>82</v>
      </c>
      <c r="D773" s="3" t="s">
        <v>90</v>
      </c>
      <c r="E773" s="3" t="s">
        <v>119</v>
      </c>
      <c r="F773" s="3" t="s">
        <v>120</v>
      </c>
      <c r="G773" s="3" t="s">
        <v>30</v>
      </c>
      <c r="H773" s="3" t="s">
        <v>73</v>
      </c>
      <c r="I773" s="3" t="s">
        <v>1722</v>
      </c>
      <c r="J773" s="3" t="s">
        <v>106</v>
      </c>
      <c r="K773" s="3">
        <v>3</v>
      </c>
      <c r="L773" s="3">
        <v>3147.97</v>
      </c>
      <c r="M773" s="3">
        <v>9443.91</v>
      </c>
      <c r="N773" s="3">
        <v>7031.36</v>
      </c>
      <c r="O773" s="3">
        <v>2412.5500000000002</v>
      </c>
      <c r="P773" s="3" t="s">
        <v>34</v>
      </c>
    </row>
    <row r="774" spans="1:16" x14ac:dyDescent="0.35">
      <c r="A774" s="3" t="s">
        <v>1723</v>
      </c>
      <c r="B774" s="3" t="s">
        <v>1724</v>
      </c>
      <c r="C774" s="3" t="s">
        <v>48</v>
      </c>
      <c r="D774" s="3" t="s">
        <v>58</v>
      </c>
      <c r="E774" s="3" t="s">
        <v>59</v>
      </c>
      <c r="F774" s="3" t="s">
        <v>60</v>
      </c>
      <c r="G774" s="3" t="s">
        <v>22</v>
      </c>
      <c r="H774" s="3" t="s">
        <v>93</v>
      </c>
      <c r="I774" s="3" t="s">
        <v>433</v>
      </c>
      <c r="J774" s="3" t="s">
        <v>25</v>
      </c>
      <c r="K774" s="3">
        <v>8</v>
      </c>
      <c r="L774" s="3">
        <v>7171.78</v>
      </c>
      <c r="M774" s="3">
        <v>57374.239999999998</v>
      </c>
      <c r="N774" s="3">
        <v>39368.769999999997</v>
      </c>
      <c r="O774" s="3">
        <v>18005.47</v>
      </c>
      <c r="P774" s="3" t="s">
        <v>26</v>
      </c>
    </row>
    <row r="775" spans="1:16" x14ac:dyDescent="0.35">
      <c r="A775" s="3" t="s">
        <v>1725</v>
      </c>
      <c r="B775" s="3" t="s">
        <v>1187</v>
      </c>
      <c r="C775" s="3" t="s">
        <v>18</v>
      </c>
      <c r="D775" s="3" t="s">
        <v>58</v>
      </c>
      <c r="E775" s="3" t="s">
        <v>65</v>
      </c>
      <c r="F775" s="3" t="s">
        <v>66</v>
      </c>
      <c r="G775" s="3" t="s">
        <v>41</v>
      </c>
      <c r="H775" s="3" t="s">
        <v>138</v>
      </c>
      <c r="I775" s="3" t="s">
        <v>729</v>
      </c>
      <c r="J775" s="3" t="s">
        <v>188</v>
      </c>
      <c r="K775" s="3">
        <v>1</v>
      </c>
      <c r="L775" s="3">
        <v>17809.560000000001</v>
      </c>
      <c r="M775" s="3">
        <v>17809.560000000001</v>
      </c>
      <c r="N775" s="3">
        <v>13781.79</v>
      </c>
      <c r="O775" s="3">
        <v>4027.77</v>
      </c>
      <c r="P775" s="3" t="s">
        <v>45</v>
      </c>
    </row>
    <row r="776" spans="1:16" x14ac:dyDescent="0.35">
      <c r="A776" s="3" t="s">
        <v>1726</v>
      </c>
      <c r="B776" s="3" t="s">
        <v>1727</v>
      </c>
      <c r="C776" s="3" t="s">
        <v>89</v>
      </c>
      <c r="D776" s="3" t="s">
        <v>19</v>
      </c>
      <c r="E776" s="3" t="s">
        <v>49</v>
      </c>
      <c r="F776" s="3" t="s">
        <v>50</v>
      </c>
      <c r="G776" s="3" t="s">
        <v>30</v>
      </c>
      <c r="H776" s="3" t="s">
        <v>73</v>
      </c>
      <c r="I776" s="3" t="s">
        <v>1728</v>
      </c>
      <c r="J776" s="3" t="s">
        <v>25</v>
      </c>
      <c r="K776" s="3">
        <v>2</v>
      </c>
      <c r="L776" s="3">
        <v>3272.94</v>
      </c>
      <c r="M776" s="3">
        <v>6545.88</v>
      </c>
      <c r="N776" s="3">
        <v>4828.68</v>
      </c>
      <c r="O776" s="3">
        <v>1717.2</v>
      </c>
      <c r="P776" s="3" t="s">
        <v>69</v>
      </c>
    </row>
    <row r="777" spans="1:16" x14ac:dyDescent="0.35">
      <c r="A777" s="3" t="s">
        <v>1729</v>
      </c>
      <c r="B777" s="3" t="s">
        <v>285</v>
      </c>
      <c r="C777" s="3" t="s">
        <v>18</v>
      </c>
      <c r="D777" s="3" t="s">
        <v>19</v>
      </c>
      <c r="E777" s="3" t="s">
        <v>20</v>
      </c>
      <c r="F777" s="3" t="s">
        <v>21</v>
      </c>
      <c r="G777" s="3" t="s">
        <v>22</v>
      </c>
      <c r="H777" s="3" t="s">
        <v>23</v>
      </c>
      <c r="I777" s="3" t="s">
        <v>1582</v>
      </c>
      <c r="J777" s="3" t="s">
        <v>85</v>
      </c>
      <c r="K777" s="3">
        <v>5</v>
      </c>
      <c r="L777" s="3">
        <v>3668.76</v>
      </c>
      <c r="M777" s="3">
        <v>18343.8</v>
      </c>
      <c r="N777" s="3">
        <v>11247.5</v>
      </c>
      <c r="O777" s="3">
        <v>7096.3</v>
      </c>
      <c r="P777" s="3" t="s">
        <v>86</v>
      </c>
    </row>
    <row r="778" spans="1:16" x14ac:dyDescent="0.35">
      <c r="A778" s="3" t="s">
        <v>1730</v>
      </c>
      <c r="B778" s="3" t="s">
        <v>699</v>
      </c>
      <c r="C778" s="3" t="s">
        <v>137</v>
      </c>
      <c r="D778" s="3" t="s">
        <v>90</v>
      </c>
      <c r="E778" s="3" t="s">
        <v>97</v>
      </c>
      <c r="F778" s="3" t="s">
        <v>98</v>
      </c>
      <c r="G778" s="3" t="s">
        <v>30</v>
      </c>
      <c r="H778" s="3" t="s">
        <v>31</v>
      </c>
      <c r="I778" s="3" t="s">
        <v>1731</v>
      </c>
      <c r="J778" s="3" t="s">
        <v>171</v>
      </c>
      <c r="K778" s="3">
        <v>7</v>
      </c>
      <c r="L778" s="3">
        <v>2671.38</v>
      </c>
      <c r="M778" s="3">
        <v>18699.66</v>
      </c>
      <c r="N778" s="3">
        <v>13481.06</v>
      </c>
      <c r="O778" s="3">
        <v>5218.6000000000004</v>
      </c>
      <c r="P778" s="3" t="s">
        <v>69</v>
      </c>
    </row>
    <row r="779" spans="1:16" x14ac:dyDescent="0.35">
      <c r="A779" s="3" t="s">
        <v>1732</v>
      </c>
      <c r="B779" s="3" t="s">
        <v>1733</v>
      </c>
      <c r="C779" s="3" t="s">
        <v>137</v>
      </c>
      <c r="D779" s="3" t="s">
        <v>19</v>
      </c>
      <c r="E779" s="3" t="s">
        <v>20</v>
      </c>
      <c r="F779" s="3" t="s">
        <v>21</v>
      </c>
      <c r="G779" s="3" t="s">
        <v>41</v>
      </c>
      <c r="H779" s="3" t="s">
        <v>61</v>
      </c>
      <c r="I779" s="3" t="s">
        <v>822</v>
      </c>
      <c r="J779" s="3" t="s">
        <v>106</v>
      </c>
      <c r="K779" s="3">
        <v>8</v>
      </c>
      <c r="L779" s="3">
        <v>2674.3</v>
      </c>
      <c r="M779" s="3">
        <v>21394.400000000001</v>
      </c>
      <c r="N779" s="3">
        <v>12848.22</v>
      </c>
      <c r="O779" s="3">
        <v>8546.18</v>
      </c>
      <c r="P779" s="3" t="s">
        <v>86</v>
      </c>
    </row>
    <row r="780" spans="1:16" x14ac:dyDescent="0.35">
      <c r="A780" s="3" t="s">
        <v>1734</v>
      </c>
      <c r="B780" s="3" t="s">
        <v>133</v>
      </c>
      <c r="C780" s="3" t="s">
        <v>18</v>
      </c>
      <c r="D780" s="3" t="s">
        <v>19</v>
      </c>
      <c r="E780" s="3" t="s">
        <v>49</v>
      </c>
      <c r="F780" s="3" t="s">
        <v>50</v>
      </c>
      <c r="G780" s="3" t="s">
        <v>51</v>
      </c>
      <c r="H780" s="3" t="s">
        <v>52</v>
      </c>
      <c r="I780" s="3" t="s">
        <v>146</v>
      </c>
      <c r="J780" s="3" t="s">
        <v>44</v>
      </c>
      <c r="K780" s="3">
        <v>5</v>
      </c>
      <c r="L780" s="3">
        <v>26.34</v>
      </c>
      <c r="M780" s="3">
        <v>131.69999999999999</v>
      </c>
      <c r="N780" s="3">
        <v>48.74</v>
      </c>
      <c r="O780" s="3">
        <v>82.96</v>
      </c>
      <c r="P780" s="3" t="s">
        <v>69</v>
      </c>
    </row>
    <row r="781" spans="1:16" x14ac:dyDescent="0.35">
      <c r="A781" s="3" t="s">
        <v>1735</v>
      </c>
      <c r="B781" s="3" t="s">
        <v>429</v>
      </c>
      <c r="C781" s="3" t="s">
        <v>137</v>
      </c>
      <c r="D781" s="3" t="s">
        <v>38</v>
      </c>
      <c r="E781" s="3" t="s">
        <v>104</v>
      </c>
      <c r="F781" s="3" t="s">
        <v>104</v>
      </c>
      <c r="G781" s="3" t="s">
        <v>22</v>
      </c>
      <c r="H781" s="3" t="s">
        <v>23</v>
      </c>
      <c r="I781" s="3" t="s">
        <v>1736</v>
      </c>
      <c r="J781" s="3" t="s">
        <v>79</v>
      </c>
      <c r="K781" s="3">
        <v>5</v>
      </c>
      <c r="L781" s="3">
        <v>3297.94</v>
      </c>
      <c r="M781" s="3">
        <v>16489.7</v>
      </c>
      <c r="N781" s="3">
        <v>10710.3</v>
      </c>
      <c r="O781" s="3">
        <v>5779.4</v>
      </c>
      <c r="P781" s="3" t="s">
        <v>34</v>
      </c>
    </row>
    <row r="782" spans="1:16" x14ac:dyDescent="0.35">
      <c r="A782" s="3" t="s">
        <v>1737</v>
      </c>
      <c r="B782" s="3" t="s">
        <v>572</v>
      </c>
      <c r="C782" s="3" t="s">
        <v>72</v>
      </c>
      <c r="D782" s="3" t="s">
        <v>90</v>
      </c>
      <c r="E782" s="3" t="s">
        <v>119</v>
      </c>
      <c r="F782" s="3" t="s">
        <v>120</v>
      </c>
      <c r="G782" s="3" t="s">
        <v>41</v>
      </c>
      <c r="H782" s="3" t="s">
        <v>138</v>
      </c>
      <c r="I782" s="3" t="s">
        <v>1601</v>
      </c>
      <c r="J782" s="3" t="s">
        <v>154</v>
      </c>
      <c r="K782" s="3">
        <v>7</v>
      </c>
      <c r="L782" s="3">
        <v>18511.2</v>
      </c>
      <c r="M782" s="3">
        <v>129578.4</v>
      </c>
      <c r="N782" s="3">
        <v>99361.61</v>
      </c>
      <c r="O782" s="3">
        <v>30216.79</v>
      </c>
      <c r="P782" s="3" t="s">
        <v>69</v>
      </c>
    </row>
    <row r="783" spans="1:16" x14ac:dyDescent="0.35">
      <c r="A783" s="3" t="s">
        <v>1738</v>
      </c>
      <c r="B783" s="3" t="s">
        <v>225</v>
      </c>
      <c r="C783" s="3" t="s">
        <v>89</v>
      </c>
      <c r="D783" s="3" t="s">
        <v>90</v>
      </c>
      <c r="E783" s="3" t="s">
        <v>119</v>
      </c>
      <c r="F783" s="3" t="s">
        <v>120</v>
      </c>
      <c r="G783" s="3" t="s">
        <v>30</v>
      </c>
      <c r="H783" s="3" t="s">
        <v>31</v>
      </c>
      <c r="I783" s="3" t="s">
        <v>1739</v>
      </c>
      <c r="J783" s="3" t="s">
        <v>188</v>
      </c>
      <c r="K783" s="3">
        <v>2</v>
      </c>
      <c r="L783" s="3">
        <v>2578.41</v>
      </c>
      <c r="M783" s="3">
        <v>5156.82</v>
      </c>
      <c r="N783" s="3">
        <v>3692.03</v>
      </c>
      <c r="O783" s="3">
        <v>1464.79</v>
      </c>
      <c r="P783" s="3" t="s">
        <v>45</v>
      </c>
    </row>
    <row r="784" spans="1:16" x14ac:dyDescent="0.35">
      <c r="A784" s="3" t="s">
        <v>1740</v>
      </c>
      <c r="B784" s="3" t="s">
        <v>539</v>
      </c>
      <c r="C784" s="3" t="s">
        <v>89</v>
      </c>
      <c r="D784" s="3" t="s">
        <v>38</v>
      </c>
      <c r="E784" s="3" t="s">
        <v>109</v>
      </c>
      <c r="F784" s="3" t="s">
        <v>110</v>
      </c>
      <c r="G784" s="3" t="s">
        <v>41</v>
      </c>
      <c r="H784" s="3" t="s">
        <v>138</v>
      </c>
      <c r="I784" s="3" t="s">
        <v>1206</v>
      </c>
      <c r="J784" s="3" t="s">
        <v>33</v>
      </c>
      <c r="K784" s="3">
        <v>4</v>
      </c>
      <c r="L784" s="3">
        <v>17439.88</v>
      </c>
      <c r="M784" s="3">
        <v>69759.520000000004</v>
      </c>
      <c r="N784" s="3">
        <v>57993.81</v>
      </c>
      <c r="O784" s="3">
        <v>11765.71</v>
      </c>
      <c r="P784" s="3" t="s">
        <v>69</v>
      </c>
    </row>
    <row r="785" spans="1:16" x14ac:dyDescent="0.35">
      <c r="A785" s="3" t="s">
        <v>1741</v>
      </c>
      <c r="B785" s="3" t="s">
        <v>807</v>
      </c>
      <c r="C785" s="3" t="s">
        <v>72</v>
      </c>
      <c r="D785" s="3" t="s">
        <v>19</v>
      </c>
      <c r="E785" s="3" t="s">
        <v>49</v>
      </c>
      <c r="F785" s="3" t="s">
        <v>50</v>
      </c>
      <c r="G785" s="3" t="s">
        <v>22</v>
      </c>
      <c r="H785" s="3" t="s">
        <v>83</v>
      </c>
      <c r="I785" s="3" t="s">
        <v>1456</v>
      </c>
      <c r="J785" s="3" t="s">
        <v>161</v>
      </c>
      <c r="K785" s="3">
        <v>6</v>
      </c>
      <c r="L785" s="3">
        <v>23632.44</v>
      </c>
      <c r="M785" s="3">
        <v>141794.64000000001</v>
      </c>
      <c r="N785" s="3">
        <v>99660.54</v>
      </c>
      <c r="O785" s="3">
        <v>42134.1</v>
      </c>
      <c r="P785" s="3" t="s">
        <v>69</v>
      </c>
    </row>
    <row r="786" spans="1:16" x14ac:dyDescent="0.35">
      <c r="A786" s="3" t="s">
        <v>1742</v>
      </c>
      <c r="B786" s="3" t="s">
        <v>1202</v>
      </c>
      <c r="C786" s="3" t="s">
        <v>118</v>
      </c>
      <c r="D786" s="3" t="s">
        <v>38</v>
      </c>
      <c r="E786" s="3" t="s">
        <v>104</v>
      </c>
      <c r="F786" s="3" t="s">
        <v>104</v>
      </c>
      <c r="G786" s="3" t="s">
        <v>41</v>
      </c>
      <c r="H786" s="3" t="s">
        <v>61</v>
      </c>
      <c r="I786" s="3" t="s">
        <v>469</v>
      </c>
      <c r="J786" s="3" t="s">
        <v>171</v>
      </c>
      <c r="K786" s="3">
        <v>1</v>
      </c>
      <c r="L786" s="3">
        <v>2421.35</v>
      </c>
      <c r="M786" s="3">
        <v>2421.35</v>
      </c>
      <c r="N786" s="3">
        <v>1553.89</v>
      </c>
      <c r="O786" s="3">
        <v>867.46</v>
      </c>
      <c r="P786" s="3" t="s">
        <v>86</v>
      </c>
    </row>
    <row r="787" spans="1:16" x14ac:dyDescent="0.35">
      <c r="A787" s="3" t="s">
        <v>1743</v>
      </c>
      <c r="B787" s="3" t="s">
        <v>1499</v>
      </c>
      <c r="C787" s="3" t="s">
        <v>103</v>
      </c>
      <c r="D787" s="3" t="s">
        <v>38</v>
      </c>
      <c r="E787" s="3" t="s">
        <v>109</v>
      </c>
      <c r="F787" s="3" t="s">
        <v>110</v>
      </c>
      <c r="G787" s="3" t="s">
        <v>51</v>
      </c>
      <c r="H787" s="3" t="s">
        <v>145</v>
      </c>
      <c r="I787" s="3" t="s">
        <v>1744</v>
      </c>
      <c r="J787" s="3" t="s">
        <v>154</v>
      </c>
      <c r="K787" s="3">
        <v>6</v>
      </c>
      <c r="L787" s="3">
        <v>121.17</v>
      </c>
      <c r="M787" s="3">
        <v>727.02</v>
      </c>
      <c r="N787" s="3">
        <v>366.01</v>
      </c>
      <c r="O787" s="3">
        <v>361.01</v>
      </c>
      <c r="P787" s="3" t="s">
        <v>86</v>
      </c>
    </row>
    <row r="788" spans="1:16" x14ac:dyDescent="0.35">
      <c r="A788" s="3" t="s">
        <v>1745</v>
      </c>
      <c r="B788" s="3" t="s">
        <v>1053</v>
      </c>
      <c r="C788" s="3" t="s">
        <v>82</v>
      </c>
      <c r="D788" s="3" t="s">
        <v>19</v>
      </c>
      <c r="E788" s="3" t="s">
        <v>199</v>
      </c>
      <c r="F788" s="3" t="s">
        <v>200</v>
      </c>
      <c r="G788" s="3" t="s">
        <v>22</v>
      </c>
      <c r="H788" s="3" t="s">
        <v>23</v>
      </c>
      <c r="I788" s="3" t="s">
        <v>746</v>
      </c>
      <c r="J788" s="3" t="s">
        <v>33</v>
      </c>
      <c r="K788" s="3">
        <v>5</v>
      </c>
      <c r="L788" s="3">
        <v>3242.58</v>
      </c>
      <c r="M788" s="3">
        <v>16212.9</v>
      </c>
      <c r="N788" s="3">
        <v>10779.08</v>
      </c>
      <c r="O788" s="3">
        <v>5433.82</v>
      </c>
      <c r="P788" s="3" t="s">
        <v>34</v>
      </c>
    </row>
    <row r="789" spans="1:16" x14ac:dyDescent="0.35">
      <c r="A789" s="3" t="s">
        <v>1746</v>
      </c>
      <c r="B789" s="3" t="s">
        <v>1182</v>
      </c>
      <c r="C789" s="3" t="s">
        <v>48</v>
      </c>
      <c r="D789" s="3" t="s">
        <v>38</v>
      </c>
      <c r="E789" s="3" t="s">
        <v>104</v>
      </c>
      <c r="F789" s="3" t="s">
        <v>104</v>
      </c>
      <c r="G789" s="3" t="s">
        <v>30</v>
      </c>
      <c r="H789" s="3" t="s">
        <v>67</v>
      </c>
      <c r="I789" s="3" t="s">
        <v>1747</v>
      </c>
      <c r="J789" s="3" t="s">
        <v>100</v>
      </c>
      <c r="K789" s="3">
        <v>7</v>
      </c>
      <c r="L789" s="3">
        <v>9612.0400000000009</v>
      </c>
      <c r="M789" s="3">
        <v>67284.28</v>
      </c>
      <c r="N789" s="3">
        <v>54179.67</v>
      </c>
      <c r="O789" s="3">
        <v>13104.61</v>
      </c>
      <c r="P789" s="3" t="s">
        <v>45</v>
      </c>
    </row>
    <row r="790" spans="1:16" x14ac:dyDescent="0.35">
      <c r="A790" s="3" t="s">
        <v>1748</v>
      </c>
      <c r="B790" s="3" t="s">
        <v>661</v>
      </c>
      <c r="C790" s="3" t="s">
        <v>114</v>
      </c>
      <c r="D790" s="3" t="s">
        <v>38</v>
      </c>
      <c r="E790" s="3" t="s">
        <v>39</v>
      </c>
      <c r="F790" s="3" t="s">
        <v>40</v>
      </c>
      <c r="G790" s="3" t="s">
        <v>22</v>
      </c>
      <c r="H790" s="3" t="s">
        <v>93</v>
      </c>
      <c r="I790" s="3" t="s">
        <v>1749</v>
      </c>
      <c r="J790" s="3" t="s">
        <v>44</v>
      </c>
      <c r="K790" s="3">
        <v>4</v>
      </c>
      <c r="L790" s="3">
        <v>7179.85</v>
      </c>
      <c r="M790" s="3">
        <v>28719.4</v>
      </c>
      <c r="N790" s="3">
        <v>20231.349999999999</v>
      </c>
      <c r="O790" s="3">
        <v>8488.0499999999993</v>
      </c>
      <c r="P790" s="3" t="s">
        <v>86</v>
      </c>
    </row>
    <row r="791" spans="1:16" x14ac:dyDescent="0.35">
      <c r="A791" s="3" t="s">
        <v>1750</v>
      </c>
      <c r="B791" s="3" t="s">
        <v>276</v>
      </c>
      <c r="C791" s="3" t="s">
        <v>114</v>
      </c>
      <c r="D791" s="3" t="s">
        <v>58</v>
      </c>
      <c r="E791" s="3" t="s">
        <v>65</v>
      </c>
      <c r="F791" s="3" t="s">
        <v>66</v>
      </c>
      <c r="G791" s="3" t="s">
        <v>30</v>
      </c>
      <c r="H791" s="3" t="s">
        <v>67</v>
      </c>
      <c r="I791" s="3" t="s">
        <v>659</v>
      </c>
      <c r="J791" s="3" t="s">
        <v>131</v>
      </c>
      <c r="K791" s="3">
        <v>1</v>
      </c>
      <c r="L791" s="3">
        <v>9730.82</v>
      </c>
      <c r="M791" s="3">
        <v>9730.82</v>
      </c>
      <c r="N791" s="3">
        <v>7609.13</v>
      </c>
      <c r="O791" s="3">
        <v>2121.69</v>
      </c>
      <c r="P791" s="3" t="s">
        <v>45</v>
      </c>
    </row>
    <row r="792" spans="1:16" x14ac:dyDescent="0.35">
      <c r="A792" s="3" t="s">
        <v>1751</v>
      </c>
      <c r="B792" s="3" t="s">
        <v>1752</v>
      </c>
      <c r="C792" s="3" t="s">
        <v>114</v>
      </c>
      <c r="D792" s="3" t="s">
        <v>90</v>
      </c>
      <c r="E792" s="3" t="s">
        <v>97</v>
      </c>
      <c r="F792" s="3" t="s">
        <v>98</v>
      </c>
      <c r="G792" s="3" t="s">
        <v>41</v>
      </c>
      <c r="H792" s="3" t="s">
        <v>42</v>
      </c>
      <c r="I792" s="3" t="s">
        <v>1753</v>
      </c>
      <c r="J792" s="3" t="s">
        <v>171</v>
      </c>
      <c r="K792" s="3">
        <v>5</v>
      </c>
      <c r="L792" s="3">
        <v>46224.38</v>
      </c>
      <c r="M792" s="3">
        <v>231121.9</v>
      </c>
      <c r="N792" s="3">
        <v>182010.43</v>
      </c>
      <c r="O792" s="3">
        <v>49111.47</v>
      </c>
      <c r="P792" s="3" t="s">
        <v>26</v>
      </c>
    </row>
    <row r="793" spans="1:16" x14ac:dyDescent="0.35">
      <c r="A793" s="3" t="s">
        <v>1754</v>
      </c>
      <c r="B793" s="3" t="s">
        <v>1755</v>
      </c>
      <c r="C793" s="3" t="s">
        <v>57</v>
      </c>
      <c r="D793" s="3" t="s">
        <v>58</v>
      </c>
      <c r="E793" s="3" t="s">
        <v>65</v>
      </c>
      <c r="F793" s="3" t="s">
        <v>66</v>
      </c>
      <c r="G793" s="3" t="s">
        <v>22</v>
      </c>
      <c r="H793" s="3" t="s">
        <v>23</v>
      </c>
      <c r="I793" s="3" t="s">
        <v>1756</v>
      </c>
      <c r="J793" s="3" t="s">
        <v>106</v>
      </c>
      <c r="K793" s="3">
        <v>7</v>
      </c>
      <c r="L793" s="3">
        <v>3813.32</v>
      </c>
      <c r="M793" s="3">
        <v>26693.24</v>
      </c>
      <c r="N793" s="3">
        <v>14693.14</v>
      </c>
      <c r="O793" s="3">
        <v>12000.1</v>
      </c>
      <c r="P793" s="3" t="s">
        <v>34</v>
      </c>
    </row>
    <row r="794" spans="1:16" x14ac:dyDescent="0.35">
      <c r="A794" s="3" t="s">
        <v>1757</v>
      </c>
      <c r="B794" s="3" t="s">
        <v>738</v>
      </c>
      <c r="C794" s="3" t="s">
        <v>114</v>
      </c>
      <c r="D794" s="3" t="s">
        <v>58</v>
      </c>
      <c r="E794" s="3" t="s">
        <v>176</v>
      </c>
      <c r="F794" s="3" t="s">
        <v>177</v>
      </c>
      <c r="G794" s="3" t="s">
        <v>30</v>
      </c>
      <c r="H794" s="3" t="s">
        <v>73</v>
      </c>
      <c r="I794" s="3" t="s">
        <v>867</v>
      </c>
      <c r="J794" s="3" t="s">
        <v>131</v>
      </c>
      <c r="K794" s="3">
        <v>4</v>
      </c>
      <c r="L794" s="3">
        <v>2881.28</v>
      </c>
      <c r="M794" s="3">
        <v>11525.12</v>
      </c>
      <c r="N794" s="3">
        <v>9452.2999999999993</v>
      </c>
      <c r="O794" s="3">
        <v>2072.8200000000002</v>
      </c>
      <c r="P794" s="3" t="s">
        <v>86</v>
      </c>
    </row>
    <row r="795" spans="1:16" x14ac:dyDescent="0.35">
      <c r="A795" s="3" t="s">
        <v>1758</v>
      </c>
      <c r="B795" s="3" t="s">
        <v>1216</v>
      </c>
      <c r="C795" s="3" t="s">
        <v>114</v>
      </c>
      <c r="D795" s="3" t="s">
        <v>58</v>
      </c>
      <c r="E795" s="3" t="s">
        <v>176</v>
      </c>
      <c r="F795" s="3" t="s">
        <v>177</v>
      </c>
      <c r="G795" s="3" t="s">
        <v>41</v>
      </c>
      <c r="H795" s="3" t="s">
        <v>61</v>
      </c>
      <c r="I795" s="3" t="s">
        <v>925</v>
      </c>
      <c r="J795" s="3" t="s">
        <v>85</v>
      </c>
      <c r="K795" s="3">
        <v>6</v>
      </c>
      <c r="L795" s="3">
        <v>2608.0700000000002</v>
      </c>
      <c r="M795" s="3">
        <v>15648.42</v>
      </c>
      <c r="N795" s="3">
        <v>9955.01</v>
      </c>
      <c r="O795" s="3">
        <v>5693.41</v>
      </c>
      <c r="P795" s="3" t="s">
        <v>86</v>
      </c>
    </row>
    <row r="796" spans="1:16" x14ac:dyDescent="0.35">
      <c r="A796" s="3" t="s">
        <v>1759</v>
      </c>
      <c r="B796" s="3" t="s">
        <v>192</v>
      </c>
      <c r="C796" s="3" t="s">
        <v>103</v>
      </c>
      <c r="D796" s="3" t="s">
        <v>19</v>
      </c>
      <c r="E796" s="3" t="s">
        <v>199</v>
      </c>
      <c r="F796" s="3" t="s">
        <v>200</v>
      </c>
      <c r="G796" s="3" t="s">
        <v>22</v>
      </c>
      <c r="H796" s="3" t="s">
        <v>23</v>
      </c>
      <c r="I796" s="3" t="s">
        <v>568</v>
      </c>
      <c r="J796" s="3" t="s">
        <v>79</v>
      </c>
      <c r="K796" s="3">
        <v>5</v>
      </c>
      <c r="L796" s="3">
        <v>3619.69</v>
      </c>
      <c r="M796" s="3">
        <v>18098.45</v>
      </c>
      <c r="N796" s="3">
        <v>11377.29</v>
      </c>
      <c r="O796" s="3">
        <v>6721.16</v>
      </c>
      <c r="P796" s="3" t="s">
        <v>69</v>
      </c>
    </row>
    <row r="797" spans="1:16" x14ac:dyDescent="0.35">
      <c r="A797" s="3" t="s">
        <v>1760</v>
      </c>
      <c r="B797" s="3" t="s">
        <v>1761</v>
      </c>
      <c r="C797" s="3" t="s">
        <v>72</v>
      </c>
      <c r="D797" s="3" t="s">
        <v>19</v>
      </c>
      <c r="E797" s="3" t="s">
        <v>199</v>
      </c>
      <c r="F797" s="3" t="s">
        <v>200</v>
      </c>
      <c r="G797" s="3" t="s">
        <v>30</v>
      </c>
      <c r="H797" s="3" t="s">
        <v>73</v>
      </c>
      <c r="I797" s="3" t="s">
        <v>900</v>
      </c>
      <c r="J797" s="3" t="s">
        <v>147</v>
      </c>
      <c r="K797" s="3">
        <v>3</v>
      </c>
      <c r="L797" s="3">
        <v>2965.25</v>
      </c>
      <c r="M797" s="3">
        <v>8895.75</v>
      </c>
      <c r="N797" s="3">
        <v>7433.94</v>
      </c>
      <c r="O797" s="3">
        <v>1461.81</v>
      </c>
      <c r="P797" s="3" t="s">
        <v>26</v>
      </c>
    </row>
    <row r="798" spans="1:16" x14ac:dyDescent="0.35">
      <c r="A798" s="3" t="s">
        <v>1762</v>
      </c>
      <c r="B798" s="3" t="s">
        <v>1337</v>
      </c>
      <c r="C798" s="3" t="s">
        <v>48</v>
      </c>
      <c r="D798" s="3" t="s">
        <v>38</v>
      </c>
      <c r="E798" s="3" t="s">
        <v>109</v>
      </c>
      <c r="F798" s="3" t="s">
        <v>110</v>
      </c>
      <c r="G798" s="3" t="s">
        <v>22</v>
      </c>
      <c r="H798" s="3" t="s">
        <v>93</v>
      </c>
      <c r="I798" s="3" t="s">
        <v>403</v>
      </c>
      <c r="J798" s="3" t="s">
        <v>171</v>
      </c>
      <c r="K798" s="3">
        <v>1</v>
      </c>
      <c r="L798" s="3">
        <v>7317.81</v>
      </c>
      <c r="M798" s="3">
        <v>7317.81</v>
      </c>
      <c r="N798" s="3">
        <v>5165.41</v>
      </c>
      <c r="O798" s="3">
        <v>2152.4</v>
      </c>
      <c r="P798" s="3" t="s">
        <v>26</v>
      </c>
    </row>
    <row r="799" spans="1:16" x14ac:dyDescent="0.35">
      <c r="A799" s="3" t="s">
        <v>1763</v>
      </c>
      <c r="B799" s="3" t="s">
        <v>449</v>
      </c>
      <c r="C799" s="3" t="s">
        <v>37</v>
      </c>
      <c r="D799" s="3" t="s">
        <v>19</v>
      </c>
      <c r="E799" s="3" t="s">
        <v>49</v>
      </c>
      <c r="F799" s="3" t="s">
        <v>50</v>
      </c>
      <c r="G799" s="3" t="s">
        <v>30</v>
      </c>
      <c r="H799" s="3" t="s">
        <v>67</v>
      </c>
      <c r="I799" s="3" t="s">
        <v>729</v>
      </c>
      <c r="J799" s="3" t="s">
        <v>161</v>
      </c>
      <c r="K799" s="3">
        <v>3</v>
      </c>
      <c r="L799" s="3">
        <v>8989.31</v>
      </c>
      <c r="M799" s="3">
        <v>26967.93</v>
      </c>
      <c r="N799" s="3">
        <v>23852.84</v>
      </c>
      <c r="O799" s="3">
        <v>3115.09</v>
      </c>
      <c r="P799" s="3" t="s">
        <v>86</v>
      </c>
    </row>
    <row r="800" spans="1:16" x14ac:dyDescent="0.35">
      <c r="A800" s="3" t="s">
        <v>1764</v>
      </c>
      <c r="B800" s="3" t="s">
        <v>370</v>
      </c>
      <c r="C800" s="3" t="s">
        <v>137</v>
      </c>
      <c r="D800" s="3" t="s">
        <v>90</v>
      </c>
      <c r="E800" s="3" t="s">
        <v>91</v>
      </c>
      <c r="F800" s="3" t="s">
        <v>92</v>
      </c>
      <c r="G800" s="3" t="s">
        <v>41</v>
      </c>
      <c r="H800" s="3" t="s">
        <v>138</v>
      </c>
      <c r="I800" s="3" t="s">
        <v>1616</v>
      </c>
      <c r="J800" s="3" t="s">
        <v>131</v>
      </c>
      <c r="K800" s="3">
        <v>8</v>
      </c>
      <c r="L800" s="3">
        <v>17377.439999999999</v>
      </c>
      <c r="M800" s="3">
        <v>139019.51999999999</v>
      </c>
      <c r="N800" s="3">
        <v>109435.53</v>
      </c>
      <c r="O800" s="3">
        <v>29583.99</v>
      </c>
      <c r="P800" s="3" t="s">
        <v>45</v>
      </c>
    </row>
    <row r="801" spans="1:16" x14ac:dyDescent="0.35">
      <c r="A801" s="3" t="s">
        <v>1765</v>
      </c>
      <c r="B801" s="3" t="s">
        <v>1766</v>
      </c>
      <c r="C801" s="3" t="s">
        <v>48</v>
      </c>
      <c r="D801" s="3" t="s">
        <v>19</v>
      </c>
      <c r="E801" s="3" t="s">
        <v>199</v>
      </c>
      <c r="F801" s="3" t="s">
        <v>200</v>
      </c>
      <c r="G801" s="3" t="s">
        <v>41</v>
      </c>
      <c r="H801" s="3" t="s">
        <v>61</v>
      </c>
      <c r="I801" s="3" t="s">
        <v>1767</v>
      </c>
      <c r="J801" s="3" t="s">
        <v>33</v>
      </c>
      <c r="K801" s="3">
        <v>3</v>
      </c>
      <c r="L801" s="3">
        <v>2607.23</v>
      </c>
      <c r="M801" s="3">
        <v>7821.69</v>
      </c>
      <c r="N801" s="3">
        <v>4630.51</v>
      </c>
      <c r="O801" s="3">
        <v>3191.18</v>
      </c>
      <c r="P801" s="3" t="s">
        <v>26</v>
      </c>
    </row>
    <row r="802" spans="1:16" x14ac:dyDescent="0.35">
      <c r="A802" s="3" t="s">
        <v>1768</v>
      </c>
      <c r="B802" s="3" t="s">
        <v>916</v>
      </c>
      <c r="C802" s="3" t="s">
        <v>103</v>
      </c>
      <c r="D802" s="3" t="s">
        <v>38</v>
      </c>
      <c r="E802" s="3" t="s">
        <v>109</v>
      </c>
      <c r="F802" s="3" t="s">
        <v>110</v>
      </c>
      <c r="G802" s="3" t="s">
        <v>22</v>
      </c>
      <c r="H802" s="3" t="s">
        <v>83</v>
      </c>
      <c r="I802" s="3" t="s">
        <v>1184</v>
      </c>
      <c r="J802" s="3" t="s">
        <v>161</v>
      </c>
      <c r="K802" s="3">
        <v>7</v>
      </c>
      <c r="L802" s="3">
        <v>23321.02</v>
      </c>
      <c r="M802" s="3">
        <v>163247.14000000001</v>
      </c>
      <c r="N802" s="3">
        <v>124024.68</v>
      </c>
      <c r="O802" s="3">
        <v>39222.46</v>
      </c>
      <c r="P802" s="3" t="s">
        <v>34</v>
      </c>
    </row>
    <row r="803" spans="1:16" x14ac:dyDescent="0.35">
      <c r="A803" s="3" t="s">
        <v>1769</v>
      </c>
      <c r="B803" s="3" t="s">
        <v>1727</v>
      </c>
      <c r="C803" s="3" t="s">
        <v>89</v>
      </c>
      <c r="D803" s="3" t="s">
        <v>58</v>
      </c>
      <c r="E803" s="3" t="s">
        <v>59</v>
      </c>
      <c r="F803" s="3" t="s">
        <v>60</v>
      </c>
      <c r="G803" s="3" t="s">
        <v>41</v>
      </c>
      <c r="H803" s="3" t="s">
        <v>138</v>
      </c>
      <c r="I803" s="3" t="s">
        <v>1770</v>
      </c>
      <c r="J803" s="3" t="s">
        <v>131</v>
      </c>
      <c r="K803" s="3">
        <v>1</v>
      </c>
      <c r="L803" s="3">
        <v>17048.32</v>
      </c>
      <c r="M803" s="3">
        <v>17048.32</v>
      </c>
      <c r="N803" s="3">
        <v>14670.32</v>
      </c>
      <c r="O803" s="3">
        <v>2378</v>
      </c>
      <c r="P803" s="3" t="s">
        <v>26</v>
      </c>
    </row>
    <row r="804" spans="1:16" x14ac:dyDescent="0.35">
      <c r="A804" s="3" t="s">
        <v>1771</v>
      </c>
      <c r="B804" s="3" t="s">
        <v>1772</v>
      </c>
      <c r="C804" s="3" t="s">
        <v>114</v>
      </c>
      <c r="D804" s="3" t="s">
        <v>38</v>
      </c>
      <c r="E804" s="3" t="s">
        <v>109</v>
      </c>
      <c r="F804" s="3" t="s">
        <v>110</v>
      </c>
      <c r="G804" s="3" t="s">
        <v>30</v>
      </c>
      <c r="H804" s="3" t="s">
        <v>67</v>
      </c>
      <c r="I804" s="3" t="s">
        <v>1773</v>
      </c>
      <c r="J804" s="3" t="s">
        <v>106</v>
      </c>
      <c r="K804" s="3">
        <v>2</v>
      </c>
      <c r="L804" s="3">
        <v>9621.2999999999993</v>
      </c>
      <c r="M804" s="3">
        <v>19242.599999999999</v>
      </c>
      <c r="N804" s="3">
        <v>15755.94</v>
      </c>
      <c r="O804" s="3">
        <v>3486.66</v>
      </c>
      <c r="P804" s="3" t="s">
        <v>86</v>
      </c>
    </row>
    <row r="805" spans="1:16" x14ac:dyDescent="0.35">
      <c r="A805" s="3" t="s">
        <v>1774</v>
      </c>
      <c r="B805" s="3" t="s">
        <v>28</v>
      </c>
      <c r="C805" s="3" t="s">
        <v>29</v>
      </c>
      <c r="D805" s="3" t="s">
        <v>58</v>
      </c>
      <c r="E805" s="3" t="s">
        <v>59</v>
      </c>
      <c r="F805" s="3" t="s">
        <v>60</v>
      </c>
      <c r="G805" s="3" t="s">
        <v>22</v>
      </c>
      <c r="H805" s="3" t="s">
        <v>23</v>
      </c>
      <c r="I805" s="3" t="s">
        <v>1775</v>
      </c>
      <c r="J805" s="3" t="s">
        <v>79</v>
      </c>
      <c r="K805" s="3">
        <v>5</v>
      </c>
      <c r="L805" s="3">
        <v>3452.99</v>
      </c>
      <c r="M805" s="3">
        <v>17264.95</v>
      </c>
      <c r="N805" s="3">
        <v>11389.87</v>
      </c>
      <c r="O805" s="3">
        <v>5875.08</v>
      </c>
      <c r="P805" s="3" t="s">
        <v>34</v>
      </c>
    </row>
    <row r="806" spans="1:16" x14ac:dyDescent="0.35">
      <c r="A806" s="3" t="s">
        <v>1776</v>
      </c>
      <c r="B806" s="3" t="s">
        <v>908</v>
      </c>
      <c r="C806" s="3" t="s">
        <v>72</v>
      </c>
      <c r="D806" s="3" t="s">
        <v>19</v>
      </c>
      <c r="E806" s="3" t="s">
        <v>20</v>
      </c>
      <c r="F806" s="3" t="s">
        <v>21</v>
      </c>
      <c r="G806" s="3" t="s">
        <v>30</v>
      </c>
      <c r="H806" s="3" t="s">
        <v>73</v>
      </c>
      <c r="I806" s="3" t="s">
        <v>768</v>
      </c>
      <c r="J806" s="3" t="s">
        <v>188</v>
      </c>
      <c r="K806" s="3">
        <v>3</v>
      </c>
      <c r="L806" s="3">
        <v>3179.77</v>
      </c>
      <c r="M806" s="3">
        <v>9539.31</v>
      </c>
      <c r="N806" s="3">
        <v>7488.64</v>
      </c>
      <c r="O806" s="3">
        <v>2050.67</v>
      </c>
      <c r="P806" s="3" t="s">
        <v>26</v>
      </c>
    </row>
    <row r="807" spans="1:16" x14ac:dyDescent="0.35">
      <c r="A807" s="3" t="s">
        <v>1777</v>
      </c>
      <c r="B807" s="3" t="s">
        <v>989</v>
      </c>
      <c r="C807" s="3" t="s">
        <v>29</v>
      </c>
      <c r="D807" s="3" t="s">
        <v>58</v>
      </c>
      <c r="E807" s="3" t="s">
        <v>176</v>
      </c>
      <c r="F807" s="3" t="s">
        <v>177</v>
      </c>
      <c r="G807" s="3" t="s">
        <v>22</v>
      </c>
      <c r="H807" s="3" t="s">
        <v>23</v>
      </c>
      <c r="I807" s="3" t="s">
        <v>1778</v>
      </c>
      <c r="J807" s="3" t="s">
        <v>161</v>
      </c>
      <c r="K807" s="3">
        <v>3</v>
      </c>
      <c r="L807" s="3">
        <v>3315.87</v>
      </c>
      <c r="M807" s="3">
        <v>9947.61</v>
      </c>
      <c r="N807" s="3">
        <v>6428.37</v>
      </c>
      <c r="O807" s="3">
        <v>3519.24</v>
      </c>
      <c r="P807" s="3" t="s">
        <v>69</v>
      </c>
    </row>
    <row r="808" spans="1:16" x14ac:dyDescent="0.35">
      <c r="A808" s="3" t="s">
        <v>1779</v>
      </c>
      <c r="B808" s="3" t="s">
        <v>1780</v>
      </c>
      <c r="C808" s="3" t="s">
        <v>137</v>
      </c>
      <c r="D808" s="3" t="s">
        <v>38</v>
      </c>
      <c r="E808" s="3" t="s">
        <v>109</v>
      </c>
      <c r="F808" s="3" t="s">
        <v>110</v>
      </c>
      <c r="G808" s="3" t="s">
        <v>30</v>
      </c>
      <c r="H808" s="3" t="s">
        <v>67</v>
      </c>
      <c r="I808" s="3" t="s">
        <v>1059</v>
      </c>
      <c r="J808" s="3" t="s">
        <v>147</v>
      </c>
      <c r="K808" s="3">
        <v>2</v>
      </c>
      <c r="L808" s="3">
        <v>8641.67</v>
      </c>
      <c r="M808" s="3">
        <v>17283.34</v>
      </c>
      <c r="N808" s="3">
        <v>15824.8</v>
      </c>
      <c r="O808" s="3">
        <v>1458.54</v>
      </c>
      <c r="P808" s="3" t="s">
        <v>86</v>
      </c>
    </row>
    <row r="809" spans="1:16" x14ac:dyDescent="0.35">
      <c r="A809" s="3" t="s">
        <v>1781</v>
      </c>
      <c r="B809" s="3" t="s">
        <v>169</v>
      </c>
      <c r="C809" s="3" t="s">
        <v>37</v>
      </c>
      <c r="D809" s="3" t="s">
        <v>19</v>
      </c>
      <c r="E809" s="3" t="s">
        <v>49</v>
      </c>
      <c r="F809" s="3" t="s">
        <v>50</v>
      </c>
      <c r="G809" s="3" t="s">
        <v>51</v>
      </c>
      <c r="H809" s="3" t="s">
        <v>145</v>
      </c>
      <c r="I809" s="3" t="s">
        <v>1782</v>
      </c>
      <c r="J809" s="3" t="s">
        <v>44</v>
      </c>
      <c r="K809" s="3">
        <v>3</v>
      </c>
      <c r="L809" s="3">
        <v>109.66</v>
      </c>
      <c r="M809" s="3">
        <v>328.98</v>
      </c>
      <c r="N809" s="3">
        <v>184.56</v>
      </c>
      <c r="O809" s="3">
        <v>144.41999999999999</v>
      </c>
      <c r="P809" s="3" t="s">
        <v>45</v>
      </c>
    </row>
    <row r="810" spans="1:16" x14ac:dyDescent="0.35">
      <c r="A810" s="3" t="s">
        <v>1783</v>
      </c>
      <c r="B810" s="3" t="s">
        <v>1385</v>
      </c>
      <c r="C810" s="3" t="s">
        <v>29</v>
      </c>
      <c r="D810" s="3" t="s">
        <v>19</v>
      </c>
      <c r="E810" s="3" t="s">
        <v>49</v>
      </c>
      <c r="F810" s="3" t="s">
        <v>50</v>
      </c>
      <c r="G810" s="3" t="s">
        <v>30</v>
      </c>
      <c r="H810" s="3" t="s">
        <v>31</v>
      </c>
      <c r="I810" s="3" t="s">
        <v>1784</v>
      </c>
      <c r="J810" s="3" t="s">
        <v>54</v>
      </c>
      <c r="K810" s="3">
        <v>6</v>
      </c>
      <c r="L810" s="3">
        <v>2838.11</v>
      </c>
      <c r="M810" s="3">
        <v>17028.66</v>
      </c>
      <c r="N810" s="3">
        <v>11203.7</v>
      </c>
      <c r="O810" s="3">
        <v>5824.96</v>
      </c>
      <c r="P810" s="3" t="s">
        <v>86</v>
      </c>
    </row>
    <row r="811" spans="1:16" x14ac:dyDescent="0.35">
      <c r="A811" s="3" t="s">
        <v>1785</v>
      </c>
      <c r="B811" s="3" t="s">
        <v>1238</v>
      </c>
      <c r="C811" s="3" t="s">
        <v>82</v>
      </c>
      <c r="D811" s="3" t="s">
        <v>58</v>
      </c>
      <c r="E811" s="3" t="s">
        <v>59</v>
      </c>
      <c r="F811" s="3" t="s">
        <v>60</v>
      </c>
      <c r="G811" s="3" t="s">
        <v>22</v>
      </c>
      <c r="H811" s="3" t="s">
        <v>83</v>
      </c>
      <c r="I811" s="3" t="s">
        <v>597</v>
      </c>
      <c r="J811" s="3" t="s">
        <v>44</v>
      </c>
      <c r="K811" s="3">
        <v>3</v>
      </c>
      <c r="L811" s="3">
        <v>22154.35</v>
      </c>
      <c r="M811" s="3">
        <v>66463.05</v>
      </c>
      <c r="N811" s="3">
        <v>49157.97</v>
      </c>
      <c r="O811" s="3">
        <v>17305.080000000002</v>
      </c>
      <c r="P811" s="3" t="s">
        <v>26</v>
      </c>
    </row>
    <row r="812" spans="1:16" x14ac:dyDescent="0.35">
      <c r="A812" s="3" t="s">
        <v>1786</v>
      </c>
      <c r="B812" s="3" t="s">
        <v>1423</v>
      </c>
      <c r="C812" s="3" t="s">
        <v>37</v>
      </c>
      <c r="D812" s="3" t="s">
        <v>19</v>
      </c>
      <c r="E812" s="3" t="s">
        <v>199</v>
      </c>
      <c r="F812" s="3" t="s">
        <v>200</v>
      </c>
      <c r="G812" s="3" t="s">
        <v>41</v>
      </c>
      <c r="H812" s="3" t="s">
        <v>42</v>
      </c>
      <c r="I812" s="3" t="s">
        <v>985</v>
      </c>
      <c r="J812" s="3" t="s">
        <v>100</v>
      </c>
      <c r="K812" s="3">
        <v>2</v>
      </c>
      <c r="L812" s="3">
        <v>42933.16</v>
      </c>
      <c r="M812" s="3">
        <v>85866.32</v>
      </c>
      <c r="N812" s="3">
        <v>71305.45</v>
      </c>
      <c r="O812" s="3">
        <v>14560.87</v>
      </c>
      <c r="P812" s="3" t="s">
        <v>34</v>
      </c>
    </row>
    <row r="813" spans="1:16" x14ac:dyDescent="0.35">
      <c r="A813" s="3" t="s">
        <v>1787</v>
      </c>
      <c r="B813" s="3" t="s">
        <v>743</v>
      </c>
      <c r="C813" s="3" t="s">
        <v>72</v>
      </c>
      <c r="D813" s="3" t="s">
        <v>19</v>
      </c>
      <c r="E813" s="3" t="s">
        <v>49</v>
      </c>
      <c r="F813" s="3" t="s">
        <v>50</v>
      </c>
      <c r="G813" s="3" t="s">
        <v>22</v>
      </c>
      <c r="H813" s="3" t="s">
        <v>93</v>
      </c>
      <c r="I813" s="3" t="s">
        <v>226</v>
      </c>
      <c r="J813" s="3" t="s">
        <v>44</v>
      </c>
      <c r="K813" s="3">
        <v>2</v>
      </c>
      <c r="L813" s="3">
        <v>7031.41</v>
      </c>
      <c r="M813" s="3">
        <v>14062.82</v>
      </c>
      <c r="N813" s="3">
        <v>10426.89</v>
      </c>
      <c r="O813" s="3">
        <v>3635.93</v>
      </c>
      <c r="P813" s="3" t="s">
        <v>34</v>
      </c>
    </row>
    <row r="814" spans="1:16" x14ac:dyDescent="0.35">
      <c r="A814" s="3" t="s">
        <v>1788</v>
      </c>
      <c r="B814" s="3" t="s">
        <v>690</v>
      </c>
      <c r="C814" s="3" t="s">
        <v>82</v>
      </c>
      <c r="D814" s="3" t="s">
        <v>90</v>
      </c>
      <c r="E814" s="3" t="s">
        <v>97</v>
      </c>
      <c r="F814" s="3" t="s">
        <v>98</v>
      </c>
      <c r="G814" s="3" t="s">
        <v>30</v>
      </c>
      <c r="H814" s="3" t="s">
        <v>73</v>
      </c>
      <c r="I814" s="3" t="s">
        <v>32</v>
      </c>
      <c r="J814" s="3" t="s">
        <v>131</v>
      </c>
      <c r="K814" s="3">
        <v>3</v>
      </c>
      <c r="L814" s="3">
        <v>3114.07</v>
      </c>
      <c r="M814" s="3">
        <v>9342.2099999999991</v>
      </c>
      <c r="N814" s="3">
        <v>7084.12</v>
      </c>
      <c r="O814" s="3">
        <v>2258.09</v>
      </c>
      <c r="P814" s="3" t="s">
        <v>34</v>
      </c>
    </row>
    <row r="815" spans="1:16" x14ac:dyDescent="0.35">
      <c r="A815" s="3" t="s">
        <v>1789</v>
      </c>
      <c r="B815" s="3" t="s">
        <v>534</v>
      </c>
      <c r="C815" s="3" t="s">
        <v>29</v>
      </c>
      <c r="D815" s="3" t="s">
        <v>19</v>
      </c>
      <c r="E815" s="3" t="s">
        <v>199</v>
      </c>
      <c r="F815" s="3" t="s">
        <v>200</v>
      </c>
      <c r="G815" s="3" t="s">
        <v>22</v>
      </c>
      <c r="H815" s="3" t="s">
        <v>23</v>
      </c>
      <c r="I815" s="3" t="s">
        <v>1576</v>
      </c>
      <c r="J815" s="3" t="s">
        <v>54</v>
      </c>
      <c r="K815" s="3">
        <v>4</v>
      </c>
      <c r="L815" s="3">
        <v>3307.99</v>
      </c>
      <c r="M815" s="3">
        <v>13231.96</v>
      </c>
      <c r="N815" s="3">
        <v>8632.49</v>
      </c>
      <c r="O815" s="3">
        <v>4599.47</v>
      </c>
      <c r="P815" s="3" t="s">
        <v>45</v>
      </c>
    </row>
    <row r="816" spans="1:16" x14ac:dyDescent="0.35">
      <c r="A816" s="3" t="s">
        <v>1790</v>
      </c>
      <c r="B816" s="3" t="s">
        <v>56</v>
      </c>
      <c r="C816" s="3" t="s">
        <v>57</v>
      </c>
      <c r="D816" s="3" t="s">
        <v>90</v>
      </c>
      <c r="E816" s="3" t="s">
        <v>97</v>
      </c>
      <c r="F816" s="3" t="s">
        <v>98</v>
      </c>
      <c r="G816" s="3" t="s">
        <v>41</v>
      </c>
      <c r="H816" s="3" t="s">
        <v>138</v>
      </c>
      <c r="I816" s="3" t="s">
        <v>1791</v>
      </c>
      <c r="J816" s="3" t="s">
        <v>44</v>
      </c>
      <c r="K816" s="3">
        <v>8</v>
      </c>
      <c r="L816" s="3">
        <v>18928.849999999999</v>
      </c>
      <c r="M816" s="3">
        <v>151430.79999999999</v>
      </c>
      <c r="N816" s="3">
        <v>112815.03999999999</v>
      </c>
      <c r="O816" s="3">
        <v>38615.760000000002</v>
      </c>
      <c r="P816" s="3" t="s">
        <v>45</v>
      </c>
    </row>
    <row r="817" spans="1:16" x14ac:dyDescent="0.35">
      <c r="A817" s="3" t="s">
        <v>1792</v>
      </c>
      <c r="B817" s="3" t="s">
        <v>562</v>
      </c>
      <c r="C817" s="3" t="s">
        <v>82</v>
      </c>
      <c r="D817" s="3" t="s">
        <v>58</v>
      </c>
      <c r="E817" s="3" t="s">
        <v>65</v>
      </c>
      <c r="F817" s="3" t="s">
        <v>66</v>
      </c>
      <c r="G817" s="3" t="s">
        <v>51</v>
      </c>
      <c r="H817" s="3" t="s">
        <v>145</v>
      </c>
      <c r="I817" s="3" t="s">
        <v>1793</v>
      </c>
      <c r="J817" s="3" t="s">
        <v>147</v>
      </c>
      <c r="K817" s="3">
        <v>1</v>
      </c>
      <c r="L817" s="3">
        <v>130.38999999999999</v>
      </c>
      <c r="M817" s="3">
        <v>130.38999999999999</v>
      </c>
      <c r="N817" s="3">
        <v>62.32</v>
      </c>
      <c r="O817" s="3">
        <v>68.069999999999993</v>
      </c>
      <c r="P817" s="3" t="s">
        <v>69</v>
      </c>
    </row>
    <row r="818" spans="1:16" x14ac:dyDescent="0.35">
      <c r="A818" s="3" t="s">
        <v>1794</v>
      </c>
      <c r="B818" s="3" t="s">
        <v>1435</v>
      </c>
      <c r="C818" s="3" t="s">
        <v>137</v>
      </c>
      <c r="D818" s="3" t="s">
        <v>90</v>
      </c>
      <c r="E818" s="3" t="s">
        <v>91</v>
      </c>
      <c r="F818" s="3" t="s">
        <v>92</v>
      </c>
      <c r="G818" s="3" t="s">
        <v>30</v>
      </c>
      <c r="H818" s="3" t="s">
        <v>67</v>
      </c>
      <c r="I818" s="3" t="s">
        <v>519</v>
      </c>
      <c r="J818" s="3" t="s">
        <v>25</v>
      </c>
      <c r="K818" s="3">
        <v>1</v>
      </c>
      <c r="L818" s="3">
        <v>9318.93</v>
      </c>
      <c r="M818" s="3">
        <v>9318.93</v>
      </c>
      <c r="N818" s="3">
        <v>7290.38</v>
      </c>
      <c r="O818" s="3">
        <v>2028.55</v>
      </c>
      <c r="P818" s="3" t="s">
        <v>34</v>
      </c>
    </row>
    <row r="819" spans="1:16" x14ac:dyDescent="0.35">
      <c r="A819" s="3" t="s">
        <v>1795</v>
      </c>
      <c r="B819" s="3" t="s">
        <v>1464</v>
      </c>
      <c r="C819" s="3" t="s">
        <v>137</v>
      </c>
      <c r="D819" s="3" t="s">
        <v>90</v>
      </c>
      <c r="E819" s="3" t="s">
        <v>91</v>
      </c>
      <c r="F819" s="3" t="s">
        <v>92</v>
      </c>
      <c r="G819" s="3" t="s">
        <v>51</v>
      </c>
      <c r="H819" s="3" t="s">
        <v>77</v>
      </c>
      <c r="I819" s="3" t="s">
        <v>1796</v>
      </c>
      <c r="J819" s="3" t="s">
        <v>161</v>
      </c>
      <c r="K819" s="3">
        <v>2</v>
      </c>
      <c r="L819" s="3">
        <v>11138.64</v>
      </c>
      <c r="M819" s="3">
        <v>22277.279999999999</v>
      </c>
      <c r="N819" s="3">
        <v>17992.59</v>
      </c>
      <c r="O819" s="3">
        <v>4284.6899999999996</v>
      </c>
      <c r="P819" s="3" t="s">
        <v>45</v>
      </c>
    </row>
    <row r="820" spans="1:16" x14ac:dyDescent="0.35">
      <c r="A820" s="3" t="s">
        <v>1797</v>
      </c>
      <c r="B820" s="3" t="s">
        <v>305</v>
      </c>
      <c r="C820" s="3" t="s">
        <v>18</v>
      </c>
      <c r="D820" s="3" t="s">
        <v>58</v>
      </c>
      <c r="E820" s="3" t="s">
        <v>176</v>
      </c>
      <c r="F820" s="3" t="s">
        <v>177</v>
      </c>
      <c r="G820" s="3" t="s">
        <v>41</v>
      </c>
      <c r="H820" s="3" t="s">
        <v>42</v>
      </c>
      <c r="I820" s="3" t="s">
        <v>1798</v>
      </c>
      <c r="J820" s="3" t="s">
        <v>147</v>
      </c>
      <c r="K820" s="3">
        <v>4</v>
      </c>
      <c r="L820" s="3">
        <v>46176.21</v>
      </c>
      <c r="M820" s="3">
        <v>184704.84</v>
      </c>
      <c r="N820" s="3">
        <v>146855.6</v>
      </c>
      <c r="O820" s="3">
        <v>37849.24</v>
      </c>
      <c r="P820" s="3" t="s">
        <v>45</v>
      </c>
    </row>
    <row r="821" spans="1:16" x14ac:dyDescent="0.35">
      <c r="A821" s="3" t="s">
        <v>1799</v>
      </c>
      <c r="B821" s="3" t="s">
        <v>1667</v>
      </c>
      <c r="C821" s="3" t="s">
        <v>48</v>
      </c>
      <c r="D821" s="3" t="s">
        <v>38</v>
      </c>
      <c r="E821" s="3" t="s">
        <v>39</v>
      </c>
      <c r="F821" s="3" t="s">
        <v>40</v>
      </c>
      <c r="G821" s="3" t="s">
        <v>51</v>
      </c>
      <c r="H821" s="3" t="s">
        <v>52</v>
      </c>
      <c r="I821" s="3" t="s">
        <v>1800</v>
      </c>
      <c r="J821" s="3" t="s">
        <v>188</v>
      </c>
      <c r="K821" s="3">
        <v>6</v>
      </c>
      <c r="L821" s="3">
        <v>27.37</v>
      </c>
      <c r="M821" s="3">
        <v>164.22</v>
      </c>
      <c r="N821" s="3">
        <v>60.99</v>
      </c>
      <c r="O821" s="3">
        <v>103.23</v>
      </c>
      <c r="P821" s="3" t="s">
        <v>34</v>
      </c>
    </row>
    <row r="822" spans="1:16" x14ac:dyDescent="0.35">
      <c r="A822" s="3" t="s">
        <v>1801</v>
      </c>
      <c r="B822" s="3" t="s">
        <v>485</v>
      </c>
      <c r="C822" s="3" t="s">
        <v>114</v>
      </c>
      <c r="D822" s="3" t="s">
        <v>58</v>
      </c>
      <c r="E822" s="3" t="s">
        <v>65</v>
      </c>
      <c r="F822" s="3" t="s">
        <v>66</v>
      </c>
      <c r="G822" s="3" t="s">
        <v>22</v>
      </c>
      <c r="H822" s="3" t="s">
        <v>23</v>
      </c>
      <c r="I822" s="3" t="s">
        <v>170</v>
      </c>
      <c r="J822" s="3" t="s">
        <v>161</v>
      </c>
      <c r="K822" s="3">
        <v>2</v>
      </c>
      <c r="L822" s="3">
        <v>3153.89</v>
      </c>
      <c r="M822" s="3">
        <v>6307.78</v>
      </c>
      <c r="N822" s="3">
        <v>4605.17</v>
      </c>
      <c r="O822" s="3">
        <v>1702.61</v>
      </c>
      <c r="P822" s="3" t="s">
        <v>86</v>
      </c>
    </row>
    <row r="823" spans="1:16" x14ac:dyDescent="0.35">
      <c r="A823" s="3" t="s">
        <v>1802</v>
      </c>
      <c r="B823" s="3" t="s">
        <v>1166</v>
      </c>
      <c r="C823" s="3" t="s">
        <v>118</v>
      </c>
      <c r="D823" s="3" t="s">
        <v>90</v>
      </c>
      <c r="E823" s="3" t="s">
        <v>97</v>
      </c>
      <c r="F823" s="3" t="s">
        <v>98</v>
      </c>
      <c r="G823" s="3" t="s">
        <v>30</v>
      </c>
      <c r="H823" s="3" t="s">
        <v>31</v>
      </c>
      <c r="I823" s="3" t="s">
        <v>1803</v>
      </c>
      <c r="J823" s="3" t="s">
        <v>131</v>
      </c>
      <c r="K823" s="3">
        <v>3</v>
      </c>
      <c r="L823" s="3">
        <v>2783.63</v>
      </c>
      <c r="M823" s="3">
        <v>8350.89</v>
      </c>
      <c r="N823" s="3">
        <v>5641.94</v>
      </c>
      <c r="O823" s="3">
        <v>2708.95</v>
      </c>
      <c r="P823" s="3" t="s">
        <v>26</v>
      </c>
    </row>
    <row r="824" spans="1:16" x14ac:dyDescent="0.35">
      <c r="A824" s="3" t="s">
        <v>1804</v>
      </c>
      <c r="B824" s="3" t="s">
        <v>921</v>
      </c>
      <c r="C824" s="3" t="s">
        <v>103</v>
      </c>
      <c r="D824" s="3" t="s">
        <v>38</v>
      </c>
      <c r="E824" s="3" t="s">
        <v>39</v>
      </c>
      <c r="F824" s="3" t="s">
        <v>40</v>
      </c>
      <c r="G824" s="3" t="s">
        <v>22</v>
      </c>
      <c r="H824" s="3" t="s">
        <v>93</v>
      </c>
      <c r="I824" s="3" t="s">
        <v>1153</v>
      </c>
      <c r="J824" s="3" t="s">
        <v>147</v>
      </c>
      <c r="K824" s="3">
        <v>6</v>
      </c>
      <c r="L824" s="3">
        <v>7051.27</v>
      </c>
      <c r="M824" s="3">
        <v>42307.62</v>
      </c>
      <c r="N824" s="3">
        <v>29575.18</v>
      </c>
      <c r="O824" s="3">
        <v>12732.44</v>
      </c>
      <c r="P824" s="3" t="s">
        <v>45</v>
      </c>
    </row>
    <row r="825" spans="1:16" x14ac:dyDescent="0.35">
      <c r="A825" s="3" t="s">
        <v>1805</v>
      </c>
      <c r="B825" s="3" t="s">
        <v>690</v>
      </c>
      <c r="C825" s="3" t="s">
        <v>82</v>
      </c>
      <c r="D825" s="3" t="s">
        <v>90</v>
      </c>
      <c r="E825" s="3" t="s">
        <v>97</v>
      </c>
      <c r="F825" s="3" t="s">
        <v>98</v>
      </c>
      <c r="G825" s="3" t="s">
        <v>51</v>
      </c>
      <c r="H825" s="3" t="s">
        <v>145</v>
      </c>
      <c r="I825" s="3" t="s">
        <v>1806</v>
      </c>
      <c r="J825" s="3" t="s">
        <v>44</v>
      </c>
      <c r="K825" s="3">
        <v>5</v>
      </c>
      <c r="L825" s="3">
        <v>113.16</v>
      </c>
      <c r="M825" s="3">
        <v>565.79999999999995</v>
      </c>
      <c r="N825" s="3">
        <v>300.18</v>
      </c>
      <c r="O825" s="3">
        <v>265.62</v>
      </c>
      <c r="P825" s="3" t="s">
        <v>45</v>
      </c>
    </row>
    <row r="826" spans="1:16" x14ac:dyDescent="0.35">
      <c r="A826" s="3" t="s">
        <v>1807</v>
      </c>
      <c r="B826" s="3" t="s">
        <v>248</v>
      </c>
      <c r="C826" s="3" t="s">
        <v>82</v>
      </c>
      <c r="D826" s="3" t="s">
        <v>38</v>
      </c>
      <c r="E826" s="3" t="s">
        <v>39</v>
      </c>
      <c r="F826" s="3" t="s">
        <v>40</v>
      </c>
      <c r="G826" s="3" t="s">
        <v>30</v>
      </c>
      <c r="H826" s="3" t="s">
        <v>31</v>
      </c>
      <c r="I826" s="3" t="s">
        <v>1808</v>
      </c>
      <c r="J826" s="3" t="s">
        <v>147</v>
      </c>
      <c r="K826" s="3">
        <v>5</v>
      </c>
      <c r="L826" s="3">
        <v>2854.05</v>
      </c>
      <c r="M826" s="3">
        <v>14270.25</v>
      </c>
      <c r="N826" s="3">
        <v>9237.3799999999992</v>
      </c>
      <c r="O826" s="3">
        <v>5032.87</v>
      </c>
      <c r="P826" s="3" t="s">
        <v>69</v>
      </c>
    </row>
    <row r="827" spans="1:16" x14ac:dyDescent="0.35">
      <c r="A827" s="3" t="s">
        <v>1809</v>
      </c>
      <c r="B827" s="3" t="s">
        <v>228</v>
      </c>
      <c r="C827" s="3" t="s">
        <v>114</v>
      </c>
      <c r="D827" s="3" t="s">
        <v>38</v>
      </c>
      <c r="E827" s="3" t="s">
        <v>39</v>
      </c>
      <c r="F827" s="3" t="s">
        <v>40</v>
      </c>
      <c r="G827" s="3" t="s">
        <v>41</v>
      </c>
      <c r="H827" s="3" t="s">
        <v>138</v>
      </c>
      <c r="I827" s="3" t="s">
        <v>1012</v>
      </c>
      <c r="J827" s="3" t="s">
        <v>171</v>
      </c>
      <c r="K827" s="3">
        <v>3</v>
      </c>
      <c r="L827" s="3">
        <v>17978.560000000001</v>
      </c>
      <c r="M827" s="3">
        <v>53935.68</v>
      </c>
      <c r="N827" s="3">
        <v>40127.74</v>
      </c>
      <c r="O827" s="3">
        <v>13807.94</v>
      </c>
      <c r="P827" s="3" t="s">
        <v>45</v>
      </c>
    </row>
    <row r="828" spans="1:16" x14ac:dyDescent="0.35">
      <c r="A828" s="3" t="s">
        <v>1810</v>
      </c>
      <c r="B828" s="3" t="s">
        <v>1224</v>
      </c>
      <c r="C828" s="3" t="s">
        <v>37</v>
      </c>
      <c r="D828" s="3" t="s">
        <v>58</v>
      </c>
      <c r="E828" s="3" t="s">
        <v>176</v>
      </c>
      <c r="F828" s="3" t="s">
        <v>177</v>
      </c>
      <c r="G828" s="3" t="s">
        <v>30</v>
      </c>
      <c r="H828" s="3" t="s">
        <v>67</v>
      </c>
      <c r="I828" s="3" t="s">
        <v>542</v>
      </c>
      <c r="J828" s="3" t="s">
        <v>79</v>
      </c>
      <c r="K828" s="3">
        <v>1</v>
      </c>
      <c r="L828" s="3">
        <v>10223.41</v>
      </c>
      <c r="M828" s="3">
        <v>10223.41</v>
      </c>
      <c r="N828" s="3">
        <v>7235.75</v>
      </c>
      <c r="O828" s="3">
        <v>2987.66</v>
      </c>
      <c r="P828" s="3" t="s">
        <v>45</v>
      </c>
    </row>
    <row r="829" spans="1:16" x14ac:dyDescent="0.35">
      <c r="A829" s="3" t="s">
        <v>1811</v>
      </c>
      <c r="B829" s="3" t="s">
        <v>248</v>
      </c>
      <c r="C829" s="3" t="s">
        <v>82</v>
      </c>
      <c r="D829" s="3" t="s">
        <v>58</v>
      </c>
      <c r="E829" s="3" t="s">
        <v>59</v>
      </c>
      <c r="F829" s="3" t="s">
        <v>60</v>
      </c>
      <c r="G829" s="3" t="s">
        <v>22</v>
      </c>
      <c r="H829" s="3" t="s">
        <v>83</v>
      </c>
      <c r="I829" s="3" t="s">
        <v>401</v>
      </c>
      <c r="J829" s="3" t="s">
        <v>85</v>
      </c>
      <c r="K829" s="3">
        <v>8</v>
      </c>
      <c r="L829" s="3">
        <v>20667.82</v>
      </c>
      <c r="M829" s="3">
        <v>165342.56</v>
      </c>
      <c r="N829" s="3">
        <v>129417.14</v>
      </c>
      <c r="O829" s="3">
        <v>35925.42</v>
      </c>
      <c r="P829" s="3" t="s">
        <v>86</v>
      </c>
    </row>
    <row r="830" spans="1:16" x14ac:dyDescent="0.35">
      <c r="A830" s="3" t="s">
        <v>1812</v>
      </c>
      <c r="B830" s="3" t="s">
        <v>488</v>
      </c>
      <c r="C830" s="3" t="s">
        <v>29</v>
      </c>
      <c r="D830" s="3" t="s">
        <v>58</v>
      </c>
      <c r="E830" s="3" t="s">
        <v>176</v>
      </c>
      <c r="F830" s="3" t="s">
        <v>177</v>
      </c>
      <c r="G830" s="3" t="s">
        <v>51</v>
      </c>
      <c r="H830" s="3" t="s">
        <v>52</v>
      </c>
      <c r="I830" s="3" t="s">
        <v>824</v>
      </c>
      <c r="J830" s="3" t="s">
        <v>54</v>
      </c>
      <c r="K830" s="3">
        <v>8</v>
      </c>
      <c r="L830" s="3">
        <v>27.45</v>
      </c>
      <c r="M830" s="3">
        <v>219.6</v>
      </c>
      <c r="N830" s="3">
        <v>79.53</v>
      </c>
      <c r="O830" s="3">
        <v>140.07</v>
      </c>
      <c r="P830" s="3" t="s">
        <v>45</v>
      </c>
    </row>
    <row r="831" spans="1:16" x14ac:dyDescent="0.35">
      <c r="A831" s="3" t="s">
        <v>1813</v>
      </c>
      <c r="B831" s="3" t="s">
        <v>1238</v>
      </c>
      <c r="C831" s="3" t="s">
        <v>82</v>
      </c>
      <c r="D831" s="3" t="s">
        <v>38</v>
      </c>
      <c r="E831" s="3" t="s">
        <v>39</v>
      </c>
      <c r="F831" s="3" t="s">
        <v>40</v>
      </c>
      <c r="G831" s="3" t="s">
        <v>51</v>
      </c>
      <c r="H831" s="3" t="s">
        <v>52</v>
      </c>
      <c r="I831" s="3" t="s">
        <v>1814</v>
      </c>
      <c r="J831" s="3" t="s">
        <v>100</v>
      </c>
      <c r="K831" s="3">
        <v>4</v>
      </c>
      <c r="L831" s="3">
        <v>22.6</v>
      </c>
      <c r="M831" s="3">
        <v>90.4</v>
      </c>
      <c r="N831" s="3">
        <v>38.409999999999997</v>
      </c>
      <c r="O831" s="3">
        <v>51.99</v>
      </c>
      <c r="P831" s="3" t="s">
        <v>86</v>
      </c>
    </row>
    <row r="832" spans="1:16" x14ac:dyDescent="0.35">
      <c r="A832" s="3" t="s">
        <v>1815</v>
      </c>
      <c r="B832" s="3" t="s">
        <v>880</v>
      </c>
      <c r="C832" s="3" t="s">
        <v>114</v>
      </c>
      <c r="D832" s="3" t="s">
        <v>90</v>
      </c>
      <c r="E832" s="3" t="s">
        <v>91</v>
      </c>
      <c r="F832" s="3" t="s">
        <v>92</v>
      </c>
      <c r="G832" s="3" t="s">
        <v>41</v>
      </c>
      <c r="H832" s="3" t="s">
        <v>61</v>
      </c>
      <c r="I832" s="3" t="s">
        <v>647</v>
      </c>
      <c r="J832" s="3" t="s">
        <v>131</v>
      </c>
      <c r="K832" s="3">
        <v>2</v>
      </c>
      <c r="L832" s="3">
        <v>2358.65</v>
      </c>
      <c r="M832" s="3">
        <v>4717.3</v>
      </c>
      <c r="N832" s="3">
        <v>3081.49</v>
      </c>
      <c r="O832" s="3">
        <v>1635.81</v>
      </c>
      <c r="P832" s="3" t="s">
        <v>69</v>
      </c>
    </row>
    <row r="833" spans="1:16" x14ac:dyDescent="0.35">
      <c r="A833" s="3" t="s">
        <v>1816</v>
      </c>
      <c r="B833" s="3" t="s">
        <v>828</v>
      </c>
      <c r="C833" s="3" t="s">
        <v>89</v>
      </c>
      <c r="D833" s="3" t="s">
        <v>19</v>
      </c>
      <c r="E833" s="3" t="s">
        <v>199</v>
      </c>
      <c r="F833" s="3" t="s">
        <v>200</v>
      </c>
      <c r="G833" s="3" t="s">
        <v>22</v>
      </c>
      <c r="H833" s="3" t="s">
        <v>23</v>
      </c>
      <c r="I833" s="3" t="s">
        <v>1817</v>
      </c>
      <c r="J833" s="3" t="s">
        <v>54</v>
      </c>
      <c r="K833" s="3">
        <v>2</v>
      </c>
      <c r="L833" s="3">
        <v>3602.92</v>
      </c>
      <c r="M833" s="3">
        <v>7205.84</v>
      </c>
      <c r="N833" s="3">
        <v>4524.18</v>
      </c>
      <c r="O833" s="3">
        <v>2681.66</v>
      </c>
      <c r="P833" s="3" t="s">
        <v>34</v>
      </c>
    </row>
    <row r="834" spans="1:16" x14ac:dyDescent="0.35">
      <c r="A834" s="3" t="s">
        <v>1818</v>
      </c>
      <c r="B834" s="3" t="s">
        <v>183</v>
      </c>
      <c r="C834" s="3" t="s">
        <v>114</v>
      </c>
      <c r="D834" s="3" t="s">
        <v>58</v>
      </c>
      <c r="E834" s="3" t="s">
        <v>65</v>
      </c>
      <c r="F834" s="3" t="s">
        <v>66</v>
      </c>
      <c r="G834" s="3" t="s">
        <v>51</v>
      </c>
      <c r="H834" s="3" t="s">
        <v>52</v>
      </c>
      <c r="I834" s="3" t="s">
        <v>99</v>
      </c>
      <c r="J834" s="3" t="s">
        <v>154</v>
      </c>
      <c r="K834" s="3">
        <v>3</v>
      </c>
      <c r="L834" s="3">
        <v>27.13</v>
      </c>
      <c r="M834" s="3">
        <v>81.39</v>
      </c>
      <c r="N834" s="3">
        <v>28.9</v>
      </c>
      <c r="O834" s="3">
        <v>52.49</v>
      </c>
      <c r="P834" s="3" t="s">
        <v>69</v>
      </c>
    </row>
    <row r="835" spans="1:16" x14ac:dyDescent="0.35">
      <c r="A835" s="3" t="s">
        <v>1819</v>
      </c>
      <c r="B835" s="3" t="s">
        <v>837</v>
      </c>
      <c r="C835" s="3" t="s">
        <v>72</v>
      </c>
      <c r="D835" s="3" t="s">
        <v>58</v>
      </c>
      <c r="E835" s="3" t="s">
        <v>65</v>
      </c>
      <c r="F835" s="3" t="s">
        <v>66</v>
      </c>
      <c r="G835" s="3" t="s">
        <v>30</v>
      </c>
      <c r="H835" s="3" t="s">
        <v>31</v>
      </c>
      <c r="I835" s="3" t="s">
        <v>1756</v>
      </c>
      <c r="J835" s="3" t="s">
        <v>44</v>
      </c>
      <c r="K835" s="3">
        <v>7</v>
      </c>
      <c r="L835" s="3">
        <v>3058.36</v>
      </c>
      <c r="M835" s="3">
        <v>21408.52</v>
      </c>
      <c r="N835" s="3">
        <v>12928.54</v>
      </c>
      <c r="O835" s="3">
        <v>8479.98</v>
      </c>
      <c r="P835" s="3" t="s">
        <v>69</v>
      </c>
    </row>
    <row r="836" spans="1:16" x14ac:dyDescent="0.35">
      <c r="A836" s="3" t="s">
        <v>1820</v>
      </c>
      <c r="B836" s="3" t="s">
        <v>222</v>
      </c>
      <c r="C836" s="3" t="s">
        <v>48</v>
      </c>
      <c r="D836" s="3" t="s">
        <v>19</v>
      </c>
      <c r="E836" s="3" t="s">
        <v>199</v>
      </c>
      <c r="F836" s="3" t="s">
        <v>200</v>
      </c>
      <c r="G836" s="3" t="s">
        <v>51</v>
      </c>
      <c r="H836" s="3" t="s">
        <v>52</v>
      </c>
      <c r="I836" s="3" t="s">
        <v>1821</v>
      </c>
      <c r="J836" s="3" t="s">
        <v>85</v>
      </c>
      <c r="K836" s="3">
        <v>5</v>
      </c>
      <c r="L836" s="3">
        <v>26.69</v>
      </c>
      <c r="M836" s="3">
        <v>133.44999999999999</v>
      </c>
      <c r="N836" s="3">
        <v>47.57</v>
      </c>
      <c r="O836" s="3">
        <v>85.88</v>
      </c>
      <c r="P836" s="3" t="s">
        <v>26</v>
      </c>
    </row>
    <row r="837" spans="1:16" x14ac:dyDescent="0.35">
      <c r="A837" s="3" t="s">
        <v>1822</v>
      </c>
      <c r="B837" s="3" t="s">
        <v>1823</v>
      </c>
      <c r="C837" s="3" t="s">
        <v>118</v>
      </c>
      <c r="D837" s="3" t="s">
        <v>90</v>
      </c>
      <c r="E837" s="3" t="s">
        <v>91</v>
      </c>
      <c r="F837" s="3" t="s">
        <v>92</v>
      </c>
      <c r="G837" s="3" t="s">
        <v>51</v>
      </c>
      <c r="H837" s="3" t="s">
        <v>77</v>
      </c>
      <c r="I837" s="3" t="s">
        <v>1784</v>
      </c>
      <c r="J837" s="3" t="s">
        <v>85</v>
      </c>
      <c r="K837" s="3">
        <v>7</v>
      </c>
      <c r="L837" s="3">
        <v>12927.62</v>
      </c>
      <c r="M837" s="3">
        <v>90493.34</v>
      </c>
      <c r="N837" s="3">
        <v>62502.34</v>
      </c>
      <c r="O837" s="3">
        <v>27991</v>
      </c>
      <c r="P837" s="3" t="s">
        <v>45</v>
      </c>
    </row>
    <row r="838" spans="1:16" x14ac:dyDescent="0.35">
      <c r="A838" s="3" t="s">
        <v>1824</v>
      </c>
      <c r="B838" s="3" t="s">
        <v>814</v>
      </c>
      <c r="C838" s="3" t="s">
        <v>103</v>
      </c>
      <c r="D838" s="3" t="s">
        <v>58</v>
      </c>
      <c r="E838" s="3" t="s">
        <v>65</v>
      </c>
      <c r="F838" s="3" t="s">
        <v>66</v>
      </c>
      <c r="G838" s="3" t="s">
        <v>41</v>
      </c>
      <c r="H838" s="3" t="s">
        <v>42</v>
      </c>
      <c r="I838" s="3" t="s">
        <v>1825</v>
      </c>
      <c r="J838" s="3" t="s">
        <v>154</v>
      </c>
      <c r="K838" s="3">
        <v>4</v>
      </c>
      <c r="L838" s="3">
        <v>41176.03</v>
      </c>
      <c r="M838" s="3">
        <v>164704.12</v>
      </c>
      <c r="N838" s="3">
        <v>138469.60999999999</v>
      </c>
      <c r="O838" s="3">
        <v>26234.51</v>
      </c>
      <c r="P838" s="3" t="s">
        <v>26</v>
      </c>
    </row>
    <row r="839" spans="1:16" x14ac:dyDescent="0.35">
      <c r="A839" s="3" t="s">
        <v>1826</v>
      </c>
      <c r="B839" s="3" t="s">
        <v>183</v>
      </c>
      <c r="C839" s="3" t="s">
        <v>114</v>
      </c>
      <c r="D839" s="3" t="s">
        <v>19</v>
      </c>
      <c r="E839" s="3" t="s">
        <v>199</v>
      </c>
      <c r="F839" s="3" t="s">
        <v>200</v>
      </c>
      <c r="G839" s="3" t="s">
        <v>22</v>
      </c>
      <c r="H839" s="3" t="s">
        <v>83</v>
      </c>
      <c r="I839" s="3" t="s">
        <v>483</v>
      </c>
      <c r="J839" s="3" t="s">
        <v>171</v>
      </c>
      <c r="K839" s="3">
        <v>1</v>
      </c>
      <c r="L839" s="3">
        <v>23168.25</v>
      </c>
      <c r="M839" s="3">
        <v>23168.25</v>
      </c>
      <c r="N839" s="3">
        <v>17283.14</v>
      </c>
      <c r="O839" s="3">
        <v>5885.11</v>
      </c>
      <c r="P839" s="3" t="s">
        <v>45</v>
      </c>
    </row>
    <row r="840" spans="1:16" x14ac:dyDescent="0.35">
      <c r="A840" s="3" t="s">
        <v>1827</v>
      </c>
      <c r="B840" s="3" t="s">
        <v>183</v>
      </c>
      <c r="C840" s="3" t="s">
        <v>114</v>
      </c>
      <c r="D840" s="3" t="s">
        <v>58</v>
      </c>
      <c r="E840" s="3" t="s">
        <v>65</v>
      </c>
      <c r="F840" s="3" t="s">
        <v>66</v>
      </c>
      <c r="G840" s="3" t="s">
        <v>51</v>
      </c>
      <c r="H840" s="3" t="s">
        <v>145</v>
      </c>
      <c r="I840" s="3" t="s">
        <v>1481</v>
      </c>
      <c r="J840" s="3" t="s">
        <v>54</v>
      </c>
      <c r="K840" s="3">
        <v>4</v>
      </c>
      <c r="L840" s="3">
        <v>115.36</v>
      </c>
      <c r="M840" s="3">
        <v>461.44</v>
      </c>
      <c r="N840" s="3">
        <v>242.28</v>
      </c>
      <c r="O840" s="3">
        <v>219.16</v>
      </c>
      <c r="P840" s="3" t="s">
        <v>45</v>
      </c>
    </row>
    <row r="841" spans="1:16" x14ac:dyDescent="0.35">
      <c r="A841" s="3" t="s">
        <v>1828</v>
      </c>
      <c r="B841" s="3" t="s">
        <v>271</v>
      </c>
      <c r="C841" s="3" t="s">
        <v>82</v>
      </c>
      <c r="D841" s="3" t="s">
        <v>19</v>
      </c>
      <c r="E841" s="3" t="s">
        <v>199</v>
      </c>
      <c r="F841" s="3" t="s">
        <v>200</v>
      </c>
      <c r="G841" s="3" t="s">
        <v>51</v>
      </c>
      <c r="H841" s="3" t="s">
        <v>145</v>
      </c>
      <c r="I841" s="3" t="s">
        <v>1700</v>
      </c>
      <c r="J841" s="3" t="s">
        <v>161</v>
      </c>
      <c r="K841" s="3">
        <v>2</v>
      </c>
      <c r="L841" s="3">
        <v>126.82</v>
      </c>
      <c r="M841" s="3">
        <v>253.64</v>
      </c>
      <c r="N841" s="3">
        <v>114.42</v>
      </c>
      <c r="O841" s="3">
        <v>139.22</v>
      </c>
      <c r="P841" s="3" t="s">
        <v>86</v>
      </c>
    </row>
    <row r="842" spans="1:16" x14ac:dyDescent="0.35">
      <c r="A842" s="3" t="s">
        <v>1829</v>
      </c>
      <c r="B842" s="3" t="s">
        <v>276</v>
      </c>
      <c r="C842" s="3" t="s">
        <v>114</v>
      </c>
      <c r="D842" s="3" t="s">
        <v>38</v>
      </c>
      <c r="E842" s="3" t="s">
        <v>109</v>
      </c>
      <c r="F842" s="3" t="s">
        <v>110</v>
      </c>
      <c r="G842" s="3" t="s">
        <v>22</v>
      </c>
      <c r="H842" s="3" t="s">
        <v>93</v>
      </c>
      <c r="I842" s="3" t="s">
        <v>1830</v>
      </c>
      <c r="J842" s="3" t="s">
        <v>106</v>
      </c>
      <c r="K842" s="3">
        <v>6</v>
      </c>
      <c r="L842" s="3">
        <v>6744.04</v>
      </c>
      <c r="M842" s="3">
        <v>40464.239999999998</v>
      </c>
      <c r="N842" s="3">
        <v>30100.58</v>
      </c>
      <c r="O842" s="3">
        <v>10363.66</v>
      </c>
      <c r="P842" s="3" t="s">
        <v>34</v>
      </c>
    </row>
    <row r="843" spans="1:16" x14ac:dyDescent="0.35">
      <c r="A843" s="3" t="s">
        <v>1831</v>
      </c>
      <c r="B843" s="3" t="s">
        <v>186</v>
      </c>
      <c r="C843" s="3" t="s">
        <v>89</v>
      </c>
      <c r="D843" s="3" t="s">
        <v>90</v>
      </c>
      <c r="E843" s="3" t="s">
        <v>97</v>
      </c>
      <c r="F843" s="3" t="s">
        <v>98</v>
      </c>
      <c r="G843" s="3" t="s">
        <v>51</v>
      </c>
      <c r="H843" s="3" t="s">
        <v>77</v>
      </c>
      <c r="I843" s="3" t="s">
        <v>925</v>
      </c>
      <c r="J843" s="3" t="s">
        <v>33</v>
      </c>
      <c r="K843" s="3">
        <v>2</v>
      </c>
      <c r="L843" s="3">
        <v>11379.78</v>
      </c>
      <c r="M843" s="3">
        <v>22759.56</v>
      </c>
      <c r="N843" s="3">
        <v>18489.18</v>
      </c>
      <c r="O843" s="3">
        <v>4270.38</v>
      </c>
      <c r="P843" s="3" t="s">
        <v>69</v>
      </c>
    </row>
    <row r="844" spans="1:16" x14ac:dyDescent="0.35">
      <c r="A844" s="3" t="s">
        <v>1832</v>
      </c>
      <c r="B844" s="3" t="s">
        <v>230</v>
      </c>
      <c r="C844" s="3" t="s">
        <v>118</v>
      </c>
      <c r="D844" s="3" t="s">
        <v>19</v>
      </c>
      <c r="E844" s="3" t="s">
        <v>20</v>
      </c>
      <c r="F844" s="3" t="s">
        <v>21</v>
      </c>
      <c r="G844" s="3" t="s">
        <v>51</v>
      </c>
      <c r="H844" s="3" t="s">
        <v>145</v>
      </c>
      <c r="I844" s="3" t="s">
        <v>167</v>
      </c>
      <c r="J844" s="3" t="s">
        <v>171</v>
      </c>
      <c r="K844" s="3">
        <v>5</v>
      </c>
      <c r="L844" s="3">
        <v>116.9</v>
      </c>
      <c r="M844" s="3">
        <v>584.5</v>
      </c>
      <c r="N844" s="3">
        <v>302.20999999999998</v>
      </c>
      <c r="O844" s="3">
        <v>282.29000000000002</v>
      </c>
      <c r="P844" s="3" t="s">
        <v>34</v>
      </c>
    </row>
    <row r="845" spans="1:16" x14ac:dyDescent="0.35">
      <c r="A845" s="3" t="s">
        <v>1833</v>
      </c>
      <c r="B845" s="3" t="s">
        <v>782</v>
      </c>
      <c r="C845" s="3" t="s">
        <v>114</v>
      </c>
      <c r="D845" s="3" t="s">
        <v>19</v>
      </c>
      <c r="E845" s="3" t="s">
        <v>20</v>
      </c>
      <c r="F845" s="3" t="s">
        <v>21</v>
      </c>
      <c r="G845" s="3" t="s">
        <v>30</v>
      </c>
      <c r="H845" s="3" t="s">
        <v>73</v>
      </c>
      <c r="I845" s="3" t="s">
        <v>1834</v>
      </c>
      <c r="J845" s="3" t="s">
        <v>217</v>
      </c>
      <c r="K845" s="3">
        <v>6</v>
      </c>
      <c r="L845" s="3">
        <v>3155</v>
      </c>
      <c r="M845" s="3">
        <v>18930</v>
      </c>
      <c r="N845" s="3">
        <v>14266.5</v>
      </c>
      <c r="O845" s="3">
        <v>4663.5</v>
      </c>
      <c r="P845" s="3" t="s">
        <v>34</v>
      </c>
    </row>
    <row r="846" spans="1:16" x14ac:dyDescent="0.35">
      <c r="A846" s="3" t="s">
        <v>1835</v>
      </c>
      <c r="B846" s="3" t="s">
        <v>787</v>
      </c>
      <c r="C846" s="3" t="s">
        <v>37</v>
      </c>
      <c r="D846" s="3" t="s">
        <v>38</v>
      </c>
      <c r="E846" s="3" t="s">
        <v>39</v>
      </c>
      <c r="F846" s="3" t="s">
        <v>40</v>
      </c>
      <c r="G846" s="3" t="s">
        <v>22</v>
      </c>
      <c r="H846" s="3" t="s">
        <v>93</v>
      </c>
      <c r="I846" s="3" t="s">
        <v>1449</v>
      </c>
      <c r="J846" s="3" t="s">
        <v>44</v>
      </c>
      <c r="K846" s="3">
        <v>1</v>
      </c>
      <c r="L846" s="3">
        <v>6756.59</v>
      </c>
      <c r="M846" s="3">
        <v>6756.59</v>
      </c>
      <c r="N846" s="3">
        <v>4808.49</v>
      </c>
      <c r="O846" s="3">
        <v>1948.1</v>
      </c>
      <c r="P846" s="3" t="s">
        <v>69</v>
      </c>
    </row>
    <row r="847" spans="1:16" x14ac:dyDescent="0.35">
      <c r="A847" s="3" t="s">
        <v>1836</v>
      </c>
      <c r="B847" s="3" t="s">
        <v>254</v>
      </c>
      <c r="C847" s="3" t="s">
        <v>82</v>
      </c>
      <c r="D847" s="3" t="s">
        <v>58</v>
      </c>
      <c r="E847" s="3" t="s">
        <v>59</v>
      </c>
      <c r="F847" s="3" t="s">
        <v>60</v>
      </c>
      <c r="G847" s="3" t="s">
        <v>30</v>
      </c>
      <c r="H847" s="3" t="s">
        <v>31</v>
      </c>
      <c r="I847" s="3" t="s">
        <v>1837</v>
      </c>
      <c r="J847" s="3" t="s">
        <v>25</v>
      </c>
      <c r="K847" s="3">
        <v>2</v>
      </c>
      <c r="L847" s="3">
        <v>2567.31</v>
      </c>
      <c r="M847" s="3">
        <v>5134.62</v>
      </c>
      <c r="N847" s="3">
        <v>3859.09</v>
      </c>
      <c r="O847" s="3">
        <v>1275.53</v>
      </c>
      <c r="P847" s="3" t="s">
        <v>34</v>
      </c>
    </row>
    <row r="848" spans="1:16" x14ac:dyDescent="0.35">
      <c r="A848" s="3" t="s">
        <v>1838</v>
      </c>
      <c r="B848" s="3" t="s">
        <v>908</v>
      </c>
      <c r="C848" s="3" t="s">
        <v>72</v>
      </c>
      <c r="D848" s="3" t="s">
        <v>90</v>
      </c>
      <c r="E848" s="3" t="s">
        <v>97</v>
      </c>
      <c r="F848" s="3" t="s">
        <v>98</v>
      </c>
      <c r="G848" s="3" t="s">
        <v>30</v>
      </c>
      <c r="H848" s="3" t="s">
        <v>67</v>
      </c>
      <c r="I848" s="3" t="s">
        <v>124</v>
      </c>
      <c r="J848" s="3" t="s">
        <v>106</v>
      </c>
      <c r="K848" s="3">
        <v>3</v>
      </c>
      <c r="L848" s="3">
        <v>9491.1200000000008</v>
      </c>
      <c r="M848" s="3">
        <v>28473.360000000001</v>
      </c>
      <c r="N848" s="3">
        <v>22618.03</v>
      </c>
      <c r="O848" s="3">
        <v>5855.33</v>
      </c>
      <c r="P848" s="3" t="s">
        <v>86</v>
      </c>
    </row>
    <row r="849" spans="1:16" x14ac:dyDescent="0.35">
      <c r="A849" s="3" t="s">
        <v>1839</v>
      </c>
      <c r="B849" s="3" t="s">
        <v>624</v>
      </c>
      <c r="C849" s="3" t="s">
        <v>18</v>
      </c>
      <c r="D849" s="3" t="s">
        <v>38</v>
      </c>
      <c r="E849" s="3" t="s">
        <v>109</v>
      </c>
      <c r="F849" s="3" t="s">
        <v>110</v>
      </c>
      <c r="G849" s="3" t="s">
        <v>30</v>
      </c>
      <c r="H849" s="3" t="s">
        <v>67</v>
      </c>
      <c r="I849" s="3" t="s">
        <v>869</v>
      </c>
      <c r="J849" s="3" t="s">
        <v>161</v>
      </c>
      <c r="K849" s="3">
        <v>4</v>
      </c>
      <c r="L849" s="3">
        <v>9122.2199999999993</v>
      </c>
      <c r="M849" s="3">
        <v>36488.879999999997</v>
      </c>
      <c r="N849" s="3">
        <v>31295.17</v>
      </c>
      <c r="O849" s="3">
        <v>5193.71</v>
      </c>
      <c r="P849" s="3" t="s">
        <v>69</v>
      </c>
    </row>
    <row r="850" spans="1:16" x14ac:dyDescent="0.35">
      <c r="A850" s="3" t="s">
        <v>1840</v>
      </c>
      <c r="B850" s="3" t="s">
        <v>656</v>
      </c>
      <c r="C850" s="3" t="s">
        <v>89</v>
      </c>
      <c r="D850" s="3" t="s">
        <v>90</v>
      </c>
      <c r="E850" s="3" t="s">
        <v>119</v>
      </c>
      <c r="F850" s="3" t="s">
        <v>120</v>
      </c>
      <c r="G850" s="3" t="s">
        <v>30</v>
      </c>
      <c r="H850" s="3" t="s">
        <v>67</v>
      </c>
      <c r="I850" s="3" t="s">
        <v>1472</v>
      </c>
      <c r="J850" s="3" t="s">
        <v>161</v>
      </c>
      <c r="K850" s="3">
        <v>1</v>
      </c>
      <c r="L850" s="3">
        <v>10222.42</v>
      </c>
      <c r="M850" s="3">
        <v>10222.42</v>
      </c>
      <c r="N850" s="3">
        <v>7916.37</v>
      </c>
      <c r="O850" s="3">
        <v>2306.0500000000002</v>
      </c>
      <c r="P850" s="3" t="s">
        <v>34</v>
      </c>
    </row>
    <row r="851" spans="1:16" x14ac:dyDescent="0.35">
      <c r="A851" s="3" t="s">
        <v>1841</v>
      </c>
      <c r="B851" s="3" t="s">
        <v>656</v>
      </c>
      <c r="C851" s="3" t="s">
        <v>89</v>
      </c>
      <c r="D851" s="3" t="s">
        <v>58</v>
      </c>
      <c r="E851" s="3" t="s">
        <v>176</v>
      </c>
      <c r="F851" s="3" t="s">
        <v>177</v>
      </c>
      <c r="G851" s="3" t="s">
        <v>22</v>
      </c>
      <c r="H851" s="3" t="s">
        <v>93</v>
      </c>
      <c r="I851" s="3" t="s">
        <v>413</v>
      </c>
      <c r="J851" s="3" t="s">
        <v>33</v>
      </c>
      <c r="K851" s="3">
        <v>8</v>
      </c>
      <c r="L851" s="3">
        <v>7551.68</v>
      </c>
      <c r="M851" s="3">
        <v>60413.440000000002</v>
      </c>
      <c r="N851" s="3">
        <v>40983.53</v>
      </c>
      <c r="O851" s="3">
        <v>19429.91</v>
      </c>
      <c r="P851" s="3" t="s">
        <v>26</v>
      </c>
    </row>
    <row r="852" spans="1:16" x14ac:dyDescent="0.35">
      <c r="A852" s="3" t="s">
        <v>1842</v>
      </c>
      <c r="B852" s="3" t="s">
        <v>452</v>
      </c>
      <c r="C852" s="3" t="s">
        <v>114</v>
      </c>
      <c r="D852" s="3" t="s">
        <v>19</v>
      </c>
      <c r="E852" s="3" t="s">
        <v>49</v>
      </c>
      <c r="F852" s="3" t="s">
        <v>50</v>
      </c>
      <c r="G852" s="3" t="s">
        <v>41</v>
      </c>
      <c r="H852" s="3" t="s">
        <v>42</v>
      </c>
      <c r="I852" s="3" t="s">
        <v>616</v>
      </c>
      <c r="J852" s="3" t="s">
        <v>161</v>
      </c>
      <c r="K852" s="3">
        <v>2</v>
      </c>
      <c r="L852" s="3">
        <v>49102.9</v>
      </c>
      <c r="M852" s="3">
        <v>98205.8</v>
      </c>
      <c r="N852" s="3">
        <v>72690.58</v>
      </c>
      <c r="O852" s="3">
        <v>25515.22</v>
      </c>
      <c r="P852" s="3" t="s">
        <v>69</v>
      </c>
    </row>
    <row r="853" spans="1:16" x14ac:dyDescent="0.35">
      <c r="A853" s="3" t="s">
        <v>1843</v>
      </c>
      <c r="B853" s="3" t="s">
        <v>1255</v>
      </c>
      <c r="C853" s="3" t="s">
        <v>72</v>
      </c>
      <c r="D853" s="3" t="s">
        <v>90</v>
      </c>
      <c r="E853" s="3" t="s">
        <v>119</v>
      </c>
      <c r="F853" s="3" t="s">
        <v>120</v>
      </c>
      <c r="G853" s="3" t="s">
        <v>22</v>
      </c>
      <c r="H853" s="3" t="s">
        <v>83</v>
      </c>
      <c r="I853" s="3" t="s">
        <v>1043</v>
      </c>
      <c r="J853" s="3" t="s">
        <v>100</v>
      </c>
      <c r="K853" s="3">
        <v>6</v>
      </c>
      <c r="L853" s="3">
        <v>21319.99</v>
      </c>
      <c r="M853" s="3">
        <v>127919.94</v>
      </c>
      <c r="N853" s="3">
        <v>97657.46</v>
      </c>
      <c r="O853" s="3">
        <v>30262.48</v>
      </c>
      <c r="P853" s="3" t="s">
        <v>69</v>
      </c>
    </row>
    <row r="854" spans="1:16" x14ac:dyDescent="0.35">
      <c r="A854" s="3" t="s">
        <v>1844</v>
      </c>
      <c r="B854" s="3" t="s">
        <v>276</v>
      </c>
      <c r="C854" s="3" t="s">
        <v>114</v>
      </c>
      <c r="D854" s="3" t="s">
        <v>19</v>
      </c>
      <c r="E854" s="3" t="s">
        <v>49</v>
      </c>
      <c r="F854" s="3" t="s">
        <v>50</v>
      </c>
      <c r="G854" s="3" t="s">
        <v>30</v>
      </c>
      <c r="H854" s="3" t="s">
        <v>67</v>
      </c>
      <c r="I854" s="3" t="s">
        <v>231</v>
      </c>
      <c r="J854" s="3" t="s">
        <v>44</v>
      </c>
      <c r="K854" s="3">
        <v>4</v>
      </c>
      <c r="L854" s="3">
        <v>9996.01</v>
      </c>
      <c r="M854" s="3">
        <v>39984.04</v>
      </c>
      <c r="N854" s="3">
        <v>31252.48</v>
      </c>
      <c r="O854" s="3">
        <v>8731.56</v>
      </c>
      <c r="P854" s="3" t="s">
        <v>69</v>
      </c>
    </row>
    <row r="855" spans="1:16" x14ac:dyDescent="0.35">
      <c r="A855" s="3" t="s">
        <v>1845</v>
      </c>
      <c r="B855" s="3" t="s">
        <v>1687</v>
      </c>
      <c r="C855" s="3" t="s">
        <v>18</v>
      </c>
      <c r="D855" s="3" t="s">
        <v>90</v>
      </c>
      <c r="E855" s="3" t="s">
        <v>91</v>
      </c>
      <c r="F855" s="3" t="s">
        <v>92</v>
      </c>
      <c r="G855" s="3" t="s">
        <v>41</v>
      </c>
      <c r="H855" s="3" t="s">
        <v>61</v>
      </c>
      <c r="I855" s="3" t="s">
        <v>1739</v>
      </c>
      <c r="J855" s="3" t="s">
        <v>100</v>
      </c>
      <c r="K855" s="3">
        <v>1</v>
      </c>
      <c r="L855" s="3">
        <v>2532.94</v>
      </c>
      <c r="M855" s="3">
        <v>2532.94</v>
      </c>
      <c r="N855" s="3">
        <v>1565.8</v>
      </c>
      <c r="O855" s="3">
        <v>967.14</v>
      </c>
      <c r="P855" s="3" t="s">
        <v>34</v>
      </c>
    </row>
    <row r="856" spans="1:16" x14ac:dyDescent="0.35">
      <c r="A856" s="3" t="s">
        <v>1846</v>
      </c>
      <c r="B856" s="3" t="s">
        <v>911</v>
      </c>
      <c r="C856" s="3" t="s">
        <v>72</v>
      </c>
      <c r="D856" s="3" t="s">
        <v>19</v>
      </c>
      <c r="E856" s="3" t="s">
        <v>20</v>
      </c>
      <c r="F856" s="3" t="s">
        <v>21</v>
      </c>
      <c r="G856" s="3" t="s">
        <v>22</v>
      </c>
      <c r="H856" s="3" t="s">
        <v>23</v>
      </c>
      <c r="I856" s="3" t="s">
        <v>1358</v>
      </c>
      <c r="J856" s="3" t="s">
        <v>54</v>
      </c>
      <c r="K856" s="3">
        <v>5</v>
      </c>
      <c r="L856" s="3">
        <v>3817.64</v>
      </c>
      <c r="M856" s="3">
        <v>19088.2</v>
      </c>
      <c r="N856" s="3">
        <v>10901.83</v>
      </c>
      <c r="O856" s="3">
        <v>8186.37</v>
      </c>
      <c r="P856" s="3" t="s">
        <v>86</v>
      </c>
    </row>
    <row r="857" spans="1:16" x14ac:dyDescent="0.35">
      <c r="A857" s="3" t="s">
        <v>1847</v>
      </c>
      <c r="B857" s="3" t="s">
        <v>795</v>
      </c>
      <c r="C857" s="3" t="s">
        <v>82</v>
      </c>
      <c r="D857" s="3" t="s">
        <v>58</v>
      </c>
      <c r="E857" s="3" t="s">
        <v>65</v>
      </c>
      <c r="F857" s="3" t="s">
        <v>66</v>
      </c>
      <c r="G857" s="3" t="s">
        <v>41</v>
      </c>
      <c r="H857" s="3" t="s">
        <v>61</v>
      </c>
      <c r="I857" s="3" t="s">
        <v>160</v>
      </c>
      <c r="J857" s="3" t="s">
        <v>131</v>
      </c>
      <c r="K857" s="3">
        <v>4</v>
      </c>
      <c r="L857" s="3">
        <v>2560.92</v>
      </c>
      <c r="M857" s="3">
        <v>10243.68</v>
      </c>
      <c r="N857" s="3">
        <v>6528.49</v>
      </c>
      <c r="O857" s="3">
        <v>3715.19</v>
      </c>
      <c r="P857" s="3" t="s">
        <v>45</v>
      </c>
    </row>
    <row r="858" spans="1:16" x14ac:dyDescent="0.35">
      <c r="A858" s="3" t="s">
        <v>1848</v>
      </c>
      <c r="B858" s="3" t="s">
        <v>1644</v>
      </c>
      <c r="C858" s="3" t="s">
        <v>118</v>
      </c>
      <c r="D858" s="3" t="s">
        <v>90</v>
      </c>
      <c r="E858" s="3" t="s">
        <v>119</v>
      </c>
      <c r="F858" s="3" t="s">
        <v>120</v>
      </c>
      <c r="G858" s="3" t="s">
        <v>41</v>
      </c>
      <c r="H858" s="3" t="s">
        <v>42</v>
      </c>
      <c r="I858" s="3" t="s">
        <v>1127</v>
      </c>
      <c r="J858" s="3" t="s">
        <v>44</v>
      </c>
      <c r="K858" s="3">
        <v>4</v>
      </c>
      <c r="L858" s="3">
        <v>48377.19</v>
      </c>
      <c r="M858" s="3">
        <v>193508.76</v>
      </c>
      <c r="N858" s="3">
        <v>142467.93</v>
      </c>
      <c r="O858" s="3">
        <v>51040.83</v>
      </c>
      <c r="P858" s="3" t="s">
        <v>86</v>
      </c>
    </row>
    <row r="859" spans="1:16" x14ac:dyDescent="0.35">
      <c r="A859" s="3" t="s">
        <v>1849</v>
      </c>
      <c r="B859" s="3" t="s">
        <v>305</v>
      </c>
      <c r="C859" s="3" t="s">
        <v>18</v>
      </c>
      <c r="D859" s="3" t="s">
        <v>90</v>
      </c>
      <c r="E859" s="3" t="s">
        <v>91</v>
      </c>
      <c r="F859" s="3" t="s">
        <v>92</v>
      </c>
      <c r="G859" s="3" t="s">
        <v>30</v>
      </c>
      <c r="H859" s="3" t="s">
        <v>73</v>
      </c>
      <c r="I859" s="3" t="s">
        <v>1607</v>
      </c>
      <c r="J859" s="3" t="s">
        <v>25</v>
      </c>
      <c r="K859" s="3">
        <v>6</v>
      </c>
      <c r="L859" s="3">
        <v>2928.37</v>
      </c>
      <c r="M859" s="3">
        <v>17570.22</v>
      </c>
      <c r="N859" s="3">
        <v>13689.16</v>
      </c>
      <c r="O859" s="3">
        <v>3881.06</v>
      </c>
      <c r="P859" s="3" t="s">
        <v>34</v>
      </c>
    </row>
    <row r="860" spans="1:16" x14ac:dyDescent="0.35">
      <c r="A860" s="3" t="s">
        <v>1850</v>
      </c>
      <c r="B860" s="3" t="s">
        <v>478</v>
      </c>
      <c r="C860" s="3" t="s">
        <v>82</v>
      </c>
      <c r="D860" s="3" t="s">
        <v>90</v>
      </c>
      <c r="E860" s="3" t="s">
        <v>91</v>
      </c>
      <c r="F860" s="3" t="s">
        <v>92</v>
      </c>
      <c r="G860" s="3" t="s">
        <v>51</v>
      </c>
      <c r="H860" s="3" t="s">
        <v>145</v>
      </c>
      <c r="I860" s="3" t="s">
        <v>1851</v>
      </c>
      <c r="J860" s="3" t="s">
        <v>188</v>
      </c>
      <c r="K860" s="3">
        <v>6</v>
      </c>
      <c r="L860" s="3">
        <v>118.47</v>
      </c>
      <c r="M860" s="3">
        <v>710.82</v>
      </c>
      <c r="N860" s="3">
        <v>367.51</v>
      </c>
      <c r="O860" s="3">
        <v>343.31</v>
      </c>
      <c r="P860" s="3" t="s">
        <v>26</v>
      </c>
    </row>
    <row r="861" spans="1:16" x14ac:dyDescent="0.35">
      <c r="A861" s="3" t="s">
        <v>1852</v>
      </c>
      <c r="B861" s="3" t="s">
        <v>1224</v>
      </c>
      <c r="C861" s="3" t="s">
        <v>37</v>
      </c>
      <c r="D861" s="3" t="s">
        <v>58</v>
      </c>
      <c r="E861" s="3" t="s">
        <v>176</v>
      </c>
      <c r="F861" s="3" t="s">
        <v>177</v>
      </c>
      <c r="G861" s="3" t="s">
        <v>30</v>
      </c>
      <c r="H861" s="3" t="s">
        <v>31</v>
      </c>
      <c r="I861" s="3" t="s">
        <v>1137</v>
      </c>
      <c r="J861" s="3" t="s">
        <v>106</v>
      </c>
      <c r="K861" s="3">
        <v>2</v>
      </c>
      <c r="L861" s="3">
        <v>3026.83</v>
      </c>
      <c r="M861" s="3">
        <v>6053.66</v>
      </c>
      <c r="N861" s="3">
        <v>3750.38</v>
      </c>
      <c r="O861" s="3">
        <v>2303.2800000000002</v>
      </c>
      <c r="P861" s="3" t="s">
        <v>45</v>
      </c>
    </row>
    <row r="862" spans="1:16" x14ac:dyDescent="0.35">
      <c r="A862" s="3" t="s">
        <v>1853</v>
      </c>
      <c r="B862" s="3" t="s">
        <v>412</v>
      </c>
      <c r="C862" s="3" t="s">
        <v>48</v>
      </c>
      <c r="D862" s="3" t="s">
        <v>58</v>
      </c>
      <c r="E862" s="3" t="s">
        <v>65</v>
      </c>
      <c r="F862" s="3" t="s">
        <v>66</v>
      </c>
      <c r="G862" s="3" t="s">
        <v>30</v>
      </c>
      <c r="H862" s="3" t="s">
        <v>31</v>
      </c>
      <c r="I862" s="3" t="s">
        <v>619</v>
      </c>
      <c r="J862" s="3" t="s">
        <v>79</v>
      </c>
      <c r="K862" s="3">
        <v>7</v>
      </c>
      <c r="L862" s="3">
        <v>2552.64</v>
      </c>
      <c r="M862" s="3">
        <v>17868.48</v>
      </c>
      <c r="N862" s="3">
        <v>13411.58</v>
      </c>
      <c r="O862" s="3">
        <v>4456.8999999999996</v>
      </c>
      <c r="P862" s="3" t="s">
        <v>86</v>
      </c>
    </row>
    <row r="863" spans="1:16" x14ac:dyDescent="0.35">
      <c r="A863" s="3" t="s">
        <v>1854</v>
      </c>
      <c r="B863" s="3" t="s">
        <v>499</v>
      </c>
      <c r="C863" s="3" t="s">
        <v>103</v>
      </c>
      <c r="D863" s="3" t="s">
        <v>38</v>
      </c>
      <c r="E863" s="3" t="s">
        <v>109</v>
      </c>
      <c r="F863" s="3" t="s">
        <v>110</v>
      </c>
      <c r="G863" s="3" t="s">
        <v>22</v>
      </c>
      <c r="H863" s="3" t="s">
        <v>23</v>
      </c>
      <c r="I863" s="3" t="s">
        <v>1855</v>
      </c>
      <c r="J863" s="3" t="s">
        <v>147</v>
      </c>
      <c r="K863" s="3">
        <v>8</v>
      </c>
      <c r="L863" s="3">
        <v>3455.96</v>
      </c>
      <c r="M863" s="3">
        <v>27647.68</v>
      </c>
      <c r="N863" s="3">
        <v>17033.05</v>
      </c>
      <c r="O863" s="3">
        <v>10614.63</v>
      </c>
      <c r="P863" s="3" t="s">
        <v>34</v>
      </c>
    </row>
    <row r="864" spans="1:16" x14ac:dyDescent="0.35">
      <c r="A864" s="3" t="s">
        <v>1856</v>
      </c>
      <c r="B864" s="3" t="s">
        <v>144</v>
      </c>
      <c r="C864" s="3" t="s">
        <v>37</v>
      </c>
      <c r="D864" s="3" t="s">
        <v>19</v>
      </c>
      <c r="E864" s="3" t="s">
        <v>199</v>
      </c>
      <c r="F864" s="3" t="s">
        <v>200</v>
      </c>
      <c r="G864" s="3" t="s">
        <v>22</v>
      </c>
      <c r="H864" s="3" t="s">
        <v>93</v>
      </c>
      <c r="I864" s="3" t="s">
        <v>1603</v>
      </c>
      <c r="J864" s="3" t="s">
        <v>25</v>
      </c>
      <c r="K864" s="3">
        <v>5</v>
      </c>
      <c r="L864" s="3">
        <v>7336.55</v>
      </c>
      <c r="M864" s="3">
        <v>36682.75</v>
      </c>
      <c r="N864" s="3">
        <v>25556.53</v>
      </c>
      <c r="O864" s="3">
        <v>11126.22</v>
      </c>
      <c r="P864" s="3" t="s">
        <v>34</v>
      </c>
    </row>
    <row r="865" spans="1:16" x14ac:dyDescent="0.35">
      <c r="A865" s="3" t="s">
        <v>1857</v>
      </c>
      <c r="B865" s="3" t="s">
        <v>1858</v>
      </c>
      <c r="C865" s="3" t="s">
        <v>89</v>
      </c>
      <c r="D865" s="3" t="s">
        <v>19</v>
      </c>
      <c r="E865" s="3" t="s">
        <v>20</v>
      </c>
      <c r="F865" s="3" t="s">
        <v>21</v>
      </c>
      <c r="G865" s="3" t="s">
        <v>41</v>
      </c>
      <c r="H865" s="3" t="s">
        <v>42</v>
      </c>
      <c r="I865" s="3" t="s">
        <v>1859</v>
      </c>
      <c r="J865" s="3" t="s">
        <v>188</v>
      </c>
      <c r="K865" s="3">
        <v>3</v>
      </c>
      <c r="L865" s="3">
        <v>46007.61</v>
      </c>
      <c r="M865" s="3">
        <v>138022.82999999999</v>
      </c>
      <c r="N865" s="3">
        <v>101970.2</v>
      </c>
      <c r="O865" s="3">
        <v>36052.629999999997</v>
      </c>
      <c r="P865" s="3" t="s">
        <v>69</v>
      </c>
    </row>
    <row r="866" spans="1:16" x14ac:dyDescent="0.35">
      <c r="A866" s="3" t="s">
        <v>1860</v>
      </c>
      <c r="B866" s="3" t="s">
        <v>381</v>
      </c>
      <c r="C866" s="3" t="s">
        <v>18</v>
      </c>
      <c r="D866" s="3" t="s">
        <v>38</v>
      </c>
      <c r="E866" s="3" t="s">
        <v>39</v>
      </c>
      <c r="F866" s="3" t="s">
        <v>40</v>
      </c>
      <c r="G866" s="3" t="s">
        <v>41</v>
      </c>
      <c r="H866" s="3" t="s">
        <v>138</v>
      </c>
      <c r="I866" s="3" t="s">
        <v>595</v>
      </c>
      <c r="J866" s="3" t="s">
        <v>217</v>
      </c>
      <c r="K866" s="3">
        <v>1</v>
      </c>
      <c r="L866" s="3">
        <v>16876.93</v>
      </c>
      <c r="M866" s="3">
        <v>16876.93</v>
      </c>
      <c r="N866" s="3">
        <v>13912.63</v>
      </c>
      <c r="O866" s="3">
        <v>2964.3</v>
      </c>
      <c r="P866" s="3" t="s">
        <v>45</v>
      </c>
    </row>
    <row r="867" spans="1:16" x14ac:dyDescent="0.35">
      <c r="A867" s="3" t="s">
        <v>1861</v>
      </c>
      <c r="B867" s="3" t="s">
        <v>212</v>
      </c>
      <c r="C867" s="3" t="s">
        <v>37</v>
      </c>
      <c r="D867" s="3" t="s">
        <v>38</v>
      </c>
      <c r="E867" s="3" t="s">
        <v>109</v>
      </c>
      <c r="F867" s="3" t="s">
        <v>110</v>
      </c>
      <c r="G867" s="3" t="s">
        <v>51</v>
      </c>
      <c r="H867" s="3" t="s">
        <v>145</v>
      </c>
      <c r="I867" s="3" t="s">
        <v>573</v>
      </c>
      <c r="J867" s="3" t="s">
        <v>85</v>
      </c>
      <c r="K867" s="3">
        <v>6</v>
      </c>
      <c r="L867" s="3">
        <v>122.46</v>
      </c>
      <c r="M867" s="3">
        <v>734.76</v>
      </c>
      <c r="N867" s="3">
        <v>349.61</v>
      </c>
      <c r="O867" s="3">
        <v>385.15</v>
      </c>
      <c r="P867" s="3" t="s">
        <v>34</v>
      </c>
    </row>
    <row r="868" spans="1:16" x14ac:dyDescent="0.35">
      <c r="A868" s="3" t="s">
        <v>1862</v>
      </c>
      <c r="B868" s="3" t="s">
        <v>1695</v>
      </c>
      <c r="C868" s="3" t="s">
        <v>89</v>
      </c>
      <c r="D868" s="3" t="s">
        <v>58</v>
      </c>
      <c r="E868" s="3" t="s">
        <v>59</v>
      </c>
      <c r="F868" s="3" t="s">
        <v>60</v>
      </c>
      <c r="G868" s="3" t="s">
        <v>22</v>
      </c>
      <c r="H868" s="3" t="s">
        <v>83</v>
      </c>
      <c r="I868" s="3" t="s">
        <v>1863</v>
      </c>
      <c r="J868" s="3" t="s">
        <v>100</v>
      </c>
      <c r="K868" s="3">
        <v>7</v>
      </c>
      <c r="L868" s="3">
        <v>22165.52</v>
      </c>
      <c r="M868" s="3">
        <v>155158.64000000001</v>
      </c>
      <c r="N868" s="3">
        <v>120392.72</v>
      </c>
      <c r="O868" s="3">
        <v>34765.919999999998</v>
      </c>
      <c r="P868" s="3" t="s">
        <v>34</v>
      </c>
    </row>
    <row r="869" spans="1:16" x14ac:dyDescent="0.35">
      <c r="A869" s="3" t="s">
        <v>1864</v>
      </c>
      <c r="B869" s="3" t="s">
        <v>233</v>
      </c>
      <c r="C869" s="3" t="s">
        <v>103</v>
      </c>
      <c r="D869" s="3" t="s">
        <v>90</v>
      </c>
      <c r="E869" s="3" t="s">
        <v>97</v>
      </c>
      <c r="F869" s="3" t="s">
        <v>98</v>
      </c>
      <c r="G869" s="3" t="s">
        <v>30</v>
      </c>
      <c r="H869" s="3" t="s">
        <v>67</v>
      </c>
      <c r="I869" s="3" t="s">
        <v>216</v>
      </c>
      <c r="J869" s="3" t="s">
        <v>106</v>
      </c>
      <c r="K869" s="3">
        <v>8</v>
      </c>
      <c r="L869" s="3">
        <v>8713.25</v>
      </c>
      <c r="M869" s="3">
        <v>69706</v>
      </c>
      <c r="N869" s="3">
        <v>62567.63</v>
      </c>
      <c r="O869" s="3">
        <v>7138.37</v>
      </c>
      <c r="P869" s="3" t="s">
        <v>86</v>
      </c>
    </row>
    <row r="870" spans="1:16" x14ac:dyDescent="0.35">
      <c r="A870" s="3" t="s">
        <v>1865</v>
      </c>
      <c r="B870" s="3" t="s">
        <v>702</v>
      </c>
      <c r="C870" s="3" t="s">
        <v>57</v>
      </c>
      <c r="D870" s="3" t="s">
        <v>90</v>
      </c>
      <c r="E870" s="3" t="s">
        <v>97</v>
      </c>
      <c r="F870" s="3" t="s">
        <v>98</v>
      </c>
      <c r="G870" s="3" t="s">
        <v>22</v>
      </c>
      <c r="H870" s="3" t="s">
        <v>23</v>
      </c>
      <c r="I870" s="3" t="s">
        <v>1866</v>
      </c>
      <c r="J870" s="3" t="s">
        <v>79</v>
      </c>
      <c r="K870" s="3">
        <v>1</v>
      </c>
      <c r="L870" s="3">
        <v>3818.16</v>
      </c>
      <c r="M870" s="3">
        <v>3818.16</v>
      </c>
      <c r="N870" s="3">
        <v>2283.0500000000002</v>
      </c>
      <c r="O870" s="3">
        <v>1535.11</v>
      </c>
      <c r="P870" s="3" t="s">
        <v>86</v>
      </c>
    </row>
    <row r="871" spans="1:16" x14ac:dyDescent="0.35">
      <c r="A871" s="3" t="s">
        <v>1867</v>
      </c>
      <c r="B871" s="3" t="s">
        <v>1062</v>
      </c>
      <c r="C871" s="3" t="s">
        <v>89</v>
      </c>
      <c r="D871" s="3" t="s">
        <v>58</v>
      </c>
      <c r="E871" s="3" t="s">
        <v>176</v>
      </c>
      <c r="F871" s="3" t="s">
        <v>177</v>
      </c>
      <c r="G871" s="3" t="s">
        <v>51</v>
      </c>
      <c r="H871" s="3" t="s">
        <v>145</v>
      </c>
      <c r="I871" s="3" t="s">
        <v>1868</v>
      </c>
      <c r="J871" s="3" t="s">
        <v>154</v>
      </c>
      <c r="K871" s="3">
        <v>6</v>
      </c>
      <c r="L871" s="3">
        <v>124.36</v>
      </c>
      <c r="M871" s="3">
        <v>746.16</v>
      </c>
      <c r="N871" s="3">
        <v>370.43</v>
      </c>
      <c r="O871" s="3">
        <v>375.73</v>
      </c>
      <c r="P871" s="3" t="s">
        <v>34</v>
      </c>
    </row>
    <row r="872" spans="1:16" x14ac:dyDescent="0.35">
      <c r="A872" s="3" t="s">
        <v>1869</v>
      </c>
      <c r="B872" s="3" t="s">
        <v>113</v>
      </c>
      <c r="C872" s="3" t="s">
        <v>114</v>
      </c>
      <c r="D872" s="3" t="s">
        <v>58</v>
      </c>
      <c r="E872" s="3" t="s">
        <v>176</v>
      </c>
      <c r="F872" s="3" t="s">
        <v>177</v>
      </c>
      <c r="G872" s="3" t="s">
        <v>30</v>
      </c>
      <c r="H872" s="3" t="s">
        <v>31</v>
      </c>
      <c r="I872" s="3" t="s">
        <v>1870</v>
      </c>
      <c r="J872" s="3" t="s">
        <v>131</v>
      </c>
      <c r="K872" s="3">
        <v>7</v>
      </c>
      <c r="L872" s="3">
        <v>2817.64</v>
      </c>
      <c r="M872" s="3">
        <v>19723.48</v>
      </c>
      <c r="N872" s="3">
        <v>12760.07</v>
      </c>
      <c r="O872" s="3">
        <v>6963.41</v>
      </c>
      <c r="P872" s="3" t="s">
        <v>69</v>
      </c>
    </row>
    <row r="873" spans="1:16" x14ac:dyDescent="0.35">
      <c r="A873" s="3" t="s">
        <v>1871</v>
      </c>
      <c r="B873" s="3" t="s">
        <v>1872</v>
      </c>
      <c r="C873" s="3" t="s">
        <v>82</v>
      </c>
      <c r="D873" s="3" t="s">
        <v>58</v>
      </c>
      <c r="E873" s="3" t="s">
        <v>59</v>
      </c>
      <c r="F873" s="3" t="s">
        <v>60</v>
      </c>
      <c r="G873" s="3" t="s">
        <v>22</v>
      </c>
      <c r="H873" s="3" t="s">
        <v>93</v>
      </c>
      <c r="I873" s="3" t="s">
        <v>1506</v>
      </c>
      <c r="J873" s="3" t="s">
        <v>188</v>
      </c>
      <c r="K873" s="3">
        <v>8</v>
      </c>
      <c r="L873" s="3">
        <v>6989.95</v>
      </c>
      <c r="M873" s="3">
        <v>55919.6</v>
      </c>
      <c r="N873" s="3">
        <v>41039.050000000003</v>
      </c>
      <c r="O873" s="3">
        <v>14880.55</v>
      </c>
      <c r="P873" s="3" t="s">
        <v>34</v>
      </c>
    </row>
    <row r="874" spans="1:16" x14ac:dyDescent="0.35">
      <c r="A874" s="3" t="s">
        <v>1873</v>
      </c>
      <c r="B874" s="3" t="s">
        <v>169</v>
      </c>
      <c r="C874" s="3" t="s">
        <v>37</v>
      </c>
      <c r="D874" s="3" t="s">
        <v>19</v>
      </c>
      <c r="E874" s="3" t="s">
        <v>199</v>
      </c>
      <c r="F874" s="3" t="s">
        <v>200</v>
      </c>
      <c r="G874" s="3" t="s">
        <v>22</v>
      </c>
      <c r="H874" s="3" t="s">
        <v>23</v>
      </c>
      <c r="I874" s="3" t="s">
        <v>1101</v>
      </c>
      <c r="J874" s="3" t="s">
        <v>147</v>
      </c>
      <c r="K874" s="3">
        <v>8</v>
      </c>
      <c r="L874" s="3">
        <v>3478.81</v>
      </c>
      <c r="M874" s="3">
        <v>27830.48</v>
      </c>
      <c r="N874" s="3">
        <v>17038.38</v>
      </c>
      <c r="O874" s="3">
        <v>10792.1</v>
      </c>
      <c r="P874" s="3" t="s">
        <v>86</v>
      </c>
    </row>
    <row r="875" spans="1:16" x14ac:dyDescent="0.35">
      <c r="A875" s="3" t="s">
        <v>1874</v>
      </c>
      <c r="B875" s="3" t="s">
        <v>163</v>
      </c>
      <c r="C875" s="3" t="s">
        <v>137</v>
      </c>
      <c r="D875" s="3" t="s">
        <v>19</v>
      </c>
      <c r="E875" s="3" t="s">
        <v>49</v>
      </c>
      <c r="F875" s="3" t="s">
        <v>50</v>
      </c>
      <c r="G875" s="3" t="s">
        <v>41</v>
      </c>
      <c r="H875" s="3" t="s">
        <v>42</v>
      </c>
      <c r="I875" s="3" t="s">
        <v>53</v>
      </c>
      <c r="J875" s="3" t="s">
        <v>44</v>
      </c>
      <c r="K875" s="3">
        <v>1</v>
      </c>
      <c r="L875" s="3">
        <v>40586.47</v>
      </c>
      <c r="M875" s="3">
        <v>40586.47</v>
      </c>
      <c r="N875" s="3">
        <v>34040.519999999997</v>
      </c>
      <c r="O875" s="3">
        <v>6545.95</v>
      </c>
      <c r="P875" s="3" t="s">
        <v>69</v>
      </c>
    </row>
    <row r="876" spans="1:16" x14ac:dyDescent="0.35">
      <c r="A876" s="3" t="s">
        <v>1875</v>
      </c>
      <c r="B876" s="3" t="s">
        <v>565</v>
      </c>
      <c r="C876" s="3" t="s">
        <v>137</v>
      </c>
      <c r="D876" s="3" t="s">
        <v>19</v>
      </c>
      <c r="E876" s="3" t="s">
        <v>20</v>
      </c>
      <c r="F876" s="3" t="s">
        <v>21</v>
      </c>
      <c r="G876" s="3" t="s">
        <v>30</v>
      </c>
      <c r="H876" s="3" t="s">
        <v>31</v>
      </c>
      <c r="I876" s="3" t="s">
        <v>1286</v>
      </c>
      <c r="J876" s="3" t="s">
        <v>188</v>
      </c>
      <c r="K876" s="3">
        <v>1</v>
      </c>
      <c r="L876" s="3">
        <v>2923.03</v>
      </c>
      <c r="M876" s="3">
        <v>2923.03</v>
      </c>
      <c r="N876" s="3">
        <v>1894.27</v>
      </c>
      <c r="O876" s="3">
        <v>1028.76</v>
      </c>
      <c r="P876" s="3" t="s">
        <v>69</v>
      </c>
    </row>
    <row r="877" spans="1:16" x14ac:dyDescent="0.35">
      <c r="A877" s="3" t="s">
        <v>1876</v>
      </c>
      <c r="B877" s="3" t="s">
        <v>531</v>
      </c>
      <c r="C877" s="3" t="s">
        <v>137</v>
      </c>
      <c r="D877" s="3" t="s">
        <v>90</v>
      </c>
      <c r="E877" s="3" t="s">
        <v>97</v>
      </c>
      <c r="F877" s="3" t="s">
        <v>98</v>
      </c>
      <c r="G877" s="3" t="s">
        <v>41</v>
      </c>
      <c r="H877" s="3" t="s">
        <v>61</v>
      </c>
      <c r="I877" s="3" t="s">
        <v>1481</v>
      </c>
      <c r="J877" s="3" t="s">
        <v>79</v>
      </c>
      <c r="K877" s="3">
        <v>8</v>
      </c>
      <c r="L877" s="3">
        <v>2464.42</v>
      </c>
      <c r="M877" s="3">
        <v>19715.36</v>
      </c>
      <c r="N877" s="3">
        <v>13174.84</v>
      </c>
      <c r="O877" s="3">
        <v>6540.52</v>
      </c>
      <c r="P877" s="3" t="s">
        <v>86</v>
      </c>
    </row>
    <row r="878" spans="1:16" x14ac:dyDescent="0.35">
      <c r="A878" s="3" t="s">
        <v>1877</v>
      </c>
      <c r="B878" s="3" t="s">
        <v>642</v>
      </c>
      <c r="C878" s="3" t="s">
        <v>18</v>
      </c>
      <c r="D878" s="3" t="s">
        <v>90</v>
      </c>
      <c r="E878" s="3" t="s">
        <v>97</v>
      </c>
      <c r="F878" s="3" t="s">
        <v>98</v>
      </c>
      <c r="G878" s="3" t="s">
        <v>51</v>
      </c>
      <c r="H878" s="3" t="s">
        <v>77</v>
      </c>
      <c r="I878" s="3" t="s">
        <v>1878</v>
      </c>
      <c r="J878" s="3" t="s">
        <v>100</v>
      </c>
      <c r="K878" s="3">
        <v>5</v>
      </c>
      <c r="L878" s="3">
        <v>11320.03</v>
      </c>
      <c r="M878" s="3">
        <v>56600.15</v>
      </c>
      <c r="N878" s="3">
        <v>44251.96</v>
      </c>
      <c r="O878" s="3">
        <v>12348.19</v>
      </c>
      <c r="P878" s="3" t="s">
        <v>86</v>
      </c>
    </row>
    <row r="879" spans="1:16" x14ac:dyDescent="0.35">
      <c r="A879" s="3" t="s">
        <v>1879</v>
      </c>
      <c r="B879" s="3" t="s">
        <v>565</v>
      </c>
      <c r="C879" s="3" t="s">
        <v>137</v>
      </c>
      <c r="D879" s="3" t="s">
        <v>90</v>
      </c>
      <c r="E879" s="3" t="s">
        <v>97</v>
      </c>
      <c r="F879" s="3" t="s">
        <v>98</v>
      </c>
      <c r="G879" s="3" t="s">
        <v>30</v>
      </c>
      <c r="H879" s="3" t="s">
        <v>31</v>
      </c>
      <c r="I879" s="3" t="s">
        <v>139</v>
      </c>
      <c r="J879" s="3" t="s">
        <v>188</v>
      </c>
      <c r="K879" s="3">
        <v>6</v>
      </c>
      <c r="L879" s="3">
        <v>2618.1999999999998</v>
      </c>
      <c r="M879" s="3">
        <v>15709.2</v>
      </c>
      <c r="N879" s="3">
        <v>11411.59</v>
      </c>
      <c r="O879" s="3">
        <v>4297.6099999999997</v>
      </c>
      <c r="P879" s="3" t="s">
        <v>86</v>
      </c>
    </row>
    <row r="880" spans="1:16" x14ac:dyDescent="0.35">
      <c r="A880" s="3" t="s">
        <v>1880</v>
      </c>
      <c r="B880" s="3" t="s">
        <v>339</v>
      </c>
      <c r="C880" s="3" t="s">
        <v>29</v>
      </c>
      <c r="D880" s="3" t="s">
        <v>38</v>
      </c>
      <c r="E880" s="3" t="s">
        <v>39</v>
      </c>
      <c r="F880" s="3" t="s">
        <v>40</v>
      </c>
      <c r="G880" s="3" t="s">
        <v>51</v>
      </c>
      <c r="H880" s="3" t="s">
        <v>145</v>
      </c>
      <c r="I880" s="3" t="s">
        <v>1881</v>
      </c>
      <c r="J880" s="3" t="s">
        <v>100</v>
      </c>
      <c r="K880" s="3">
        <v>7</v>
      </c>
      <c r="L880" s="3">
        <v>116.88</v>
      </c>
      <c r="M880" s="3">
        <v>818.16</v>
      </c>
      <c r="N880" s="3">
        <v>438.81</v>
      </c>
      <c r="O880" s="3">
        <v>379.35</v>
      </c>
      <c r="P880" s="3" t="s">
        <v>45</v>
      </c>
    </row>
    <row r="881" spans="1:16" x14ac:dyDescent="0.35">
      <c r="A881" s="3" t="s">
        <v>1882</v>
      </c>
      <c r="B881" s="3" t="s">
        <v>358</v>
      </c>
      <c r="C881" s="3" t="s">
        <v>72</v>
      </c>
      <c r="D881" s="3" t="s">
        <v>38</v>
      </c>
      <c r="E881" s="3" t="s">
        <v>39</v>
      </c>
      <c r="F881" s="3" t="s">
        <v>40</v>
      </c>
      <c r="G881" s="3" t="s">
        <v>51</v>
      </c>
      <c r="H881" s="3" t="s">
        <v>145</v>
      </c>
      <c r="I881" s="3" t="s">
        <v>1883</v>
      </c>
      <c r="J881" s="3" t="s">
        <v>161</v>
      </c>
      <c r="K881" s="3">
        <v>6</v>
      </c>
      <c r="L881" s="3">
        <v>128.91999999999999</v>
      </c>
      <c r="M881" s="3">
        <v>773.52</v>
      </c>
      <c r="N881" s="3">
        <v>344.7</v>
      </c>
      <c r="O881" s="3">
        <v>428.82</v>
      </c>
      <c r="P881" s="3" t="s">
        <v>34</v>
      </c>
    </row>
    <row r="882" spans="1:16" x14ac:dyDescent="0.35">
      <c r="A882" s="3" t="s">
        <v>1884</v>
      </c>
      <c r="B882" s="3" t="s">
        <v>1406</v>
      </c>
      <c r="C882" s="3" t="s">
        <v>137</v>
      </c>
      <c r="D882" s="3" t="s">
        <v>19</v>
      </c>
      <c r="E882" s="3" t="s">
        <v>199</v>
      </c>
      <c r="F882" s="3" t="s">
        <v>200</v>
      </c>
      <c r="G882" s="3" t="s">
        <v>41</v>
      </c>
      <c r="H882" s="3" t="s">
        <v>138</v>
      </c>
      <c r="I882" s="3" t="s">
        <v>1885</v>
      </c>
      <c r="J882" s="3" t="s">
        <v>100</v>
      </c>
      <c r="K882" s="3">
        <v>1</v>
      </c>
      <c r="L882" s="3">
        <v>19651.509999999998</v>
      </c>
      <c r="M882" s="3">
        <v>19651.509999999998</v>
      </c>
      <c r="N882" s="3">
        <v>13790.71</v>
      </c>
      <c r="O882" s="3">
        <v>5860.8</v>
      </c>
      <c r="P882" s="3" t="s">
        <v>45</v>
      </c>
    </row>
    <row r="883" spans="1:16" x14ac:dyDescent="0.35">
      <c r="A883" s="3" t="s">
        <v>1886</v>
      </c>
      <c r="B883" s="3" t="s">
        <v>743</v>
      </c>
      <c r="C883" s="3" t="s">
        <v>72</v>
      </c>
      <c r="D883" s="3" t="s">
        <v>90</v>
      </c>
      <c r="E883" s="3" t="s">
        <v>119</v>
      </c>
      <c r="F883" s="3" t="s">
        <v>120</v>
      </c>
      <c r="G883" s="3" t="s">
        <v>51</v>
      </c>
      <c r="H883" s="3" t="s">
        <v>145</v>
      </c>
      <c r="I883" s="3" t="s">
        <v>1099</v>
      </c>
      <c r="J883" s="3" t="s">
        <v>85</v>
      </c>
      <c r="K883" s="3">
        <v>1</v>
      </c>
      <c r="L883" s="3">
        <v>124.4</v>
      </c>
      <c r="M883" s="3">
        <v>124.4</v>
      </c>
      <c r="N883" s="3">
        <v>60.2</v>
      </c>
      <c r="O883" s="3">
        <v>64.2</v>
      </c>
      <c r="P883" s="3" t="s">
        <v>34</v>
      </c>
    </row>
    <row r="884" spans="1:16" x14ac:dyDescent="0.35">
      <c r="A884" s="3" t="s">
        <v>1887</v>
      </c>
      <c r="B884" s="3" t="s">
        <v>1383</v>
      </c>
      <c r="C884" s="3" t="s">
        <v>18</v>
      </c>
      <c r="D884" s="3" t="s">
        <v>38</v>
      </c>
      <c r="E884" s="3" t="s">
        <v>104</v>
      </c>
      <c r="F884" s="3" t="s">
        <v>104</v>
      </c>
      <c r="G884" s="3" t="s">
        <v>51</v>
      </c>
      <c r="H884" s="3" t="s">
        <v>52</v>
      </c>
      <c r="I884" s="3" t="s">
        <v>1888</v>
      </c>
      <c r="J884" s="3" t="s">
        <v>25</v>
      </c>
      <c r="K884" s="3">
        <v>2</v>
      </c>
      <c r="L884" s="3">
        <v>23.53</v>
      </c>
      <c r="M884" s="3">
        <v>47.06</v>
      </c>
      <c r="N884" s="3">
        <v>19.43</v>
      </c>
      <c r="O884" s="3">
        <v>27.63</v>
      </c>
      <c r="P884" s="3" t="s">
        <v>69</v>
      </c>
    </row>
    <row r="885" spans="1:16" x14ac:dyDescent="0.35">
      <c r="A885" s="3" t="s">
        <v>1889</v>
      </c>
      <c r="B885" s="3" t="s">
        <v>960</v>
      </c>
      <c r="C885" s="3" t="s">
        <v>114</v>
      </c>
      <c r="D885" s="3" t="s">
        <v>90</v>
      </c>
      <c r="E885" s="3" t="s">
        <v>119</v>
      </c>
      <c r="F885" s="3" t="s">
        <v>120</v>
      </c>
      <c r="G885" s="3" t="s">
        <v>22</v>
      </c>
      <c r="H885" s="3" t="s">
        <v>83</v>
      </c>
      <c r="I885" s="3" t="s">
        <v>297</v>
      </c>
      <c r="J885" s="3" t="s">
        <v>154</v>
      </c>
      <c r="K885" s="3">
        <v>4</v>
      </c>
      <c r="L885" s="3">
        <v>23780.82</v>
      </c>
      <c r="M885" s="3">
        <v>95123.28</v>
      </c>
      <c r="N885" s="3">
        <v>66606.19</v>
      </c>
      <c r="O885" s="3">
        <v>28517.09</v>
      </c>
      <c r="P885" s="3" t="s">
        <v>45</v>
      </c>
    </row>
    <row r="886" spans="1:16" x14ac:dyDescent="0.35">
      <c r="A886" s="3" t="s">
        <v>1890</v>
      </c>
      <c r="B886" s="3" t="s">
        <v>987</v>
      </c>
      <c r="C886" s="3" t="s">
        <v>82</v>
      </c>
      <c r="D886" s="3" t="s">
        <v>38</v>
      </c>
      <c r="E886" s="3" t="s">
        <v>104</v>
      </c>
      <c r="F886" s="3" t="s">
        <v>104</v>
      </c>
      <c r="G886" s="3" t="s">
        <v>22</v>
      </c>
      <c r="H886" s="3" t="s">
        <v>23</v>
      </c>
      <c r="I886" s="3" t="s">
        <v>1891</v>
      </c>
      <c r="J886" s="3" t="s">
        <v>85</v>
      </c>
      <c r="K886" s="3">
        <v>8</v>
      </c>
      <c r="L886" s="3">
        <v>3787.81</v>
      </c>
      <c r="M886" s="3">
        <v>30302.48</v>
      </c>
      <c r="N886" s="3">
        <v>17636.38</v>
      </c>
      <c r="O886" s="3">
        <v>12666.1</v>
      </c>
      <c r="P886" s="3" t="s">
        <v>45</v>
      </c>
    </row>
    <row r="887" spans="1:16" x14ac:dyDescent="0.35">
      <c r="A887" s="3" t="s">
        <v>1892</v>
      </c>
      <c r="B887" s="3" t="s">
        <v>417</v>
      </c>
      <c r="C887" s="3" t="s">
        <v>37</v>
      </c>
      <c r="D887" s="3" t="s">
        <v>90</v>
      </c>
      <c r="E887" s="3" t="s">
        <v>119</v>
      </c>
      <c r="F887" s="3" t="s">
        <v>120</v>
      </c>
      <c r="G887" s="3" t="s">
        <v>30</v>
      </c>
      <c r="H887" s="3" t="s">
        <v>67</v>
      </c>
      <c r="I887" s="3" t="s">
        <v>1893</v>
      </c>
      <c r="J887" s="3" t="s">
        <v>85</v>
      </c>
      <c r="K887" s="3">
        <v>4</v>
      </c>
      <c r="L887" s="3">
        <v>9275.16</v>
      </c>
      <c r="M887" s="3">
        <v>37100.639999999999</v>
      </c>
      <c r="N887" s="3">
        <v>29291.49</v>
      </c>
      <c r="O887" s="3">
        <v>7809.15</v>
      </c>
      <c r="P887" s="3" t="s">
        <v>34</v>
      </c>
    </row>
    <row r="888" spans="1:16" x14ac:dyDescent="0.35">
      <c r="A888" s="3" t="s">
        <v>1894</v>
      </c>
      <c r="B888" s="3" t="s">
        <v>1895</v>
      </c>
      <c r="C888" s="3" t="s">
        <v>48</v>
      </c>
      <c r="D888" s="3" t="s">
        <v>19</v>
      </c>
      <c r="E888" s="3" t="s">
        <v>49</v>
      </c>
      <c r="F888" s="3" t="s">
        <v>50</v>
      </c>
      <c r="G888" s="3" t="s">
        <v>51</v>
      </c>
      <c r="H888" s="3" t="s">
        <v>77</v>
      </c>
      <c r="I888" s="3" t="s">
        <v>1896</v>
      </c>
      <c r="J888" s="3" t="s">
        <v>188</v>
      </c>
      <c r="K888" s="3">
        <v>3</v>
      </c>
      <c r="L888" s="3">
        <v>13041.06</v>
      </c>
      <c r="M888" s="3">
        <v>39123.18</v>
      </c>
      <c r="N888" s="3">
        <v>26282.67</v>
      </c>
      <c r="O888" s="3">
        <v>12840.51</v>
      </c>
      <c r="P888" s="3" t="s">
        <v>69</v>
      </c>
    </row>
    <row r="889" spans="1:16" x14ac:dyDescent="0.35">
      <c r="A889" s="3" t="s">
        <v>1897</v>
      </c>
      <c r="B889" s="3" t="s">
        <v>1898</v>
      </c>
      <c r="C889" s="3" t="s">
        <v>29</v>
      </c>
      <c r="D889" s="3" t="s">
        <v>90</v>
      </c>
      <c r="E889" s="3" t="s">
        <v>119</v>
      </c>
      <c r="F889" s="3" t="s">
        <v>120</v>
      </c>
      <c r="G889" s="3" t="s">
        <v>30</v>
      </c>
      <c r="H889" s="3" t="s">
        <v>73</v>
      </c>
      <c r="I889" s="3" t="s">
        <v>297</v>
      </c>
      <c r="J889" s="3" t="s">
        <v>85</v>
      </c>
      <c r="K889" s="3">
        <v>3</v>
      </c>
      <c r="L889" s="3">
        <v>3131</v>
      </c>
      <c r="M889" s="3">
        <v>9393</v>
      </c>
      <c r="N889" s="3">
        <v>7370.08</v>
      </c>
      <c r="O889" s="3">
        <v>2022.92</v>
      </c>
      <c r="P889" s="3" t="s">
        <v>34</v>
      </c>
    </row>
    <row r="890" spans="1:16" x14ac:dyDescent="0.35">
      <c r="A890" s="3" t="s">
        <v>1899</v>
      </c>
      <c r="B890" s="3" t="s">
        <v>762</v>
      </c>
      <c r="C890" s="3" t="s">
        <v>137</v>
      </c>
      <c r="D890" s="3" t="s">
        <v>19</v>
      </c>
      <c r="E890" s="3" t="s">
        <v>199</v>
      </c>
      <c r="F890" s="3" t="s">
        <v>200</v>
      </c>
      <c r="G890" s="3" t="s">
        <v>51</v>
      </c>
      <c r="H890" s="3" t="s">
        <v>52</v>
      </c>
      <c r="I890" s="3" t="s">
        <v>1900</v>
      </c>
      <c r="J890" s="3" t="s">
        <v>217</v>
      </c>
      <c r="K890" s="3">
        <v>3</v>
      </c>
      <c r="L890" s="3">
        <v>27.28</v>
      </c>
      <c r="M890" s="3">
        <v>81.84</v>
      </c>
      <c r="N890" s="3">
        <v>30.8</v>
      </c>
      <c r="O890" s="3">
        <v>51.04</v>
      </c>
      <c r="P890" s="3" t="s">
        <v>45</v>
      </c>
    </row>
    <row r="891" spans="1:16" x14ac:dyDescent="0.35">
      <c r="A891" s="3" t="s">
        <v>1901</v>
      </c>
      <c r="B891" s="3" t="s">
        <v>534</v>
      </c>
      <c r="C891" s="3" t="s">
        <v>29</v>
      </c>
      <c r="D891" s="3" t="s">
        <v>90</v>
      </c>
      <c r="E891" s="3" t="s">
        <v>97</v>
      </c>
      <c r="F891" s="3" t="s">
        <v>98</v>
      </c>
      <c r="G891" s="3" t="s">
        <v>30</v>
      </c>
      <c r="H891" s="3" t="s">
        <v>31</v>
      </c>
      <c r="I891" s="3" t="s">
        <v>1054</v>
      </c>
      <c r="J891" s="3" t="s">
        <v>33</v>
      </c>
      <c r="K891" s="3">
        <v>7</v>
      </c>
      <c r="L891" s="3">
        <v>2551.71</v>
      </c>
      <c r="M891" s="3">
        <v>17861.97</v>
      </c>
      <c r="N891" s="3">
        <v>12829.37</v>
      </c>
      <c r="O891" s="3">
        <v>5032.6000000000004</v>
      </c>
      <c r="P891" s="3" t="s">
        <v>26</v>
      </c>
    </row>
    <row r="892" spans="1:16" x14ac:dyDescent="0.35">
      <c r="A892" s="3" t="s">
        <v>1902</v>
      </c>
      <c r="B892" s="3" t="s">
        <v>1427</v>
      </c>
      <c r="C892" s="3" t="s">
        <v>29</v>
      </c>
      <c r="D892" s="3" t="s">
        <v>38</v>
      </c>
      <c r="E892" s="3" t="s">
        <v>104</v>
      </c>
      <c r="F892" s="3" t="s">
        <v>104</v>
      </c>
      <c r="G892" s="3" t="s">
        <v>41</v>
      </c>
      <c r="H892" s="3" t="s">
        <v>138</v>
      </c>
      <c r="I892" s="3" t="s">
        <v>311</v>
      </c>
      <c r="J892" s="3" t="s">
        <v>131</v>
      </c>
      <c r="K892" s="3">
        <v>8</v>
      </c>
      <c r="L892" s="3">
        <v>18468.45</v>
      </c>
      <c r="M892" s="3">
        <v>147747.6</v>
      </c>
      <c r="N892" s="3">
        <v>113377.23</v>
      </c>
      <c r="O892" s="3">
        <v>34370.370000000003</v>
      </c>
      <c r="P892" s="3" t="s">
        <v>26</v>
      </c>
    </row>
    <row r="893" spans="1:16" x14ac:dyDescent="0.35">
      <c r="A893" s="3" t="s">
        <v>1903</v>
      </c>
      <c r="B893" s="3" t="s">
        <v>636</v>
      </c>
      <c r="C893" s="3" t="s">
        <v>57</v>
      </c>
      <c r="D893" s="3" t="s">
        <v>38</v>
      </c>
      <c r="E893" s="3" t="s">
        <v>109</v>
      </c>
      <c r="F893" s="3" t="s">
        <v>110</v>
      </c>
      <c r="G893" s="3" t="s">
        <v>30</v>
      </c>
      <c r="H893" s="3" t="s">
        <v>73</v>
      </c>
      <c r="I893" s="3" t="s">
        <v>619</v>
      </c>
      <c r="J893" s="3" t="s">
        <v>79</v>
      </c>
      <c r="K893" s="3">
        <v>8</v>
      </c>
      <c r="L893" s="3">
        <v>3240.78</v>
      </c>
      <c r="M893" s="3">
        <v>25926.240000000002</v>
      </c>
      <c r="N893" s="3">
        <v>19361.62</v>
      </c>
      <c r="O893" s="3">
        <v>6564.62</v>
      </c>
      <c r="P893" s="3" t="s">
        <v>86</v>
      </c>
    </row>
    <row r="894" spans="1:16" x14ac:dyDescent="0.35">
      <c r="A894" s="3" t="s">
        <v>1904</v>
      </c>
      <c r="B894" s="3" t="s">
        <v>1392</v>
      </c>
      <c r="C894" s="3" t="s">
        <v>103</v>
      </c>
      <c r="D894" s="3" t="s">
        <v>90</v>
      </c>
      <c r="E894" s="3" t="s">
        <v>97</v>
      </c>
      <c r="F894" s="3" t="s">
        <v>98</v>
      </c>
      <c r="G894" s="3" t="s">
        <v>41</v>
      </c>
      <c r="H894" s="3" t="s">
        <v>138</v>
      </c>
      <c r="I894" s="3" t="s">
        <v>1905</v>
      </c>
      <c r="J894" s="3" t="s">
        <v>154</v>
      </c>
      <c r="K894" s="3">
        <v>5</v>
      </c>
      <c r="L894" s="3">
        <v>17132.41</v>
      </c>
      <c r="M894" s="3">
        <v>85662.05</v>
      </c>
      <c r="N894" s="3">
        <v>67979.899999999994</v>
      </c>
      <c r="O894" s="3">
        <v>17682.150000000001</v>
      </c>
      <c r="P894" s="3" t="s">
        <v>26</v>
      </c>
    </row>
    <row r="895" spans="1:16" x14ac:dyDescent="0.35">
      <c r="A895" s="3" t="s">
        <v>1906</v>
      </c>
      <c r="B895" s="3" t="s">
        <v>575</v>
      </c>
      <c r="C895" s="3" t="s">
        <v>137</v>
      </c>
      <c r="D895" s="3" t="s">
        <v>19</v>
      </c>
      <c r="E895" s="3" t="s">
        <v>199</v>
      </c>
      <c r="F895" s="3" t="s">
        <v>200</v>
      </c>
      <c r="G895" s="3" t="s">
        <v>30</v>
      </c>
      <c r="H895" s="3" t="s">
        <v>67</v>
      </c>
      <c r="I895" s="3" t="s">
        <v>1907</v>
      </c>
      <c r="J895" s="3" t="s">
        <v>106</v>
      </c>
      <c r="K895" s="3">
        <v>4</v>
      </c>
      <c r="L895" s="3">
        <v>9424.58</v>
      </c>
      <c r="M895" s="3">
        <v>37698.32</v>
      </c>
      <c r="N895" s="3">
        <v>30626.42</v>
      </c>
      <c r="O895" s="3">
        <v>7071.9</v>
      </c>
      <c r="P895" s="3" t="s">
        <v>26</v>
      </c>
    </row>
    <row r="896" spans="1:16" x14ac:dyDescent="0.35">
      <c r="A896" s="3" t="s">
        <v>1908</v>
      </c>
      <c r="B896" s="3" t="s">
        <v>1226</v>
      </c>
      <c r="C896" s="3" t="s">
        <v>29</v>
      </c>
      <c r="D896" s="3" t="s">
        <v>19</v>
      </c>
      <c r="E896" s="3" t="s">
        <v>20</v>
      </c>
      <c r="F896" s="3" t="s">
        <v>21</v>
      </c>
      <c r="G896" s="3" t="s">
        <v>41</v>
      </c>
      <c r="H896" s="3" t="s">
        <v>138</v>
      </c>
      <c r="I896" s="3" t="s">
        <v>295</v>
      </c>
      <c r="J896" s="3" t="s">
        <v>44</v>
      </c>
      <c r="K896" s="3">
        <v>4</v>
      </c>
      <c r="L896" s="3">
        <v>16887.88</v>
      </c>
      <c r="M896" s="3">
        <v>67551.520000000004</v>
      </c>
      <c r="N896" s="3">
        <v>53854.33</v>
      </c>
      <c r="O896" s="3">
        <v>13697.19</v>
      </c>
      <c r="P896" s="3" t="s">
        <v>45</v>
      </c>
    </row>
    <row r="897" spans="1:16" x14ac:dyDescent="0.35">
      <c r="A897" s="3" t="s">
        <v>1909</v>
      </c>
      <c r="B897" s="3" t="s">
        <v>1910</v>
      </c>
      <c r="C897" s="3" t="s">
        <v>29</v>
      </c>
      <c r="D897" s="3" t="s">
        <v>19</v>
      </c>
      <c r="E897" s="3" t="s">
        <v>20</v>
      </c>
      <c r="F897" s="3" t="s">
        <v>21</v>
      </c>
      <c r="G897" s="3" t="s">
        <v>22</v>
      </c>
      <c r="H897" s="3" t="s">
        <v>93</v>
      </c>
      <c r="I897" s="3" t="s">
        <v>793</v>
      </c>
      <c r="J897" s="3" t="s">
        <v>147</v>
      </c>
      <c r="K897" s="3">
        <v>4</v>
      </c>
      <c r="L897" s="3">
        <v>7135.36</v>
      </c>
      <c r="M897" s="3">
        <v>28541.439999999999</v>
      </c>
      <c r="N897" s="3">
        <v>19507.75</v>
      </c>
      <c r="O897" s="3">
        <v>9033.69</v>
      </c>
      <c r="P897" s="3" t="s">
        <v>26</v>
      </c>
    </row>
    <row r="898" spans="1:16" x14ac:dyDescent="0.35">
      <c r="A898" s="3" t="s">
        <v>1911</v>
      </c>
      <c r="B898" s="3" t="s">
        <v>1912</v>
      </c>
      <c r="C898" s="3" t="s">
        <v>137</v>
      </c>
      <c r="D898" s="3" t="s">
        <v>38</v>
      </c>
      <c r="E898" s="3" t="s">
        <v>109</v>
      </c>
      <c r="F898" s="3" t="s">
        <v>110</v>
      </c>
      <c r="G898" s="3" t="s">
        <v>41</v>
      </c>
      <c r="H898" s="3" t="s">
        <v>138</v>
      </c>
      <c r="I898" s="3" t="s">
        <v>1913</v>
      </c>
      <c r="J898" s="3" t="s">
        <v>131</v>
      </c>
      <c r="K898" s="3">
        <v>5</v>
      </c>
      <c r="L898" s="3">
        <v>18937.2</v>
      </c>
      <c r="M898" s="3">
        <v>94686</v>
      </c>
      <c r="N898" s="3">
        <v>72268.53</v>
      </c>
      <c r="O898" s="3">
        <v>22417.47</v>
      </c>
      <c r="P898" s="3" t="s">
        <v>26</v>
      </c>
    </row>
    <row r="899" spans="1:16" x14ac:dyDescent="0.35">
      <c r="A899" s="3" t="s">
        <v>1914</v>
      </c>
      <c r="B899" s="3" t="s">
        <v>1427</v>
      </c>
      <c r="C899" s="3" t="s">
        <v>29</v>
      </c>
      <c r="D899" s="3" t="s">
        <v>38</v>
      </c>
      <c r="E899" s="3" t="s">
        <v>109</v>
      </c>
      <c r="F899" s="3" t="s">
        <v>110</v>
      </c>
      <c r="G899" s="3" t="s">
        <v>22</v>
      </c>
      <c r="H899" s="3" t="s">
        <v>83</v>
      </c>
      <c r="I899" s="3" t="s">
        <v>1476</v>
      </c>
      <c r="J899" s="3" t="s">
        <v>131</v>
      </c>
      <c r="K899" s="3">
        <v>4</v>
      </c>
      <c r="L899" s="3">
        <v>22983.85</v>
      </c>
      <c r="M899" s="3">
        <v>91935.4</v>
      </c>
      <c r="N899" s="3">
        <v>71095.34</v>
      </c>
      <c r="O899" s="3">
        <v>20840.060000000001</v>
      </c>
      <c r="P899" s="3" t="s">
        <v>45</v>
      </c>
    </row>
    <row r="900" spans="1:16" x14ac:dyDescent="0.35">
      <c r="A900" s="3" t="s">
        <v>1915</v>
      </c>
      <c r="B900" s="3" t="s">
        <v>1269</v>
      </c>
      <c r="C900" s="3" t="s">
        <v>57</v>
      </c>
      <c r="D900" s="3" t="s">
        <v>90</v>
      </c>
      <c r="E900" s="3" t="s">
        <v>97</v>
      </c>
      <c r="F900" s="3" t="s">
        <v>98</v>
      </c>
      <c r="G900" s="3" t="s">
        <v>30</v>
      </c>
      <c r="H900" s="3" t="s">
        <v>31</v>
      </c>
      <c r="I900" s="3" t="s">
        <v>1916</v>
      </c>
      <c r="J900" s="3" t="s">
        <v>154</v>
      </c>
      <c r="K900" s="3">
        <v>8</v>
      </c>
      <c r="L900" s="3">
        <v>2775.33</v>
      </c>
      <c r="M900" s="3">
        <v>22202.639999999999</v>
      </c>
      <c r="N900" s="3">
        <v>15133.33</v>
      </c>
      <c r="O900" s="3">
        <v>7069.31</v>
      </c>
      <c r="P900" s="3" t="s">
        <v>69</v>
      </c>
    </row>
    <row r="901" spans="1:16" x14ac:dyDescent="0.35">
      <c r="A901" s="3" t="s">
        <v>1917</v>
      </c>
      <c r="B901" s="3" t="s">
        <v>562</v>
      </c>
      <c r="C901" s="3" t="s">
        <v>82</v>
      </c>
      <c r="D901" s="3" t="s">
        <v>58</v>
      </c>
      <c r="E901" s="3" t="s">
        <v>65</v>
      </c>
      <c r="F901" s="3" t="s">
        <v>66</v>
      </c>
      <c r="G901" s="3" t="s">
        <v>22</v>
      </c>
      <c r="H901" s="3" t="s">
        <v>23</v>
      </c>
      <c r="I901" s="3" t="s">
        <v>593</v>
      </c>
      <c r="J901" s="3" t="s">
        <v>25</v>
      </c>
      <c r="K901" s="3">
        <v>3</v>
      </c>
      <c r="L901" s="3">
        <v>3546.98</v>
      </c>
      <c r="M901" s="3">
        <v>10640.94</v>
      </c>
      <c r="N901" s="3">
        <v>6489.93</v>
      </c>
      <c r="O901" s="3">
        <v>4151.01</v>
      </c>
      <c r="P901" s="3" t="s">
        <v>86</v>
      </c>
    </row>
    <row r="902" spans="1:16" x14ac:dyDescent="0.35">
      <c r="A902" s="3" t="s">
        <v>1918</v>
      </c>
      <c r="B902" s="3" t="s">
        <v>987</v>
      </c>
      <c r="C902" s="3" t="s">
        <v>82</v>
      </c>
      <c r="D902" s="3" t="s">
        <v>19</v>
      </c>
      <c r="E902" s="3" t="s">
        <v>49</v>
      </c>
      <c r="F902" s="3" t="s">
        <v>50</v>
      </c>
      <c r="G902" s="3" t="s">
        <v>30</v>
      </c>
      <c r="H902" s="3" t="s">
        <v>67</v>
      </c>
      <c r="I902" s="3" t="s">
        <v>1012</v>
      </c>
      <c r="J902" s="3" t="s">
        <v>79</v>
      </c>
      <c r="K902" s="3">
        <v>5</v>
      </c>
      <c r="L902" s="3">
        <v>10045.83</v>
      </c>
      <c r="M902" s="3">
        <v>50229.15</v>
      </c>
      <c r="N902" s="3">
        <v>38113.89</v>
      </c>
      <c r="O902" s="3">
        <v>12115.26</v>
      </c>
      <c r="P902" s="3" t="s">
        <v>86</v>
      </c>
    </row>
    <row r="903" spans="1:16" x14ac:dyDescent="0.35">
      <c r="A903" s="3" t="s">
        <v>1919</v>
      </c>
      <c r="B903" s="3" t="s">
        <v>1125</v>
      </c>
      <c r="C903" s="3" t="s">
        <v>57</v>
      </c>
      <c r="D903" s="3" t="s">
        <v>90</v>
      </c>
      <c r="E903" s="3" t="s">
        <v>119</v>
      </c>
      <c r="F903" s="3" t="s">
        <v>120</v>
      </c>
      <c r="G903" s="3" t="s">
        <v>30</v>
      </c>
      <c r="H903" s="3" t="s">
        <v>73</v>
      </c>
      <c r="I903" s="3" t="s">
        <v>1920</v>
      </c>
      <c r="J903" s="3" t="s">
        <v>217</v>
      </c>
      <c r="K903" s="3">
        <v>2</v>
      </c>
      <c r="L903" s="3">
        <v>3076.55</v>
      </c>
      <c r="M903" s="3">
        <v>6153.1</v>
      </c>
      <c r="N903" s="3">
        <v>4854.84</v>
      </c>
      <c r="O903" s="3">
        <v>1298.26</v>
      </c>
      <c r="P903" s="3" t="s">
        <v>34</v>
      </c>
    </row>
    <row r="904" spans="1:16" x14ac:dyDescent="0.35">
      <c r="A904" s="3" t="s">
        <v>1921</v>
      </c>
      <c r="B904" s="3" t="s">
        <v>690</v>
      </c>
      <c r="C904" s="3" t="s">
        <v>82</v>
      </c>
      <c r="D904" s="3" t="s">
        <v>90</v>
      </c>
      <c r="E904" s="3" t="s">
        <v>97</v>
      </c>
      <c r="F904" s="3" t="s">
        <v>98</v>
      </c>
      <c r="G904" s="3" t="s">
        <v>30</v>
      </c>
      <c r="H904" s="3" t="s">
        <v>73</v>
      </c>
      <c r="I904" s="3" t="s">
        <v>670</v>
      </c>
      <c r="J904" s="3" t="s">
        <v>33</v>
      </c>
      <c r="K904" s="3">
        <v>1</v>
      </c>
      <c r="L904" s="3">
        <v>3067.75</v>
      </c>
      <c r="M904" s="3">
        <v>3067.75</v>
      </c>
      <c r="N904" s="3">
        <v>2372.9499999999998</v>
      </c>
      <c r="O904" s="3">
        <v>694.8</v>
      </c>
      <c r="P904" s="3" t="s">
        <v>69</v>
      </c>
    </row>
    <row r="905" spans="1:16" x14ac:dyDescent="0.35">
      <c r="A905" s="3" t="s">
        <v>1922</v>
      </c>
      <c r="B905" s="3" t="s">
        <v>690</v>
      </c>
      <c r="C905" s="3" t="s">
        <v>82</v>
      </c>
      <c r="D905" s="3" t="s">
        <v>58</v>
      </c>
      <c r="E905" s="3" t="s">
        <v>65</v>
      </c>
      <c r="F905" s="3" t="s">
        <v>66</v>
      </c>
      <c r="G905" s="3" t="s">
        <v>41</v>
      </c>
      <c r="H905" s="3" t="s">
        <v>138</v>
      </c>
      <c r="I905" s="3" t="s">
        <v>325</v>
      </c>
      <c r="J905" s="3" t="s">
        <v>106</v>
      </c>
      <c r="K905" s="3">
        <v>2</v>
      </c>
      <c r="L905" s="3">
        <v>17573.45</v>
      </c>
      <c r="M905" s="3">
        <v>35146.9</v>
      </c>
      <c r="N905" s="3">
        <v>28679.41</v>
      </c>
      <c r="O905" s="3">
        <v>6467.49</v>
      </c>
      <c r="P905" s="3" t="s">
        <v>26</v>
      </c>
    </row>
    <row r="906" spans="1:16" x14ac:dyDescent="0.35">
      <c r="A906" s="3" t="s">
        <v>1923</v>
      </c>
      <c r="B906" s="3" t="s">
        <v>1525</v>
      </c>
      <c r="C906" s="3" t="s">
        <v>57</v>
      </c>
      <c r="D906" s="3" t="s">
        <v>90</v>
      </c>
      <c r="E906" s="3" t="s">
        <v>119</v>
      </c>
      <c r="F906" s="3" t="s">
        <v>120</v>
      </c>
      <c r="G906" s="3" t="s">
        <v>30</v>
      </c>
      <c r="H906" s="3" t="s">
        <v>73</v>
      </c>
      <c r="I906" s="3" t="s">
        <v>1924</v>
      </c>
      <c r="J906" s="3" t="s">
        <v>25</v>
      </c>
      <c r="K906" s="3">
        <v>5</v>
      </c>
      <c r="L906" s="3">
        <v>3392.35</v>
      </c>
      <c r="M906" s="3">
        <v>16961.75</v>
      </c>
      <c r="N906" s="3">
        <v>11435.11</v>
      </c>
      <c r="O906" s="3">
        <v>5526.64</v>
      </c>
      <c r="P906" s="3" t="s">
        <v>34</v>
      </c>
    </row>
    <row r="907" spans="1:16" x14ac:dyDescent="0.35">
      <c r="A907" s="3" t="s">
        <v>1925</v>
      </c>
      <c r="B907" s="3" t="s">
        <v>1122</v>
      </c>
      <c r="C907" s="3" t="s">
        <v>118</v>
      </c>
      <c r="D907" s="3" t="s">
        <v>19</v>
      </c>
      <c r="E907" s="3" t="s">
        <v>20</v>
      </c>
      <c r="F907" s="3" t="s">
        <v>21</v>
      </c>
      <c r="G907" s="3" t="s">
        <v>22</v>
      </c>
      <c r="H907" s="3" t="s">
        <v>83</v>
      </c>
      <c r="I907" s="3" t="s">
        <v>1926</v>
      </c>
      <c r="J907" s="3" t="s">
        <v>188</v>
      </c>
      <c r="K907" s="3">
        <v>3</v>
      </c>
      <c r="L907" s="3">
        <v>20925.509999999998</v>
      </c>
      <c r="M907" s="3">
        <v>62776.53</v>
      </c>
      <c r="N907" s="3">
        <v>48863.66</v>
      </c>
      <c r="O907" s="3">
        <v>13912.87</v>
      </c>
      <c r="P907" s="3" t="s">
        <v>86</v>
      </c>
    </row>
    <row r="908" spans="1:16" x14ac:dyDescent="0.35">
      <c r="A908" s="3" t="s">
        <v>1927</v>
      </c>
      <c r="B908" s="3" t="s">
        <v>607</v>
      </c>
      <c r="C908" s="3" t="s">
        <v>114</v>
      </c>
      <c r="D908" s="3" t="s">
        <v>90</v>
      </c>
      <c r="E908" s="3" t="s">
        <v>119</v>
      </c>
      <c r="F908" s="3" t="s">
        <v>120</v>
      </c>
      <c r="G908" s="3" t="s">
        <v>51</v>
      </c>
      <c r="H908" s="3" t="s">
        <v>77</v>
      </c>
      <c r="I908" s="3" t="s">
        <v>1361</v>
      </c>
      <c r="J908" s="3" t="s">
        <v>188</v>
      </c>
      <c r="K908" s="3">
        <v>2</v>
      </c>
      <c r="L908" s="3">
        <v>12045.92</v>
      </c>
      <c r="M908" s="3">
        <v>24091.84</v>
      </c>
      <c r="N908" s="3">
        <v>18132.349999999999</v>
      </c>
      <c r="O908" s="3">
        <v>5959.49</v>
      </c>
      <c r="P908" s="3" t="s">
        <v>34</v>
      </c>
    </row>
    <row r="909" spans="1:16" x14ac:dyDescent="0.35">
      <c r="A909" s="3" t="s">
        <v>1928</v>
      </c>
      <c r="B909" s="3" t="s">
        <v>908</v>
      </c>
      <c r="C909" s="3" t="s">
        <v>72</v>
      </c>
      <c r="D909" s="3" t="s">
        <v>19</v>
      </c>
      <c r="E909" s="3" t="s">
        <v>20</v>
      </c>
      <c r="F909" s="3" t="s">
        <v>21</v>
      </c>
      <c r="G909" s="3" t="s">
        <v>41</v>
      </c>
      <c r="H909" s="3" t="s">
        <v>138</v>
      </c>
      <c r="I909" s="3" t="s">
        <v>1929</v>
      </c>
      <c r="J909" s="3" t="s">
        <v>100</v>
      </c>
      <c r="K909" s="3">
        <v>8</v>
      </c>
      <c r="L909" s="3">
        <v>17077.669999999998</v>
      </c>
      <c r="M909" s="3">
        <v>136621.35999999999</v>
      </c>
      <c r="N909" s="3">
        <v>107371.75</v>
      </c>
      <c r="O909" s="3">
        <v>29249.61</v>
      </c>
      <c r="P909" s="3" t="s">
        <v>69</v>
      </c>
    </row>
    <row r="910" spans="1:16" x14ac:dyDescent="0.35">
      <c r="A910" s="3" t="s">
        <v>1930</v>
      </c>
      <c r="B910" s="3" t="s">
        <v>672</v>
      </c>
      <c r="C910" s="3" t="s">
        <v>118</v>
      </c>
      <c r="D910" s="3" t="s">
        <v>38</v>
      </c>
      <c r="E910" s="3" t="s">
        <v>109</v>
      </c>
      <c r="F910" s="3" t="s">
        <v>110</v>
      </c>
      <c r="G910" s="3" t="s">
        <v>30</v>
      </c>
      <c r="H910" s="3" t="s">
        <v>67</v>
      </c>
      <c r="I910" s="3" t="s">
        <v>1931</v>
      </c>
      <c r="J910" s="3" t="s">
        <v>33</v>
      </c>
      <c r="K910" s="3">
        <v>2</v>
      </c>
      <c r="L910" s="3">
        <v>9139.64</v>
      </c>
      <c r="M910" s="3">
        <v>18279.28</v>
      </c>
      <c r="N910" s="3">
        <v>15094.78</v>
      </c>
      <c r="O910" s="3">
        <v>3184.5</v>
      </c>
      <c r="P910" s="3" t="s">
        <v>86</v>
      </c>
    </row>
    <row r="911" spans="1:16" x14ac:dyDescent="0.35">
      <c r="A911" s="3" t="s">
        <v>1932</v>
      </c>
      <c r="B911" s="3" t="s">
        <v>1092</v>
      </c>
      <c r="C911" s="3" t="s">
        <v>103</v>
      </c>
      <c r="D911" s="3" t="s">
        <v>58</v>
      </c>
      <c r="E911" s="3" t="s">
        <v>59</v>
      </c>
      <c r="F911" s="3" t="s">
        <v>60</v>
      </c>
      <c r="G911" s="3" t="s">
        <v>30</v>
      </c>
      <c r="H911" s="3" t="s">
        <v>31</v>
      </c>
      <c r="I911" s="3" t="s">
        <v>1057</v>
      </c>
      <c r="J911" s="3" t="s">
        <v>106</v>
      </c>
      <c r="K911" s="3">
        <v>8</v>
      </c>
      <c r="L911" s="3">
        <v>3001.37</v>
      </c>
      <c r="M911" s="3">
        <v>24010.959999999999</v>
      </c>
      <c r="N911" s="3">
        <v>15014.51</v>
      </c>
      <c r="O911" s="3">
        <v>8996.4500000000007</v>
      </c>
      <c r="P911" s="3" t="s">
        <v>34</v>
      </c>
    </row>
    <row r="912" spans="1:16" x14ac:dyDescent="0.35">
      <c r="A912" s="3" t="s">
        <v>1933</v>
      </c>
      <c r="B912" s="3" t="s">
        <v>1320</v>
      </c>
      <c r="C912" s="3" t="s">
        <v>37</v>
      </c>
      <c r="D912" s="3" t="s">
        <v>38</v>
      </c>
      <c r="E912" s="3" t="s">
        <v>109</v>
      </c>
      <c r="F912" s="3" t="s">
        <v>110</v>
      </c>
      <c r="G912" s="3" t="s">
        <v>41</v>
      </c>
      <c r="H912" s="3" t="s">
        <v>61</v>
      </c>
      <c r="I912" s="3" t="s">
        <v>379</v>
      </c>
      <c r="J912" s="3" t="s">
        <v>85</v>
      </c>
      <c r="K912" s="3">
        <v>7</v>
      </c>
      <c r="L912" s="3">
        <v>2336.1999999999998</v>
      </c>
      <c r="M912" s="3">
        <v>16353.4</v>
      </c>
      <c r="N912" s="3">
        <v>11180.88</v>
      </c>
      <c r="O912" s="3">
        <v>5172.5200000000004</v>
      </c>
      <c r="P912" s="3" t="s">
        <v>69</v>
      </c>
    </row>
    <row r="913" spans="1:16" x14ac:dyDescent="0.35">
      <c r="A913" s="3" t="s">
        <v>1934</v>
      </c>
      <c r="B913" s="3" t="s">
        <v>1935</v>
      </c>
      <c r="C913" s="3" t="s">
        <v>72</v>
      </c>
      <c r="D913" s="3" t="s">
        <v>90</v>
      </c>
      <c r="E913" s="3" t="s">
        <v>91</v>
      </c>
      <c r="F913" s="3" t="s">
        <v>92</v>
      </c>
      <c r="G913" s="3" t="s">
        <v>22</v>
      </c>
      <c r="H913" s="3" t="s">
        <v>23</v>
      </c>
      <c r="I913" s="3" t="s">
        <v>1399</v>
      </c>
      <c r="J913" s="3" t="s">
        <v>100</v>
      </c>
      <c r="K913" s="3">
        <v>1</v>
      </c>
      <c r="L913" s="3">
        <v>3570.79</v>
      </c>
      <c r="M913" s="3">
        <v>3570.79</v>
      </c>
      <c r="N913" s="3">
        <v>2231.96</v>
      </c>
      <c r="O913" s="3">
        <v>1338.83</v>
      </c>
      <c r="P913" s="3" t="s">
        <v>45</v>
      </c>
    </row>
    <row r="914" spans="1:16" x14ac:dyDescent="0.35">
      <c r="A914" s="3" t="s">
        <v>1936</v>
      </c>
      <c r="B914" s="3" t="s">
        <v>468</v>
      </c>
      <c r="C914" s="3" t="s">
        <v>82</v>
      </c>
      <c r="D914" s="3" t="s">
        <v>58</v>
      </c>
      <c r="E914" s="3" t="s">
        <v>176</v>
      </c>
      <c r="F914" s="3" t="s">
        <v>177</v>
      </c>
      <c r="G914" s="3" t="s">
        <v>51</v>
      </c>
      <c r="H914" s="3" t="s">
        <v>77</v>
      </c>
      <c r="I914" s="3" t="s">
        <v>785</v>
      </c>
      <c r="J914" s="3" t="s">
        <v>33</v>
      </c>
      <c r="K914" s="3">
        <v>1</v>
      </c>
      <c r="L914" s="3">
        <v>12971.81</v>
      </c>
      <c r="M914" s="3">
        <v>12971.81</v>
      </c>
      <c r="N914" s="3">
        <v>8869.9</v>
      </c>
      <c r="O914" s="3">
        <v>4101.91</v>
      </c>
      <c r="P914" s="3" t="s">
        <v>69</v>
      </c>
    </row>
    <row r="915" spans="1:16" x14ac:dyDescent="0.35">
      <c r="A915" s="3" t="s">
        <v>1937</v>
      </c>
      <c r="B915" s="3" t="s">
        <v>215</v>
      </c>
      <c r="C915" s="3" t="s">
        <v>37</v>
      </c>
      <c r="D915" s="3" t="s">
        <v>19</v>
      </c>
      <c r="E915" s="3" t="s">
        <v>199</v>
      </c>
      <c r="F915" s="3" t="s">
        <v>200</v>
      </c>
      <c r="G915" s="3" t="s">
        <v>30</v>
      </c>
      <c r="H915" s="3" t="s">
        <v>67</v>
      </c>
      <c r="I915" s="3" t="s">
        <v>1157</v>
      </c>
      <c r="J915" s="3" t="s">
        <v>161</v>
      </c>
      <c r="K915" s="3">
        <v>4</v>
      </c>
      <c r="L915" s="3">
        <v>10323.469999999999</v>
      </c>
      <c r="M915" s="3">
        <v>41293.879999999997</v>
      </c>
      <c r="N915" s="3">
        <v>29648.25</v>
      </c>
      <c r="O915" s="3">
        <v>11645.63</v>
      </c>
      <c r="P915" s="3" t="s">
        <v>86</v>
      </c>
    </row>
    <row r="916" spans="1:16" x14ac:dyDescent="0.35">
      <c r="A916" s="3" t="s">
        <v>1938</v>
      </c>
      <c r="B916" s="3" t="s">
        <v>392</v>
      </c>
      <c r="C916" s="3" t="s">
        <v>103</v>
      </c>
      <c r="D916" s="3" t="s">
        <v>38</v>
      </c>
      <c r="E916" s="3" t="s">
        <v>109</v>
      </c>
      <c r="F916" s="3" t="s">
        <v>110</v>
      </c>
      <c r="G916" s="3" t="s">
        <v>41</v>
      </c>
      <c r="H916" s="3" t="s">
        <v>138</v>
      </c>
      <c r="I916" s="3" t="s">
        <v>900</v>
      </c>
      <c r="J916" s="3" t="s">
        <v>85</v>
      </c>
      <c r="K916" s="3">
        <v>1</v>
      </c>
      <c r="L916" s="3">
        <v>19290.47</v>
      </c>
      <c r="M916" s="3">
        <v>19290.47</v>
      </c>
      <c r="N916" s="3">
        <v>14211.26</v>
      </c>
      <c r="O916" s="3">
        <v>5079.21</v>
      </c>
      <c r="P916" s="3" t="s">
        <v>34</v>
      </c>
    </row>
    <row r="917" spans="1:16" x14ac:dyDescent="0.35">
      <c r="A917" s="3" t="s">
        <v>1939</v>
      </c>
      <c r="B917" s="3" t="s">
        <v>1385</v>
      </c>
      <c r="C917" s="3" t="s">
        <v>29</v>
      </c>
      <c r="D917" s="3" t="s">
        <v>38</v>
      </c>
      <c r="E917" s="3" t="s">
        <v>109</v>
      </c>
      <c r="F917" s="3" t="s">
        <v>110</v>
      </c>
      <c r="G917" s="3" t="s">
        <v>41</v>
      </c>
      <c r="H917" s="3" t="s">
        <v>42</v>
      </c>
      <c r="I917" s="3" t="s">
        <v>491</v>
      </c>
      <c r="J917" s="3" t="s">
        <v>131</v>
      </c>
      <c r="K917" s="3">
        <v>5</v>
      </c>
      <c r="L917" s="3">
        <v>45473.48</v>
      </c>
      <c r="M917" s="3">
        <v>227367.4</v>
      </c>
      <c r="N917" s="3">
        <v>171723.97</v>
      </c>
      <c r="O917" s="3">
        <v>55643.43</v>
      </c>
      <c r="P917" s="3" t="s">
        <v>45</v>
      </c>
    </row>
    <row r="918" spans="1:16" x14ac:dyDescent="0.35">
      <c r="A918" s="3" t="s">
        <v>1940</v>
      </c>
      <c r="B918" s="3" t="s">
        <v>1166</v>
      </c>
      <c r="C918" s="3" t="s">
        <v>118</v>
      </c>
      <c r="D918" s="3" t="s">
        <v>90</v>
      </c>
      <c r="E918" s="3" t="s">
        <v>119</v>
      </c>
      <c r="F918" s="3" t="s">
        <v>120</v>
      </c>
      <c r="G918" s="3" t="s">
        <v>30</v>
      </c>
      <c r="H918" s="3" t="s">
        <v>67</v>
      </c>
      <c r="I918" s="3" t="s">
        <v>1941</v>
      </c>
      <c r="J918" s="3" t="s">
        <v>131</v>
      </c>
      <c r="K918" s="3">
        <v>7</v>
      </c>
      <c r="L918" s="3">
        <v>9641.69</v>
      </c>
      <c r="M918" s="3">
        <v>67491.83</v>
      </c>
      <c r="N918" s="3">
        <v>51306.06</v>
      </c>
      <c r="O918" s="3">
        <v>16185.77</v>
      </c>
      <c r="P918" s="3" t="s">
        <v>69</v>
      </c>
    </row>
    <row r="919" spans="1:16" x14ac:dyDescent="0.35">
      <c r="A919" s="3" t="s">
        <v>1942</v>
      </c>
      <c r="B919" s="3" t="s">
        <v>649</v>
      </c>
      <c r="C919" s="3" t="s">
        <v>29</v>
      </c>
      <c r="D919" s="3" t="s">
        <v>19</v>
      </c>
      <c r="E919" s="3" t="s">
        <v>20</v>
      </c>
      <c r="F919" s="3" t="s">
        <v>21</v>
      </c>
      <c r="G919" s="3" t="s">
        <v>51</v>
      </c>
      <c r="H919" s="3" t="s">
        <v>52</v>
      </c>
      <c r="I919" s="3" t="s">
        <v>418</v>
      </c>
      <c r="J919" s="3" t="s">
        <v>85</v>
      </c>
      <c r="K919" s="3">
        <v>3</v>
      </c>
      <c r="L919" s="3">
        <v>26.1</v>
      </c>
      <c r="M919" s="3">
        <v>78.3</v>
      </c>
      <c r="N919" s="3">
        <v>31.43</v>
      </c>
      <c r="O919" s="3">
        <v>46.87</v>
      </c>
      <c r="P919" s="3" t="s">
        <v>26</v>
      </c>
    </row>
    <row r="920" spans="1:16" x14ac:dyDescent="0.35">
      <c r="A920" s="3" t="s">
        <v>1943</v>
      </c>
      <c r="B920" s="3" t="s">
        <v>299</v>
      </c>
      <c r="C920" s="3" t="s">
        <v>89</v>
      </c>
      <c r="D920" s="3" t="s">
        <v>38</v>
      </c>
      <c r="E920" s="3" t="s">
        <v>104</v>
      </c>
      <c r="F920" s="3" t="s">
        <v>104</v>
      </c>
      <c r="G920" s="3" t="s">
        <v>41</v>
      </c>
      <c r="H920" s="3" t="s">
        <v>61</v>
      </c>
      <c r="I920" s="3" t="s">
        <v>537</v>
      </c>
      <c r="J920" s="3" t="s">
        <v>217</v>
      </c>
      <c r="K920" s="3">
        <v>2</v>
      </c>
      <c r="L920" s="3">
        <v>2689.63</v>
      </c>
      <c r="M920" s="3">
        <v>5379.26</v>
      </c>
      <c r="N920" s="3">
        <v>3342.56</v>
      </c>
      <c r="O920" s="3">
        <v>2036.7</v>
      </c>
      <c r="P920" s="3" t="s">
        <v>86</v>
      </c>
    </row>
    <row r="921" spans="1:16" x14ac:dyDescent="0.35">
      <c r="A921" s="3" t="s">
        <v>1944</v>
      </c>
      <c r="B921" s="3" t="s">
        <v>601</v>
      </c>
      <c r="C921" s="3" t="s">
        <v>82</v>
      </c>
      <c r="D921" s="3" t="s">
        <v>38</v>
      </c>
      <c r="E921" s="3" t="s">
        <v>109</v>
      </c>
      <c r="F921" s="3" t="s">
        <v>110</v>
      </c>
      <c r="G921" s="3" t="s">
        <v>30</v>
      </c>
      <c r="H921" s="3" t="s">
        <v>73</v>
      </c>
      <c r="I921" s="3" t="s">
        <v>193</v>
      </c>
      <c r="J921" s="3" t="s">
        <v>147</v>
      </c>
      <c r="K921" s="3">
        <v>8</v>
      </c>
      <c r="L921" s="3">
        <v>3427.41</v>
      </c>
      <c r="M921" s="3">
        <v>27419.279999999999</v>
      </c>
      <c r="N921" s="3">
        <v>19823.07</v>
      </c>
      <c r="O921" s="3">
        <v>7596.21</v>
      </c>
      <c r="P921" s="3" t="s">
        <v>86</v>
      </c>
    </row>
    <row r="922" spans="1:16" x14ac:dyDescent="0.35">
      <c r="A922" s="3" t="s">
        <v>1945</v>
      </c>
      <c r="B922" s="3" t="s">
        <v>324</v>
      </c>
      <c r="C922" s="3" t="s">
        <v>29</v>
      </c>
      <c r="D922" s="3" t="s">
        <v>58</v>
      </c>
      <c r="E922" s="3" t="s">
        <v>65</v>
      </c>
      <c r="F922" s="3" t="s">
        <v>66</v>
      </c>
      <c r="G922" s="3" t="s">
        <v>22</v>
      </c>
      <c r="H922" s="3" t="s">
        <v>83</v>
      </c>
      <c r="I922" s="3" t="s">
        <v>1791</v>
      </c>
      <c r="J922" s="3" t="s">
        <v>85</v>
      </c>
      <c r="K922" s="3">
        <v>5</v>
      </c>
      <c r="L922" s="3">
        <v>19843.080000000002</v>
      </c>
      <c r="M922" s="3">
        <v>99215.4</v>
      </c>
      <c r="N922" s="3">
        <v>84851.75</v>
      </c>
      <c r="O922" s="3">
        <v>14363.65</v>
      </c>
      <c r="P922" s="3" t="s">
        <v>86</v>
      </c>
    </row>
    <row r="923" spans="1:16" x14ac:dyDescent="0.35">
      <c r="A923" s="3" t="s">
        <v>1946</v>
      </c>
      <c r="B923" s="3" t="s">
        <v>1504</v>
      </c>
      <c r="C923" s="3" t="s">
        <v>48</v>
      </c>
      <c r="D923" s="3" t="s">
        <v>38</v>
      </c>
      <c r="E923" s="3" t="s">
        <v>109</v>
      </c>
      <c r="F923" s="3" t="s">
        <v>110</v>
      </c>
      <c r="G923" s="3" t="s">
        <v>30</v>
      </c>
      <c r="H923" s="3" t="s">
        <v>67</v>
      </c>
      <c r="I923" s="3" t="s">
        <v>1851</v>
      </c>
      <c r="J923" s="3" t="s">
        <v>131</v>
      </c>
      <c r="K923" s="3">
        <v>4</v>
      </c>
      <c r="L923" s="3">
        <v>9712.02</v>
      </c>
      <c r="M923" s="3">
        <v>38848.080000000002</v>
      </c>
      <c r="N923" s="3">
        <v>30267.55</v>
      </c>
      <c r="O923" s="3">
        <v>8580.5300000000007</v>
      </c>
      <c r="P923" s="3" t="s">
        <v>45</v>
      </c>
    </row>
    <row r="924" spans="1:16" x14ac:dyDescent="0.35">
      <c r="A924" s="3" t="s">
        <v>1947</v>
      </c>
      <c r="B924" s="3" t="s">
        <v>1216</v>
      </c>
      <c r="C924" s="3" t="s">
        <v>114</v>
      </c>
      <c r="D924" s="3" t="s">
        <v>90</v>
      </c>
      <c r="E924" s="3" t="s">
        <v>119</v>
      </c>
      <c r="F924" s="3" t="s">
        <v>120</v>
      </c>
      <c r="G924" s="3" t="s">
        <v>30</v>
      </c>
      <c r="H924" s="3" t="s">
        <v>73</v>
      </c>
      <c r="I924" s="3" t="s">
        <v>1948</v>
      </c>
      <c r="J924" s="3" t="s">
        <v>131</v>
      </c>
      <c r="K924" s="3">
        <v>1</v>
      </c>
      <c r="L924" s="3">
        <v>3429.04</v>
      </c>
      <c r="M924" s="3">
        <v>3429.04</v>
      </c>
      <c r="N924" s="3">
        <v>2420.8000000000002</v>
      </c>
      <c r="O924" s="3">
        <v>1008.24</v>
      </c>
      <c r="P924" s="3" t="s">
        <v>34</v>
      </c>
    </row>
    <row r="925" spans="1:16" x14ac:dyDescent="0.35">
      <c r="A925" s="3" t="s">
        <v>1949</v>
      </c>
      <c r="B925" s="3" t="s">
        <v>129</v>
      </c>
      <c r="C925" s="3" t="s">
        <v>37</v>
      </c>
      <c r="D925" s="3" t="s">
        <v>38</v>
      </c>
      <c r="E925" s="3" t="s">
        <v>39</v>
      </c>
      <c r="F925" s="3" t="s">
        <v>40</v>
      </c>
      <c r="G925" s="3" t="s">
        <v>22</v>
      </c>
      <c r="H925" s="3" t="s">
        <v>83</v>
      </c>
      <c r="I925" s="3" t="s">
        <v>1950</v>
      </c>
      <c r="J925" s="3" t="s">
        <v>100</v>
      </c>
      <c r="K925" s="3">
        <v>5</v>
      </c>
      <c r="L925" s="3">
        <v>22363.71</v>
      </c>
      <c r="M925" s="3">
        <v>111818.55</v>
      </c>
      <c r="N925" s="3">
        <v>85893.03</v>
      </c>
      <c r="O925" s="3">
        <v>25925.52</v>
      </c>
      <c r="P925" s="3" t="s">
        <v>34</v>
      </c>
    </row>
    <row r="926" spans="1:16" x14ac:dyDescent="0.35">
      <c r="A926" s="3" t="s">
        <v>1951</v>
      </c>
      <c r="B926" s="3" t="s">
        <v>1306</v>
      </c>
      <c r="C926" s="3" t="s">
        <v>57</v>
      </c>
      <c r="D926" s="3" t="s">
        <v>38</v>
      </c>
      <c r="E926" s="3" t="s">
        <v>104</v>
      </c>
      <c r="F926" s="3" t="s">
        <v>104</v>
      </c>
      <c r="G926" s="3" t="s">
        <v>22</v>
      </c>
      <c r="H926" s="3" t="s">
        <v>23</v>
      </c>
      <c r="I926" s="3" t="s">
        <v>857</v>
      </c>
      <c r="J926" s="3" t="s">
        <v>171</v>
      </c>
      <c r="K926" s="3">
        <v>6</v>
      </c>
      <c r="L926" s="3">
        <v>3707.73</v>
      </c>
      <c r="M926" s="3">
        <v>22246.38</v>
      </c>
      <c r="N926" s="3">
        <v>13614.08</v>
      </c>
      <c r="O926" s="3">
        <v>8632.2999999999993</v>
      </c>
      <c r="P926" s="3" t="s">
        <v>26</v>
      </c>
    </row>
    <row r="927" spans="1:16" x14ac:dyDescent="0.35">
      <c r="A927" s="3" t="s">
        <v>1952</v>
      </c>
      <c r="B927" s="3" t="s">
        <v>712</v>
      </c>
      <c r="C927" s="3" t="s">
        <v>37</v>
      </c>
      <c r="D927" s="3" t="s">
        <v>58</v>
      </c>
      <c r="E927" s="3" t="s">
        <v>176</v>
      </c>
      <c r="F927" s="3" t="s">
        <v>177</v>
      </c>
      <c r="G927" s="3" t="s">
        <v>30</v>
      </c>
      <c r="H927" s="3" t="s">
        <v>31</v>
      </c>
      <c r="I927" s="3" t="s">
        <v>68</v>
      </c>
      <c r="J927" s="3" t="s">
        <v>147</v>
      </c>
      <c r="K927" s="3">
        <v>5</v>
      </c>
      <c r="L927" s="3">
        <v>2994.19</v>
      </c>
      <c r="M927" s="3">
        <v>14970.95</v>
      </c>
      <c r="N927" s="3">
        <v>9627.94</v>
      </c>
      <c r="O927" s="3">
        <v>5343.01</v>
      </c>
      <c r="P927" s="3" t="s">
        <v>86</v>
      </c>
    </row>
    <row r="928" spans="1:16" x14ac:dyDescent="0.35">
      <c r="A928" s="3" t="s">
        <v>1953</v>
      </c>
      <c r="B928" s="3" t="s">
        <v>612</v>
      </c>
      <c r="C928" s="3" t="s">
        <v>57</v>
      </c>
      <c r="D928" s="3" t="s">
        <v>90</v>
      </c>
      <c r="E928" s="3" t="s">
        <v>97</v>
      </c>
      <c r="F928" s="3" t="s">
        <v>98</v>
      </c>
      <c r="G928" s="3" t="s">
        <v>51</v>
      </c>
      <c r="H928" s="3" t="s">
        <v>145</v>
      </c>
      <c r="I928" s="3" t="s">
        <v>277</v>
      </c>
      <c r="J928" s="3" t="s">
        <v>106</v>
      </c>
      <c r="K928" s="3">
        <v>4</v>
      </c>
      <c r="L928" s="3">
        <v>120.93</v>
      </c>
      <c r="M928" s="3">
        <v>483.72</v>
      </c>
      <c r="N928" s="3">
        <v>237.08</v>
      </c>
      <c r="O928" s="3">
        <v>246.64</v>
      </c>
      <c r="P928" s="3" t="s">
        <v>69</v>
      </c>
    </row>
    <row r="929" spans="1:16" x14ac:dyDescent="0.35">
      <c r="A929" s="3" t="s">
        <v>1954</v>
      </c>
      <c r="B929" s="3" t="s">
        <v>1269</v>
      </c>
      <c r="C929" s="3" t="s">
        <v>57</v>
      </c>
      <c r="D929" s="3" t="s">
        <v>58</v>
      </c>
      <c r="E929" s="3" t="s">
        <v>176</v>
      </c>
      <c r="F929" s="3" t="s">
        <v>177</v>
      </c>
      <c r="G929" s="3" t="s">
        <v>30</v>
      </c>
      <c r="H929" s="3" t="s">
        <v>31</v>
      </c>
      <c r="I929" s="3" t="s">
        <v>1340</v>
      </c>
      <c r="J929" s="3" t="s">
        <v>188</v>
      </c>
      <c r="K929" s="3">
        <v>4</v>
      </c>
      <c r="L929" s="3">
        <v>2646.29</v>
      </c>
      <c r="M929" s="3">
        <v>10585.16</v>
      </c>
      <c r="N929" s="3">
        <v>7852.23</v>
      </c>
      <c r="O929" s="3">
        <v>2732.93</v>
      </c>
      <c r="P929" s="3" t="s">
        <v>69</v>
      </c>
    </row>
    <row r="930" spans="1:16" x14ac:dyDescent="0.35">
      <c r="A930" s="3" t="s">
        <v>1955</v>
      </c>
      <c r="B930" s="3" t="s">
        <v>774</v>
      </c>
      <c r="C930" s="3" t="s">
        <v>82</v>
      </c>
      <c r="D930" s="3" t="s">
        <v>90</v>
      </c>
      <c r="E930" s="3" t="s">
        <v>91</v>
      </c>
      <c r="F930" s="3" t="s">
        <v>92</v>
      </c>
      <c r="G930" s="3" t="s">
        <v>51</v>
      </c>
      <c r="H930" s="3" t="s">
        <v>52</v>
      </c>
      <c r="I930" s="3" t="s">
        <v>753</v>
      </c>
      <c r="J930" s="3" t="s">
        <v>131</v>
      </c>
      <c r="K930" s="3">
        <v>3</v>
      </c>
      <c r="L930" s="3">
        <v>25.43</v>
      </c>
      <c r="M930" s="3">
        <v>76.290000000000006</v>
      </c>
      <c r="N930" s="3">
        <v>28.96</v>
      </c>
      <c r="O930" s="3">
        <v>47.33</v>
      </c>
      <c r="P930" s="3" t="s">
        <v>45</v>
      </c>
    </row>
    <row r="931" spans="1:16" x14ac:dyDescent="0.35">
      <c r="A931" s="3" t="s">
        <v>1956</v>
      </c>
      <c r="B931" s="3" t="s">
        <v>1727</v>
      </c>
      <c r="C931" s="3" t="s">
        <v>89</v>
      </c>
      <c r="D931" s="3" t="s">
        <v>90</v>
      </c>
      <c r="E931" s="3" t="s">
        <v>119</v>
      </c>
      <c r="F931" s="3" t="s">
        <v>120</v>
      </c>
      <c r="G931" s="3" t="s">
        <v>41</v>
      </c>
      <c r="H931" s="3" t="s">
        <v>138</v>
      </c>
      <c r="I931" s="3" t="s">
        <v>1957</v>
      </c>
      <c r="J931" s="3" t="s">
        <v>54</v>
      </c>
      <c r="K931" s="3">
        <v>6</v>
      </c>
      <c r="L931" s="3">
        <v>18051.2</v>
      </c>
      <c r="M931" s="3">
        <v>108307.2</v>
      </c>
      <c r="N931" s="3">
        <v>86072.71</v>
      </c>
      <c r="O931" s="3">
        <v>22234.49</v>
      </c>
      <c r="P931" s="3" t="s">
        <v>26</v>
      </c>
    </row>
    <row r="932" spans="1:16" x14ac:dyDescent="0.35">
      <c r="A932" s="3" t="s">
        <v>1958</v>
      </c>
      <c r="B932" s="3" t="s">
        <v>358</v>
      </c>
      <c r="C932" s="3" t="s">
        <v>72</v>
      </c>
      <c r="D932" s="3" t="s">
        <v>90</v>
      </c>
      <c r="E932" s="3" t="s">
        <v>97</v>
      </c>
      <c r="F932" s="3" t="s">
        <v>98</v>
      </c>
      <c r="G932" s="3" t="s">
        <v>30</v>
      </c>
      <c r="H932" s="3" t="s">
        <v>31</v>
      </c>
      <c r="I932" s="3" t="s">
        <v>1959</v>
      </c>
      <c r="J932" s="3" t="s">
        <v>161</v>
      </c>
      <c r="K932" s="3">
        <v>2</v>
      </c>
      <c r="L932" s="3">
        <v>2698.68</v>
      </c>
      <c r="M932" s="3">
        <v>5397.36</v>
      </c>
      <c r="N932" s="3">
        <v>3855.21</v>
      </c>
      <c r="O932" s="3">
        <v>1542.15</v>
      </c>
      <c r="P932" s="3" t="s">
        <v>69</v>
      </c>
    </row>
    <row r="933" spans="1:16" x14ac:dyDescent="0.35">
      <c r="A933" s="3" t="s">
        <v>1960</v>
      </c>
      <c r="B933" s="3" t="s">
        <v>816</v>
      </c>
      <c r="C933" s="3" t="s">
        <v>57</v>
      </c>
      <c r="D933" s="3" t="s">
        <v>58</v>
      </c>
      <c r="E933" s="3" t="s">
        <v>59</v>
      </c>
      <c r="F933" s="3" t="s">
        <v>60</v>
      </c>
      <c r="G933" s="3" t="s">
        <v>30</v>
      </c>
      <c r="H933" s="3" t="s">
        <v>67</v>
      </c>
      <c r="I933" s="3" t="s">
        <v>1961</v>
      </c>
      <c r="J933" s="3" t="s">
        <v>25</v>
      </c>
      <c r="K933" s="3">
        <v>8</v>
      </c>
      <c r="L933" s="3">
        <v>9425.77</v>
      </c>
      <c r="M933" s="3">
        <v>75406.16</v>
      </c>
      <c r="N933" s="3">
        <v>58096.19</v>
      </c>
      <c r="O933" s="3">
        <v>17309.97</v>
      </c>
      <c r="P933" s="3" t="s">
        <v>34</v>
      </c>
    </row>
    <row r="934" spans="1:16" x14ac:dyDescent="0.35">
      <c r="A934" s="3" t="s">
        <v>1962</v>
      </c>
      <c r="B934" s="3" t="s">
        <v>678</v>
      </c>
      <c r="C934" s="3" t="s">
        <v>137</v>
      </c>
      <c r="D934" s="3" t="s">
        <v>58</v>
      </c>
      <c r="E934" s="3" t="s">
        <v>176</v>
      </c>
      <c r="F934" s="3" t="s">
        <v>177</v>
      </c>
      <c r="G934" s="3" t="s">
        <v>30</v>
      </c>
      <c r="H934" s="3" t="s">
        <v>67</v>
      </c>
      <c r="I934" s="3" t="s">
        <v>1147</v>
      </c>
      <c r="J934" s="3" t="s">
        <v>33</v>
      </c>
      <c r="K934" s="3">
        <v>1</v>
      </c>
      <c r="L934" s="3">
        <v>8621.6</v>
      </c>
      <c r="M934" s="3">
        <v>8621.6</v>
      </c>
      <c r="N934" s="3">
        <v>7525.11</v>
      </c>
      <c r="O934" s="3">
        <v>1096.49</v>
      </c>
      <c r="P934" s="3" t="s">
        <v>86</v>
      </c>
    </row>
    <row r="935" spans="1:16" x14ac:dyDescent="0.35">
      <c r="A935" s="3" t="s">
        <v>1963</v>
      </c>
      <c r="B935" s="3" t="s">
        <v>1964</v>
      </c>
      <c r="C935" s="3" t="s">
        <v>57</v>
      </c>
      <c r="D935" s="3" t="s">
        <v>58</v>
      </c>
      <c r="E935" s="3" t="s">
        <v>176</v>
      </c>
      <c r="F935" s="3" t="s">
        <v>177</v>
      </c>
      <c r="G935" s="3" t="s">
        <v>30</v>
      </c>
      <c r="H935" s="3" t="s">
        <v>31</v>
      </c>
      <c r="I935" s="3" t="s">
        <v>1965</v>
      </c>
      <c r="J935" s="3" t="s">
        <v>154</v>
      </c>
      <c r="K935" s="3">
        <v>4</v>
      </c>
      <c r="L935" s="3">
        <v>2700.23</v>
      </c>
      <c r="M935" s="3">
        <v>10800.92</v>
      </c>
      <c r="N935" s="3">
        <v>7413.4</v>
      </c>
      <c r="O935" s="3">
        <v>3387.52</v>
      </c>
      <c r="P935" s="3" t="s">
        <v>69</v>
      </c>
    </row>
    <row r="936" spans="1:16" x14ac:dyDescent="0.35">
      <c r="A936" s="3" t="s">
        <v>1966</v>
      </c>
      <c r="B936" s="3" t="s">
        <v>186</v>
      </c>
      <c r="C936" s="3" t="s">
        <v>89</v>
      </c>
      <c r="D936" s="3" t="s">
        <v>90</v>
      </c>
      <c r="E936" s="3" t="s">
        <v>91</v>
      </c>
      <c r="F936" s="3" t="s">
        <v>92</v>
      </c>
      <c r="G936" s="3" t="s">
        <v>30</v>
      </c>
      <c r="H936" s="3" t="s">
        <v>73</v>
      </c>
      <c r="I936" s="3" t="s">
        <v>1967</v>
      </c>
      <c r="J936" s="3" t="s">
        <v>131</v>
      </c>
      <c r="K936" s="3">
        <v>5</v>
      </c>
      <c r="L936" s="3">
        <v>3406.53</v>
      </c>
      <c r="M936" s="3">
        <v>17032.650000000001</v>
      </c>
      <c r="N936" s="3">
        <v>12170.83</v>
      </c>
      <c r="O936" s="3">
        <v>4861.82</v>
      </c>
      <c r="P936" s="3" t="s">
        <v>86</v>
      </c>
    </row>
    <row r="937" spans="1:16" x14ac:dyDescent="0.35">
      <c r="A937" s="3" t="s">
        <v>1968</v>
      </c>
      <c r="B937" s="3" t="s">
        <v>592</v>
      </c>
      <c r="C937" s="3" t="s">
        <v>103</v>
      </c>
      <c r="D937" s="3" t="s">
        <v>58</v>
      </c>
      <c r="E937" s="3" t="s">
        <v>176</v>
      </c>
      <c r="F937" s="3" t="s">
        <v>177</v>
      </c>
      <c r="G937" s="3" t="s">
        <v>41</v>
      </c>
      <c r="H937" s="3" t="s">
        <v>61</v>
      </c>
      <c r="I937" s="3" t="s">
        <v>808</v>
      </c>
      <c r="J937" s="3" t="s">
        <v>79</v>
      </c>
      <c r="K937" s="3">
        <v>7</v>
      </c>
      <c r="L937" s="3">
        <v>2659.2</v>
      </c>
      <c r="M937" s="3">
        <v>18614.400000000001</v>
      </c>
      <c r="N937" s="3">
        <v>11591.36</v>
      </c>
      <c r="O937" s="3">
        <v>7023.04</v>
      </c>
      <c r="P937" s="3" t="s">
        <v>86</v>
      </c>
    </row>
    <row r="938" spans="1:16" x14ac:dyDescent="0.35">
      <c r="A938" s="3" t="s">
        <v>1969</v>
      </c>
      <c r="B938" s="3" t="s">
        <v>1755</v>
      </c>
      <c r="C938" s="3" t="s">
        <v>57</v>
      </c>
      <c r="D938" s="3" t="s">
        <v>58</v>
      </c>
      <c r="E938" s="3" t="s">
        <v>59</v>
      </c>
      <c r="F938" s="3" t="s">
        <v>60</v>
      </c>
      <c r="G938" s="3" t="s">
        <v>51</v>
      </c>
      <c r="H938" s="3" t="s">
        <v>77</v>
      </c>
      <c r="I938" s="3" t="s">
        <v>1970</v>
      </c>
      <c r="J938" s="3" t="s">
        <v>100</v>
      </c>
      <c r="K938" s="3">
        <v>6</v>
      </c>
      <c r="L938" s="3">
        <v>12671.45</v>
      </c>
      <c r="M938" s="3">
        <v>76028.7</v>
      </c>
      <c r="N938" s="3">
        <v>54831.23</v>
      </c>
      <c r="O938" s="3">
        <v>21197.47</v>
      </c>
      <c r="P938" s="3" t="s">
        <v>45</v>
      </c>
    </row>
    <row r="939" spans="1:16" x14ac:dyDescent="0.35">
      <c r="A939" s="3" t="s">
        <v>1971</v>
      </c>
      <c r="B939" s="3" t="s">
        <v>1360</v>
      </c>
      <c r="C939" s="3" t="s">
        <v>72</v>
      </c>
      <c r="D939" s="3" t="s">
        <v>90</v>
      </c>
      <c r="E939" s="3" t="s">
        <v>91</v>
      </c>
      <c r="F939" s="3" t="s">
        <v>92</v>
      </c>
      <c r="G939" s="3" t="s">
        <v>41</v>
      </c>
      <c r="H939" s="3" t="s">
        <v>138</v>
      </c>
      <c r="I939" s="3" t="s">
        <v>1266</v>
      </c>
      <c r="J939" s="3" t="s">
        <v>44</v>
      </c>
      <c r="K939" s="3">
        <v>3</v>
      </c>
      <c r="L939" s="3">
        <v>16649.490000000002</v>
      </c>
      <c r="M939" s="3">
        <v>49948.47</v>
      </c>
      <c r="N939" s="3">
        <v>43617.89</v>
      </c>
      <c r="O939" s="3">
        <v>6330.58</v>
      </c>
      <c r="P939" s="3" t="s">
        <v>86</v>
      </c>
    </row>
    <row r="940" spans="1:16" x14ac:dyDescent="0.35">
      <c r="A940" s="3" t="s">
        <v>1972</v>
      </c>
      <c r="B940" s="3" t="s">
        <v>96</v>
      </c>
      <c r="C940" s="3" t="s">
        <v>48</v>
      </c>
      <c r="D940" s="3" t="s">
        <v>19</v>
      </c>
      <c r="E940" s="3" t="s">
        <v>199</v>
      </c>
      <c r="F940" s="3" t="s">
        <v>200</v>
      </c>
      <c r="G940" s="3" t="s">
        <v>22</v>
      </c>
      <c r="H940" s="3" t="s">
        <v>23</v>
      </c>
      <c r="I940" s="3" t="s">
        <v>1973</v>
      </c>
      <c r="J940" s="3" t="s">
        <v>217</v>
      </c>
      <c r="K940" s="3">
        <v>3</v>
      </c>
      <c r="L940" s="3">
        <v>3177.78</v>
      </c>
      <c r="M940" s="3">
        <v>9533.34</v>
      </c>
      <c r="N940" s="3">
        <v>6710.32</v>
      </c>
      <c r="O940" s="3">
        <v>2823.02</v>
      </c>
      <c r="P940" s="3" t="s">
        <v>34</v>
      </c>
    </row>
    <row r="941" spans="1:16" x14ac:dyDescent="0.35">
      <c r="A941" s="3" t="s">
        <v>1974</v>
      </c>
      <c r="B941" s="3" t="s">
        <v>527</v>
      </c>
      <c r="C941" s="3" t="s">
        <v>82</v>
      </c>
      <c r="D941" s="3" t="s">
        <v>58</v>
      </c>
      <c r="E941" s="3" t="s">
        <v>59</v>
      </c>
      <c r="F941" s="3" t="s">
        <v>60</v>
      </c>
      <c r="G941" s="3" t="s">
        <v>30</v>
      </c>
      <c r="H941" s="3" t="s">
        <v>31</v>
      </c>
      <c r="I941" s="3" t="s">
        <v>1975</v>
      </c>
      <c r="J941" s="3" t="s">
        <v>171</v>
      </c>
      <c r="K941" s="3">
        <v>8</v>
      </c>
      <c r="L941" s="3">
        <v>2938.1</v>
      </c>
      <c r="M941" s="3">
        <v>23504.799999999999</v>
      </c>
      <c r="N941" s="3">
        <v>15719.25</v>
      </c>
      <c r="O941" s="3">
        <v>7785.55</v>
      </c>
      <c r="P941" s="3" t="s">
        <v>45</v>
      </c>
    </row>
    <row r="942" spans="1:16" x14ac:dyDescent="0.35">
      <c r="A942" s="3" t="s">
        <v>1976</v>
      </c>
      <c r="B942" s="3" t="s">
        <v>361</v>
      </c>
      <c r="C942" s="3" t="s">
        <v>137</v>
      </c>
      <c r="D942" s="3" t="s">
        <v>58</v>
      </c>
      <c r="E942" s="3" t="s">
        <v>176</v>
      </c>
      <c r="F942" s="3" t="s">
        <v>177</v>
      </c>
      <c r="G942" s="3" t="s">
        <v>22</v>
      </c>
      <c r="H942" s="3" t="s">
        <v>83</v>
      </c>
      <c r="I942" s="3" t="s">
        <v>1977</v>
      </c>
      <c r="J942" s="3" t="s">
        <v>161</v>
      </c>
      <c r="K942" s="3">
        <v>2</v>
      </c>
      <c r="L942" s="3">
        <v>20712.349999999999</v>
      </c>
      <c r="M942" s="3">
        <v>41424.699999999997</v>
      </c>
      <c r="N942" s="3">
        <v>33461.379999999997</v>
      </c>
      <c r="O942" s="3">
        <v>7963.32</v>
      </c>
      <c r="P942" s="3" t="s">
        <v>86</v>
      </c>
    </row>
    <row r="943" spans="1:16" x14ac:dyDescent="0.35">
      <c r="A943" s="3" t="s">
        <v>1978</v>
      </c>
      <c r="B943" s="3" t="s">
        <v>575</v>
      </c>
      <c r="C943" s="3" t="s">
        <v>137</v>
      </c>
      <c r="D943" s="3" t="s">
        <v>19</v>
      </c>
      <c r="E943" s="3" t="s">
        <v>49</v>
      </c>
      <c r="F943" s="3" t="s">
        <v>50</v>
      </c>
      <c r="G943" s="3" t="s">
        <v>22</v>
      </c>
      <c r="H943" s="3" t="s">
        <v>93</v>
      </c>
      <c r="I943" s="3" t="s">
        <v>1979</v>
      </c>
      <c r="J943" s="3" t="s">
        <v>100</v>
      </c>
      <c r="K943" s="3">
        <v>8</v>
      </c>
      <c r="L943" s="3">
        <v>7235.09</v>
      </c>
      <c r="M943" s="3">
        <v>57880.72</v>
      </c>
      <c r="N943" s="3">
        <v>39884.39</v>
      </c>
      <c r="O943" s="3">
        <v>17996.330000000002</v>
      </c>
      <c r="P943" s="3" t="s">
        <v>86</v>
      </c>
    </row>
    <row r="944" spans="1:16" x14ac:dyDescent="0.35">
      <c r="A944" s="3" t="s">
        <v>1980</v>
      </c>
      <c r="B944" s="3" t="s">
        <v>562</v>
      </c>
      <c r="C944" s="3" t="s">
        <v>82</v>
      </c>
      <c r="D944" s="3" t="s">
        <v>58</v>
      </c>
      <c r="E944" s="3" t="s">
        <v>65</v>
      </c>
      <c r="F944" s="3" t="s">
        <v>66</v>
      </c>
      <c r="G944" s="3" t="s">
        <v>30</v>
      </c>
      <c r="H944" s="3" t="s">
        <v>67</v>
      </c>
      <c r="I944" s="3" t="s">
        <v>1981</v>
      </c>
      <c r="J944" s="3" t="s">
        <v>100</v>
      </c>
      <c r="K944" s="3">
        <v>3</v>
      </c>
      <c r="L944" s="3">
        <v>9668.07</v>
      </c>
      <c r="M944" s="3">
        <v>29004.21</v>
      </c>
      <c r="N944" s="3">
        <v>22646.68</v>
      </c>
      <c r="O944" s="3">
        <v>6357.53</v>
      </c>
      <c r="P944" s="3" t="s">
        <v>86</v>
      </c>
    </row>
    <row r="945" spans="1:16" x14ac:dyDescent="0.35">
      <c r="A945" s="3" t="s">
        <v>1982</v>
      </c>
      <c r="B945" s="3" t="s">
        <v>583</v>
      </c>
      <c r="C945" s="3" t="s">
        <v>89</v>
      </c>
      <c r="D945" s="3" t="s">
        <v>90</v>
      </c>
      <c r="E945" s="3" t="s">
        <v>97</v>
      </c>
      <c r="F945" s="3" t="s">
        <v>98</v>
      </c>
      <c r="G945" s="3" t="s">
        <v>30</v>
      </c>
      <c r="H945" s="3" t="s">
        <v>67</v>
      </c>
      <c r="I945" s="3" t="s">
        <v>1233</v>
      </c>
      <c r="J945" s="3" t="s">
        <v>217</v>
      </c>
      <c r="K945" s="3">
        <v>4</v>
      </c>
      <c r="L945" s="3">
        <v>8712.23</v>
      </c>
      <c r="M945" s="3">
        <v>34848.92</v>
      </c>
      <c r="N945" s="3">
        <v>29783.96</v>
      </c>
      <c r="O945" s="3">
        <v>5064.96</v>
      </c>
      <c r="P945" s="3" t="s">
        <v>26</v>
      </c>
    </row>
    <row r="946" spans="1:16" x14ac:dyDescent="0.35">
      <c r="A946" s="3" t="s">
        <v>1983</v>
      </c>
      <c r="B946" s="3" t="s">
        <v>36</v>
      </c>
      <c r="C946" s="3" t="s">
        <v>37</v>
      </c>
      <c r="D946" s="3" t="s">
        <v>38</v>
      </c>
      <c r="E946" s="3" t="s">
        <v>39</v>
      </c>
      <c r="F946" s="3" t="s">
        <v>40</v>
      </c>
      <c r="G946" s="3" t="s">
        <v>51</v>
      </c>
      <c r="H946" s="3" t="s">
        <v>52</v>
      </c>
      <c r="I946" s="3" t="s">
        <v>1984</v>
      </c>
      <c r="J946" s="3" t="s">
        <v>54</v>
      </c>
      <c r="K946" s="3">
        <v>2</v>
      </c>
      <c r="L946" s="3">
        <v>26.73</v>
      </c>
      <c r="M946" s="3">
        <v>53.46</v>
      </c>
      <c r="N946" s="3">
        <v>19.78</v>
      </c>
      <c r="O946" s="3">
        <v>33.68</v>
      </c>
      <c r="P946" s="3" t="s">
        <v>34</v>
      </c>
    </row>
    <row r="947" spans="1:16" x14ac:dyDescent="0.35">
      <c r="A947" s="3" t="s">
        <v>1985</v>
      </c>
      <c r="B947" s="3" t="s">
        <v>696</v>
      </c>
      <c r="C947" s="3" t="s">
        <v>82</v>
      </c>
      <c r="D947" s="3" t="s">
        <v>58</v>
      </c>
      <c r="E947" s="3" t="s">
        <v>176</v>
      </c>
      <c r="F947" s="3" t="s">
        <v>177</v>
      </c>
      <c r="G947" s="3" t="s">
        <v>51</v>
      </c>
      <c r="H947" s="3" t="s">
        <v>77</v>
      </c>
      <c r="I947" s="3" t="s">
        <v>1986</v>
      </c>
      <c r="J947" s="3" t="s">
        <v>54</v>
      </c>
      <c r="K947" s="3">
        <v>8</v>
      </c>
      <c r="L947" s="3">
        <v>12971.19</v>
      </c>
      <c r="M947" s="3">
        <v>103769.52</v>
      </c>
      <c r="N947" s="3">
        <v>73889.759999999995</v>
      </c>
      <c r="O947" s="3">
        <v>29879.759999999998</v>
      </c>
      <c r="P947" s="3" t="s">
        <v>26</v>
      </c>
    </row>
    <row r="948" spans="1:16" x14ac:dyDescent="0.35">
      <c r="A948" s="3" t="s">
        <v>1987</v>
      </c>
      <c r="B948" s="3" t="s">
        <v>1406</v>
      </c>
      <c r="C948" s="3" t="s">
        <v>137</v>
      </c>
      <c r="D948" s="3" t="s">
        <v>19</v>
      </c>
      <c r="E948" s="3" t="s">
        <v>199</v>
      </c>
      <c r="F948" s="3" t="s">
        <v>200</v>
      </c>
      <c r="G948" s="3" t="s">
        <v>41</v>
      </c>
      <c r="H948" s="3" t="s">
        <v>42</v>
      </c>
      <c r="I948" s="3" t="s">
        <v>1249</v>
      </c>
      <c r="J948" s="3" t="s">
        <v>44</v>
      </c>
      <c r="K948" s="3">
        <v>7</v>
      </c>
      <c r="L948" s="3">
        <v>46290.2</v>
      </c>
      <c r="M948" s="3">
        <v>324031.40000000002</v>
      </c>
      <c r="N948" s="3">
        <v>232839.44</v>
      </c>
      <c r="O948" s="3">
        <v>91191.96</v>
      </c>
      <c r="P948" s="3" t="s">
        <v>86</v>
      </c>
    </row>
    <row r="949" spans="1:16" x14ac:dyDescent="0.35">
      <c r="A949" s="3" t="s">
        <v>1988</v>
      </c>
      <c r="B949" s="3" t="s">
        <v>1427</v>
      </c>
      <c r="C949" s="3" t="s">
        <v>29</v>
      </c>
      <c r="D949" s="3" t="s">
        <v>19</v>
      </c>
      <c r="E949" s="3" t="s">
        <v>20</v>
      </c>
      <c r="F949" s="3" t="s">
        <v>21</v>
      </c>
      <c r="G949" s="3" t="s">
        <v>30</v>
      </c>
      <c r="H949" s="3" t="s">
        <v>31</v>
      </c>
      <c r="I949" s="3" t="s">
        <v>1220</v>
      </c>
      <c r="J949" s="3" t="s">
        <v>154</v>
      </c>
      <c r="K949" s="3">
        <v>5</v>
      </c>
      <c r="L949" s="3">
        <v>2570.1</v>
      </c>
      <c r="M949" s="3">
        <v>12850.5</v>
      </c>
      <c r="N949" s="3">
        <v>9066.42</v>
      </c>
      <c r="O949" s="3">
        <v>3784.08</v>
      </c>
      <c r="P949" s="3" t="s">
        <v>26</v>
      </c>
    </row>
    <row r="950" spans="1:16" x14ac:dyDescent="0.35">
      <c r="A950" s="3" t="s">
        <v>1989</v>
      </c>
      <c r="B950" s="3" t="s">
        <v>777</v>
      </c>
      <c r="C950" s="3" t="s">
        <v>72</v>
      </c>
      <c r="D950" s="3" t="s">
        <v>58</v>
      </c>
      <c r="E950" s="3" t="s">
        <v>176</v>
      </c>
      <c r="F950" s="3" t="s">
        <v>177</v>
      </c>
      <c r="G950" s="3" t="s">
        <v>51</v>
      </c>
      <c r="H950" s="3" t="s">
        <v>145</v>
      </c>
      <c r="I950" s="3" t="s">
        <v>1343</v>
      </c>
      <c r="J950" s="3" t="s">
        <v>44</v>
      </c>
      <c r="K950" s="3">
        <v>4</v>
      </c>
      <c r="L950" s="3">
        <v>117.48</v>
      </c>
      <c r="M950" s="3">
        <v>469.92</v>
      </c>
      <c r="N950" s="3">
        <v>228.4</v>
      </c>
      <c r="O950" s="3">
        <v>241.52</v>
      </c>
      <c r="P950" s="3" t="s">
        <v>26</v>
      </c>
    </row>
    <row r="951" spans="1:16" x14ac:dyDescent="0.35">
      <c r="A951" s="3" t="s">
        <v>1990</v>
      </c>
      <c r="B951" s="3" t="s">
        <v>279</v>
      </c>
      <c r="C951" s="3" t="s">
        <v>37</v>
      </c>
      <c r="D951" s="3" t="s">
        <v>19</v>
      </c>
      <c r="E951" s="3" t="s">
        <v>20</v>
      </c>
      <c r="F951" s="3" t="s">
        <v>21</v>
      </c>
      <c r="G951" s="3" t="s">
        <v>41</v>
      </c>
      <c r="H951" s="3" t="s">
        <v>138</v>
      </c>
      <c r="I951" s="3" t="s">
        <v>368</v>
      </c>
      <c r="J951" s="3" t="s">
        <v>25</v>
      </c>
      <c r="K951" s="3">
        <v>1</v>
      </c>
      <c r="L951" s="3">
        <v>17653.259999999998</v>
      </c>
      <c r="M951" s="3">
        <v>17653.259999999998</v>
      </c>
      <c r="N951" s="3">
        <v>13337.85</v>
      </c>
      <c r="O951" s="3">
        <v>4315.41</v>
      </c>
      <c r="P951" s="3" t="s">
        <v>69</v>
      </c>
    </row>
    <row r="952" spans="1:16" x14ac:dyDescent="0.35">
      <c r="A952" s="3" t="s">
        <v>1991</v>
      </c>
      <c r="B952" s="3" t="s">
        <v>570</v>
      </c>
      <c r="C952" s="3" t="s">
        <v>18</v>
      </c>
      <c r="D952" s="3" t="s">
        <v>90</v>
      </c>
      <c r="E952" s="3" t="s">
        <v>119</v>
      </c>
      <c r="F952" s="3" t="s">
        <v>120</v>
      </c>
      <c r="G952" s="3" t="s">
        <v>22</v>
      </c>
      <c r="H952" s="3" t="s">
        <v>93</v>
      </c>
      <c r="I952" s="3" t="s">
        <v>1038</v>
      </c>
      <c r="J952" s="3" t="s">
        <v>33</v>
      </c>
      <c r="K952" s="3">
        <v>4</v>
      </c>
      <c r="L952" s="3">
        <v>6812.6</v>
      </c>
      <c r="M952" s="3">
        <v>27250.400000000001</v>
      </c>
      <c r="N952" s="3">
        <v>20504.650000000001</v>
      </c>
      <c r="O952" s="3">
        <v>6745.75</v>
      </c>
      <c r="P952" s="3" t="s">
        <v>26</v>
      </c>
    </row>
    <row r="953" spans="1:16" x14ac:dyDescent="0.35">
      <c r="A953" s="3" t="s">
        <v>1992</v>
      </c>
      <c r="B953" s="3" t="s">
        <v>163</v>
      </c>
      <c r="C953" s="3" t="s">
        <v>137</v>
      </c>
      <c r="D953" s="3" t="s">
        <v>58</v>
      </c>
      <c r="E953" s="3" t="s">
        <v>176</v>
      </c>
      <c r="F953" s="3" t="s">
        <v>177</v>
      </c>
      <c r="G953" s="3" t="s">
        <v>41</v>
      </c>
      <c r="H953" s="3" t="s">
        <v>138</v>
      </c>
      <c r="I953" s="3" t="s">
        <v>1246</v>
      </c>
      <c r="J953" s="3" t="s">
        <v>161</v>
      </c>
      <c r="K953" s="3">
        <v>8</v>
      </c>
      <c r="L953" s="3">
        <v>19786.53</v>
      </c>
      <c r="M953" s="3">
        <v>158292.24</v>
      </c>
      <c r="N953" s="3">
        <v>110403.12</v>
      </c>
      <c r="O953" s="3">
        <v>47889.120000000003</v>
      </c>
      <c r="P953" s="3" t="s">
        <v>26</v>
      </c>
    </row>
    <row r="954" spans="1:16" x14ac:dyDescent="0.35">
      <c r="A954" s="3" t="s">
        <v>1993</v>
      </c>
      <c r="B954" s="3" t="s">
        <v>373</v>
      </c>
      <c r="C954" s="3" t="s">
        <v>137</v>
      </c>
      <c r="D954" s="3" t="s">
        <v>19</v>
      </c>
      <c r="E954" s="3" t="s">
        <v>199</v>
      </c>
      <c r="F954" s="3" t="s">
        <v>200</v>
      </c>
      <c r="G954" s="3" t="s">
        <v>41</v>
      </c>
      <c r="H954" s="3" t="s">
        <v>138</v>
      </c>
      <c r="I954" s="3" t="s">
        <v>1592</v>
      </c>
      <c r="J954" s="3" t="s">
        <v>33</v>
      </c>
      <c r="K954" s="3">
        <v>1</v>
      </c>
      <c r="L954" s="3">
        <v>17477.150000000001</v>
      </c>
      <c r="M954" s="3">
        <v>17477.150000000001</v>
      </c>
      <c r="N954" s="3">
        <v>13705.48</v>
      </c>
      <c r="O954" s="3">
        <v>3771.67</v>
      </c>
      <c r="P954" s="3" t="s">
        <v>34</v>
      </c>
    </row>
    <row r="955" spans="1:16" x14ac:dyDescent="0.35">
      <c r="A955" s="3" t="s">
        <v>1994</v>
      </c>
      <c r="B955" s="3" t="s">
        <v>1216</v>
      </c>
      <c r="C955" s="3" t="s">
        <v>114</v>
      </c>
      <c r="D955" s="3" t="s">
        <v>90</v>
      </c>
      <c r="E955" s="3" t="s">
        <v>91</v>
      </c>
      <c r="F955" s="3" t="s">
        <v>92</v>
      </c>
      <c r="G955" s="3" t="s">
        <v>30</v>
      </c>
      <c r="H955" s="3" t="s">
        <v>67</v>
      </c>
      <c r="I955" s="3" t="s">
        <v>1610</v>
      </c>
      <c r="J955" s="3" t="s">
        <v>217</v>
      </c>
      <c r="K955" s="3">
        <v>8</v>
      </c>
      <c r="L955" s="3">
        <v>8595.32</v>
      </c>
      <c r="M955" s="3">
        <v>68762.559999999998</v>
      </c>
      <c r="N955" s="3">
        <v>60421.45</v>
      </c>
      <c r="O955" s="3">
        <v>8341.11</v>
      </c>
      <c r="P955" s="3" t="s">
        <v>45</v>
      </c>
    </row>
    <row r="956" spans="1:16" x14ac:dyDescent="0.35">
      <c r="A956" s="3" t="s">
        <v>1995</v>
      </c>
      <c r="B956" s="3" t="s">
        <v>149</v>
      </c>
      <c r="C956" s="3" t="s">
        <v>118</v>
      </c>
      <c r="D956" s="3" t="s">
        <v>19</v>
      </c>
      <c r="E956" s="3" t="s">
        <v>199</v>
      </c>
      <c r="F956" s="3" t="s">
        <v>200</v>
      </c>
      <c r="G956" s="3" t="s">
        <v>51</v>
      </c>
      <c r="H956" s="3" t="s">
        <v>145</v>
      </c>
      <c r="I956" s="3" t="s">
        <v>43</v>
      </c>
      <c r="J956" s="3" t="s">
        <v>188</v>
      </c>
      <c r="K956" s="3">
        <v>5</v>
      </c>
      <c r="L956" s="3">
        <v>111.03</v>
      </c>
      <c r="M956" s="3">
        <v>555.15</v>
      </c>
      <c r="N956" s="3">
        <v>310.08</v>
      </c>
      <c r="O956" s="3">
        <v>245.07</v>
      </c>
      <c r="P956" s="3" t="s">
        <v>34</v>
      </c>
    </row>
    <row r="957" spans="1:16" x14ac:dyDescent="0.35">
      <c r="A957" s="3" t="s">
        <v>1996</v>
      </c>
      <c r="B957" s="3" t="s">
        <v>1997</v>
      </c>
      <c r="C957" s="3" t="s">
        <v>114</v>
      </c>
      <c r="D957" s="3" t="s">
        <v>38</v>
      </c>
      <c r="E957" s="3" t="s">
        <v>39</v>
      </c>
      <c r="F957" s="3" t="s">
        <v>40</v>
      </c>
      <c r="G957" s="3" t="s">
        <v>22</v>
      </c>
      <c r="H957" s="3" t="s">
        <v>83</v>
      </c>
      <c r="I957" s="3" t="s">
        <v>1073</v>
      </c>
      <c r="J957" s="3" t="s">
        <v>25</v>
      </c>
      <c r="K957" s="3">
        <v>8</v>
      </c>
      <c r="L957" s="3">
        <v>20533.009999999998</v>
      </c>
      <c r="M957" s="3">
        <v>164264.07999999999</v>
      </c>
      <c r="N957" s="3">
        <v>129823.36</v>
      </c>
      <c r="O957" s="3">
        <v>34440.720000000001</v>
      </c>
      <c r="P957" s="3" t="s">
        <v>86</v>
      </c>
    </row>
    <row r="958" spans="1:16" x14ac:dyDescent="0.35">
      <c r="A958" s="3" t="s">
        <v>1998</v>
      </c>
      <c r="B958" s="3" t="s">
        <v>1999</v>
      </c>
      <c r="C958" s="3" t="s">
        <v>114</v>
      </c>
      <c r="D958" s="3" t="s">
        <v>38</v>
      </c>
      <c r="E958" s="3" t="s">
        <v>109</v>
      </c>
      <c r="F958" s="3" t="s">
        <v>110</v>
      </c>
      <c r="G958" s="3" t="s">
        <v>30</v>
      </c>
      <c r="H958" s="3" t="s">
        <v>73</v>
      </c>
      <c r="I958" s="3" t="s">
        <v>1970</v>
      </c>
      <c r="J958" s="3" t="s">
        <v>33</v>
      </c>
      <c r="K958" s="3">
        <v>2</v>
      </c>
      <c r="L958" s="3">
        <v>2917.12</v>
      </c>
      <c r="M958" s="3">
        <v>5834.24</v>
      </c>
      <c r="N958" s="3">
        <v>4737.05</v>
      </c>
      <c r="O958" s="3">
        <v>1097.19</v>
      </c>
      <c r="P958" s="3" t="s">
        <v>45</v>
      </c>
    </row>
    <row r="959" spans="1:16" x14ac:dyDescent="0.35">
      <c r="A959" s="3" t="s">
        <v>2000</v>
      </c>
      <c r="B959" s="3" t="s">
        <v>1360</v>
      </c>
      <c r="C959" s="3" t="s">
        <v>72</v>
      </c>
      <c r="D959" s="3" t="s">
        <v>19</v>
      </c>
      <c r="E959" s="3" t="s">
        <v>199</v>
      </c>
      <c r="F959" s="3" t="s">
        <v>200</v>
      </c>
      <c r="G959" s="3" t="s">
        <v>41</v>
      </c>
      <c r="H959" s="3" t="s">
        <v>61</v>
      </c>
      <c r="I959" s="3" t="s">
        <v>331</v>
      </c>
      <c r="J959" s="3" t="s">
        <v>188</v>
      </c>
      <c r="K959" s="3">
        <v>6</v>
      </c>
      <c r="L959" s="3">
        <v>2365.79</v>
      </c>
      <c r="M959" s="3">
        <v>14194.74</v>
      </c>
      <c r="N959" s="3">
        <v>9709.83</v>
      </c>
      <c r="O959" s="3">
        <v>4484.91</v>
      </c>
      <c r="P959" s="3" t="s">
        <v>26</v>
      </c>
    </row>
    <row r="960" spans="1:16" x14ac:dyDescent="0.35">
      <c r="A960" s="3" t="s">
        <v>2001</v>
      </c>
      <c r="B960" s="3" t="s">
        <v>717</v>
      </c>
      <c r="C960" s="3" t="s">
        <v>114</v>
      </c>
      <c r="D960" s="3" t="s">
        <v>38</v>
      </c>
      <c r="E960" s="3" t="s">
        <v>39</v>
      </c>
      <c r="F960" s="3" t="s">
        <v>40</v>
      </c>
      <c r="G960" s="3" t="s">
        <v>41</v>
      </c>
      <c r="H960" s="3" t="s">
        <v>61</v>
      </c>
      <c r="I960" s="3" t="s">
        <v>2002</v>
      </c>
      <c r="J960" s="3" t="s">
        <v>79</v>
      </c>
      <c r="K960" s="3">
        <v>5</v>
      </c>
      <c r="L960" s="3">
        <v>2281.9</v>
      </c>
      <c r="M960" s="3">
        <v>11409.5</v>
      </c>
      <c r="N960" s="3">
        <v>7829.9</v>
      </c>
      <c r="O960" s="3">
        <v>3579.6</v>
      </c>
      <c r="P960" s="3" t="s">
        <v>86</v>
      </c>
    </row>
    <row r="961" spans="1:16" x14ac:dyDescent="0.35">
      <c r="A961" s="3" t="s">
        <v>2003</v>
      </c>
      <c r="B961" s="3" t="s">
        <v>717</v>
      </c>
      <c r="C961" s="3" t="s">
        <v>114</v>
      </c>
      <c r="D961" s="3" t="s">
        <v>58</v>
      </c>
      <c r="E961" s="3" t="s">
        <v>65</v>
      </c>
      <c r="F961" s="3" t="s">
        <v>66</v>
      </c>
      <c r="G961" s="3" t="s">
        <v>30</v>
      </c>
      <c r="H961" s="3" t="s">
        <v>31</v>
      </c>
      <c r="I961" s="3" t="s">
        <v>2004</v>
      </c>
      <c r="J961" s="3" t="s">
        <v>217</v>
      </c>
      <c r="K961" s="3">
        <v>1</v>
      </c>
      <c r="L961" s="3">
        <v>3047.38</v>
      </c>
      <c r="M961" s="3">
        <v>3047.38</v>
      </c>
      <c r="N961" s="3">
        <v>1987.52</v>
      </c>
      <c r="O961" s="3">
        <v>1059.8599999999999</v>
      </c>
      <c r="P961" s="3" t="s">
        <v>45</v>
      </c>
    </row>
    <row r="962" spans="1:16" x14ac:dyDescent="0.35">
      <c r="A962" s="3" t="s">
        <v>2005</v>
      </c>
      <c r="B962" s="3" t="s">
        <v>478</v>
      </c>
      <c r="C962" s="3" t="s">
        <v>82</v>
      </c>
      <c r="D962" s="3" t="s">
        <v>58</v>
      </c>
      <c r="E962" s="3" t="s">
        <v>59</v>
      </c>
      <c r="F962" s="3" t="s">
        <v>60</v>
      </c>
      <c r="G962" s="3" t="s">
        <v>51</v>
      </c>
      <c r="H962" s="3" t="s">
        <v>145</v>
      </c>
      <c r="I962" s="3" t="s">
        <v>2006</v>
      </c>
      <c r="J962" s="3" t="s">
        <v>100</v>
      </c>
      <c r="K962" s="3">
        <v>8</v>
      </c>
      <c r="L962" s="3">
        <v>116.88</v>
      </c>
      <c r="M962" s="3">
        <v>935.04</v>
      </c>
      <c r="N962" s="3">
        <v>485.18</v>
      </c>
      <c r="O962" s="3">
        <v>449.86</v>
      </c>
      <c r="P962" s="3" t="s">
        <v>34</v>
      </c>
    </row>
    <row r="963" spans="1:16" x14ac:dyDescent="0.35">
      <c r="A963" s="3" t="s">
        <v>2007</v>
      </c>
      <c r="B963" s="3" t="s">
        <v>271</v>
      </c>
      <c r="C963" s="3" t="s">
        <v>82</v>
      </c>
      <c r="D963" s="3" t="s">
        <v>58</v>
      </c>
      <c r="E963" s="3" t="s">
        <v>65</v>
      </c>
      <c r="F963" s="3" t="s">
        <v>66</v>
      </c>
      <c r="G963" s="3" t="s">
        <v>22</v>
      </c>
      <c r="H963" s="3" t="s">
        <v>23</v>
      </c>
      <c r="I963" s="3" t="s">
        <v>1227</v>
      </c>
      <c r="J963" s="3" t="s">
        <v>79</v>
      </c>
      <c r="K963" s="3">
        <v>5</v>
      </c>
      <c r="L963" s="3">
        <v>3511.26</v>
      </c>
      <c r="M963" s="3">
        <v>17556.3</v>
      </c>
      <c r="N963" s="3">
        <v>11076.89</v>
      </c>
      <c r="O963" s="3">
        <v>6479.41</v>
      </c>
      <c r="P963" s="3" t="s">
        <v>26</v>
      </c>
    </row>
    <row r="964" spans="1:16" x14ac:dyDescent="0.35">
      <c r="A964" s="3" t="s">
        <v>2008</v>
      </c>
      <c r="B964" s="3" t="s">
        <v>782</v>
      </c>
      <c r="C964" s="3" t="s">
        <v>114</v>
      </c>
      <c r="D964" s="3" t="s">
        <v>38</v>
      </c>
      <c r="E964" s="3" t="s">
        <v>39</v>
      </c>
      <c r="F964" s="3" t="s">
        <v>40</v>
      </c>
      <c r="G964" s="3" t="s">
        <v>22</v>
      </c>
      <c r="H964" s="3" t="s">
        <v>23</v>
      </c>
      <c r="I964" s="3" t="s">
        <v>2009</v>
      </c>
      <c r="J964" s="3" t="s">
        <v>147</v>
      </c>
      <c r="K964" s="3">
        <v>3</v>
      </c>
      <c r="L964" s="3">
        <v>3844.65</v>
      </c>
      <c r="M964" s="3">
        <v>11533.95</v>
      </c>
      <c r="N964" s="3">
        <v>6817.92</v>
      </c>
      <c r="O964" s="3">
        <v>4716.03</v>
      </c>
      <c r="P964" s="3" t="s">
        <v>26</v>
      </c>
    </row>
    <row r="965" spans="1:16" x14ac:dyDescent="0.35">
      <c r="A965" s="3" t="s">
        <v>2010</v>
      </c>
      <c r="B965" s="3" t="s">
        <v>521</v>
      </c>
      <c r="C965" s="3" t="s">
        <v>18</v>
      </c>
      <c r="D965" s="3" t="s">
        <v>90</v>
      </c>
      <c r="E965" s="3" t="s">
        <v>97</v>
      </c>
      <c r="F965" s="3" t="s">
        <v>98</v>
      </c>
      <c r="G965" s="3" t="s">
        <v>51</v>
      </c>
      <c r="H965" s="3" t="s">
        <v>145</v>
      </c>
      <c r="I965" s="3" t="s">
        <v>2011</v>
      </c>
      <c r="J965" s="3" t="s">
        <v>147</v>
      </c>
      <c r="K965" s="3">
        <v>4</v>
      </c>
      <c r="L965" s="3">
        <v>129.93</v>
      </c>
      <c r="M965" s="3">
        <v>519.72</v>
      </c>
      <c r="N965" s="3">
        <v>232.59</v>
      </c>
      <c r="O965" s="3">
        <v>287.13</v>
      </c>
      <c r="P965" s="3" t="s">
        <v>86</v>
      </c>
    </row>
    <row r="966" spans="1:16" x14ac:dyDescent="0.35">
      <c r="A966" s="3" t="s">
        <v>2012</v>
      </c>
      <c r="B966" s="3" t="s">
        <v>81</v>
      </c>
      <c r="C966" s="3" t="s">
        <v>82</v>
      </c>
      <c r="D966" s="3" t="s">
        <v>90</v>
      </c>
      <c r="E966" s="3" t="s">
        <v>91</v>
      </c>
      <c r="F966" s="3" t="s">
        <v>92</v>
      </c>
      <c r="G966" s="3" t="s">
        <v>41</v>
      </c>
      <c r="H966" s="3" t="s">
        <v>61</v>
      </c>
      <c r="I966" s="3" t="s">
        <v>390</v>
      </c>
      <c r="J966" s="3" t="s">
        <v>79</v>
      </c>
      <c r="K966" s="3">
        <v>4</v>
      </c>
      <c r="L966" s="3">
        <v>2291.39</v>
      </c>
      <c r="M966" s="3">
        <v>9165.56</v>
      </c>
      <c r="N966" s="3">
        <v>6484.71</v>
      </c>
      <c r="O966" s="3">
        <v>2680.85</v>
      </c>
      <c r="P966" s="3" t="s">
        <v>34</v>
      </c>
    </row>
    <row r="967" spans="1:16" x14ac:dyDescent="0.35">
      <c r="A967" s="3" t="s">
        <v>2013</v>
      </c>
      <c r="B967" s="3" t="s">
        <v>798</v>
      </c>
      <c r="C967" s="3" t="s">
        <v>18</v>
      </c>
      <c r="D967" s="3" t="s">
        <v>90</v>
      </c>
      <c r="E967" s="3" t="s">
        <v>97</v>
      </c>
      <c r="F967" s="3" t="s">
        <v>98</v>
      </c>
      <c r="G967" s="3" t="s">
        <v>22</v>
      </c>
      <c r="H967" s="3" t="s">
        <v>83</v>
      </c>
      <c r="I967" s="3" t="s">
        <v>1421</v>
      </c>
      <c r="J967" s="3" t="s">
        <v>100</v>
      </c>
      <c r="K967" s="3">
        <v>2</v>
      </c>
      <c r="L967" s="3">
        <v>21114.21</v>
      </c>
      <c r="M967" s="3">
        <v>42228.42</v>
      </c>
      <c r="N967" s="3">
        <v>35660.97</v>
      </c>
      <c r="O967" s="3">
        <v>6567.45</v>
      </c>
      <c r="P967" s="3" t="s">
        <v>69</v>
      </c>
    </row>
    <row r="968" spans="1:16" x14ac:dyDescent="0.35">
      <c r="A968" s="3" t="s">
        <v>2014</v>
      </c>
      <c r="B968" s="3" t="s">
        <v>302</v>
      </c>
      <c r="C968" s="3" t="s">
        <v>103</v>
      </c>
      <c r="D968" s="3" t="s">
        <v>38</v>
      </c>
      <c r="E968" s="3" t="s">
        <v>104</v>
      </c>
      <c r="F968" s="3" t="s">
        <v>104</v>
      </c>
      <c r="G968" s="3" t="s">
        <v>22</v>
      </c>
      <c r="H968" s="3" t="s">
        <v>83</v>
      </c>
      <c r="I968" s="3" t="s">
        <v>1671</v>
      </c>
      <c r="J968" s="3" t="s">
        <v>85</v>
      </c>
      <c r="K968" s="3">
        <v>3</v>
      </c>
      <c r="L968" s="3">
        <v>23569.52</v>
      </c>
      <c r="M968" s="3">
        <v>70708.56</v>
      </c>
      <c r="N968" s="3">
        <v>53294.6</v>
      </c>
      <c r="O968" s="3">
        <v>17413.96</v>
      </c>
      <c r="P968" s="3" t="s">
        <v>86</v>
      </c>
    </row>
    <row r="969" spans="1:16" x14ac:dyDescent="0.35">
      <c r="A969" s="3" t="s">
        <v>2015</v>
      </c>
      <c r="B969" s="3" t="s">
        <v>219</v>
      </c>
      <c r="C969" s="3" t="s">
        <v>72</v>
      </c>
      <c r="D969" s="3" t="s">
        <v>58</v>
      </c>
      <c r="E969" s="3" t="s">
        <v>176</v>
      </c>
      <c r="F969" s="3" t="s">
        <v>177</v>
      </c>
      <c r="G969" s="3" t="s">
        <v>51</v>
      </c>
      <c r="H969" s="3" t="s">
        <v>77</v>
      </c>
      <c r="I969" s="3" t="s">
        <v>150</v>
      </c>
      <c r="J969" s="3" t="s">
        <v>44</v>
      </c>
      <c r="K969" s="3">
        <v>3</v>
      </c>
      <c r="L969" s="3">
        <v>11614.52</v>
      </c>
      <c r="M969" s="3">
        <v>34843.56</v>
      </c>
      <c r="N969" s="3">
        <v>26777.32</v>
      </c>
      <c r="O969" s="3">
        <v>8066.24</v>
      </c>
      <c r="P969" s="3" t="s">
        <v>69</v>
      </c>
    </row>
    <row r="970" spans="1:16" x14ac:dyDescent="0.35">
      <c r="A970" s="3" t="s">
        <v>2016</v>
      </c>
      <c r="B970" s="3" t="s">
        <v>1461</v>
      </c>
      <c r="C970" s="3" t="s">
        <v>72</v>
      </c>
      <c r="D970" s="3" t="s">
        <v>58</v>
      </c>
      <c r="E970" s="3" t="s">
        <v>59</v>
      </c>
      <c r="F970" s="3" t="s">
        <v>60</v>
      </c>
      <c r="G970" s="3" t="s">
        <v>41</v>
      </c>
      <c r="H970" s="3" t="s">
        <v>61</v>
      </c>
      <c r="I970" s="3" t="s">
        <v>1099</v>
      </c>
      <c r="J970" s="3" t="s">
        <v>44</v>
      </c>
      <c r="K970" s="3">
        <v>4</v>
      </c>
      <c r="L970" s="3">
        <v>2346.65</v>
      </c>
      <c r="M970" s="3">
        <v>9386.6</v>
      </c>
      <c r="N970" s="3">
        <v>6515.42</v>
      </c>
      <c r="O970" s="3">
        <v>2871.18</v>
      </c>
      <c r="P970" s="3" t="s">
        <v>69</v>
      </c>
    </row>
    <row r="971" spans="1:16" x14ac:dyDescent="0.35">
      <c r="A971" s="3" t="s">
        <v>2017</v>
      </c>
      <c r="B971" s="3" t="s">
        <v>1999</v>
      </c>
      <c r="C971" s="3" t="s">
        <v>114</v>
      </c>
      <c r="D971" s="3" t="s">
        <v>38</v>
      </c>
      <c r="E971" s="3" t="s">
        <v>104</v>
      </c>
      <c r="F971" s="3" t="s">
        <v>104</v>
      </c>
      <c r="G971" s="3" t="s">
        <v>41</v>
      </c>
      <c r="H971" s="3" t="s">
        <v>138</v>
      </c>
      <c r="I971" s="3" t="s">
        <v>1222</v>
      </c>
      <c r="J971" s="3" t="s">
        <v>33</v>
      </c>
      <c r="K971" s="3">
        <v>2</v>
      </c>
      <c r="L971" s="3">
        <v>19245.599999999999</v>
      </c>
      <c r="M971" s="3">
        <v>38491.199999999997</v>
      </c>
      <c r="N971" s="3">
        <v>29221.41</v>
      </c>
      <c r="O971" s="3">
        <v>9269.7900000000009</v>
      </c>
      <c r="P971" s="3" t="s">
        <v>86</v>
      </c>
    </row>
    <row r="972" spans="1:16" x14ac:dyDescent="0.35">
      <c r="A972" s="3" t="s">
        <v>2018</v>
      </c>
      <c r="B972" s="3" t="s">
        <v>183</v>
      </c>
      <c r="C972" s="3" t="s">
        <v>114</v>
      </c>
      <c r="D972" s="3" t="s">
        <v>58</v>
      </c>
      <c r="E972" s="3" t="s">
        <v>59</v>
      </c>
      <c r="F972" s="3" t="s">
        <v>60</v>
      </c>
      <c r="G972" s="3" t="s">
        <v>22</v>
      </c>
      <c r="H972" s="3" t="s">
        <v>93</v>
      </c>
      <c r="I972" s="3" t="s">
        <v>2019</v>
      </c>
      <c r="J972" s="3" t="s">
        <v>33</v>
      </c>
      <c r="K972" s="3">
        <v>2</v>
      </c>
      <c r="L972" s="3">
        <v>6607.08</v>
      </c>
      <c r="M972" s="3">
        <v>13214.16</v>
      </c>
      <c r="N972" s="3">
        <v>9579.2000000000007</v>
      </c>
      <c r="O972" s="3">
        <v>3634.96</v>
      </c>
      <c r="P972" s="3" t="s">
        <v>69</v>
      </c>
    </row>
    <row r="973" spans="1:16" x14ac:dyDescent="0.35">
      <c r="A973" s="3" t="s">
        <v>2020</v>
      </c>
      <c r="B973" s="3" t="s">
        <v>126</v>
      </c>
      <c r="C973" s="3" t="s">
        <v>103</v>
      </c>
      <c r="D973" s="3" t="s">
        <v>38</v>
      </c>
      <c r="E973" s="3" t="s">
        <v>104</v>
      </c>
      <c r="F973" s="3" t="s">
        <v>104</v>
      </c>
      <c r="G973" s="3" t="s">
        <v>30</v>
      </c>
      <c r="H973" s="3" t="s">
        <v>31</v>
      </c>
      <c r="I973" s="3" t="s">
        <v>130</v>
      </c>
      <c r="J973" s="3" t="s">
        <v>54</v>
      </c>
      <c r="K973" s="3">
        <v>3</v>
      </c>
      <c r="L973" s="3">
        <v>2705.68</v>
      </c>
      <c r="M973" s="3">
        <v>8117.04</v>
      </c>
      <c r="N973" s="3">
        <v>5948.08</v>
      </c>
      <c r="O973" s="3">
        <v>2168.96</v>
      </c>
      <c r="P973" s="3" t="s">
        <v>34</v>
      </c>
    </row>
    <row r="974" spans="1:16" x14ac:dyDescent="0.35">
      <c r="A974" s="3" t="s">
        <v>2021</v>
      </c>
      <c r="B974" s="3" t="s">
        <v>1461</v>
      </c>
      <c r="C974" s="3" t="s">
        <v>72</v>
      </c>
      <c r="D974" s="3" t="s">
        <v>90</v>
      </c>
      <c r="E974" s="3" t="s">
        <v>119</v>
      </c>
      <c r="F974" s="3" t="s">
        <v>120</v>
      </c>
      <c r="G974" s="3" t="s">
        <v>22</v>
      </c>
      <c r="H974" s="3" t="s">
        <v>83</v>
      </c>
      <c r="I974" s="3" t="s">
        <v>2022</v>
      </c>
      <c r="J974" s="3" t="s">
        <v>44</v>
      </c>
      <c r="K974" s="3">
        <v>4</v>
      </c>
      <c r="L974" s="3">
        <v>21775.87</v>
      </c>
      <c r="M974" s="3">
        <v>87103.48</v>
      </c>
      <c r="N974" s="3">
        <v>67825.11</v>
      </c>
      <c r="O974" s="3">
        <v>19278.37</v>
      </c>
      <c r="P974" s="3" t="s">
        <v>26</v>
      </c>
    </row>
    <row r="975" spans="1:16" x14ac:dyDescent="0.35">
      <c r="A975" s="3" t="s">
        <v>2023</v>
      </c>
      <c r="B975" s="3" t="s">
        <v>1999</v>
      </c>
      <c r="C975" s="3" t="s">
        <v>114</v>
      </c>
      <c r="D975" s="3" t="s">
        <v>38</v>
      </c>
      <c r="E975" s="3" t="s">
        <v>104</v>
      </c>
      <c r="F975" s="3" t="s">
        <v>104</v>
      </c>
      <c r="G975" s="3" t="s">
        <v>51</v>
      </c>
      <c r="H975" s="3" t="s">
        <v>77</v>
      </c>
      <c r="I975" s="3" t="s">
        <v>703</v>
      </c>
      <c r="J975" s="3" t="s">
        <v>131</v>
      </c>
      <c r="K975" s="3">
        <v>4</v>
      </c>
      <c r="L975" s="3">
        <v>10837.66</v>
      </c>
      <c r="M975" s="3">
        <v>43350.64</v>
      </c>
      <c r="N975" s="3">
        <v>37140</v>
      </c>
      <c r="O975" s="3">
        <v>6210.64</v>
      </c>
      <c r="P975" s="3" t="s">
        <v>34</v>
      </c>
    </row>
    <row r="976" spans="1:16" x14ac:dyDescent="0.35">
      <c r="A976" s="3" t="s">
        <v>2024</v>
      </c>
      <c r="B976" s="3" t="s">
        <v>575</v>
      </c>
      <c r="C976" s="3" t="s">
        <v>137</v>
      </c>
      <c r="D976" s="3" t="s">
        <v>38</v>
      </c>
      <c r="E976" s="3" t="s">
        <v>109</v>
      </c>
      <c r="F976" s="3" t="s">
        <v>110</v>
      </c>
      <c r="G976" s="3" t="s">
        <v>30</v>
      </c>
      <c r="H976" s="3" t="s">
        <v>67</v>
      </c>
      <c r="I976" s="3" t="s">
        <v>2025</v>
      </c>
      <c r="J976" s="3" t="s">
        <v>171</v>
      </c>
      <c r="K976" s="3">
        <v>1</v>
      </c>
      <c r="L976" s="3">
        <v>8756.16</v>
      </c>
      <c r="M976" s="3">
        <v>8756.16</v>
      </c>
      <c r="N976" s="3">
        <v>7606.31</v>
      </c>
      <c r="O976" s="3">
        <v>1149.8499999999999</v>
      </c>
      <c r="P976" s="3" t="s">
        <v>69</v>
      </c>
    </row>
    <row r="977" spans="1:16" x14ac:dyDescent="0.35">
      <c r="A977" s="3" t="s">
        <v>2026</v>
      </c>
      <c r="B977" s="3" t="s">
        <v>770</v>
      </c>
      <c r="C977" s="3" t="s">
        <v>72</v>
      </c>
      <c r="D977" s="3" t="s">
        <v>19</v>
      </c>
      <c r="E977" s="3" t="s">
        <v>199</v>
      </c>
      <c r="F977" s="3" t="s">
        <v>200</v>
      </c>
      <c r="G977" s="3" t="s">
        <v>51</v>
      </c>
      <c r="H977" s="3" t="s">
        <v>77</v>
      </c>
      <c r="I977" s="3" t="s">
        <v>385</v>
      </c>
      <c r="J977" s="3" t="s">
        <v>106</v>
      </c>
      <c r="K977" s="3">
        <v>4</v>
      </c>
      <c r="L977" s="3">
        <v>11999.47</v>
      </c>
      <c r="M977" s="3">
        <v>47997.88</v>
      </c>
      <c r="N977" s="3">
        <v>35284.410000000003</v>
      </c>
      <c r="O977" s="3">
        <v>12713.47</v>
      </c>
      <c r="P977" s="3" t="s">
        <v>45</v>
      </c>
    </row>
    <row r="978" spans="1:16" x14ac:dyDescent="0.35">
      <c r="A978" s="3" t="s">
        <v>2027</v>
      </c>
      <c r="B978" s="3" t="s">
        <v>2028</v>
      </c>
      <c r="C978" s="3" t="s">
        <v>137</v>
      </c>
      <c r="D978" s="3" t="s">
        <v>38</v>
      </c>
      <c r="E978" s="3" t="s">
        <v>109</v>
      </c>
      <c r="F978" s="3" t="s">
        <v>110</v>
      </c>
      <c r="G978" s="3" t="s">
        <v>30</v>
      </c>
      <c r="H978" s="3" t="s">
        <v>67</v>
      </c>
      <c r="I978" s="3" t="s">
        <v>961</v>
      </c>
      <c r="J978" s="3" t="s">
        <v>147</v>
      </c>
      <c r="K978" s="3">
        <v>6</v>
      </c>
      <c r="L978" s="3">
        <v>8592.93</v>
      </c>
      <c r="M978" s="3">
        <v>51557.58</v>
      </c>
      <c r="N978" s="3">
        <v>46294.37</v>
      </c>
      <c r="O978" s="3">
        <v>5263.21</v>
      </c>
      <c r="P978" s="3" t="s">
        <v>69</v>
      </c>
    </row>
    <row r="979" spans="1:16" x14ac:dyDescent="0.35">
      <c r="A979" s="3" t="s">
        <v>2029</v>
      </c>
      <c r="B979" s="3" t="s">
        <v>1072</v>
      </c>
      <c r="C979" s="3" t="s">
        <v>18</v>
      </c>
      <c r="D979" s="3" t="s">
        <v>38</v>
      </c>
      <c r="E979" s="3" t="s">
        <v>104</v>
      </c>
      <c r="F979" s="3" t="s">
        <v>104</v>
      </c>
      <c r="G979" s="3" t="s">
        <v>41</v>
      </c>
      <c r="H979" s="3" t="s">
        <v>61</v>
      </c>
      <c r="I979" s="3" t="s">
        <v>340</v>
      </c>
      <c r="J979" s="3" t="s">
        <v>188</v>
      </c>
      <c r="K979" s="3">
        <v>2</v>
      </c>
      <c r="L979" s="3">
        <v>2513.06</v>
      </c>
      <c r="M979" s="3">
        <v>5026.12</v>
      </c>
      <c r="N979" s="3">
        <v>3330.72</v>
      </c>
      <c r="O979" s="3">
        <v>1695.4</v>
      </c>
      <c r="P979" s="3" t="s">
        <v>45</v>
      </c>
    </row>
    <row r="980" spans="1:16" x14ac:dyDescent="0.35">
      <c r="A980" s="3" t="s">
        <v>2030</v>
      </c>
      <c r="B980" s="3" t="s">
        <v>1895</v>
      </c>
      <c r="C980" s="3" t="s">
        <v>48</v>
      </c>
      <c r="D980" s="3" t="s">
        <v>19</v>
      </c>
      <c r="E980" s="3" t="s">
        <v>49</v>
      </c>
      <c r="F980" s="3" t="s">
        <v>50</v>
      </c>
      <c r="G980" s="3" t="s">
        <v>51</v>
      </c>
      <c r="H980" s="3" t="s">
        <v>77</v>
      </c>
      <c r="I980" s="3" t="s">
        <v>1859</v>
      </c>
      <c r="J980" s="3" t="s">
        <v>217</v>
      </c>
      <c r="K980" s="3">
        <v>6</v>
      </c>
      <c r="L980" s="3">
        <v>10963.52</v>
      </c>
      <c r="M980" s="3">
        <v>65781.119999999995</v>
      </c>
      <c r="N980" s="3">
        <v>55692.58</v>
      </c>
      <c r="O980" s="3">
        <v>10088.540000000001</v>
      </c>
      <c r="P980" s="3" t="s">
        <v>86</v>
      </c>
    </row>
    <row r="981" spans="1:16" x14ac:dyDescent="0.35">
      <c r="A981" s="3" t="s">
        <v>2031</v>
      </c>
      <c r="B981" s="3" t="s">
        <v>291</v>
      </c>
      <c r="C981" s="3" t="s">
        <v>48</v>
      </c>
      <c r="D981" s="3" t="s">
        <v>90</v>
      </c>
      <c r="E981" s="3" t="s">
        <v>119</v>
      </c>
      <c r="F981" s="3" t="s">
        <v>120</v>
      </c>
      <c r="G981" s="3" t="s">
        <v>41</v>
      </c>
      <c r="H981" s="3" t="s">
        <v>138</v>
      </c>
      <c r="I981" s="3" t="s">
        <v>741</v>
      </c>
      <c r="J981" s="3" t="s">
        <v>44</v>
      </c>
      <c r="K981" s="3">
        <v>6</v>
      </c>
      <c r="L981" s="3">
        <v>16441.23</v>
      </c>
      <c r="M981" s="3">
        <v>98647.38</v>
      </c>
      <c r="N981" s="3">
        <v>83001.77</v>
      </c>
      <c r="O981" s="3">
        <v>15645.61</v>
      </c>
      <c r="P981" s="3" t="s">
        <v>45</v>
      </c>
    </row>
    <row r="982" spans="1:16" x14ac:dyDescent="0.35">
      <c r="A982" s="3" t="s">
        <v>2032</v>
      </c>
      <c r="B982" s="3" t="s">
        <v>1113</v>
      </c>
      <c r="C982" s="3" t="s">
        <v>82</v>
      </c>
      <c r="D982" s="3" t="s">
        <v>19</v>
      </c>
      <c r="E982" s="3" t="s">
        <v>20</v>
      </c>
      <c r="F982" s="3" t="s">
        <v>21</v>
      </c>
      <c r="G982" s="3" t="s">
        <v>30</v>
      </c>
      <c r="H982" s="3" t="s">
        <v>67</v>
      </c>
      <c r="I982" s="3" t="s">
        <v>342</v>
      </c>
      <c r="J982" s="3" t="s">
        <v>188</v>
      </c>
      <c r="K982" s="3">
        <v>6</v>
      </c>
      <c r="L982" s="3">
        <v>9025.02</v>
      </c>
      <c r="M982" s="3">
        <v>54150.12</v>
      </c>
      <c r="N982" s="3">
        <v>46409.919999999998</v>
      </c>
      <c r="O982" s="3">
        <v>7740.2</v>
      </c>
      <c r="P982" s="3" t="s">
        <v>26</v>
      </c>
    </row>
    <row r="983" spans="1:16" x14ac:dyDescent="0.35">
      <c r="A983" s="3" t="s">
        <v>2033</v>
      </c>
      <c r="B983" s="3" t="s">
        <v>159</v>
      </c>
      <c r="C983" s="3" t="s">
        <v>118</v>
      </c>
      <c r="D983" s="3" t="s">
        <v>58</v>
      </c>
      <c r="E983" s="3" t="s">
        <v>65</v>
      </c>
      <c r="F983" s="3" t="s">
        <v>66</v>
      </c>
      <c r="G983" s="3" t="s">
        <v>30</v>
      </c>
      <c r="H983" s="3" t="s">
        <v>31</v>
      </c>
      <c r="I983" s="3" t="s">
        <v>1673</v>
      </c>
      <c r="J983" s="3" t="s">
        <v>54</v>
      </c>
      <c r="K983" s="3">
        <v>8</v>
      </c>
      <c r="L983" s="3">
        <v>2912.47</v>
      </c>
      <c r="M983" s="3">
        <v>23299.759999999998</v>
      </c>
      <c r="N983" s="3">
        <v>15901.23</v>
      </c>
      <c r="O983" s="3">
        <v>7398.53</v>
      </c>
      <c r="P983" s="3" t="s">
        <v>34</v>
      </c>
    </row>
    <row r="984" spans="1:16" x14ac:dyDescent="0.35">
      <c r="A984" s="3" t="s">
        <v>2034</v>
      </c>
      <c r="B984" s="3" t="s">
        <v>859</v>
      </c>
      <c r="C984" s="3" t="s">
        <v>48</v>
      </c>
      <c r="D984" s="3" t="s">
        <v>90</v>
      </c>
      <c r="E984" s="3" t="s">
        <v>119</v>
      </c>
      <c r="F984" s="3" t="s">
        <v>120</v>
      </c>
      <c r="G984" s="3" t="s">
        <v>51</v>
      </c>
      <c r="H984" s="3" t="s">
        <v>145</v>
      </c>
      <c r="I984" s="3" t="s">
        <v>614</v>
      </c>
      <c r="J984" s="3" t="s">
        <v>154</v>
      </c>
      <c r="K984" s="3">
        <v>4</v>
      </c>
      <c r="L984" s="3">
        <v>120.3</v>
      </c>
      <c r="M984" s="3">
        <v>481.2</v>
      </c>
      <c r="N984" s="3">
        <v>238.37</v>
      </c>
      <c r="O984" s="3">
        <v>242.83</v>
      </c>
      <c r="P984" s="3" t="s">
        <v>69</v>
      </c>
    </row>
    <row r="985" spans="1:16" x14ac:dyDescent="0.35">
      <c r="A985" s="3" t="s">
        <v>2035</v>
      </c>
      <c r="B985" s="3" t="s">
        <v>518</v>
      </c>
      <c r="C985" s="3" t="s">
        <v>89</v>
      </c>
      <c r="D985" s="3" t="s">
        <v>58</v>
      </c>
      <c r="E985" s="3" t="s">
        <v>59</v>
      </c>
      <c r="F985" s="3" t="s">
        <v>60</v>
      </c>
      <c r="G985" s="3" t="s">
        <v>30</v>
      </c>
      <c r="H985" s="3" t="s">
        <v>73</v>
      </c>
      <c r="I985" s="3" t="s">
        <v>2036</v>
      </c>
      <c r="J985" s="3" t="s">
        <v>25</v>
      </c>
      <c r="K985" s="3">
        <v>3</v>
      </c>
      <c r="L985" s="3">
        <v>3457.26</v>
      </c>
      <c r="M985" s="3">
        <v>10371.780000000001</v>
      </c>
      <c r="N985" s="3">
        <v>6877.44</v>
      </c>
      <c r="O985" s="3">
        <v>3494.34</v>
      </c>
      <c r="P985" s="3" t="s">
        <v>45</v>
      </c>
    </row>
    <row r="986" spans="1:16" x14ac:dyDescent="0.35">
      <c r="A986" s="3" t="s">
        <v>2037</v>
      </c>
      <c r="B986" s="3" t="s">
        <v>607</v>
      </c>
      <c r="C986" s="3" t="s">
        <v>114</v>
      </c>
      <c r="D986" s="3" t="s">
        <v>38</v>
      </c>
      <c r="E986" s="3" t="s">
        <v>39</v>
      </c>
      <c r="F986" s="3" t="s">
        <v>40</v>
      </c>
      <c r="G986" s="3" t="s">
        <v>30</v>
      </c>
      <c r="H986" s="3" t="s">
        <v>67</v>
      </c>
      <c r="I986" s="3" t="s">
        <v>2038</v>
      </c>
      <c r="J986" s="3" t="s">
        <v>161</v>
      </c>
      <c r="K986" s="3">
        <v>3</v>
      </c>
      <c r="L986" s="3">
        <v>8922.0300000000007</v>
      </c>
      <c r="M986" s="3">
        <v>26766.09</v>
      </c>
      <c r="N986" s="3">
        <v>22958.17</v>
      </c>
      <c r="O986" s="3">
        <v>3807.92</v>
      </c>
      <c r="P986" s="3" t="s">
        <v>26</v>
      </c>
    </row>
    <row r="987" spans="1:16" x14ac:dyDescent="0.35">
      <c r="A987" s="3" t="s">
        <v>2039</v>
      </c>
      <c r="B987" s="3" t="s">
        <v>604</v>
      </c>
      <c r="C987" s="3" t="s">
        <v>118</v>
      </c>
      <c r="D987" s="3" t="s">
        <v>19</v>
      </c>
      <c r="E987" s="3" t="s">
        <v>199</v>
      </c>
      <c r="F987" s="3" t="s">
        <v>200</v>
      </c>
      <c r="G987" s="3" t="s">
        <v>51</v>
      </c>
      <c r="H987" s="3" t="s">
        <v>77</v>
      </c>
      <c r="I987" s="3" t="s">
        <v>1358</v>
      </c>
      <c r="J987" s="3" t="s">
        <v>100</v>
      </c>
      <c r="K987" s="3">
        <v>1</v>
      </c>
      <c r="L987" s="3">
        <v>11786.22</v>
      </c>
      <c r="M987" s="3">
        <v>11786.22</v>
      </c>
      <c r="N987" s="3">
        <v>9321.26</v>
      </c>
      <c r="O987" s="3">
        <v>2464.96</v>
      </c>
      <c r="P987" s="3" t="s">
        <v>26</v>
      </c>
    </row>
    <row r="988" spans="1:16" x14ac:dyDescent="0.35">
      <c r="A988" s="3" t="s">
        <v>2040</v>
      </c>
      <c r="B988" s="3" t="s">
        <v>2041</v>
      </c>
      <c r="C988" s="3" t="s">
        <v>89</v>
      </c>
      <c r="D988" s="3" t="s">
        <v>38</v>
      </c>
      <c r="E988" s="3" t="s">
        <v>104</v>
      </c>
      <c r="F988" s="3" t="s">
        <v>104</v>
      </c>
      <c r="G988" s="3" t="s">
        <v>51</v>
      </c>
      <c r="H988" s="3" t="s">
        <v>77</v>
      </c>
      <c r="I988" s="3" t="s">
        <v>1640</v>
      </c>
      <c r="J988" s="3" t="s">
        <v>131</v>
      </c>
      <c r="K988" s="3">
        <v>6</v>
      </c>
      <c r="L988" s="3">
        <v>13115.79</v>
      </c>
      <c r="M988" s="3">
        <v>78694.740000000005</v>
      </c>
      <c r="N988" s="3">
        <v>56549.760000000002</v>
      </c>
      <c r="O988" s="3">
        <v>22144.98</v>
      </c>
      <c r="P988" s="3" t="s">
        <v>26</v>
      </c>
    </row>
    <row r="989" spans="1:16" x14ac:dyDescent="0.35">
      <c r="A989" s="3" t="s">
        <v>2042</v>
      </c>
      <c r="B989" s="3" t="s">
        <v>344</v>
      </c>
      <c r="C989" s="3" t="s">
        <v>48</v>
      </c>
      <c r="D989" s="3" t="s">
        <v>19</v>
      </c>
      <c r="E989" s="3" t="s">
        <v>199</v>
      </c>
      <c r="F989" s="3" t="s">
        <v>200</v>
      </c>
      <c r="G989" s="3" t="s">
        <v>41</v>
      </c>
      <c r="H989" s="3" t="s">
        <v>138</v>
      </c>
      <c r="I989" s="3" t="s">
        <v>2043</v>
      </c>
      <c r="J989" s="3" t="s">
        <v>54</v>
      </c>
      <c r="K989" s="3">
        <v>3</v>
      </c>
      <c r="L989" s="3">
        <v>19540.75</v>
      </c>
      <c r="M989" s="3">
        <v>58622.25</v>
      </c>
      <c r="N989" s="3">
        <v>40869.089999999997</v>
      </c>
      <c r="O989" s="3">
        <v>17753.16</v>
      </c>
      <c r="P989" s="3" t="s">
        <v>34</v>
      </c>
    </row>
    <row r="990" spans="1:16" x14ac:dyDescent="0.35">
      <c r="A990" s="3" t="s">
        <v>2044</v>
      </c>
      <c r="B990" s="3" t="s">
        <v>2028</v>
      </c>
      <c r="C990" s="3" t="s">
        <v>137</v>
      </c>
      <c r="D990" s="3" t="s">
        <v>90</v>
      </c>
      <c r="E990" s="3" t="s">
        <v>119</v>
      </c>
      <c r="F990" s="3" t="s">
        <v>120</v>
      </c>
      <c r="G990" s="3" t="s">
        <v>51</v>
      </c>
      <c r="H990" s="3" t="s">
        <v>77</v>
      </c>
      <c r="I990" s="3" t="s">
        <v>2045</v>
      </c>
      <c r="J990" s="3" t="s">
        <v>171</v>
      </c>
      <c r="K990" s="3">
        <v>2</v>
      </c>
      <c r="L990" s="3">
        <v>12823.39</v>
      </c>
      <c r="M990" s="3">
        <v>25646.78</v>
      </c>
      <c r="N990" s="3">
        <v>17158.66</v>
      </c>
      <c r="O990" s="3">
        <v>8488.1200000000008</v>
      </c>
      <c r="P990" s="3" t="s">
        <v>45</v>
      </c>
    </row>
    <row r="991" spans="1:16" x14ac:dyDescent="0.35">
      <c r="A991" s="3" t="s">
        <v>2046</v>
      </c>
      <c r="B991" s="3" t="s">
        <v>279</v>
      </c>
      <c r="C991" s="3" t="s">
        <v>37</v>
      </c>
      <c r="D991" s="3" t="s">
        <v>38</v>
      </c>
      <c r="E991" s="3" t="s">
        <v>104</v>
      </c>
      <c r="F991" s="3" t="s">
        <v>104</v>
      </c>
      <c r="G991" s="3" t="s">
        <v>30</v>
      </c>
      <c r="H991" s="3" t="s">
        <v>73</v>
      </c>
      <c r="I991" s="3" t="s">
        <v>204</v>
      </c>
      <c r="J991" s="3" t="s">
        <v>79</v>
      </c>
      <c r="K991" s="3">
        <v>1</v>
      </c>
      <c r="L991" s="3">
        <v>2923.27</v>
      </c>
      <c r="M991" s="3">
        <v>2923.27</v>
      </c>
      <c r="N991" s="3">
        <v>2290.79</v>
      </c>
      <c r="O991" s="3">
        <v>632.48</v>
      </c>
      <c r="P991" s="3" t="s">
        <v>26</v>
      </c>
    </row>
    <row r="992" spans="1:16" x14ac:dyDescent="0.35">
      <c r="A992" s="3" t="s">
        <v>2047</v>
      </c>
      <c r="B992" s="3" t="s">
        <v>156</v>
      </c>
      <c r="C992" s="3" t="s">
        <v>103</v>
      </c>
      <c r="D992" s="3" t="s">
        <v>19</v>
      </c>
      <c r="E992" s="3" t="s">
        <v>49</v>
      </c>
      <c r="F992" s="3" t="s">
        <v>50</v>
      </c>
      <c r="G992" s="3" t="s">
        <v>30</v>
      </c>
      <c r="H992" s="3" t="s">
        <v>67</v>
      </c>
      <c r="I992" s="3" t="s">
        <v>947</v>
      </c>
      <c r="J992" s="3" t="s">
        <v>131</v>
      </c>
      <c r="K992" s="3">
        <v>1</v>
      </c>
      <c r="L992" s="3">
        <v>8816.1</v>
      </c>
      <c r="M992" s="3">
        <v>8816.1</v>
      </c>
      <c r="N992" s="3">
        <v>7419.56</v>
      </c>
      <c r="O992" s="3">
        <v>1396.54</v>
      </c>
      <c r="P992" s="3" t="s">
        <v>69</v>
      </c>
    </row>
    <row r="993" spans="1:16" x14ac:dyDescent="0.35">
      <c r="A993" s="3" t="s">
        <v>2048</v>
      </c>
      <c r="B993" s="3" t="s">
        <v>840</v>
      </c>
      <c r="C993" s="3" t="s">
        <v>57</v>
      </c>
      <c r="D993" s="3" t="s">
        <v>90</v>
      </c>
      <c r="E993" s="3" t="s">
        <v>97</v>
      </c>
      <c r="F993" s="3" t="s">
        <v>98</v>
      </c>
      <c r="G993" s="3" t="s">
        <v>51</v>
      </c>
      <c r="H993" s="3" t="s">
        <v>145</v>
      </c>
      <c r="I993" s="3" t="s">
        <v>237</v>
      </c>
      <c r="J993" s="3" t="s">
        <v>161</v>
      </c>
      <c r="K993" s="3">
        <v>5</v>
      </c>
      <c r="L993" s="3">
        <v>129.30000000000001</v>
      </c>
      <c r="M993" s="3">
        <v>646.5</v>
      </c>
      <c r="N993" s="3">
        <v>299.61</v>
      </c>
      <c r="O993" s="3">
        <v>346.89</v>
      </c>
      <c r="P993" s="3" t="s">
        <v>86</v>
      </c>
    </row>
    <row r="994" spans="1:16" x14ac:dyDescent="0.35">
      <c r="A994" s="3" t="s">
        <v>2049</v>
      </c>
      <c r="B994" s="3" t="s">
        <v>1294</v>
      </c>
      <c r="C994" s="3" t="s">
        <v>118</v>
      </c>
      <c r="D994" s="3" t="s">
        <v>58</v>
      </c>
      <c r="E994" s="3" t="s">
        <v>176</v>
      </c>
      <c r="F994" s="3" t="s">
        <v>177</v>
      </c>
      <c r="G994" s="3" t="s">
        <v>41</v>
      </c>
      <c r="H994" s="3" t="s">
        <v>61</v>
      </c>
      <c r="I994" s="3" t="s">
        <v>997</v>
      </c>
      <c r="J994" s="3" t="s">
        <v>25</v>
      </c>
      <c r="K994" s="3">
        <v>2</v>
      </c>
      <c r="L994" s="3">
        <v>2587.69</v>
      </c>
      <c r="M994" s="3">
        <v>5175.38</v>
      </c>
      <c r="N994" s="3">
        <v>3165.06</v>
      </c>
      <c r="O994" s="3">
        <v>2010.32</v>
      </c>
      <c r="P994" s="3" t="s">
        <v>45</v>
      </c>
    </row>
    <row r="995" spans="1:16" x14ac:dyDescent="0.35">
      <c r="A995" s="3" t="s">
        <v>2050</v>
      </c>
      <c r="B995" s="3" t="s">
        <v>276</v>
      </c>
      <c r="C995" s="3" t="s">
        <v>114</v>
      </c>
      <c r="D995" s="3" t="s">
        <v>58</v>
      </c>
      <c r="E995" s="3" t="s">
        <v>65</v>
      </c>
      <c r="F995" s="3" t="s">
        <v>66</v>
      </c>
      <c r="G995" s="3" t="s">
        <v>51</v>
      </c>
      <c r="H995" s="3" t="s">
        <v>52</v>
      </c>
      <c r="I995" s="3" t="s">
        <v>1782</v>
      </c>
      <c r="J995" s="3" t="s">
        <v>79</v>
      </c>
      <c r="K995" s="3">
        <v>8</v>
      </c>
      <c r="L995" s="3">
        <v>27.3</v>
      </c>
      <c r="M995" s="3">
        <v>218.4</v>
      </c>
      <c r="N995" s="3">
        <v>82.23</v>
      </c>
      <c r="O995" s="3">
        <v>136.16999999999999</v>
      </c>
      <c r="P995" s="3" t="s">
        <v>69</v>
      </c>
    </row>
    <row r="996" spans="1:16" x14ac:dyDescent="0.35">
      <c r="A996" s="3" t="s">
        <v>2051</v>
      </c>
      <c r="B996" s="3" t="s">
        <v>960</v>
      </c>
      <c r="C996" s="3" t="s">
        <v>114</v>
      </c>
      <c r="D996" s="3" t="s">
        <v>38</v>
      </c>
      <c r="E996" s="3" t="s">
        <v>109</v>
      </c>
      <c r="F996" s="3" t="s">
        <v>110</v>
      </c>
      <c r="G996" s="3" t="s">
        <v>51</v>
      </c>
      <c r="H996" s="3" t="s">
        <v>52</v>
      </c>
      <c r="I996" s="3" t="s">
        <v>2052</v>
      </c>
      <c r="J996" s="3" t="s">
        <v>54</v>
      </c>
      <c r="K996" s="3">
        <v>4</v>
      </c>
      <c r="L996" s="3">
        <v>25.11</v>
      </c>
      <c r="M996" s="3">
        <v>100.44</v>
      </c>
      <c r="N996" s="3">
        <v>39.700000000000003</v>
      </c>
      <c r="O996" s="3">
        <v>60.74</v>
      </c>
      <c r="P996" s="3" t="s">
        <v>86</v>
      </c>
    </row>
    <row r="997" spans="1:16" x14ac:dyDescent="0.35">
      <c r="A997" s="3" t="s">
        <v>2053</v>
      </c>
      <c r="B997" s="3" t="s">
        <v>1113</v>
      </c>
      <c r="C997" s="3" t="s">
        <v>82</v>
      </c>
      <c r="D997" s="3" t="s">
        <v>38</v>
      </c>
      <c r="E997" s="3" t="s">
        <v>39</v>
      </c>
      <c r="F997" s="3" t="s">
        <v>40</v>
      </c>
      <c r="G997" s="3" t="s">
        <v>22</v>
      </c>
      <c r="H997" s="3" t="s">
        <v>83</v>
      </c>
      <c r="I997" s="3" t="s">
        <v>622</v>
      </c>
      <c r="J997" s="3" t="s">
        <v>217</v>
      </c>
      <c r="K997" s="3">
        <v>6</v>
      </c>
      <c r="L997" s="3">
        <v>19979.07</v>
      </c>
      <c r="M997" s="3">
        <v>119874.42</v>
      </c>
      <c r="N997" s="3">
        <v>97663.91</v>
      </c>
      <c r="O997" s="3">
        <v>22210.51</v>
      </c>
      <c r="P997" s="3" t="s">
        <v>45</v>
      </c>
    </row>
    <row r="998" spans="1:16" x14ac:dyDescent="0.35">
      <c r="A998" s="3" t="s">
        <v>2054</v>
      </c>
      <c r="B998" s="3" t="s">
        <v>398</v>
      </c>
      <c r="C998" s="3" t="s">
        <v>57</v>
      </c>
      <c r="D998" s="3" t="s">
        <v>90</v>
      </c>
      <c r="E998" s="3" t="s">
        <v>91</v>
      </c>
      <c r="F998" s="3" t="s">
        <v>92</v>
      </c>
      <c r="G998" s="3" t="s">
        <v>41</v>
      </c>
      <c r="H998" s="3" t="s">
        <v>138</v>
      </c>
      <c r="I998" s="3" t="s">
        <v>1040</v>
      </c>
      <c r="J998" s="3" t="s">
        <v>217</v>
      </c>
      <c r="K998" s="3">
        <v>4</v>
      </c>
      <c r="L998" s="3">
        <v>19010.57</v>
      </c>
      <c r="M998" s="3">
        <v>76042.28</v>
      </c>
      <c r="N998" s="3">
        <v>54143.85</v>
      </c>
      <c r="O998" s="3">
        <v>21898.43</v>
      </c>
      <c r="P998" s="3" t="s">
        <v>69</v>
      </c>
    </row>
    <row r="999" spans="1:16" x14ac:dyDescent="0.35">
      <c r="A999" s="3" t="s">
        <v>2055</v>
      </c>
      <c r="B999" s="3" t="s">
        <v>979</v>
      </c>
      <c r="C999" s="3" t="s">
        <v>103</v>
      </c>
      <c r="D999" s="3" t="s">
        <v>19</v>
      </c>
      <c r="E999" s="3" t="s">
        <v>49</v>
      </c>
      <c r="F999" s="3" t="s">
        <v>50</v>
      </c>
      <c r="G999" s="3" t="s">
        <v>41</v>
      </c>
      <c r="H999" s="3" t="s">
        <v>42</v>
      </c>
      <c r="I999" s="3" t="s">
        <v>2056</v>
      </c>
      <c r="J999" s="3" t="s">
        <v>188</v>
      </c>
      <c r="K999" s="3">
        <v>5</v>
      </c>
      <c r="L999" s="3">
        <v>42829.35</v>
      </c>
      <c r="M999" s="3">
        <v>214146.75</v>
      </c>
      <c r="N999" s="3">
        <v>166399.45000000001</v>
      </c>
      <c r="O999" s="3">
        <v>47747.3</v>
      </c>
      <c r="P999" s="3" t="s">
        <v>45</v>
      </c>
    </row>
    <row r="1000" spans="1:16" x14ac:dyDescent="0.35">
      <c r="A1000" s="3" t="s">
        <v>2057</v>
      </c>
      <c r="B1000" s="3" t="s">
        <v>979</v>
      </c>
      <c r="C1000" s="3" t="s">
        <v>103</v>
      </c>
      <c r="D1000" s="3" t="s">
        <v>58</v>
      </c>
      <c r="E1000" s="3" t="s">
        <v>65</v>
      </c>
      <c r="F1000" s="3" t="s">
        <v>66</v>
      </c>
      <c r="G1000" s="3" t="s">
        <v>41</v>
      </c>
      <c r="H1000" s="3" t="s">
        <v>61</v>
      </c>
      <c r="I1000" s="3" t="s">
        <v>495</v>
      </c>
      <c r="J1000" s="3" t="s">
        <v>147</v>
      </c>
      <c r="K1000" s="3">
        <v>8</v>
      </c>
      <c r="L1000" s="3">
        <v>2706.25</v>
      </c>
      <c r="M1000" s="3">
        <v>21650</v>
      </c>
      <c r="N1000" s="3">
        <v>13366.37</v>
      </c>
      <c r="O1000" s="3">
        <v>8283.6299999999992</v>
      </c>
      <c r="P1000" s="3" t="s">
        <v>26</v>
      </c>
    </row>
    <row r="1001" spans="1:16" x14ac:dyDescent="0.35">
      <c r="A1001" s="3" t="s">
        <v>2058</v>
      </c>
      <c r="B1001" s="3" t="s">
        <v>349</v>
      </c>
      <c r="C1001" s="3" t="s">
        <v>72</v>
      </c>
      <c r="D1001" s="3" t="s">
        <v>19</v>
      </c>
      <c r="E1001" s="3" t="s">
        <v>49</v>
      </c>
      <c r="F1001" s="3" t="s">
        <v>50</v>
      </c>
      <c r="G1001" s="3" t="s">
        <v>51</v>
      </c>
      <c r="H1001" s="3" t="s">
        <v>145</v>
      </c>
      <c r="I1001" s="3" t="s">
        <v>2059</v>
      </c>
      <c r="J1001" s="3" t="s">
        <v>79</v>
      </c>
      <c r="K1001" s="3">
        <v>6</v>
      </c>
      <c r="L1001" s="3">
        <v>123.85</v>
      </c>
      <c r="M1001" s="3">
        <v>743.1</v>
      </c>
      <c r="N1001" s="3">
        <v>344.54</v>
      </c>
      <c r="O1001" s="3">
        <v>398.56</v>
      </c>
      <c r="P1001" s="3" t="s">
        <v>26</v>
      </c>
    </row>
    <row r="1002" spans="1:16" x14ac:dyDescent="0.35">
      <c r="A1002" s="3" t="s">
        <v>2060</v>
      </c>
      <c r="B1002" s="3" t="s">
        <v>294</v>
      </c>
      <c r="C1002" s="3" t="s">
        <v>103</v>
      </c>
      <c r="D1002" s="3" t="s">
        <v>38</v>
      </c>
      <c r="E1002" s="3" t="s">
        <v>104</v>
      </c>
      <c r="F1002" s="3" t="s">
        <v>104</v>
      </c>
      <c r="G1002" s="3" t="s">
        <v>22</v>
      </c>
      <c r="H1002" s="3" t="s">
        <v>93</v>
      </c>
      <c r="I1002" s="3" t="s">
        <v>2061</v>
      </c>
      <c r="J1002" s="3" t="s">
        <v>171</v>
      </c>
      <c r="K1002" s="3">
        <v>3</v>
      </c>
      <c r="L1002" s="3">
        <v>6902.86</v>
      </c>
      <c r="M1002" s="3">
        <v>20708.580000000002</v>
      </c>
      <c r="N1002" s="3">
        <v>14934.47</v>
      </c>
      <c r="O1002" s="3">
        <v>5774.11</v>
      </c>
      <c r="P1002" s="3" t="s">
        <v>45</v>
      </c>
    </row>
    <row r="1003" spans="1:16" x14ac:dyDescent="0.35">
      <c r="A1003" s="3" t="s">
        <v>2062</v>
      </c>
      <c r="B1003" s="3" t="s">
        <v>819</v>
      </c>
      <c r="C1003" s="3" t="s">
        <v>89</v>
      </c>
      <c r="D1003" s="3" t="s">
        <v>38</v>
      </c>
      <c r="E1003" s="3" t="s">
        <v>39</v>
      </c>
      <c r="F1003" s="3" t="s">
        <v>40</v>
      </c>
      <c r="G1003" s="3" t="s">
        <v>30</v>
      </c>
      <c r="H1003" s="3" t="s">
        <v>67</v>
      </c>
      <c r="I1003" s="3" t="s">
        <v>2063</v>
      </c>
      <c r="J1003" s="3" t="s">
        <v>106</v>
      </c>
      <c r="K1003" s="3">
        <v>6</v>
      </c>
      <c r="L1003" s="3">
        <v>9952.5300000000007</v>
      </c>
      <c r="M1003" s="3">
        <v>59715.18</v>
      </c>
      <c r="N1003" s="3">
        <v>45272.08</v>
      </c>
      <c r="O1003" s="3">
        <v>14443.1</v>
      </c>
      <c r="P1003" s="3" t="s">
        <v>86</v>
      </c>
    </row>
    <row r="1004" spans="1:16" x14ac:dyDescent="0.35">
      <c r="A1004" s="3" t="s">
        <v>2064</v>
      </c>
      <c r="B1004" s="3" t="s">
        <v>186</v>
      </c>
      <c r="C1004" s="3" t="s">
        <v>89</v>
      </c>
      <c r="D1004" s="3" t="s">
        <v>19</v>
      </c>
      <c r="E1004" s="3" t="s">
        <v>20</v>
      </c>
      <c r="F1004" s="3" t="s">
        <v>21</v>
      </c>
      <c r="G1004" s="3" t="s">
        <v>30</v>
      </c>
      <c r="H1004" s="3" t="s">
        <v>73</v>
      </c>
      <c r="I1004" s="3" t="s">
        <v>2065</v>
      </c>
      <c r="J1004" s="3" t="s">
        <v>217</v>
      </c>
      <c r="K1004" s="3">
        <v>7</v>
      </c>
      <c r="L1004" s="3">
        <v>3317.06</v>
      </c>
      <c r="M1004" s="3">
        <v>23219.42</v>
      </c>
      <c r="N1004" s="3">
        <v>17621.060000000001</v>
      </c>
      <c r="O1004" s="3">
        <v>5598.36</v>
      </c>
      <c r="P1004" s="3" t="s">
        <v>45</v>
      </c>
    </row>
    <row r="1005" spans="1:16" x14ac:dyDescent="0.35">
      <c r="A1005" s="3" t="s">
        <v>2066</v>
      </c>
      <c r="B1005" s="3" t="s">
        <v>618</v>
      </c>
      <c r="C1005" s="3" t="s">
        <v>72</v>
      </c>
      <c r="D1005" s="3" t="s">
        <v>58</v>
      </c>
      <c r="E1005" s="3" t="s">
        <v>65</v>
      </c>
      <c r="F1005" s="3" t="s">
        <v>66</v>
      </c>
      <c r="G1005" s="3" t="s">
        <v>30</v>
      </c>
      <c r="H1005" s="3" t="s">
        <v>67</v>
      </c>
      <c r="I1005" s="3" t="s">
        <v>1200</v>
      </c>
      <c r="J1005" s="3" t="s">
        <v>154</v>
      </c>
      <c r="K1005" s="3">
        <v>5</v>
      </c>
      <c r="L1005" s="3">
        <v>10383.93</v>
      </c>
      <c r="M1005" s="3">
        <v>51919.65</v>
      </c>
      <c r="N1005" s="3">
        <v>39318.67</v>
      </c>
      <c r="O1005" s="3">
        <v>12600.98</v>
      </c>
      <c r="P1005" s="3" t="s">
        <v>26</v>
      </c>
    </row>
    <row r="1006" spans="1:16" x14ac:dyDescent="0.35">
      <c r="A1006" s="3" t="s">
        <v>2067</v>
      </c>
      <c r="B1006" s="3" t="s">
        <v>555</v>
      </c>
      <c r="C1006" s="3" t="s">
        <v>137</v>
      </c>
      <c r="D1006" s="3" t="s">
        <v>58</v>
      </c>
      <c r="E1006" s="3" t="s">
        <v>59</v>
      </c>
      <c r="F1006" s="3" t="s">
        <v>60</v>
      </c>
      <c r="G1006" s="3" t="s">
        <v>51</v>
      </c>
      <c r="H1006" s="3" t="s">
        <v>52</v>
      </c>
      <c r="I1006" s="3" t="s">
        <v>2068</v>
      </c>
      <c r="J1006" s="3" t="s">
        <v>188</v>
      </c>
      <c r="K1006" s="3">
        <v>3</v>
      </c>
      <c r="L1006" s="3">
        <v>23.37</v>
      </c>
      <c r="M1006" s="3">
        <v>70.11</v>
      </c>
      <c r="N1006" s="3">
        <v>29.15</v>
      </c>
      <c r="O1006" s="3">
        <v>40.96</v>
      </c>
      <c r="P1006" s="3" t="s">
        <v>86</v>
      </c>
    </row>
    <row r="1007" spans="1:16" x14ac:dyDescent="0.35">
      <c r="A1007" s="3" t="s">
        <v>2069</v>
      </c>
      <c r="B1007" s="3" t="s">
        <v>927</v>
      </c>
      <c r="C1007" s="3" t="s">
        <v>57</v>
      </c>
      <c r="D1007" s="3" t="s">
        <v>19</v>
      </c>
      <c r="E1007" s="3" t="s">
        <v>49</v>
      </c>
      <c r="F1007" s="3" t="s">
        <v>50</v>
      </c>
      <c r="G1007" s="3" t="s">
        <v>51</v>
      </c>
      <c r="H1007" s="3" t="s">
        <v>145</v>
      </c>
      <c r="I1007" s="3" t="s">
        <v>2070</v>
      </c>
      <c r="J1007" s="3" t="s">
        <v>171</v>
      </c>
      <c r="K1007" s="3">
        <v>3</v>
      </c>
      <c r="L1007" s="3">
        <v>116.68</v>
      </c>
      <c r="M1007" s="3">
        <v>350.04</v>
      </c>
      <c r="N1007" s="3">
        <v>175.83</v>
      </c>
      <c r="O1007" s="3">
        <v>174.21</v>
      </c>
      <c r="P1007" s="3" t="s">
        <v>69</v>
      </c>
    </row>
    <row r="1008" spans="1:16" x14ac:dyDescent="0.35">
      <c r="A1008" s="3" t="s">
        <v>2071</v>
      </c>
      <c r="B1008" s="3" t="s">
        <v>458</v>
      </c>
      <c r="C1008" s="3" t="s">
        <v>18</v>
      </c>
      <c r="D1008" s="3" t="s">
        <v>19</v>
      </c>
      <c r="E1008" s="3" t="s">
        <v>49</v>
      </c>
      <c r="F1008" s="3" t="s">
        <v>50</v>
      </c>
      <c r="G1008" s="3" t="s">
        <v>51</v>
      </c>
      <c r="H1008" s="3" t="s">
        <v>52</v>
      </c>
      <c r="I1008" s="3" t="s">
        <v>1537</v>
      </c>
      <c r="J1008" s="3" t="s">
        <v>85</v>
      </c>
      <c r="K1008" s="3">
        <v>6</v>
      </c>
      <c r="L1008" s="3">
        <v>24.88</v>
      </c>
      <c r="M1008" s="3">
        <v>149.28</v>
      </c>
      <c r="N1008" s="3">
        <v>62.99</v>
      </c>
      <c r="O1008" s="3">
        <v>86.29</v>
      </c>
      <c r="P1008" s="3" t="s">
        <v>34</v>
      </c>
    </row>
    <row r="1009" spans="1:16" x14ac:dyDescent="0.35">
      <c r="A1009" s="3" t="s">
        <v>2072</v>
      </c>
      <c r="B1009" s="3" t="s">
        <v>307</v>
      </c>
      <c r="C1009" s="3" t="s">
        <v>103</v>
      </c>
      <c r="D1009" s="3" t="s">
        <v>38</v>
      </c>
      <c r="E1009" s="3" t="s">
        <v>109</v>
      </c>
      <c r="F1009" s="3" t="s">
        <v>110</v>
      </c>
      <c r="G1009" s="3" t="s">
        <v>22</v>
      </c>
      <c r="H1009" s="3" t="s">
        <v>23</v>
      </c>
      <c r="I1009" s="3" t="s">
        <v>845</v>
      </c>
      <c r="J1009" s="3" t="s">
        <v>33</v>
      </c>
      <c r="K1009" s="3">
        <v>8</v>
      </c>
      <c r="L1009" s="3">
        <v>3301.77</v>
      </c>
      <c r="M1009" s="3">
        <v>26414.16</v>
      </c>
      <c r="N1009" s="3">
        <v>17466.09</v>
      </c>
      <c r="O1009" s="3">
        <v>8948.07</v>
      </c>
      <c r="P1009" s="3" t="s">
        <v>34</v>
      </c>
    </row>
    <row r="1010" spans="1:16" x14ac:dyDescent="0.35">
      <c r="A1010" s="3" t="s">
        <v>2073</v>
      </c>
      <c r="B1010" s="3" t="s">
        <v>1997</v>
      </c>
      <c r="C1010" s="3" t="s">
        <v>114</v>
      </c>
      <c r="D1010" s="3" t="s">
        <v>90</v>
      </c>
      <c r="E1010" s="3" t="s">
        <v>91</v>
      </c>
      <c r="F1010" s="3" t="s">
        <v>92</v>
      </c>
      <c r="G1010" s="3" t="s">
        <v>30</v>
      </c>
      <c r="H1010" s="3" t="s">
        <v>73</v>
      </c>
      <c r="I1010" s="3" t="s">
        <v>2074</v>
      </c>
      <c r="J1010" s="3" t="s">
        <v>217</v>
      </c>
      <c r="K1010" s="3">
        <v>4</v>
      </c>
      <c r="L1010" s="3">
        <v>2997.88</v>
      </c>
      <c r="M1010" s="3">
        <v>11991.52</v>
      </c>
      <c r="N1010" s="3">
        <v>9958.68</v>
      </c>
      <c r="O1010" s="3">
        <v>2032.84</v>
      </c>
      <c r="P1010" s="3" t="s">
        <v>69</v>
      </c>
    </row>
    <row r="1011" spans="1:16" x14ac:dyDescent="0.35">
      <c r="A1011" s="3" t="s">
        <v>2075</v>
      </c>
      <c r="B1011" s="3" t="s">
        <v>1695</v>
      </c>
      <c r="C1011" s="3" t="s">
        <v>89</v>
      </c>
      <c r="D1011" s="3" t="s">
        <v>90</v>
      </c>
      <c r="E1011" s="3" t="s">
        <v>97</v>
      </c>
      <c r="F1011" s="3" t="s">
        <v>98</v>
      </c>
      <c r="G1011" s="3" t="s">
        <v>51</v>
      </c>
      <c r="H1011" s="3" t="s">
        <v>52</v>
      </c>
      <c r="I1011" s="3" t="s">
        <v>2076</v>
      </c>
      <c r="J1011" s="3" t="s">
        <v>171</v>
      </c>
      <c r="K1011" s="3">
        <v>8</v>
      </c>
      <c r="L1011" s="3">
        <v>26.75</v>
      </c>
      <c r="M1011" s="3">
        <v>214</v>
      </c>
      <c r="N1011" s="3">
        <v>80.739999999999995</v>
      </c>
      <c r="O1011" s="3">
        <v>133.26</v>
      </c>
      <c r="P1011" s="3" t="s">
        <v>86</v>
      </c>
    </row>
    <row r="1012" spans="1:16" x14ac:dyDescent="0.35">
      <c r="A1012" s="3" t="s">
        <v>2077</v>
      </c>
      <c r="B1012" s="3" t="s">
        <v>1098</v>
      </c>
      <c r="C1012" s="3" t="s">
        <v>57</v>
      </c>
      <c r="D1012" s="3" t="s">
        <v>38</v>
      </c>
      <c r="E1012" s="3" t="s">
        <v>109</v>
      </c>
      <c r="F1012" s="3" t="s">
        <v>110</v>
      </c>
      <c r="G1012" s="3" t="s">
        <v>51</v>
      </c>
      <c r="H1012" s="3" t="s">
        <v>145</v>
      </c>
      <c r="I1012" s="3" t="s">
        <v>2078</v>
      </c>
      <c r="J1012" s="3" t="s">
        <v>161</v>
      </c>
      <c r="K1012" s="3">
        <v>3</v>
      </c>
      <c r="L1012" s="3">
        <v>125.01</v>
      </c>
      <c r="M1012" s="3">
        <v>375.03</v>
      </c>
      <c r="N1012" s="3">
        <v>176.9</v>
      </c>
      <c r="O1012" s="3">
        <v>198.13</v>
      </c>
      <c r="P1012" s="3" t="s">
        <v>86</v>
      </c>
    </row>
    <row r="1013" spans="1:16" x14ac:dyDescent="0.35">
      <c r="A1013" s="3" t="s">
        <v>2079</v>
      </c>
      <c r="B1013" s="3" t="s">
        <v>1912</v>
      </c>
      <c r="C1013" s="3" t="s">
        <v>137</v>
      </c>
      <c r="D1013" s="3" t="s">
        <v>58</v>
      </c>
      <c r="E1013" s="3" t="s">
        <v>65</v>
      </c>
      <c r="F1013" s="3" t="s">
        <v>66</v>
      </c>
      <c r="G1013" s="3" t="s">
        <v>41</v>
      </c>
      <c r="H1013" s="3" t="s">
        <v>42</v>
      </c>
      <c r="I1013" s="3" t="s">
        <v>249</v>
      </c>
      <c r="J1013" s="3" t="s">
        <v>100</v>
      </c>
      <c r="K1013" s="3">
        <v>1</v>
      </c>
      <c r="L1013" s="3">
        <v>40714.720000000001</v>
      </c>
      <c r="M1013" s="3">
        <v>40714.720000000001</v>
      </c>
      <c r="N1013" s="3">
        <v>35082.28</v>
      </c>
      <c r="O1013" s="3">
        <v>5632.44</v>
      </c>
      <c r="P1013" s="3" t="s">
        <v>69</v>
      </c>
    </row>
    <row r="1014" spans="1:16" x14ac:dyDescent="0.35">
      <c r="A1014" s="3" t="s">
        <v>2080</v>
      </c>
      <c r="B1014" s="3" t="s">
        <v>960</v>
      </c>
      <c r="C1014" s="3" t="s">
        <v>114</v>
      </c>
      <c r="D1014" s="3" t="s">
        <v>19</v>
      </c>
      <c r="E1014" s="3" t="s">
        <v>20</v>
      </c>
      <c r="F1014" s="3" t="s">
        <v>21</v>
      </c>
      <c r="G1014" s="3" t="s">
        <v>51</v>
      </c>
      <c r="H1014" s="3" t="s">
        <v>145</v>
      </c>
      <c r="I1014" s="3" t="s">
        <v>1700</v>
      </c>
      <c r="J1014" s="3" t="s">
        <v>217</v>
      </c>
      <c r="K1014" s="3">
        <v>5</v>
      </c>
      <c r="L1014" s="3">
        <v>124.85</v>
      </c>
      <c r="M1014" s="3">
        <v>624.25</v>
      </c>
      <c r="N1014" s="3">
        <v>308.12</v>
      </c>
      <c r="O1014" s="3">
        <v>316.13</v>
      </c>
      <c r="P1014" s="3" t="s">
        <v>86</v>
      </c>
    </row>
    <row r="1015" spans="1:16" x14ac:dyDescent="0.35">
      <c r="A1015" s="3" t="s">
        <v>2081</v>
      </c>
      <c r="B1015" s="3" t="s">
        <v>782</v>
      </c>
      <c r="C1015" s="3" t="s">
        <v>114</v>
      </c>
      <c r="D1015" s="3" t="s">
        <v>90</v>
      </c>
      <c r="E1015" s="3" t="s">
        <v>91</v>
      </c>
      <c r="F1015" s="3" t="s">
        <v>92</v>
      </c>
      <c r="G1015" s="3" t="s">
        <v>30</v>
      </c>
      <c r="H1015" s="3" t="s">
        <v>31</v>
      </c>
      <c r="I1015" s="3" t="s">
        <v>1632</v>
      </c>
      <c r="J1015" s="3" t="s">
        <v>54</v>
      </c>
      <c r="K1015" s="3">
        <v>4</v>
      </c>
      <c r="L1015" s="3">
        <v>2734.14</v>
      </c>
      <c r="M1015" s="3">
        <v>10936.56</v>
      </c>
      <c r="N1015" s="3">
        <v>7370.11</v>
      </c>
      <c r="O1015" s="3">
        <v>3566.45</v>
      </c>
      <c r="P1015" s="3" t="s">
        <v>26</v>
      </c>
    </row>
    <row r="1016" spans="1:16" x14ac:dyDescent="0.35">
      <c r="A1016" s="3" t="s">
        <v>2082</v>
      </c>
      <c r="B1016" s="3" t="s">
        <v>994</v>
      </c>
      <c r="C1016" s="3" t="s">
        <v>29</v>
      </c>
      <c r="D1016" s="3" t="s">
        <v>58</v>
      </c>
      <c r="E1016" s="3" t="s">
        <v>176</v>
      </c>
      <c r="F1016" s="3" t="s">
        <v>177</v>
      </c>
      <c r="G1016" s="3" t="s">
        <v>30</v>
      </c>
      <c r="H1016" s="3" t="s">
        <v>67</v>
      </c>
      <c r="I1016" s="3" t="s">
        <v>2083</v>
      </c>
      <c r="J1016" s="3" t="s">
        <v>44</v>
      </c>
      <c r="K1016" s="3">
        <v>5</v>
      </c>
      <c r="L1016" s="3">
        <v>9333.0400000000009</v>
      </c>
      <c r="M1016" s="3">
        <v>46665.2</v>
      </c>
      <c r="N1016" s="3">
        <v>36809.1</v>
      </c>
      <c r="O1016" s="3">
        <v>9856.1</v>
      </c>
      <c r="P1016" s="3" t="s">
        <v>69</v>
      </c>
    </row>
    <row r="1017" spans="1:16" x14ac:dyDescent="0.35">
      <c r="A1017" s="3" t="s">
        <v>2084</v>
      </c>
      <c r="B1017" s="3" t="s">
        <v>330</v>
      </c>
      <c r="C1017" s="3" t="s">
        <v>18</v>
      </c>
      <c r="D1017" s="3" t="s">
        <v>38</v>
      </c>
      <c r="E1017" s="3" t="s">
        <v>104</v>
      </c>
      <c r="F1017" s="3" t="s">
        <v>104</v>
      </c>
      <c r="G1017" s="3" t="s">
        <v>51</v>
      </c>
      <c r="H1017" s="3" t="s">
        <v>77</v>
      </c>
      <c r="I1017" s="3" t="s">
        <v>337</v>
      </c>
      <c r="J1017" s="3" t="s">
        <v>131</v>
      </c>
      <c r="K1017" s="3">
        <v>6</v>
      </c>
      <c r="L1017" s="3">
        <v>11847.46</v>
      </c>
      <c r="M1017" s="3">
        <v>71084.759999999995</v>
      </c>
      <c r="N1017" s="3">
        <v>53364.66</v>
      </c>
      <c r="O1017" s="3">
        <v>17720.099999999999</v>
      </c>
      <c r="P1017" s="3" t="s">
        <v>26</v>
      </c>
    </row>
    <row r="1018" spans="1:16" x14ac:dyDescent="0.35">
      <c r="A1018" s="3" t="s">
        <v>2085</v>
      </c>
      <c r="B1018" s="3" t="s">
        <v>2086</v>
      </c>
      <c r="C1018" s="3" t="s">
        <v>72</v>
      </c>
      <c r="D1018" s="3" t="s">
        <v>58</v>
      </c>
      <c r="E1018" s="3" t="s">
        <v>176</v>
      </c>
      <c r="F1018" s="3" t="s">
        <v>177</v>
      </c>
      <c r="G1018" s="3" t="s">
        <v>41</v>
      </c>
      <c r="H1018" s="3" t="s">
        <v>61</v>
      </c>
      <c r="I1018" s="3" t="s">
        <v>790</v>
      </c>
      <c r="J1018" s="3" t="s">
        <v>100</v>
      </c>
      <c r="K1018" s="3">
        <v>4</v>
      </c>
      <c r="L1018" s="3">
        <v>2379.0100000000002</v>
      </c>
      <c r="M1018" s="3">
        <v>9516.0400000000009</v>
      </c>
      <c r="N1018" s="3">
        <v>6560.58</v>
      </c>
      <c r="O1018" s="3">
        <v>2955.46</v>
      </c>
      <c r="P1018" s="3" t="s">
        <v>69</v>
      </c>
    </row>
    <row r="1019" spans="1:16" x14ac:dyDescent="0.35">
      <c r="A1019" s="3" t="s">
        <v>2087</v>
      </c>
      <c r="B1019" s="3" t="s">
        <v>123</v>
      </c>
      <c r="C1019" s="3" t="s">
        <v>18</v>
      </c>
      <c r="D1019" s="3" t="s">
        <v>19</v>
      </c>
      <c r="E1019" s="3" t="s">
        <v>20</v>
      </c>
      <c r="F1019" s="3" t="s">
        <v>21</v>
      </c>
      <c r="G1019" s="3" t="s">
        <v>51</v>
      </c>
      <c r="H1019" s="3" t="s">
        <v>52</v>
      </c>
      <c r="I1019" s="3" t="s">
        <v>359</v>
      </c>
      <c r="J1019" s="3" t="s">
        <v>161</v>
      </c>
      <c r="K1019" s="3">
        <v>4</v>
      </c>
      <c r="L1019" s="3">
        <v>24.55</v>
      </c>
      <c r="M1019" s="3">
        <v>98.2</v>
      </c>
      <c r="N1019" s="3">
        <v>40.06</v>
      </c>
      <c r="O1019" s="3">
        <v>58.14</v>
      </c>
      <c r="P1019" s="3" t="s">
        <v>69</v>
      </c>
    </row>
    <row r="1020" spans="1:16" x14ac:dyDescent="0.35">
      <c r="A1020" s="3" t="s">
        <v>2088</v>
      </c>
      <c r="B1020" s="3" t="s">
        <v>2089</v>
      </c>
      <c r="C1020" s="3" t="s">
        <v>29</v>
      </c>
      <c r="D1020" s="3" t="s">
        <v>90</v>
      </c>
      <c r="E1020" s="3" t="s">
        <v>119</v>
      </c>
      <c r="F1020" s="3" t="s">
        <v>120</v>
      </c>
      <c r="G1020" s="3" t="s">
        <v>51</v>
      </c>
      <c r="H1020" s="3" t="s">
        <v>52</v>
      </c>
      <c r="I1020" s="3" t="s">
        <v>2090</v>
      </c>
      <c r="J1020" s="3" t="s">
        <v>147</v>
      </c>
      <c r="K1020" s="3">
        <v>7</v>
      </c>
      <c r="L1020" s="3">
        <v>24.91</v>
      </c>
      <c r="M1020" s="3">
        <v>174.37</v>
      </c>
      <c r="N1020" s="3">
        <v>69.97</v>
      </c>
      <c r="O1020" s="3">
        <v>104.4</v>
      </c>
      <c r="P1020" s="3" t="s">
        <v>86</v>
      </c>
    </row>
    <row r="1021" spans="1:16" x14ac:dyDescent="0.35">
      <c r="A1021" s="3" t="s">
        <v>2091</v>
      </c>
      <c r="B1021" s="3" t="s">
        <v>958</v>
      </c>
      <c r="C1021" s="3" t="s">
        <v>118</v>
      </c>
      <c r="D1021" s="3" t="s">
        <v>90</v>
      </c>
      <c r="E1021" s="3" t="s">
        <v>119</v>
      </c>
      <c r="F1021" s="3" t="s">
        <v>120</v>
      </c>
      <c r="G1021" s="3" t="s">
        <v>22</v>
      </c>
      <c r="H1021" s="3" t="s">
        <v>93</v>
      </c>
      <c r="I1021" s="3" t="s">
        <v>2092</v>
      </c>
      <c r="J1021" s="3" t="s">
        <v>79</v>
      </c>
      <c r="K1021" s="3">
        <v>5</v>
      </c>
      <c r="L1021" s="3">
        <v>7375.62</v>
      </c>
      <c r="M1021" s="3">
        <v>36878.1</v>
      </c>
      <c r="N1021" s="3">
        <v>24216.17</v>
      </c>
      <c r="O1021" s="3">
        <v>12661.93</v>
      </c>
      <c r="P1021" s="3" t="s">
        <v>86</v>
      </c>
    </row>
    <row r="1022" spans="1:16" x14ac:dyDescent="0.35">
      <c r="A1022" s="3" t="s">
        <v>2093</v>
      </c>
      <c r="B1022" s="3" t="s">
        <v>702</v>
      </c>
      <c r="C1022" s="3" t="s">
        <v>57</v>
      </c>
      <c r="D1022" s="3" t="s">
        <v>19</v>
      </c>
      <c r="E1022" s="3" t="s">
        <v>199</v>
      </c>
      <c r="F1022" s="3" t="s">
        <v>200</v>
      </c>
      <c r="G1022" s="3" t="s">
        <v>51</v>
      </c>
      <c r="H1022" s="3" t="s">
        <v>52</v>
      </c>
      <c r="I1022" s="3" t="s">
        <v>2094</v>
      </c>
      <c r="J1022" s="3" t="s">
        <v>25</v>
      </c>
      <c r="K1022" s="3">
        <v>6</v>
      </c>
      <c r="L1022" s="3">
        <v>25.25</v>
      </c>
      <c r="M1022" s="3">
        <v>151.5</v>
      </c>
      <c r="N1022" s="3">
        <v>61.62</v>
      </c>
      <c r="O1022" s="3">
        <v>89.88</v>
      </c>
      <c r="P1022" s="3" t="s">
        <v>26</v>
      </c>
    </row>
    <row r="1023" spans="1:16" x14ac:dyDescent="0.35">
      <c r="A1023" s="3" t="s">
        <v>2095</v>
      </c>
      <c r="B1023" s="3" t="s">
        <v>268</v>
      </c>
      <c r="C1023" s="3" t="s">
        <v>18</v>
      </c>
      <c r="D1023" s="3" t="s">
        <v>19</v>
      </c>
      <c r="E1023" s="3" t="s">
        <v>20</v>
      </c>
      <c r="F1023" s="3" t="s">
        <v>21</v>
      </c>
      <c r="G1023" s="3" t="s">
        <v>41</v>
      </c>
      <c r="H1023" s="3" t="s">
        <v>42</v>
      </c>
      <c r="I1023" s="3" t="s">
        <v>167</v>
      </c>
      <c r="J1023" s="3" t="s">
        <v>25</v>
      </c>
      <c r="K1023" s="3">
        <v>4</v>
      </c>
      <c r="L1023" s="3">
        <v>46805.64</v>
      </c>
      <c r="M1023" s="3">
        <v>187222.56</v>
      </c>
      <c r="N1023" s="3">
        <v>140510.59</v>
      </c>
      <c r="O1023" s="3">
        <v>46711.97</v>
      </c>
      <c r="P1023" s="3" t="s">
        <v>26</v>
      </c>
    </row>
    <row r="1024" spans="1:16" x14ac:dyDescent="0.35">
      <c r="A1024" s="3" t="s">
        <v>2096</v>
      </c>
      <c r="B1024" s="3" t="s">
        <v>1226</v>
      </c>
      <c r="C1024" s="3" t="s">
        <v>29</v>
      </c>
      <c r="D1024" s="3" t="s">
        <v>90</v>
      </c>
      <c r="E1024" s="3" t="s">
        <v>91</v>
      </c>
      <c r="F1024" s="3" t="s">
        <v>92</v>
      </c>
      <c r="G1024" s="3" t="s">
        <v>30</v>
      </c>
      <c r="H1024" s="3" t="s">
        <v>67</v>
      </c>
      <c r="I1024" s="3" t="s">
        <v>425</v>
      </c>
      <c r="J1024" s="3" t="s">
        <v>154</v>
      </c>
      <c r="K1024" s="3">
        <v>2</v>
      </c>
      <c r="L1024" s="3">
        <v>9223.3799999999992</v>
      </c>
      <c r="M1024" s="3">
        <v>18446.759999999998</v>
      </c>
      <c r="N1024" s="3">
        <v>15624.44</v>
      </c>
      <c r="O1024" s="3">
        <v>2822.32</v>
      </c>
      <c r="P1024" s="3" t="s">
        <v>86</v>
      </c>
    </row>
    <row r="1025" spans="1:16" x14ac:dyDescent="0.35">
      <c r="A1025" s="3" t="s">
        <v>2097</v>
      </c>
      <c r="B1025" s="3" t="s">
        <v>924</v>
      </c>
      <c r="C1025" s="3" t="s">
        <v>18</v>
      </c>
      <c r="D1025" s="3" t="s">
        <v>90</v>
      </c>
      <c r="E1025" s="3" t="s">
        <v>91</v>
      </c>
      <c r="F1025" s="3" t="s">
        <v>92</v>
      </c>
      <c r="G1025" s="3" t="s">
        <v>22</v>
      </c>
      <c r="H1025" s="3" t="s">
        <v>23</v>
      </c>
      <c r="I1025" s="3" t="s">
        <v>1047</v>
      </c>
      <c r="J1025" s="3" t="s">
        <v>25</v>
      </c>
      <c r="K1025" s="3">
        <v>1</v>
      </c>
      <c r="L1025" s="3">
        <v>3610.28</v>
      </c>
      <c r="M1025" s="3">
        <v>3610.28</v>
      </c>
      <c r="N1025" s="3">
        <v>2276.23</v>
      </c>
      <c r="O1025" s="3">
        <v>1334.05</v>
      </c>
      <c r="P1025" s="3" t="s">
        <v>34</v>
      </c>
    </row>
    <row r="1026" spans="1:16" x14ac:dyDescent="0.35">
      <c r="A1026" s="3" t="s">
        <v>2098</v>
      </c>
      <c r="B1026" s="3" t="s">
        <v>1766</v>
      </c>
      <c r="C1026" s="3" t="s">
        <v>48</v>
      </c>
      <c r="D1026" s="3" t="s">
        <v>38</v>
      </c>
      <c r="E1026" s="3" t="s">
        <v>39</v>
      </c>
      <c r="F1026" s="3" t="s">
        <v>40</v>
      </c>
      <c r="G1026" s="3" t="s">
        <v>41</v>
      </c>
      <c r="H1026" s="3" t="s">
        <v>138</v>
      </c>
      <c r="I1026" s="3" t="s">
        <v>1397</v>
      </c>
      <c r="J1026" s="3" t="s">
        <v>100</v>
      </c>
      <c r="K1026" s="3">
        <v>8</v>
      </c>
      <c r="L1026" s="3">
        <v>17532.66</v>
      </c>
      <c r="M1026" s="3">
        <v>140261.28</v>
      </c>
      <c r="N1026" s="3">
        <v>112512.82</v>
      </c>
      <c r="O1026" s="3">
        <v>27748.46</v>
      </c>
      <c r="P1026" s="3" t="s">
        <v>69</v>
      </c>
    </row>
    <row r="1027" spans="1:16" x14ac:dyDescent="0.35">
      <c r="A1027" s="3" t="s">
        <v>2099</v>
      </c>
      <c r="B1027" s="3" t="s">
        <v>2028</v>
      </c>
      <c r="C1027" s="3" t="s">
        <v>137</v>
      </c>
      <c r="D1027" s="3" t="s">
        <v>58</v>
      </c>
      <c r="E1027" s="3" t="s">
        <v>65</v>
      </c>
      <c r="F1027" s="3" t="s">
        <v>66</v>
      </c>
      <c r="G1027" s="3" t="s">
        <v>51</v>
      </c>
      <c r="H1027" s="3" t="s">
        <v>77</v>
      </c>
      <c r="I1027" s="3" t="s">
        <v>2100</v>
      </c>
      <c r="J1027" s="3" t="s">
        <v>33</v>
      </c>
      <c r="K1027" s="3">
        <v>2</v>
      </c>
      <c r="L1027" s="3">
        <v>10807.34</v>
      </c>
      <c r="M1027" s="3">
        <v>21614.68</v>
      </c>
      <c r="N1027" s="3">
        <v>17443.8</v>
      </c>
      <c r="O1027" s="3">
        <v>4170.88</v>
      </c>
      <c r="P1027" s="3" t="s">
        <v>34</v>
      </c>
    </row>
    <row r="1028" spans="1:16" x14ac:dyDescent="0.35">
      <c r="A1028" s="3" t="s">
        <v>2101</v>
      </c>
      <c r="B1028" s="3" t="s">
        <v>717</v>
      </c>
      <c r="C1028" s="3" t="s">
        <v>114</v>
      </c>
      <c r="D1028" s="3" t="s">
        <v>38</v>
      </c>
      <c r="E1028" s="3" t="s">
        <v>39</v>
      </c>
      <c r="F1028" s="3" t="s">
        <v>40</v>
      </c>
      <c r="G1028" s="3" t="s">
        <v>22</v>
      </c>
      <c r="H1028" s="3" t="s">
        <v>83</v>
      </c>
      <c r="I1028" s="3" t="s">
        <v>1931</v>
      </c>
      <c r="J1028" s="3" t="s">
        <v>154</v>
      </c>
      <c r="K1028" s="3">
        <v>3</v>
      </c>
      <c r="L1028" s="3">
        <v>21945.72</v>
      </c>
      <c r="M1028" s="3">
        <v>65837.16</v>
      </c>
      <c r="N1028" s="3">
        <v>52276.6</v>
      </c>
      <c r="O1028" s="3">
        <v>13560.56</v>
      </c>
      <c r="P1028" s="3" t="s">
        <v>86</v>
      </c>
    </row>
    <row r="1029" spans="1:16" x14ac:dyDescent="0.35">
      <c r="A1029" s="3" t="s">
        <v>2102</v>
      </c>
      <c r="B1029" s="3" t="s">
        <v>880</v>
      </c>
      <c r="C1029" s="3" t="s">
        <v>114</v>
      </c>
      <c r="D1029" s="3" t="s">
        <v>38</v>
      </c>
      <c r="E1029" s="3" t="s">
        <v>39</v>
      </c>
      <c r="F1029" s="3" t="s">
        <v>40</v>
      </c>
      <c r="G1029" s="3" t="s">
        <v>22</v>
      </c>
      <c r="H1029" s="3" t="s">
        <v>23</v>
      </c>
      <c r="I1029" s="3" t="s">
        <v>2103</v>
      </c>
      <c r="J1029" s="3" t="s">
        <v>25</v>
      </c>
      <c r="K1029" s="3">
        <v>4</v>
      </c>
      <c r="L1029" s="3">
        <v>3411.06</v>
      </c>
      <c r="M1029" s="3">
        <v>13644.24</v>
      </c>
      <c r="N1029" s="3">
        <v>9007.31</v>
      </c>
      <c r="O1029" s="3">
        <v>4636.93</v>
      </c>
      <c r="P1029" s="3" t="s">
        <v>26</v>
      </c>
    </row>
    <row r="1030" spans="1:16" x14ac:dyDescent="0.35">
      <c r="A1030" s="3" t="s">
        <v>2104</v>
      </c>
      <c r="B1030" s="3" t="s">
        <v>417</v>
      </c>
      <c r="C1030" s="3" t="s">
        <v>37</v>
      </c>
      <c r="D1030" s="3" t="s">
        <v>90</v>
      </c>
      <c r="E1030" s="3" t="s">
        <v>119</v>
      </c>
      <c r="F1030" s="3" t="s">
        <v>120</v>
      </c>
      <c r="G1030" s="3" t="s">
        <v>41</v>
      </c>
      <c r="H1030" s="3" t="s">
        <v>61</v>
      </c>
      <c r="I1030" s="3" t="s">
        <v>1157</v>
      </c>
      <c r="J1030" s="3" t="s">
        <v>131</v>
      </c>
      <c r="K1030" s="3">
        <v>1</v>
      </c>
      <c r="L1030" s="3">
        <v>2435.71</v>
      </c>
      <c r="M1030" s="3">
        <v>2435.71</v>
      </c>
      <c r="N1030" s="3">
        <v>1582.12</v>
      </c>
      <c r="O1030" s="3">
        <v>853.59</v>
      </c>
      <c r="P1030" s="3" t="s">
        <v>26</v>
      </c>
    </row>
    <row r="1031" spans="1:16" x14ac:dyDescent="0.35">
      <c r="A1031" s="3" t="s">
        <v>2105</v>
      </c>
      <c r="B1031" s="3" t="s">
        <v>656</v>
      </c>
      <c r="C1031" s="3" t="s">
        <v>89</v>
      </c>
      <c r="D1031" s="3" t="s">
        <v>90</v>
      </c>
      <c r="E1031" s="3" t="s">
        <v>119</v>
      </c>
      <c r="F1031" s="3" t="s">
        <v>120</v>
      </c>
      <c r="G1031" s="3" t="s">
        <v>41</v>
      </c>
      <c r="H1031" s="3" t="s">
        <v>42</v>
      </c>
      <c r="I1031" s="3" t="s">
        <v>2106</v>
      </c>
      <c r="J1031" s="3" t="s">
        <v>147</v>
      </c>
      <c r="K1031" s="3">
        <v>4</v>
      </c>
      <c r="L1031" s="3">
        <v>46908.38</v>
      </c>
      <c r="M1031" s="3">
        <v>187633.52</v>
      </c>
      <c r="N1031" s="3">
        <v>143274.76999999999</v>
      </c>
      <c r="O1031" s="3">
        <v>44358.75</v>
      </c>
      <c r="P1031" s="3" t="s">
        <v>26</v>
      </c>
    </row>
    <row r="1032" spans="1:16" x14ac:dyDescent="0.35">
      <c r="A1032" s="3" t="s">
        <v>2107</v>
      </c>
      <c r="B1032" s="3" t="s">
        <v>136</v>
      </c>
      <c r="C1032" s="3" t="s">
        <v>137</v>
      </c>
      <c r="D1032" s="3" t="s">
        <v>90</v>
      </c>
      <c r="E1032" s="3" t="s">
        <v>119</v>
      </c>
      <c r="F1032" s="3" t="s">
        <v>120</v>
      </c>
      <c r="G1032" s="3" t="s">
        <v>22</v>
      </c>
      <c r="H1032" s="3" t="s">
        <v>23</v>
      </c>
      <c r="I1032" s="3" t="s">
        <v>2108</v>
      </c>
      <c r="J1032" s="3" t="s">
        <v>79</v>
      </c>
      <c r="K1032" s="3">
        <v>4</v>
      </c>
      <c r="L1032" s="3">
        <v>3527.75</v>
      </c>
      <c r="M1032" s="3">
        <v>14111</v>
      </c>
      <c r="N1032" s="3">
        <v>8933.0400000000009</v>
      </c>
      <c r="O1032" s="3">
        <v>5177.96</v>
      </c>
      <c r="P1032" s="3" t="s">
        <v>69</v>
      </c>
    </row>
    <row r="1033" spans="1:16" x14ac:dyDescent="0.35">
      <c r="A1033" s="3" t="s">
        <v>2109</v>
      </c>
      <c r="B1033" s="3" t="s">
        <v>1166</v>
      </c>
      <c r="C1033" s="3" t="s">
        <v>118</v>
      </c>
      <c r="D1033" s="3" t="s">
        <v>90</v>
      </c>
      <c r="E1033" s="3" t="s">
        <v>119</v>
      </c>
      <c r="F1033" s="3" t="s">
        <v>120</v>
      </c>
      <c r="G1033" s="3" t="s">
        <v>22</v>
      </c>
      <c r="H1033" s="3" t="s">
        <v>93</v>
      </c>
      <c r="I1033" s="3" t="s">
        <v>1143</v>
      </c>
      <c r="J1033" s="3" t="s">
        <v>161</v>
      </c>
      <c r="K1033" s="3">
        <v>1</v>
      </c>
      <c r="L1033" s="3">
        <v>7279.02</v>
      </c>
      <c r="M1033" s="3">
        <v>7279.02</v>
      </c>
      <c r="N1033" s="3">
        <v>5045.0600000000004</v>
      </c>
      <c r="O1033" s="3">
        <v>2233.96</v>
      </c>
      <c r="P1033" s="3" t="s">
        <v>86</v>
      </c>
    </row>
    <row r="1034" spans="1:16" x14ac:dyDescent="0.35">
      <c r="A1034" s="3" t="s">
        <v>2110</v>
      </c>
      <c r="B1034" s="3" t="s">
        <v>1113</v>
      </c>
      <c r="C1034" s="3" t="s">
        <v>82</v>
      </c>
      <c r="D1034" s="3" t="s">
        <v>19</v>
      </c>
      <c r="E1034" s="3" t="s">
        <v>20</v>
      </c>
      <c r="F1034" s="3" t="s">
        <v>21</v>
      </c>
      <c r="G1034" s="3" t="s">
        <v>41</v>
      </c>
      <c r="H1034" s="3" t="s">
        <v>42</v>
      </c>
      <c r="I1034" s="3" t="s">
        <v>1472</v>
      </c>
      <c r="J1034" s="3" t="s">
        <v>54</v>
      </c>
      <c r="K1034" s="3">
        <v>3</v>
      </c>
      <c r="L1034" s="3">
        <v>42782.51</v>
      </c>
      <c r="M1034" s="3">
        <v>128347.53</v>
      </c>
      <c r="N1034" s="3">
        <v>103956.47</v>
      </c>
      <c r="O1034" s="3">
        <v>24391.06</v>
      </c>
      <c r="P1034" s="3" t="s">
        <v>86</v>
      </c>
    </row>
    <row r="1035" spans="1:16" x14ac:dyDescent="0.35">
      <c r="A1035" s="3" t="s">
        <v>2111</v>
      </c>
      <c r="B1035" s="3" t="s">
        <v>1623</v>
      </c>
      <c r="C1035" s="3" t="s">
        <v>29</v>
      </c>
      <c r="D1035" s="3" t="s">
        <v>90</v>
      </c>
      <c r="E1035" s="3" t="s">
        <v>97</v>
      </c>
      <c r="F1035" s="3" t="s">
        <v>98</v>
      </c>
      <c r="G1035" s="3" t="s">
        <v>51</v>
      </c>
      <c r="H1035" s="3" t="s">
        <v>77</v>
      </c>
      <c r="I1035" s="3" t="s">
        <v>283</v>
      </c>
      <c r="J1035" s="3" t="s">
        <v>161</v>
      </c>
      <c r="K1035" s="3">
        <v>1</v>
      </c>
      <c r="L1035" s="3">
        <v>12087.69</v>
      </c>
      <c r="M1035" s="3">
        <v>12087.69</v>
      </c>
      <c r="N1035" s="3">
        <v>8873.52</v>
      </c>
      <c r="O1035" s="3">
        <v>3214.17</v>
      </c>
      <c r="P1035" s="3" t="s">
        <v>86</v>
      </c>
    </row>
    <row r="1036" spans="1:16" x14ac:dyDescent="0.35">
      <c r="A1036" s="3" t="s">
        <v>2112</v>
      </c>
      <c r="B1036" s="3" t="s">
        <v>254</v>
      </c>
      <c r="C1036" s="3" t="s">
        <v>82</v>
      </c>
      <c r="D1036" s="3" t="s">
        <v>38</v>
      </c>
      <c r="E1036" s="3" t="s">
        <v>39</v>
      </c>
      <c r="F1036" s="3" t="s">
        <v>40</v>
      </c>
      <c r="G1036" s="3" t="s">
        <v>22</v>
      </c>
      <c r="H1036" s="3" t="s">
        <v>83</v>
      </c>
      <c r="I1036" s="3" t="s">
        <v>2113</v>
      </c>
      <c r="J1036" s="3" t="s">
        <v>147</v>
      </c>
      <c r="K1036" s="3">
        <v>3</v>
      </c>
      <c r="L1036" s="3">
        <v>21674.81</v>
      </c>
      <c r="M1036" s="3">
        <v>65024.43</v>
      </c>
      <c r="N1036" s="3">
        <v>51499.54</v>
      </c>
      <c r="O1036" s="3">
        <v>13524.89</v>
      </c>
      <c r="P1036" s="3" t="s">
        <v>69</v>
      </c>
    </row>
    <row r="1037" spans="1:16" x14ac:dyDescent="0.35">
      <c r="A1037" s="3" t="s">
        <v>2114</v>
      </c>
      <c r="B1037" s="3" t="s">
        <v>364</v>
      </c>
      <c r="C1037" s="3" t="s">
        <v>137</v>
      </c>
      <c r="D1037" s="3" t="s">
        <v>19</v>
      </c>
      <c r="E1037" s="3" t="s">
        <v>20</v>
      </c>
      <c r="F1037" s="3" t="s">
        <v>21</v>
      </c>
      <c r="G1037" s="3" t="s">
        <v>22</v>
      </c>
      <c r="H1037" s="3" t="s">
        <v>23</v>
      </c>
      <c r="I1037" s="3" t="s">
        <v>2115</v>
      </c>
      <c r="J1037" s="3" t="s">
        <v>25</v>
      </c>
      <c r="K1037" s="3">
        <v>5</v>
      </c>
      <c r="L1037" s="3">
        <v>3816.06</v>
      </c>
      <c r="M1037" s="3">
        <v>19080.3</v>
      </c>
      <c r="N1037" s="3">
        <v>10599.76</v>
      </c>
      <c r="O1037" s="3">
        <v>8480.5400000000009</v>
      </c>
      <c r="P1037" s="3" t="s">
        <v>45</v>
      </c>
    </row>
    <row r="1038" spans="1:16" x14ac:dyDescent="0.35">
      <c r="A1038" s="3" t="s">
        <v>2116</v>
      </c>
      <c r="B1038" s="3" t="s">
        <v>2117</v>
      </c>
      <c r="C1038" s="3" t="s">
        <v>37</v>
      </c>
      <c r="D1038" s="3" t="s">
        <v>58</v>
      </c>
      <c r="E1038" s="3" t="s">
        <v>176</v>
      </c>
      <c r="F1038" s="3" t="s">
        <v>177</v>
      </c>
      <c r="G1038" s="3" t="s">
        <v>41</v>
      </c>
      <c r="H1038" s="3" t="s">
        <v>42</v>
      </c>
      <c r="I1038" s="3" t="s">
        <v>453</v>
      </c>
      <c r="J1038" s="3" t="s">
        <v>106</v>
      </c>
      <c r="K1038" s="3">
        <v>2</v>
      </c>
      <c r="L1038" s="3">
        <v>47674.58</v>
      </c>
      <c r="M1038" s="3">
        <v>95349.16</v>
      </c>
      <c r="N1038" s="3">
        <v>71103.45</v>
      </c>
      <c r="O1038" s="3">
        <v>24245.71</v>
      </c>
      <c r="P1038" s="3" t="s">
        <v>26</v>
      </c>
    </row>
    <row r="1039" spans="1:16" x14ac:dyDescent="0.35">
      <c r="A1039" s="3" t="s">
        <v>2118</v>
      </c>
      <c r="B1039" s="3" t="s">
        <v>1240</v>
      </c>
      <c r="C1039" s="3" t="s">
        <v>118</v>
      </c>
      <c r="D1039" s="3" t="s">
        <v>58</v>
      </c>
      <c r="E1039" s="3" t="s">
        <v>59</v>
      </c>
      <c r="F1039" s="3" t="s">
        <v>60</v>
      </c>
      <c r="G1039" s="3" t="s">
        <v>51</v>
      </c>
      <c r="H1039" s="3" t="s">
        <v>52</v>
      </c>
      <c r="I1039" s="3" t="s">
        <v>2119</v>
      </c>
      <c r="J1039" s="3" t="s">
        <v>100</v>
      </c>
      <c r="K1039" s="3">
        <v>1</v>
      </c>
      <c r="L1039" s="3">
        <v>24.26</v>
      </c>
      <c r="M1039" s="3">
        <v>24.26</v>
      </c>
      <c r="N1039" s="3">
        <v>10.27</v>
      </c>
      <c r="O1039" s="3">
        <v>13.99</v>
      </c>
      <c r="P1039" s="3" t="s">
        <v>34</v>
      </c>
    </row>
    <row r="1040" spans="1:16" x14ac:dyDescent="0.35">
      <c r="A1040" s="3" t="s">
        <v>2120</v>
      </c>
      <c r="B1040" s="3" t="s">
        <v>502</v>
      </c>
      <c r="C1040" s="3" t="s">
        <v>48</v>
      </c>
      <c r="D1040" s="3" t="s">
        <v>19</v>
      </c>
      <c r="E1040" s="3" t="s">
        <v>199</v>
      </c>
      <c r="F1040" s="3" t="s">
        <v>200</v>
      </c>
      <c r="G1040" s="3" t="s">
        <v>41</v>
      </c>
      <c r="H1040" s="3" t="s">
        <v>61</v>
      </c>
      <c r="I1040" s="3" t="s">
        <v>1508</v>
      </c>
      <c r="J1040" s="3" t="s">
        <v>154</v>
      </c>
      <c r="K1040" s="3">
        <v>5</v>
      </c>
      <c r="L1040" s="3">
        <v>2263.23</v>
      </c>
      <c r="M1040" s="3">
        <v>11316.15</v>
      </c>
      <c r="N1040" s="3">
        <v>7696.54</v>
      </c>
      <c r="O1040" s="3">
        <v>3619.61</v>
      </c>
      <c r="P1040" s="3" t="s">
        <v>34</v>
      </c>
    </row>
    <row r="1041" spans="1:16" x14ac:dyDescent="0.35">
      <c r="A1041" s="3" t="s">
        <v>2121</v>
      </c>
      <c r="B1041" s="3" t="s">
        <v>310</v>
      </c>
      <c r="C1041" s="3" t="s">
        <v>37</v>
      </c>
      <c r="D1041" s="3" t="s">
        <v>19</v>
      </c>
      <c r="E1041" s="3" t="s">
        <v>49</v>
      </c>
      <c r="F1041" s="3" t="s">
        <v>50</v>
      </c>
      <c r="G1041" s="3" t="s">
        <v>51</v>
      </c>
      <c r="H1041" s="3" t="s">
        <v>77</v>
      </c>
      <c r="I1041" s="3" t="s">
        <v>1127</v>
      </c>
      <c r="J1041" s="3" t="s">
        <v>79</v>
      </c>
      <c r="K1041" s="3">
        <v>2</v>
      </c>
      <c r="L1041" s="3">
        <v>12770.32</v>
      </c>
      <c r="M1041" s="3">
        <v>25540.639999999999</v>
      </c>
      <c r="N1041" s="3">
        <v>17331.57</v>
      </c>
      <c r="O1041" s="3">
        <v>8209.07</v>
      </c>
      <c r="P1041" s="3" t="s">
        <v>69</v>
      </c>
    </row>
    <row r="1042" spans="1:16" x14ac:dyDescent="0.35">
      <c r="A1042" s="3" t="s">
        <v>2122</v>
      </c>
      <c r="B1042" s="3" t="s">
        <v>239</v>
      </c>
      <c r="C1042" s="3" t="s">
        <v>72</v>
      </c>
      <c r="D1042" s="3" t="s">
        <v>90</v>
      </c>
      <c r="E1042" s="3" t="s">
        <v>91</v>
      </c>
      <c r="F1042" s="3" t="s">
        <v>92</v>
      </c>
      <c r="G1042" s="3" t="s">
        <v>41</v>
      </c>
      <c r="H1042" s="3" t="s">
        <v>61</v>
      </c>
      <c r="I1042" s="3" t="s">
        <v>657</v>
      </c>
      <c r="J1042" s="3" t="s">
        <v>85</v>
      </c>
      <c r="K1042" s="3">
        <v>8</v>
      </c>
      <c r="L1042" s="3">
        <v>2343.48</v>
      </c>
      <c r="M1042" s="3">
        <v>18747.84</v>
      </c>
      <c r="N1042" s="3">
        <v>12907.25</v>
      </c>
      <c r="O1042" s="3">
        <v>5840.59</v>
      </c>
      <c r="P1042" s="3" t="s">
        <v>26</v>
      </c>
    </row>
    <row r="1043" spans="1:16" x14ac:dyDescent="0.35">
      <c r="A1043" s="3" t="s">
        <v>2123</v>
      </c>
      <c r="B1043" s="3" t="s">
        <v>2086</v>
      </c>
      <c r="C1043" s="3" t="s">
        <v>72</v>
      </c>
      <c r="D1043" s="3" t="s">
        <v>58</v>
      </c>
      <c r="E1043" s="3" t="s">
        <v>65</v>
      </c>
      <c r="F1043" s="3" t="s">
        <v>66</v>
      </c>
      <c r="G1043" s="3" t="s">
        <v>51</v>
      </c>
      <c r="H1043" s="3" t="s">
        <v>145</v>
      </c>
      <c r="I1043" s="3" t="s">
        <v>925</v>
      </c>
      <c r="J1043" s="3" t="s">
        <v>188</v>
      </c>
      <c r="K1043" s="3">
        <v>7</v>
      </c>
      <c r="L1043" s="3">
        <v>121.07</v>
      </c>
      <c r="M1043" s="3">
        <v>847.49</v>
      </c>
      <c r="N1043" s="3">
        <v>410.46</v>
      </c>
      <c r="O1043" s="3">
        <v>437.03</v>
      </c>
      <c r="P1043" s="3" t="s">
        <v>69</v>
      </c>
    </row>
    <row r="1044" spans="1:16" x14ac:dyDescent="0.35">
      <c r="A1044" s="3" t="s">
        <v>2124</v>
      </c>
      <c r="B1044" s="3" t="s">
        <v>802</v>
      </c>
      <c r="C1044" s="3" t="s">
        <v>118</v>
      </c>
      <c r="D1044" s="3" t="s">
        <v>38</v>
      </c>
      <c r="E1044" s="3" t="s">
        <v>39</v>
      </c>
      <c r="F1044" s="3" t="s">
        <v>40</v>
      </c>
      <c r="G1044" s="3" t="s">
        <v>41</v>
      </c>
      <c r="H1044" s="3" t="s">
        <v>42</v>
      </c>
      <c r="I1044" s="3" t="s">
        <v>1506</v>
      </c>
      <c r="J1044" s="3" t="s">
        <v>54</v>
      </c>
      <c r="K1044" s="3">
        <v>1</v>
      </c>
      <c r="L1044" s="3">
        <v>47633.59</v>
      </c>
      <c r="M1044" s="3">
        <v>47633.59</v>
      </c>
      <c r="N1044" s="3">
        <v>34268.6</v>
      </c>
      <c r="O1044" s="3">
        <v>13364.99</v>
      </c>
      <c r="P1044" s="3" t="s">
        <v>34</v>
      </c>
    </row>
    <row r="1045" spans="1:16" x14ac:dyDescent="0.35">
      <c r="A1045" s="3" t="s">
        <v>2125</v>
      </c>
      <c r="B1045" s="3" t="s">
        <v>521</v>
      </c>
      <c r="C1045" s="3" t="s">
        <v>18</v>
      </c>
      <c r="D1045" s="3" t="s">
        <v>90</v>
      </c>
      <c r="E1045" s="3" t="s">
        <v>119</v>
      </c>
      <c r="F1045" s="3" t="s">
        <v>120</v>
      </c>
      <c r="G1045" s="3" t="s">
        <v>22</v>
      </c>
      <c r="H1045" s="3" t="s">
        <v>93</v>
      </c>
      <c r="I1045" s="3" t="s">
        <v>1432</v>
      </c>
      <c r="J1045" s="3" t="s">
        <v>188</v>
      </c>
      <c r="K1045" s="3">
        <v>3</v>
      </c>
      <c r="L1045" s="3">
        <v>7108.37</v>
      </c>
      <c r="M1045" s="3">
        <v>21325.11</v>
      </c>
      <c r="N1045" s="3">
        <v>15532.33</v>
      </c>
      <c r="O1045" s="3">
        <v>5792.78</v>
      </c>
      <c r="P1045" s="3" t="s">
        <v>34</v>
      </c>
    </row>
    <row r="1046" spans="1:16" x14ac:dyDescent="0.35">
      <c r="A1046" s="3" t="s">
        <v>2126</v>
      </c>
      <c r="B1046" s="3" t="s">
        <v>2127</v>
      </c>
      <c r="C1046" s="3" t="s">
        <v>48</v>
      </c>
      <c r="D1046" s="3" t="s">
        <v>38</v>
      </c>
      <c r="E1046" s="3" t="s">
        <v>109</v>
      </c>
      <c r="F1046" s="3" t="s">
        <v>110</v>
      </c>
      <c r="G1046" s="3" t="s">
        <v>41</v>
      </c>
      <c r="H1046" s="3" t="s">
        <v>42</v>
      </c>
      <c r="I1046" s="3" t="s">
        <v>2128</v>
      </c>
      <c r="J1046" s="3" t="s">
        <v>79</v>
      </c>
      <c r="K1046" s="3">
        <v>8</v>
      </c>
      <c r="L1046" s="3">
        <v>47845.22</v>
      </c>
      <c r="M1046" s="3">
        <v>382761.76</v>
      </c>
      <c r="N1046" s="3">
        <v>268005.42</v>
      </c>
      <c r="O1046" s="3">
        <v>114756.34</v>
      </c>
      <c r="P1046" s="3" t="s">
        <v>69</v>
      </c>
    </row>
    <row r="1047" spans="1:16" x14ac:dyDescent="0.35">
      <c r="A1047" s="3" t="s">
        <v>2129</v>
      </c>
      <c r="B1047" s="3" t="s">
        <v>1898</v>
      </c>
      <c r="C1047" s="3" t="s">
        <v>29</v>
      </c>
      <c r="D1047" s="3" t="s">
        <v>38</v>
      </c>
      <c r="E1047" s="3" t="s">
        <v>104</v>
      </c>
      <c r="F1047" s="3" t="s">
        <v>104</v>
      </c>
      <c r="G1047" s="3" t="s">
        <v>22</v>
      </c>
      <c r="H1047" s="3" t="s">
        <v>23</v>
      </c>
      <c r="I1047" s="3" t="s">
        <v>1655</v>
      </c>
      <c r="J1047" s="3" t="s">
        <v>171</v>
      </c>
      <c r="K1047" s="3">
        <v>7</v>
      </c>
      <c r="L1047" s="3">
        <v>3750.71</v>
      </c>
      <c r="M1047" s="3">
        <v>26254.97</v>
      </c>
      <c r="N1047" s="3">
        <v>15528.12</v>
      </c>
      <c r="O1047" s="3">
        <v>10726.85</v>
      </c>
      <c r="P1047" s="3" t="s">
        <v>86</v>
      </c>
    </row>
    <row r="1048" spans="1:16" x14ac:dyDescent="0.35">
      <c r="A1048" s="3" t="s">
        <v>2130</v>
      </c>
      <c r="B1048" s="3" t="s">
        <v>834</v>
      </c>
      <c r="C1048" s="3" t="s">
        <v>114</v>
      </c>
      <c r="D1048" s="3" t="s">
        <v>38</v>
      </c>
      <c r="E1048" s="3" t="s">
        <v>109</v>
      </c>
      <c r="F1048" s="3" t="s">
        <v>110</v>
      </c>
      <c r="G1048" s="3" t="s">
        <v>22</v>
      </c>
      <c r="H1048" s="3" t="s">
        <v>83</v>
      </c>
      <c r="I1048" s="3" t="s">
        <v>1354</v>
      </c>
      <c r="J1048" s="3" t="s">
        <v>131</v>
      </c>
      <c r="K1048" s="3">
        <v>3</v>
      </c>
      <c r="L1048" s="3">
        <v>21711.74</v>
      </c>
      <c r="M1048" s="3">
        <v>65135.22</v>
      </c>
      <c r="N1048" s="3">
        <v>51983.839999999997</v>
      </c>
      <c r="O1048" s="3">
        <v>13151.38</v>
      </c>
      <c r="P1048" s="3" t="s">
        <v>45</v>
      </c>
    </row>
    <row r="1049" spans="1:16" x14ac:dyDescent="0.35">
      <c r="A1049" s="3" t="s">
        <v>2131</v>
      </c>
      <c r="B1049" s="3" t="s">
        <v>1727</v>
      </c>
      <c r="C1049" s="3" t="s">
        <v>89</v>
      </c>
      <c r="D1049" s="3" t="s">
        <v>58</v>
      </c>
      <c r="E1049" s="3" t="s">
        <v>176</v>
      </c>
      <c r="F1049" s="3" t="s">
        <v>177</v>
      </c>
      <c r="G1049" s="3" t="s">
        <v>22</v>
      </c>
      <c r="H1049" s="3" t="s">
        <v>93</v>
      </c>
      <c r="I1049" s="3" t="s">
        <v>1222</v>
      </c>
      <c r="J1049" s="3" t="s">
        <v>44</v>
      </c>
      <c r="K1049" s="3">
        <v>6</v>
      </c>
      <c r="L1049" s="3">
        <v>7338.63</v>
      </c>
      <c r="M1049" s="3">
        <v>44031.78</v>
      </c>
      <c r="N1049" s="3">
        <v>30950.31</v>
      </c>
      <c r="O1049" s="3">
        <v>13081.47</v>
      </c>
      <c r="P1049" s="3" t="s">
        <v>86</v>
      </c>
    </row>
    <row r="1050" spans="1:16" x14ac:dyDescent="0.35">
      <c r="A1050" s="3" t="s">
        <v>2132</v>
      </c>
      <c r="B1050" s="3" t="s">
        <v>1348</v>
      </c>
      <c r="C1050" s="3" t="s">
        <v>57</v>
      </c>
      <c r="D1050" s="3" t="s">
        <v>19</v>
      </c>
      <c r="E1050" s="3" t="s">
        <v>49</v>
      </c>
      <c r="F1050" s="3" t="s">
        <v>50</v>
      </c>
      <c r="G1050" s="3" t="s">
        <v>51</v>
      </c>
      <c r="H1050" s="3" t="s">
        <v>145</v>
      </c>
      <c r="I1050" s="3" t="s">
        <v>550</v>
      </c>
      <c r="J1050" s="3" t="s">
        <v>147</v>
      </c>
      <c r="K1050" s="3">
        <v>3</v>
      </c>
      <c r="L1050" s="3">
        <v>130.86000000000001</v>
      </c>
      <c r="M1050" s="3">
        <v>392.58</v>
      </c>
      <c r="N1050" s="3">
        <v>179.39</v>
      </c>
      <c r="O1050" s="3">
        <v>213.19</v>
      </c>
      <c r="P1050" s="3" t="s">
        <v>45</v>
      </c>
    </row>
    <row r="1051" spans="1:16" x14ac:dyDescent="0.35">
      <c r="A1051" s="3" t="s">
        <v>2133</v>
      </c>
      <c r="B1051" s="3" t="s">
        <v>807</v>
      </c>
      <c r="C1051" s="3" t="s">
        <v>72</v>
      </c>
      <c r="D1051" s="3" t="s">
        <v>58</v>
      </c>
      <c r="E1051" s="3" t="s">
        <v>59</v>
      </c>
      <c r="F1051" s="3" t="s">
        <v>60</v>
      </c>
      <c r="G1051" s="3" t="s">
        <v>41</v>
      </c>
      <c r="H1051" s="3" t="s">
        <v>138</v>
      </c>
      <c r="I1051" s="3" t="s">
        <v>1424</v>
      </c>
      <c r="J1051" s="3" t="s">
        <v>171</v>
      </c>
      <c r="K1051" s="3">
        <v>2</v>
      </c>
      <c r="L1051" s="3">
        <v>19056.03</v>
      </c>
      <c r="M1051" s="3">
        <v>38112.06</v>
      </c>
      <c r="N1051" s="3">
        <v>27653.09</v>
      </c>
      <c r="O1051" s="3">
        <v>10458.969999999999</v>
      </c>
      <c r="P1051" s="3" t="s">
        <v>34</v>
      </c>
    </row>
    <row r="1052" spans="1:16" x14ac:dyDescent="0.35">
      <c r="A1052" s="3" t="s">
        <v>2134</v>
      </c>
      <c r="B1052" s="3" t="s">
        <v>113</v>
      </c>
      <c r="C1052" s="3" t="s">
        <v>114</v>
      </c>
      <c r="D1052" s="3" t="s">
        <v>19</v>
      </c>
      <c r="E1052" s="3" t="s">
        <v>49</v>
      </c>
      <c r="F1052" s="3" t="s">
        <v>50</v>
      </c>
      <c r="G1052" s="3" t="s">
        <v>22</v>
      </c>
      <c r="H1052" s="3" t="s">
        <v>83</v>
      </c>
      <c r="I1052" s="3" t="s">
        <v>2135</v>
      </c>
      <c r="J1052" s="3" t="s">
        <v>154</v>
      </c>
      <c r="K1052" s="3">
        <v>7</v>
      </c>
      <c r="L1052" s="3">
        <v>24178.22</v>
      </c>
      <c r="M1052" s="3">
        <v>169247.54</v>
      </c>
      <c r="N1052" s="3">
        <v>114307.12</v>
      </c>
      <c r="O1052" s="3">
        <v>54940.42</v>
      </c>
      <c r="P1052" s="3" t="s">
        <v>69</v>
      </c>
    </row>
    <row r="1053" spans="1:16" x14ac:dyDescent="0.35">
      <c r="A1053" s="3" t="s">
        <v>2136</v>
      </c>
      <c r="B1053" s="3" t="s">
        <v>767</v>
      </c>
      <c r="C1053" s="3" t="s">
        <v>82</v>
      </c>
      <c r="D1053" s="3" t="s">
        <v>58</v>
      </c>
      <c r="E1053" s="3" t="s">
        <v>59</v>
      </c>
      <c r="F1053" s="3" t="s">
        <v>60</v>
      </c>
      <c r="G1053" s="3" t="s">
        <v>22</v>
      </c>
      <c r="H1053" s="3" t="s">
        <v>23</v>
      </c>
      <c r="I1053" s="3" t="s">
        <v>1415</v>
      </c>
      <c r="J1053" s="3" t="s">
        <v>33</v>
      </c>
      <c r="K1053" s="3">
        <v>7</v>
      </c>
      <c r="L1053" s="3">
        <v>3357.94</v>
      </c>
      <c r="M1053" s="3">
        <v>23505.58</v>
      </c>
      <c r="N1053" s="3">
        <v>14794.37</v>
      </c>
      <c r="O1053" s="3">
        <v>8711.2099999999991</v>
      </c>
      <c r="P1053" s="3" t="s">
        <v>69</v>
      </c>
    </row>
    <row r="1054" spans="1:16" x14ac:dyDescent="0.35">
      <c r="A1054" s="3" t="s">
        <v>2137</v>
      </c>
      <c r="B1054" s="3" t="s">
        <v>924</v>
      </c>
      <c r="C1054" s="3" t="s">
        <v>18</v>
      </c>
      <c r="D1054" s="3" t="s">
        <v>19</v>
      </c>
      <c r="E1054" s="3" t="s">
        <v>199</v>
      </c>
      <c r="F1054" s="3" t="s">
        <v>200</v>
      </c>
      <c r="G1054" s="3" t="s">
        <v>51</v>
      </c>
      <c r="H1054" s="3" t="s">
        <v>52</v>
      </c>
      <c r="I1054" s="3" t="s">
        <v>1379</v>
      </c>
      <c r="J1054" s="3" t="s">
        <v>106</v>
      </c>
      <c r="K1054" s="3">
        <v>1</v>
      </c>
      <c r="L1054" s="3">
        <v>26.48</v>
      </c>
      <c r="M1054" s="3">
        <v>26.48</v>
      </c>
      <c r="N1054" s="3">
        <v>10.32</v>
      </c>
      <c r="O1054" s="3">
        <v>16.16</v>
      </c>
      <c r="P1054" s="3" t="s">
        <v>86</v>
      </c>
    </row>
    <row r="1055" spans="1:16" x14ac:dyDescent="0.35">
      <c r="A1055" s="3" t="s">
        <v>2138</v>
      </c>
      <c r="B1055" s="3" t="s">
        <v>601</v>
      </c>
      <c r="C1055" s="3" t="s">
        <v>82</v>
      </c>
      <c r="D1055" s="3" t="s">
        <v>58</v>
      </c>
      <c r="E1055" s="3" t="s">
        <v>176</v>
      </c>
      <c r="F1055" s="3" t="s">
        <v>177</v>
      </c>
      <c r="G1055" s="3" t="s">
        <v>41</v>
      </c>
      <c r="H1055" s="3" t="s">
        <v>42</v>
      </c>
      <c r="I1055" s="3" t="s">
        <v>1681</v>
      </c>
      <c r="J1055" s="3" t="s">
        <v>33</v>
      </c>
      <c r="K1055" s="3">
        <v>1</v>
      </c>
      <c r="L1055" s="3">
        <v>46624.97</v>
      </c>
      <c r="M1055" s="3">
        <v>46624.97</v>
      </c>
      <c r="N1055" s="3">
        <v>36014.5</v>
      </c>
      <c r="O1055" s="3">
        <v>10610.47</v>
      </c>
      <c r="P1055" s="3" t="s">
        <v>86</v>
      </c>
    </row>
    <row r="1056" spans="1:16" x14ac:dyDescent="0.35">
      <c r="A1056" s="3" t="s">
        <v>2139</v>
      </c>
      <c r="B1056" s="3" t="s">
        <v>1704</v>
      </c>
      <c r="C1056" s="3" t="s">
        <v>48</v>
      </c>
      <c r="D1056" s="3" t="s">
        <v>19</v>
      </c>
      <c r="E1056" s="3" t="s">
        <v>49</v>
      </c>
      <c r="F1056" s="3" t="s">
        <v>50</v>
      </c>
      <c r="G1056" s="3" t="s">
        <v>41</v>
      </c>
      <c r="H1056" s="3" t="s">
        <v>42</v>
      </c>
      <c r="I1056" s="3" t="s">
        <v>2019</v>
      </c>
      <c r="J1056" s="3" t="s">
        <v>25</v>
      </c>
      <c r="K1056" s="3">
        <v>7</v>
      </c>
      <c r="L1056" s="3">
        <v>46785.77</v>
      </c>
      <c r="M1056" s="3">
        <v>327500.39</v>
      </c>
      <c r="N1056" s="3">
        <v>244163</v>
      </c>
      <c r="O1056" s="3">
        <v>83337.39</v>
      </c>
      <c r="P1056" s="3" t="s">
        <v>34</v>
      </c>
    </row>
    <row r="1057" spans="1:16" x14ac:dyDescent="0.35">
      <c r="A1057" s="3" t="s">
        <v>2140</v>
      </c>
      <c r="B1057" s="3" t="s">
        <v>941</v>
      </c>
      <c r="C1057" s="3" t="s">
        <v>118</v>
      </c>
      <c r="D1057" s="3" t="s">
        <v>58</v>
      </c>
      <c r="E1057" s="3" t="s">
        <v>65</v>
      </c>
      <c r="F1057" s="3" t="s">
        <v>66</v>
      </c>
      <c r="G1057" s="3" t="s">
        <v>51</v>
      </c>
      <c r="H1057" s="3" t="s">
        <v>52</v>
      </c>
      <c r="I1057" s="3" t="s">
        <v>1164</v>
      </c>
      <c r="J1057" s="3" t="s">
        <v>217</v>
      </c>
      <c r="K1057" s="3">
        <v>2</v>
      </c>
      <c r="L1057" s="3">
        <v>22.56</v>
      </c>
      <c r="M1057" s="3">
        <v>45.12</v>
      </c>
      <c r="N1057" s="3">
        <v>19.7</v>
      </c>
      <c r="O1057" s="3">
        <v>25.42</v>
      </c>
      <c r="P1057" s="3" t="s">
        <v>45</v>
      </c>
    </row>
    <row r="1058" spans="1:16" x14ac:dyDescent="0.35">
      <c r="A1058" s="3" t="s">
        <v>2141</v>
      </c>
      <c r="B1058" s="3" t="s">
        <v>198</v>
      </c>
      <c r="C1058" s="3" t="s">
        <v>29</v>
      </c>
      <c r="D1058" s="3" t="s">
        <v>90</v>
      </c>
      <c r="E1058" s="3" t="s">
        <v>91</v>
      </c>
      <c r="F1058" s="3" t="s">
        <v>92</v>
      </c>
      <c r="G1058" s="3" t="s">
        <v>30</v>
      </c>
      <c r="H1058" s="3" t="s">
        <v>67</v>
      </c>
      <c r="I1058" s="3" t="s">
        <v>174</v>
      </c>
      <c r="J1058" s="3" t="s">
        <v>54</v>
      </c>
      <c r="K1058" s="3">
        <v>4</v>
      </c>
      <c r="L1058" s="3">
        <v>9816.33</v>
      </c>
      <c r="M1058" s="3">
        <v>39265.32</v>
      </c>
      <c r="N1058" s="3">
        <v>29694.44</v>
      </c>
      <c r="O1058" s="3">
        <v>9570.8799999999992</v>
      </c>
      <c r="P1058" s="3" t="s">
        <v>34</v>
      </c>
    </row>
    <row r="1059" spans="1:16" x14ac:dyDescent="0.35">
      <c r="A1059" s="3" t="s">
        <v>2142</v>
      </c>
      <c r="B1059" s="3" t="s">
        <v>1527</v>
      </c>
      <c r="C1059" s="3" t="s">
        <v>114</v>
      </c>
      <c r="D1059" s="3" t="s">
        <v>58</v>
      </c>
      <c r="E1059" s="3" t="s">
        <v>65</v>
      </c>
      <c r="F1059" s="3" t="s">
        <v>66</v>
      </c>
      <c r="G1059" s="3" t="s">
        <v>41</v>
      </c>
      <c r="H1059" s="3" t="s">
        <v>61</v>
      </c>
      <c r="I1059" s="3" t="s">
        <v>2092</v>
      </c>
      <c r="J1059" s="3" t="s">
        <v>131</v>
      </c>
      <c r="K1059" s="3">
        <v>3</v>
      </c>
      <c r="L1059" s="3">
        <v>2279.31</v>
      </c>
      <c r="M1059" s="3">
        <v>6837.93</v>
      </c>
      <c r="N1059" s="3">
        <v>5005.59</v>
      </c>
      <c r="O1059" s="3">
        <v>1832.34</v>
      </c>
      <c r="P1059" s="3" t="s">
        <v>69</v>
      </c>
    </row>
    <row r="1060" spans="1:16" x14ac:dyDescent="0.35">
      <c r="A1060" s="3" t="s">
        <v>2143</v>
      </c>
      <c r="B1060" s="3" t="s">
        <v>88</v>
      </c>
      <c r="C1060" s="3" t="s">
        <v>89</v>
      </c>
      <c r="D1060" s="3" t="s">
        <v>90</v>
      </c>
      <c r="E1060" s="3" t="s">
        <v>91</v>
      </c>
      <c r="F1060" s="3" t="s">
        <v>92</v>
      </c>
      <c r="G1060" s="3" t="s">
        <v>22</v>
      </c>
      <c r="H1060" s="3" t="s">
        <v>23</v>
      </c>
      <c r="I1060" s="3" t="s">
        <v>1372</v>
      </c>
      <c r="J1060" s="3" t="s">
        <v>154</v>
      </c>
      <c r="K1060" s="3">
        <v>1</v>
      </c>
      <c r="L1060" s="3">
        <v>3206.82</v>
      </c>
      <c r="M1060" s="3">
        <v>3206.82</v>
      </c>
      <c r="N1060" s="3">
        <v>2309.39</v>
      </c>
      <c r="O1060" s="3">
        <v>897.43</v>
      </c>
      <c r="P1060" s="3" t="s">
        <v>69</v>
      </c>
    </row>
    <row r="1061" spans="1:16" x14ac:dyDescent="0.35">
      <c r="A1061" s="3" t="s">
        <v>2144</v>
      </c>
      <c r="B1061" s="3" t="s">
        <v>358</v>
      </c>
      <c r="C1061" s="3" t="s">
        <v>72</v>
      </c>
      <c r="D1061" s="3" t="s">
        <v>90</v>
      </c>
      <c r="E1061" s="3" t="s">
        <v>91</v>
      </c>
      <c r="F1061" s="3" t="s">
        <v>92</v>
      </c>
      <c r="G1061" s="3" t="s">
        <v>30</v>
      </c>
      <c r="H1061" s="3" t="s">
        <v>31</v>
      </c>
      <c r="I1061" s="3" t="s">
        <v>2145</v>
      </c>
      <c r="J1061" s="3" t="s">
        <v>188</v>
      </c>
      <c r="K1061" s="3">
        <v>1</v>
      </c>
      <c r="L1061" s="3">
        <v>2792.72</v>
      </c>
      <c r="M1061" s="3">
        <v>2792.72</v>
      </c>
      <c r="N1061" s="3">
        <v>1966.99</v>
      </c>
      <c r="O1061" s="3">
        <v>825.73</v>
      </c>
      <c r="P1061" s="3" t="s">
        <v>86</v>
      </c>
    </row>
    <row r="1062" spans="1:16" x14ac:dyDescent="0.35">
      <c r="A1062" s="3" t="s">
        <v>2146</v>
      </c>
      <c r="B1062" s="3" t="s">
        <v>779</v>
      </c>
      <c r="C1062" s="3" t="s">
        <v>114</v>
      </c>
      <c r="D1062" s="3" t="s">
        <v>58</v>
      </c>
      <c r="E1062" s="3" t="s">
        <v>59</v>
      </c>
      <c r="F1062" s="3" t="s">
        <v>60</v>
      </c>
      <c r="G1062" s="3" t="s">
        <v>41</v>
      </c>
      <c r="H1062" s="3" t="s">
        <v>42</v>
      </c>
      <c r="I1062" s="3" t="s">
        <v>382</v>
      </c>
      <c r="J1062" s="3" t="s">
        <v>33</v>
      </c>
      <c r="K1062" s="3">
        <v>1</v>
      </c>
      <c r="L1062" s="3">
        <v>44450.41</v>
      </c>
      <c r="M1062" s="3">
        <v>44450.41</v>
      </c>
      <c r="N1062" s="3">
        <v>33644.11</v>
      </c>
      <c r="O1062" s="3">
        <v>10806.3</v>
      </c>
      <c r="P1062" s="3" t="s">
        <v>69</v>
      </c>
    </row>
    <row r="1063" spans="1:16" x14ac:dyDescent="0.35">
      <c r="A1063" s="3" t="s">
        <v>2147</v>
      </c>
      <c r="B1063" s="3" t="s">
        <v>463</v>
      </c>
      <c r="C1063" s="3" t="s">
        <v>29</v>
      </c>
      <c r="D1063" s="3" t="s">
        <v>38</v>
      </c>
      <c r="E1063" s="3" t="s">
        <v>39</v>
      </c>
      <c r="F1063" s="3" t="s">
        <v>40</v>
      </c>
      <c r="G1063" s="3" t="s">
        <v>30</v>
      </c>
      <c r="H1063" s="3" t="s">
        <v>67</v>
      </c>
      <c r="I1063" s="3" t="s">
        <v>1012</v>
      </c>
      <c r="J1063" s="3" t="s">
        <v>154</v>
      </c>
      <c r="K1063" s="3">
        <v>1</v>
      </c>
      <c r="L1063" s="3">
        <v>9011.5</v>
      </c>
      <c r="M1063" s="3">
        <v>9011.5</v>
      </c>
      <c r="N1063" s="3">
        <v>7500.41</v>
      </c>
      <c r="O1063" s="3">
        <v>1511.09</v>
      </c>
      <c r="P1063" s="3" t="s">
        <v>69</v>
      </c>
    </row>
    <row r="1064" spans="1:16" x14ac:dyDescent="0.35">
      <c r="A1064" s="3" t="s">
        <v>2148</v>
      </c>
      <c r="B1064" s="3" t="s">
        <v>1042</v>
      </c>
      <c r="C1064" s="3" t="s">
        <v>118</v>
      </c>
      <c r="D1064" s="3" t="s">
        <v>38</v>
      </c>
      <c r="E1064" s="3" t="s">
        <v>39</v>
      </c>
      <c r="F1064" s="3" t="s">
        <v>40</v>
      </c>
      <c r="G1064" s="3" t="s">
        <v>41</v>
      </c>
      <c r="H1064" s="3" t="s">
        <v>61</v>
      </c>
      <c r="I1064" s="3" t="s">
        <v>1170</v>
      </c>
      <c r="J1064" s="3" t="s">
        <v>33</v>
      </c>
      <c r="K1064" s="3">
        <v>4</v>
      </c>
      <c r="L1064" s="3">
        <v>2475.56</v>
      </c>
      <c r="M1064" s="3">
        <v>9902.24</v>
      </c>
      <c r="N1064" s="3">
        <v>6185.98</v>
      </c>
      <c r="O1064" s="3">
        <v>3716.26</v>
      </c>
      <c r="P1064" s="3" t="s">
        <v>86</v>
      </c>
    </row>
    <row r="1065" spans="1:16" x14ac:dyDescent="0.35">
      <c r="A1065" s="3" t="s">
        <v>2149</v>
      </c>
      <c r="B1065" s="3" t="s">
        <v>994</v>
      </c>
      <c r="C1065" s="3" t="s">
        <v>29</v>
      </c>
      <c r="D1065" s="3" t="s">
        <v>19</v>
      </c>
      <c r="E1065" s="3" t="s">
        <v>49</v>
      </c>
      <c r="F1065" s="3" t="s">
        <v>50</v>
      </c>
      <c r="G1065" s="3" t="s">
        <v>41</v>
      </c>
      <c r="H1065" s="3" t="s">
        <v>42</v>
      </c>
      <c r="I1065" s="3" t="s">
        <v>1424</v>
      </c>
      <c r="J1065" s="3" t="s">
        <v>147</v>
      </c>
      <c r="K1065" s="3">
        <v>1</v>
      </c>
      <c r="L1065" s="3">
        <v>44821.7</v>
      </c>
      <c r="M1065" s="3">
        <v>44821.7</v>
      </c>
      <c r="N1065" s="3">
        <v>35039.4</v>
      </c>
      <c r="O1065" s="3">
        <v>9782.2999999999993</v>
      </c>
      <c r="P1065" s="3" t="s">
        <v>45</v>
      </c>
    </row>
    <row r="1066" spans="1:16" x14ac:dyDescent="0.35">
      <c r="A1066" s="3" t="s">
        <v>2150</v>
      </c>
      <c r="B1066" s="3" t="s">
        <v>347</v>
      </c>
      <c r="C1066" s="3" t="s">
        <v>57</v>
      </c>
      <c r="D1066" s="3" t="s">
        <v>90</v>
      </c>
      <c r="E1066" s="3" t="s">
        <v>97</v>
      </c>
      <c r="F1066" s="3" t="s">
        <v>98</v>
      </c>
      <c r="G1066" s="3" t="s">
        <v>41</v>
      </c>
      <c r="H1066" s="3" t="s">
        <v>42</v>
      </c>
      <c r="I1066" s="3" t="s">
        <v>2151</v>
      </c>
      <c r="J1066" s="3" t="s">
        <v>154</v>
      </c>
      <c r="K1066" s="3">
        <v>5</v>
      </c>
      <c r="L1066" s="3">
        <v>47515.46</v>
      </c>
      <c r="M1066" s="3">
        <v>237577.3</v>
      </c>
      <c r="N1066" s="3">
        <v>166860.9</v>
      </c>
      <c r="O1066" s="3">
        <v>70716.399999999994</v>
      </c>
      <c r="P1066" s="3" t="s">
        <v>26</v>
      </c>
    </row>
    <row r="1067" spans="1:16" x14ac:dyDescent="0.35">
      <c r="A1067" s="3" t="s">
        <v>2152</v>
      </c>
      <c r="B1067" s="3" t="s">
        <v>877</v>
      </c>
      <c r="C1067" s="3" t="s">
        <v>114</v>
      </c>
      <c r="D1067" s="3" t="s">
        <v>90</v>
      </c>
      <c r="E1067" s="3" t="s">
        <v>97</v>
      </c>
      <c r="F1067" s="3" t="s">
        <v>98</v>
      </c>
      <c r="G1067" s="3" t="s">
        <v>30</v>
      </c>
      <c r="H1067" s="3" t="s">
        <v>67</v>
      </c>
      <c r="I1067" s="3" t="s">
        <v>1458</v>
      </c>
      <c r="J1067" s="3" t="s">
        <v>188</v>
      </c>
      <c r="K1067" s="3">
        <v>6</v>
      </c>
      <c r="L1067" s="3">
        <v>10342.35</v>
      </c>
      <c r="M1067" s="3">
        <v>62054.1</v>
      </c>
      <c r="N1067" s="3">
        <v>43853.95</v>
      </c>
      <c r="O1067" s="3">
        <v>18200.150000000001</v>
      </c>
      <c r="P1067" s="3" t="s">
        <v>34</v>
      </c>
    </row>
    <row r="1068" spans="1:16" x14ac:dyDescent="0.35">
      <c r="A1068" s="3" t="s">
        <v>2153</v>
      </c>
      <c r="B1068" s="3" t="s">
        <v>1072</v>
      </c>
      <c r="C1068" s="3" t="s">
        <v>18</v>
      </c>
      <c r="D1068" s="3" t="s">
        <v>90</v>
      </c>
      <c r="E1068" s="3" t="s">
        <v>91</v>
      </c>
      <c r="F1068" s="3" t="s">
        <v>92</v>
      </c>
      <c r="G1068" s="3" t="s">
        <v>30</v>
      </c>
      <c r="H1068" s="3" t="s">
        <v>31</v>
      </c>
      <c r="I1068" s="3" t="s">
        <v>425</v>
      </c>
      <c r="J1068" s="3" t="s">
        <v>100</v>
      </c>
      <c r="K1068" s="3">
        <v>2</v>
      </c>
      <c r="L1068" s="3">
        <v>2883.74</v>
      </c>
      <c r="M1068" s="3">
        <v>5767.48</v>
      </c>
      <c r="N1068" s="3">
        <v>3901.12</v>
      </c>
      <c r="O1068" s="3">
        <v>1866.36</v>
      </c>
      <c r="P1068" s="3" t="s">
        <v>69</v>
      </c>
    </row>
    <row r="1069" spans="1:16" x14ac:dyDescent="0.35">
      <c r="A1069" s="3" t="s">
        <v>2154</v>
      </c>
      <c r="B1069" s="3" t="s">
        <v>315</v>
      </c>
      <c r="C1069" s="3" t="s">
        <v>118</v>
      </c>
      <c r="D1069" s="3" t="s">
        <v>38</v>
      </c>
      <c r="E1069" s="3" t="s">
        <v>109</v>
      </c>
      <c r="F1069" s="3" t="s">
        <v>110</v>
      </c>
      <c r="G1069" s="3" t="s">
        <v>41</v>
      </c>
      <c r="H1069" s="3" t="s">
        <v>61</v>
      </c>
      <c r="I1069" s="3" t="s">
        <v>1668</v>
      </c>
      <c r="J1069" s="3" t="s">
        <v>161</v>
      </c>
      <c r="K1069" s="3">
        <v>3</v>
      </c>
      <c r="L1069" s="3">
        <v>2298.9699999999998</v>
      </c>
      <c r="M1069" s="3">
        <v>6896.91</v>
      </c>
      <c r="N1069" s="3">
        <v>4645.09</v>
      </c>
      <c r="O1069" s="3">
        <v>2251.8200000000002</v>
      </c>
      <c r="P1069" s="3" t="s">
        <v>45</v>
      </c>
    </row>
    <row r="1070" spans="1:16" x14ac:dyDescent="0.35">
      <c r="A1070" s="3" t="s">
        <v>2155</v>
      </c>
      <c r="B1070" s="3" t="s">
        <v>2156</v>
      </c>
      <c r="C1070" s="3" t="s">
        <v>114</v>
      </c>
      <c r="D1070" s="3" t="s">
        <v>38</v>
      </c>
      <c r="E1070" s="3" t="s">
        <v>39</v>
      </c>
      <c r="F1070" s="3" t="s">
        <v>40</v>
      </c>
      <c r="G1070" s="3" t="s">
        <v>22</v>
      </c>
      <c r="H1070" s="3" t="s">
        <v>83</v>
      </c>
      <c r="I1070" s="3" t="s">
        <v>1099</v>
      </c>
      <c r="J1070" s="3" t="s">
        <v>44</v>
      </c>
      <c r="K1070" s="3">
        <v>7</v>
      </c>
      <c r="L1070" s="3">
        <v>19893.37</v>
      </c>
      <c r="M1070" s="3">
        <v>139253.59</v>
      </c>
      <c r="N1070" s="3">
        <v>113058.35</v>
      </c>
      <c r="O1070" s="3">
        <v>26195.24</v>
      </c>
      <c r="P1070" s="3" t="s">
        <v>86</v>
      </c>
    </row>
    <row r="1071" spans="1:16" x14ac:dyDescent="0.35">
      <c r="A1071" s="3" t="s">
        <v>2157</v>
      </c>
      <c r="B1071" s="3" t="s">
        <v>861</v>
      </c>
      <c r="C1071" s="3" t="s">
        <v>137</v>
      </c>
      <c r="D1071" s="3" t="s">
        <v>19</v>
      </c>
      <c r="E1071" s="3" t="s">
        <v>20</v>
      </c>
      <c r="F1071" s="3" t="s">
        <v>21</v>
      </c>
      <c r="G1071" s="3" t="s">
        <v>41</v>
      </c>
      <c r="H1071" s="3" t="s">
        <v>138</v>
      </c>
      <c r="I1071" s="3" t="s">
        <v>2158</v>
      </c>
      <c r="J1071" s="3" t="s">
        <v>188</v>
      </c>
      <c r="K1071" s="3">
        <v>5</v>
      </c>
      <c r="L1071" s="3">
        <v>17948.04</v>
      </c>
      <c r="M1071" s="3">
        <v>89740.2</v>
      </c>
      <c r="N1071" s="3">
        <v>70683.850000000006</v>
      </c>
      <c r="O1071" s="3">
        <v>19056.349999999999</v>
      </c>
      <c r="P1071" s="3" t="s">
        <v>34</v>
      </c>
    </row>
    <row r="1072" spans="1:16" x14ac:dyDescent="0.35">
      <c r="A1072" s="3" t="s">
        <v>2159</v>
      </c>
      <c r="B1072" s="3" t="s">
        <v>126</v>
      </c>
      <c r="C1072" s="3" t="s">
        <v>103</v>
      </c>
      <c r="D1072" s="3" t="s">
        <v>90</v>
      </c>
      <c r="E1072" s="3" t="s">
        <v>97</v>
      </c>
      <c r="F1072" s="3" t="s">
        <v>98</v>
      </c>
      <c r="G1072" s="3" t="s">
        <v>22</v>
      </c>
      <c r="H1072" s="3" t="s">
        <v>83</v>
      </c>
      <c r="I1072" s="3" t="s">
        <v>2160</v>
      </c>
      <c r="J1072" s="3" t="s">
        <v>44</v>
      </c>
      <c r="K1072" s="3">
        <v>8</v>
      </c>
      <c r="L1072" s="3">
        <v>24109.08</v>
      </c>
      <c r="M1072" s="3">
        <v>192872.64</v>
      </c>
      <c r="N1072" s="3">
        <v>139283.29</v>
      </c>
      <c r="O1072" s="3">
        <v>53589.35</v>
      </c>
      <c r="P1072" s="3" t="s">
        <v>86</v>
      </c>
    </row>
    <row r="1073" spans="1:16" x14ac:dyDescent="0.35">
      <c r="A1073" s="3" t="s">
        <v>2161</v>
      </c>
      <c r="B1073" s="3" t="s">
        <v>916</v>
      </c>
      <c r="C1073" s="3" t="s">
        <v>103</v>
      </c>
      <c r="D1073" s="3" t="s">
        <v>19</v>
      </c>
      <c r="E1073" s="3" t="s">
        <v>49</v>
      </c>
      <c r="F1073" s="3" t="s">
        <v>50</v>
      </c>
      <c r="G1073" s="3" t="s">
        <v>30</v>
      </c>
      <c r="H1073" s="3" t="s">
        <v>73</v>
      </c>
      <c r="I1073" s="3" t="s">
        <v>1851</v>
      </c>
      <c r="J1073" s="3" t="s">
        <v>131</v>
      </c>
      <c r="K1073" s="3">
        <v>8</v>
      </c>
      <c r="L1073" s="3">
        <v>2934.59</v>
      </c>
      <c r="M1073" s="3">
        <v>23476.720000000001</v>
      </c>
      <c r="N1073" s="3">
        <v>18875.55</v>
      </c>
      <c r="O1073" s="3">
        <v>4601.17</v>
      </c>
      <c r="P1073" s="3" t="s">
        <v>34</v>
      </c>
    </row>
    <row r="1074" spans="1:16" x14ac:dyDescent="0.35">
      <c r="A1074" s="3" t="s">
        <v>2162</v>
      </c>
      <c r="B1074" s="3" t="s">
        <v>1578</v>
      </c>
      <c r="C1074" s="3" t="s">
        <v>137</v>
      </c>
      <c r="D1074" s="3" t="s">
        <v>19</v>
      </c>
      <c r="E1074" s="3" t="s">
        <v>49</v>
      </c>
      <c r="F1074" s="3" t="s">
        <v>50</v>
      </c>
      <c r="G1074" s="3" t="s">
        <v>41</v>
      </c>
      <c r="H1074" s="3" t="s">
        <v>138</v>
      </c>
      <c r="I1074" s="3" t="s">
        <v>2163</v>
      </c>
      <c r="J1074" s="3" t="s">
        <v>54</v>
      </c>
      <c r="K1074" s="3">
        <v>5</v>
      </c>
      <c r="L1074" s="3">
        <v>16527.080000000002</v>
      </c>
      <c r="M1074" s="3">
        <v>82635.399999999994</v>
      </c>
      <c r="N1074" s="3">
        <v>71542.37</v>
      </c>
      <c r="O1074" s="3">
        <v>11093.03</v>
      </c>
      <c r="P1074" s="3" t="s">
        <v>69</v>
      </c>
    </row>
    <row r="1075" spans="1:16" x14ac:dyDescent="0.35">
      <c r="A1075" s="3" t="s">
        <v>2164</v>
      </c>
      <c r="B1075" s="3" t="s">
        <v>129</v>
      </c>
      <c r="C1075" s="3" t="s">
        <v>37</v>
      </c>
      <c r="D1075" s="3" t="s">
        <v>19</v>
      </c>
      <c r="E1075" s="3" t="s">
        <v>49</v>
      </c>
      <c r="F1075" s="3" t="s">
        <v>50</v>
      </c>
      <c r="G1075" s="3" t="s">
        <v>22</v>
      </c>
      <c r="H1075" s="3" t="s">
        <v>83</v>
      </c>
      <c r="I1075" s="3" t="s">
        <v>2094</v>
      </c>
      <c r="J1075" s="3" t="s">
        <v>44</v>
      </c>
      <c r="K1075" s="3">
        <v>4</v>
      </c>
      <c r="L1075" s="3">
        <v>21073.69</v>
      </c>
      <c r="M1075" s="3">
        <v>84294.76</v>
      </c>
      <c r="N1075" s="3">
        <v>66070.48</v>
      </c>
      <c r="O1075" s="3">
        <v>18224.28</v>
      </c>
      <c r="P1075" s="3" t="s">
        <v>86</v>
      </c>
    </row>
    <row r="1076" spans="1:16" x14ac:dyDescent="0.35">
      <c r="A1076" s="3" t="s">
        <v>2165</v>
      </c>
      <c r="B1076" s="3" t="s">
        <v>675</v>
      </c>
      <c r="C1076" s="3" t="s">
        <v>82</v>
      </c>
      <c r="D1076" s="3" t="s">
        <v>90</v>
      </c>
      <c r="E1076" s="3" t="s">
        <v>119</v>
      </c>
      <c r="F1076" s="3" t="s">
        <v>120</v>
      </c>
      <c r="G1076" s="3" t="s">
        <v>30</v>
      </c>
      <c r="H1076" s="3" t="s">
        <v>31</v>
      </c>
      <c r="I1076" s="3" t="s">
        <v>667</v>
      </c>
      <c r="J1076" s="3" t="s">
        <v>147</v>
      </c>
      <c r="K1076" s="3">
        <v>1</v>
      </c>
      <c r="L1076" s="3">
        <v>2606.19</v>
      </c>
      <c r="M1076" s="3">
        <v>2606.19</v>
      </c>
      <c r="N1076" s="3">
        <v>1896.29</v>
      </c>
      <c r="O1076" s="3">
        <v>709.9</v>
      </c>
      <c r="P1076" s="3" t="s">
        <v>69</v>
      </c>
    </row>
    <row r="1077" spans="1:16" x14ac:dyDescent="0.35">
      <c r="A1077" s="3" t="s">
        <v>2166</v>
      </c>
      <c r="B1077" s="3" t="s">
        <v>1042</v>
      </c>
      <c r="C1077" s="3" t="s">
        <v>118</v>
      </c>
      <c r="D1077" s="3" t="s">
        <v>58</v>
      </c>
      <c r="E1077" s="3" t="s">
        <v>59</v>
      </c>
      <c r="F1077" s="3" t="s">
        <v>60</v>
      </c>
      <c r="G1077" s="3" t="s">
        <v>22</v>
      </c>
      <c r="H1077" s="3" t="s">
        <v>23</v>
      </c>
      <c r="I1077" s="3" t="s">
        <v>2160</v>
      </c>
      <c r="J1077" s="3" t="s">
        <v>100</v>
      </c>
      <c r="K1077" s="3">
        <v>1</v>
      </c>
      <c r="L1077" s="3">
        <v>3341.43</v>
      </c>
      <c r="M1077" s="3">
        <v>3341.43</v>
      </c>
      <c r="N1077" s="3">
        <v>2268.8200000000002</v>
      </c>
      <c r="O1077" s="3">
        <v>1072.6099999999999</v>
      </c>
      <c r="P1077" s="3" t="s">
        <v>86</v>
      </c>
    </row>
    <row r="1078" spans="1:16" x14ac:dyDescent="0.35">
      <c r="A1078" s="3" t="s">
        <v>2167</v>
      </c>
      <c r="B1078" s="3" t="s">
        <v>583</v>
      </c>
      <c r="C1078" s="3" t="s">
        <v>89</v>
      </c>
      <c r="D1078" s="3" t="s">
        <v>19</v>
      </c>
      <c r="E1078" s="3" t="s">
        <v>20</v>
      </c>
      <c r="F1078" s="3" t="s">
        <v>21</v>
      </c>
      <c r="G1078" s="3" t="s">
        <v>22</v>
      </c>
      <c r="H1078" s="3" t="s">
        <v>93</v>
      </c>
      <c r="I1078" s="3" t="s">
        <v>1123</v>
      </c>
      <c r="J1078" s="3" t="s">
        <v>85</v>
      </c>
      <c r="K1078" s="3">
        <v>3</v>
      </c>
      <c r="L1078" s="3">
        <v>7529.15</v>
      </c>
      <c r="M1078" s="3">
        <v>22587.45</v>
      </c>
      <c r="N1078" s="3">
        <v>15479.65</v>
      </c>
      <c r="O1078" s="3">
        <v>7107.8</v>
      </c>
      <c r="P1078" s="3" t="s">
        <v>34</v>
      </c>
    </row>
    <row r="1079" spans="1:16" x14ac:dyDescent="0.35">
      <c r="A1079" s="3" t="s">
        <v>2168</v>
      </c>
      <c r="B1079" s="3" t="s">
        <v>1320</v>
      </c>
      <c r="C1079" s="3" t="s">
        <v>37</v>
      </c>
      <c r="D1079" s="3" t="s">
        <v>58</v>
      </c>
      <c r="E1079" s="3" t="s">
        <v>59</v>
      </c>
      <c r="F1079" s="3" t="s">
        <v>60</v>
      </c>
      <c r="G1079" s="3" t="s">
        <v>41</v>
      </c>
      <c r="H1079" s="3" t="s">
        <v>42</v>
      </c>
      <c r="I1079" s="3" t="s">
        <v>2169</v>
      </c>
      <c r="J1079" s="3" t="s">
        <v>131</v>
      </c>
      <c r="K1079" s="3">
        <v>5</v>
      </c>
      <c r="L1079" s="3">
        <v>45326.12</v>
      </c>
      <c r="M1079" s="3">
        <v>226630.6</v>
      </c>
      <c r="N1079" s="3">
        <v>166401.99</v>
      </c>
      <c r="O1079" s="3">
        <v>60228.61</v>
      </c>
      <c r="P1079" s="3" t="s">
        <v>69</v>
      </c>
    </row>
    <row r="1080" spans="1:16" x14ac:dyDescent="0.35">
      <c r="A1080" s="3" t="s">
        <v>2170</v>
      </c>
      <c r="B1080" s="3" t="s">
        <v>424</v>
      </c>
      <c r="C1080" s="3" t="s">
        <v>72</v>
      </c>
      <c r="D1080" s="3" t="s">
        <v>58</v>
      </c>
      <c r="E1080" s="3" t="s">
        <v>59</v>
      </c>
      <c r="F1080" s="3" t="s">
        <v>60</v>
      </c>
      <c r="G1080" s="3" t="s">
        <v>30</v>
      </c>
      <c r="H1080" s="3" t="s">
        <v>31</v>
      </c>
      <c r="I1080" s="3" t="s">
        <v>2171</v>
      </c>
      <c r="J1080" s="3" t="s">
        <v>217</v>
      </c>
      <c r="K1080" s="3">
        <v>7</v>
      </c>
      <c r="L1080" s="3">
        <v>2941.54</v>
      </c>
      <c r="M1080" s="3">
        <v>20590.78</v>
      </c>
      <c r="N1080" s="3">
        <v>12755.86</v>
      </c>
      <c r="O1080" s="3">
        <v>7834.92</v>
      </c>
      <c r="P1080" s="3" t="s">
        <v>26</v>
      </c>
    </row>
    <row r="1081" spans="1:16" x14ac:dyDescent="0.35">
      <c r="A1081" s="3" t="s">
        <v>2172</v>
      </c>
      <c r="B1081" s="3" t="s">
        <v>534</v>
      </c>
      <c r="C1081" s="3" t="s">
        <v>29</v>
      </c>
      <c r="D1081" s="3" t="s">
        <v>38</v>
      </c>
      <c r="E1081" s="3" t="s">
        <v>104</v>
      </c>
      <c r="F1081" s="3" t="s">
        <v>104</v>
      </c>
      <c r="G1081" s="3" t="s">
        <v>41</v>
      </c>
      <c r="H1081" s="3" t="s">
        <v>138</v>
      </c>
      <c r="I1081" s="3" t="s">
        <v>1243</v>
      </c>
      <c r="J1081" s="3" t="s">
        <v>171</v>
      </c>
      <c r="K1081" s="3">
        <v>8</v>
      </c>
      <c r="L1081" s="3">
        <v>19766.97</v>
      </c>
      <c r="M1081" s="3">
        <v>158135.76</v>
      </c>
      <c r="N1081" s="3">
        <v>107221.63</v>
      </c>
      <c r="O1081" s="3">
        <v>50914.13</v>
      </c>
      <c r="P1081" s="3" t="s">
        <v>45</v>
      </c>
    </row>
    <row r="1082" spans="1:16" x14ac:dyDescent="0.35">
      <c r="A1082" s="3" t="s">
        <v>2173</v>
      </c>
      <c r="B1082" s="3" t="s">
        <v>81</v>
      </c>
      <c r="C1082" s="3" t="s">
        <v>82</v>
      </c>
      <c r="D1082" s="3" t="s">
        <v>38</v>
      </c>
      <c r="E1082" s="3" t="s">
        <v>109</v>
      </c>
      <c r="F1082" s="3" t="s">
        <v>110</v>
      </c>
      <c r="G1082" s="3" t="s">
        <v>51</v>
      </c>
      <c r="H1082" s="3" t="s">
        <v>52</v>
      </c>
      <c r="I1082" s="3" t="s">
        <v>2174</v>
      </c>
      <c r="J1082" s="3" t="s">
        <v>217</v>
      </c>
      <c r="K1082" s="3">
        <v>1</v>
      </c>
      <c r="L1082" s="3">
        <v>25.14</v>
      </c>
      <c r="M1082" s="3">
        <v>25.14</v>
      </c>
      <c r="N1082" s="3">
        <v>10.029999999999999</v>
      </c>
      <c r="O1082" s="3">
        <v>15.11</v>
      </c>
      <c r="P1082" s="3" t="s">
        <v>34</v>
      </c>
    </row>
    <row r="1083" spans="1:16" x14ac:dyDescent="0.35">
      <c r="A1083" s="3" t="s">
        <v>2175</v>
      </c>
      <c r="B1083" s="3" t="s">
        <v>1898</v>
      </c>
      <c r="C1083" s="3" t="s">
        <v>29</v>
      </c>
      <c r="D1083" s="3" t="s">
        <v>58</v>
      </c>
      <c r="E1083" s="3" t="s">
        <v>59</v>
      </c>
      <c r="F1083" s="3" t="s">
        <v>60</v>
      </c>
      <c r="G1083" s="3" t="s">
        <v>41</v>
      </c>
      <c r="H1083" s="3" t="s">
        <v>61</v>
      </c>
      <c r="I1083" s="3" t="s">
        <v>2176</v>
      </c>
      <c r="J1083" s="3" t="s">
        <v>85</v>
      </c>
      <c r="K1083" s="3">
        <v>6</v>
      </c>
      <c r="L1083" s="3">
        <v>2330.39</v>
      </c>
      <c r="M1083" s="3">
        <v>13982.34</v>
      </c>
      <c r="N1083" s="3">
        <v>9994.07</v>
      </c>
      <c r="O1083" s="3">
        <v>3988.27</v>
      </c>
      <c r="P1083" s="3" t="s">
        <v>86</v>
      </c>
    </row>
    <row r="1084" spans="1:16" x14ac:dyDescent="0.35">
      <c r="A1084" s="3" t="s">
        <v>2177</v>
      </c>
      <c r="B1084" s="3" t="s">
        <v>636</v>
      </c>
      <c r="C1084" s="3" t="s">
        <v>57</v>
      </c>
      <c r="D1084" s="3" t="s">
        <v>19</v>
      </c>
      <c r="E1084" s="3" t="s">
        <v>49</v>
      </c>
      <c r="F1084" s="3" t="s">
        <v>50</v>
      </c>
      <c r="G1084" s="3" t="s">
        <v>41</v>
      </c>
      <c r="H1084" s="3" t="s">
        <v>61</v>
      </c>
      <c r="I1084" s="3" t="s">
        <v>2178</v>
      </c>
      <c r="J1084" s="3" t="s">
        <v>188</v>
      </c>
      <c r="K1084" s="3">
        <v>5</v>
      </c>
      <c r="L1084" s="3">
        <v>2662.53</v>
      </c>
      <c r="M1084" s="3">
        <v>13312.65</v>
      </c>
      <c r="N1084" s="3">
        <v>7658.26</v>
      </c>
      <c r="O1084" s="3">
        <v>5654.39</v>
      </c>
      <c r="P1084" s="3" t="s">
        <v>26</v>
      </c>
    </row>
    <row r="1085" spans="1:16" x14ac:dyDescent="0.35">
      <c r="A1085" s="3" t="s">
        <v>2179</v>
      </c>
      <c r="B1085" s="3" t="s">
        <v>265</v>
      </c>
      <c r="C1085" s="3" t="s">
        <v>37</v>
      </c>
      <c r="D1085" s="3" t="s">
        <v>19</v>
      </c>
      <c r="E1085" s="3" t="s">
        <v>49</v>
      </c>
      <c r="F1085" s="3" t="s">
        <v>50</v>
      </c>
      <c r="G1085" s="3" t="s">
        <v>30</v>
      </c>
      <c r="H1085" s="3" t="s">
        <v>73</v>
      </c>
      <c r="I1085" s="3" t="s">
        <v>258</v>
      </c>
      <c r="J1085" s="3" t="s">
        <v>100</v>
      </c>
      <c r="K1085" s="3">
        <v>3</v>
      </c>
      <c r="L1085" s="3">
        <v>3150.42</v>
      </c>
      <c r="M1085" s="3">
        <v>9451.26</v>
      </c>
      <c r="N1085" s="3">
        <v>7256.6</v>
      </c>
      <c r="O1085" s="3">
        <v>2194.66</v>
      </c>
      <c r="P1085" s="3" t="s">
        <v>34</v>
      </c>
    </row>
    <row r="1086" spans="1:16" x14ac:dyDescent="0.35">
      <c r="A1086" s="3" t="s">
        <v>2180</v>
      </c>
      <c r="B1086" s="3" t="s">
        <v>435</v>
      </c>
      <c r="C1086" s="3" t="s">
        <v>18</v>
      </c>
      <c r="D1086" s="3" t="s">
        <v>38</v>
      </c>
      <c r="E1086" s="3" t="s">
        <v>109</v>
      </c>
      <c r="F1086" s="3" t="s">
        <v>110</v>
      </c>
      <c r="G1086" s="3" t="s">
        <v>41</v>
      </c>
      <c r="H1086" s="3" t="s">
        <v>61</v>
      </c>
      <c r="I1086" s="3" t="s">
        <v>2181</v>
      </c>
      <c r="J1086" s="3" t="s">
        <v>25</v>
      </c>
      <c r="K1086" s="3">
        <v>7</v>
      </c>
      <c r="L1086" s="3">
        <v>2500.9</v>
      </c>
      <c r="M1086" s="3">
        <v>17506.3</v>
      </c>
      <c r="N1086" s="3">
        <v>10675.32</v>
      </c>
      <c r="O1086" s="3">
        <v>6830.98</v>
      </c>
      <c r="P1086" s="3" t="s">
        <v>34</v>
      </c>
    </row>
    <row r="1087" spans="1:16" x14ac:dyDescent="0.35">
      <c r="A1087" s="3" t="s">
        <v>2182</v>
      </c>
      <c r="B1087" s="3" t="s">
        <v>288</v>
      </c>
      <c r="C1087" s="3" t="s">
        <v>118</v>
      </c>
      <c r="D1087" s="3" t="s">
        <v>90</v>
      </c>
      <c r="E1087" s="3" t="s">
        <v>119</v>
      </c>
      <c r="F1087" s="3" t="s">
        <v>120</v>
      </c>
      <c r="G1087" s="3" t="s">
        <v>51</v>
      </c>
      <c r="H1087" s="3" t="s">
        <v>77</v>
      </c>
      <c r="I1087" s="3" t="s">
        <v>659</v>
      </c>
      <c r="J1087" s="3" t="s">
        <v>25</v>
      </c>
      <c r="K1087" s="3">
        <v>7</v>
      </c>
      <c r="L1087" s="3">
        <v>12405.54</v>
      </c>
      <c r="M1087" s="3">
        <v>86838.78</v>
      </c>
      <c r="N1087" s="3">
        <v>60335.839999999997</v>
      </c>
      <c r="O1087" s="3">
        <v>26502.94</v>
      </c>
      <c r="P1087" s="3" t="s">
        <v>45</v>
      </c>
    </row>
    <row r="1088" spans="1:16" x14ac:dyDescent="0.35">
      <c r="A1088" s="3" t="s">
        <v>2183</v>
      </c>
      <c r="B1088" s="3" t="s">
        <v>534</v>
      </c>
      <c r="C1088" s="3" t="s">
        <v>29</v>
      </c>
      <c r="D1088" s="3" t="s">
        <v>90</v>
      </c>
      <c r="E1088" s="3" t="s">
        <v>119</v>
      </c>
      <c r="F1088" s="3" t="s">
        <v>120</v>
      </c>
      <c r="G1088" s="3" t="s">
        <v>30</v>
      </c>
      <c r="H1088" s="3" t="s">
        <v>73</v>
      </c>
      <c r="I1088" s="3" t="s">
        <v>2181</v>
      </c>
      <c r="J1088" s="3" t="s">
        <v>131</v>
      </c>
      <c r="K1088" s="3">
        <v>8</v>
      </c>
      <c r="L1088" s="3">
        <v>2929.75</v>
      </c>
      <c r="M1088" s="3">
        <v>23438</v>
      </c>
      <c r="N1088" s="3">
        <v>18661.189999999999</v>
      </c>
      <c r="O1088" s="3">
        <v>4776.8100000000004</v>
      </c>
      <c r="P1088" s="3" t="s">
        <v>45</v>
      </c>
    </row>
    <row r="1089" spans="1:16" x14ac:dyDescent="0.35">
      <c r="A1089" s="3" t="s">
        <v>2184</v>
      </c>
      <c r="B1089" s="3" t="s">
        <v>774</v>
      </c>
      <c r="C1089" s="3" t="s">
        <v>82</v>
      </c>
      <c r="D1089" s="3" t="s">
        <v>90</v>
      </c>
      <c r="E1089" s="3" t="s">
        <v>119</v>
      </c>
      <c r="F1089" s="3" t="s">
        <v>120</v>
      </c>
      <c r="G1089" s="3" t="s">
        <v>51</v>
      </c>
      <c r="H1089" s="3" t="s">
        <v>145</v>
      </c>
      <c r="I1089" s="3" t="s">
        <v>403</v>
      </c>
      <c r="J1089" s="3" t="s">
        <v>33</v>
      </c>
      <c r="K1089" s="3">
        <v>6</v>
      </c>
      <c r="L1089" s="3">
        <v>109.38</v>
      </c>
      <c r="M1089" s="3">
        <v>656.28</v>
      </c>
      <c r="N1089" s="3">
        <v>347.49</v>
      </c>
      <c r="O1089" s="3">
        <v>308.79000000000002</v>
      </c>
      <c r="P1089" s="3" t="s">
        <v>86</v>
      </c>
    </row>
    <row r="1090" spans="1:16" x14ac:dyDescent="0.35">
      <c r="A1090" s="3" t="s">
        <v>2185</v>
      </c>
      <c r="B1090" s="3" t="s">
        <v>802</v>
      </c>
      <c r="C1090" s="3" t="s">
        <v>118</v>
      </c>
      <c r="D1090" s="3" t="s">
        <v>38</v>
      </c>
      <c r="E1090" s="3" t="s">
        <v>109</v>
      </c>
      <c r="F1090" s="3" t="s">
        <v>110</v>
      </c>
      <c r="G1090" s="3" t="s">
        <v>51</v>
      </c>
      <c r="H1090" s="3" t="s">
        <v>145</v>
      </c>
      <c r="I1090" s="3" t="s">
        <v>1512</v>
      </c>
      <c r="J1090" s="3" t="s">
        <v>79</v>
      </c>
      <c r="K1090" s="3">
        <v>3</v>
      </c>
      <c r="L1090" s="3">
        <v>120.26</v>
      </c>
      <c r="M1090" s="3">
        <v>360.78</v>
      </c>
      <c r="N1090" s="3">
        <v>176.75</v>
      </c>
      <c r="O1090" s="3">
        <v>184.03</v>
      </c>
      <c r="P1090" s="3" t="s">
        <v>34</v>
      </c>
    </row>
    <row r="1091" spans="1:16" x14ac:dyDescent="0.35">
      <c r="A1091" s="3" t="s">
        <v>2186</v>
      </c>
      <c r="B1091" s="3" t="s">
        <v>621</v>
      </c>
      <c r="C1091" s="3" t="s">
        <v>118</v>
      </c>
      <c r="D1091" s="3" t="s">
        <v>38</v>
      </c>
      <c r="E1091" s="3" t="s">
        <v>109</v>
      </c>
      <c r="F1091" s="3" t="s">
        <v>110</v>
      </c>
      <c r="G1091" s="3" t="s">
        <v>51</v>
      </c>
      <c r="H1091" s="3" t="s">
        <v>52</v>
      </c>
      <c r="I1091" s="3" t="s">
        <v>1614</v>
      </c>
      <c r="J1091" s="3" t="s">
        <v>54</v>
      </c>
      <c r="K1091" s="3">
        <v>1</v>
      </c>
      <c r="L1091" s="3">
        <v>24.73</v>
      </c>
      <c r="M1091" s="3">
        <v>24.73</v>
      </c>
      <c r="N1091" s="3">
        <v>10.26</v>
      </c>
      <c r="O1091" s="3">
        <v>14.47</v>
      </c>
      <c r="P1091" s="3" t="s">
        <v>86</v>
      </c>
    </row>
    <row r="1092" spans="1:16" x14ac:dyDescent="0.35">
      <c r="A1092" s="3" t="s">
        <v>2187</v>
      </c>
      <c r="B1092" s="3" t="s">
        <v>518</v>
      </c>
      <c r="C1092" s="3" t="s">
        <v>89</v>
      </c>
      <c r="D1092" s="3" t="s">
        <v>58</v>
      </c>
      <c r="E1092" s="3" t="s">
        <v>65</v>
      </c>
      <c r="F1092" s="3" t="s">
        <v>66</v>
      </c>
      <c r="G1092" s="3" t="s">
        <v>22</v>
      </c>
      <c r="H1092" s="3" t="s">
        <v>93</v>
      </c>
      <c r="I1092" s="3" t="s">
        <v>1619</v>
      </c>
      <c r="J1092" s="3" t="s">
        <v>154</v>
      </c>
      <c r="K1092" s="3">
        <v>2</v>
      </c>
      <c r="L1092" s="3">
        <v>6959.38</v>
      </c>
      <c r="M1092" s="3">
        <v>13918.76</v>
      </c>
      <c r="N1092" s="3">
        <v>9943.27</v>
      </c>
      <c r="O1092" s="3">
        <v>3975.49</v>
      </c>
      <c r="P1092" s="3" t="s">
        <v>45</v>
      </c>
    </row>
    <row r="1093" spans="1:16" x14ac:dyDescent="0.35">
      <c r="A1093" s="3" t="s">
        <v>2188</v>
      </c>
      <c r="B1093" s="3" t="s">
        <v>511</v>
      </c>
      <c r="C1093" s="3" t="s">
        <v>29</v>
      </c>
      <c r="D1093" s="3" t="s">
        <v>90</v>
      </c>
      <c r="E1093" s="3" t="s">
        <v>119</v>
      </c>
      <c r="F1093" s="3" t="s">
        <v>120</v>
      </c>
      <c r="G1093" s="3" t="s">
        <v>41</v>
      </c>
      <c r="H1093" s="3" t="s">
        <v>61</v>
      </c>
      <c r="I1093" s="3" t="s">
        <v>68</v>
      </c>
      <c r="J1093" s="3" t="s">
        <v>131</v>
      </c>
      <c r="K1093" s="3">
        <v>7</v>
      </c>
      <c r="L1093" s="3">
        <v>2728.97</v>
      </c>
      <c r="M1093" s="3">
        <v>19102.79</v>
      </c>
      <c r="N1093" s="3">
        <v>11081.88</v>
      </c>
      <c r="O1093" s="3">
        <v>8020.91</v>
      </c>
      <c r="P1093" s="3" t="s">
        <v>86</v>
      </c>
    </row>
    <row r="1094" spans="1:16" x14ac:dyDescent="0.35">
      <c r="A1094" s="3" t="s">
        <v>2189</v>
      </c>
      <c r="B1094" s="3" t="s">
        <v>1667</v>
      </c>
      <c r="C1094" s="3" t="s">
        <v>48</v>
      </c>
      <c r="D1094" s="3" t="s">
        <v>90</v>
      </c>
      <c r="E1094" s="3" t="s">
        <v>119</v>
      </c>
      <c r="F1094" s="3" t="s">
        <v>120</v>
      </c>
      <c r="G1094" s="3" t="s">
        <v>22</v>
      </c>
      <c r="H1094" s="3" t="s">
        <v>93</v>
      </c>
      <c r="I1094" s="3" t="s">
        <v>283</v>
      </c>
      <c r="J1094" s="3" t="s">
        <v>106</v>
      </c>
      <c r="K1094" s="3">
        <v>7</v>
      </c>
      <c r="L1094" s="3">
        <v>7197.03</v>
      </c>
      <c r="M1094" s="3">
        <v>50379.21</v>
      </c>
      <c r="N1094" s="3">
        <v>35661.800000000003</v>
      </c>
      <c r="O1094" s="3">
        <v>14717.41</v>
      </c>
      <c r="P1094" s="3" t="s">
        <v>34</v>
      </c>
    </row>
    <row r="1095" spans="1:16" x14ac:dyDescent="0.35">
      <c r="A1095" s="3" t="s">
        <v>2190</v>
      </c>
      <c r="B1095" s="3" t="s">
        <v>212</v>
      </c>
      <c r="C1095" s="3" t="s">
        <v>37</v>
      </c>
      <c r="D1095" s="3" t="s">
        <v>38</v>
      </c>
      <c r="E1095" s="3" t="s">
        <v>104</v>
      </c>
      <c r="F1095" s="3" t="s">
        <v>104</v>
      </c>
      <c r="G1095" s="3" t="s">
        <v>51</v>
      </c>
      <c r="H1095" s="3" t="s">
        <v>77</v>
      </c>
      <c r="I1095" s="3" t="s">
        <v>872</v>
      </c>
      <c r="J1095" s="3" t="s">
        <v>79</v>
      </c>
      <c r="K1095" s="3">
        <v>5</v>
      </c>
      <c r="L1095" s="3">
        <v>12756</v>
      </c>
      <c r="M1095" s="3">
        <v>63780</v>
      </c>
      <c r="N1095" s="3">
        <v>46605.68</v>
      </c>
      <c r="O1095" s="3">
        <v>17174.32</v>
      </c>
      <c r="P1095" s="3" t="s">
        <v>86</v>
      </c>
    </row>
    <row r="1096" spans="1:16" x14ac:dyDescent="0.35">
      <c r="A1096" s="3" t="s">
        <v>2191</v>
      </c>
      <c r="B1096" s="3" t="s">
        <v>2041</v>
      </c>
      <c r="C1096" s="3" t="s">
        <v>89</v>
      </c>
      <c r="D1096" s="3" t="s">
        <v>19</v>
      </c>
      <c r="E1096" s="3" t="s">
        <v>20</v>
      </c>
      <c r="F1096" s="3" t="s">
        <v>21</v>
      </c>
      <c r="G1096" s="3" t="s">
        <v>41</v>
      </c>
      <c r="H1096" s="3" t="s">
        <v>42</v>
      </c>
      <c r="I1096" s="3" t="s">
        <v>53</v>
      </c>
      <c r="J1096" s="3" t="s">
        <v>171</v>
      </c>
      <c r="K1096" s="3">
        <v>7</v>
      </c>
      <c r="L1096" s="3">
        <v>41620.94</v>
      </c>
      <c r="M1096" s="3">
        <v>291346.58</v>
      </c>
      <c r="N1096" s="3">
        <v>247129.42</v>
      </c>
      <c r="O1096" s="3">
        <v>44217.16</v>
      </c>
      <c r="P1096" s="3" t="s">
        <v>45</v>
      </c>
    </row>
    <row r="1097" spans="1:16" x14ac:dyDescent="0.35">
      <c r="A1097" s="3" t="s">
        <v>2192</v>
      </c>
      <c r="B1097" s="3" t="s">
        <v>507</v>
      </c>
      <c r="C1097" s="3" t="s">
        <v>118</v>
      </c>
      <c r="D1097" s="3" t="s">
        <v>58</v>
      </c>
      <c r="E1097" s="3" t="s">
        <v>59</v>
      </c>
      <c r="F1097" s="3" t="s">
        <v>60</v>
      </c>
      <c r="G1097" s="3" t="s">
        <v>22</v>
      </c>
      <c r="H1097" s="3" t="s">
        <v>93</v>
      </c>
      <c r="I1097" s="3" t="s">
        <v>371</v>
      </c>
      <c r="J1097" s="3" t="s">
        <v>85</v>
      </c>
      <c r="K1097" s="3">
        <v>2</v>
      </c>
      <c r="L1097" s="3">
        <v>7191.14</v>
      </c>
      <c r="M1097" s="3">
        <v>14382.28</v>
      </c>
      <c r="N1097" s="3">
        <v>9868.25</v>
      </c>
      <c r="O1097" s="3">
        <v>4514.03</v>
      </c>
      <c r="P1097" s="3" t="s">
        <v>45</v>
      </c>
    </row>
    <row r="1098" spans="1:16" x14ac:dyDescent="0.35">
      <c r="A1098" s="3" t="s">
        <v>2193</v>
      </c>
      <c r="B1098" s="3" t="s">
        <v>1578</v>
      </c>
      <c r="C1098" s="3" t="s">
        <v>137</v>
      </c>
      <c r="D1098" s="3" t="s">
        <v>19</v>
      </c>
      <c r="E1098" s="3" t="s">
        <v>199</v>
      </c>
      <c r="F1098" s="3" t="s">
        <v>200</v>
      </c>
      <c r="G1098" s="3" t="s">
        <v>30</v>
      </c>
      <c r="H1098" s="3" t="s">
        <v>31</v>
      </c>
      <c r="I1098" s="3" t="s">
        <v>975</v>
      </c>
      <c r="J1098" s="3" t="s">
        <v>147</v>
      </c>
      <c r="K1098" s="3">
        <v>5</v>
      </c>
      <c r="L1098" s="3">
        <v>2662.03</v>
      </c>
      <c r="M1098" s="3">
        <v>13310.15</v>
      </c>
      <c r="N1098" s="3">
        <v>9168.6</v>
      </c>
      <c r="O1098" s="3">
        <v>4141.55</v>
      </c>
      <c r="P1098" s="3" t="s">
        <v>86</v>
      </c>
    </row>
    <row r="1099" spans="1:16" x14ac:dyDescent="0.35">
      <c r="A1099" s="3" t="s">
        <v>2194</v>
      </c>
      <c r="B1099" s="3" t="s">
        <v>2089</v>
      </c>
      <c r="C1099" s="3" t="s">
        <v>29</v>
      </c>
      <c r="D1099" s="3" t="s">
        <v>90</v>
      </c>
      <c r="E1099" s="3" t="s">
        <v>91</v>
      </c>
      <c r="F1099" s="3" t="s">
        <v>92</v>
      </c>
      <c r="G1099" s="3" t="s">
        <v>30</v>
      </c>
      <c r="H1099" s="3" t="s">
        <v>31</v>
      </c>
      <c r="I1099" s="3" t="s">
        <v>2195</v>
      </c>
      <c r="J1099" s="3" t="s">
        <v>131</v>
      </c>
      <c r="K1099" s="3">
        <v>5</v>
      </c>
      <c r="L1099" s="3">
        <v>2557.46</v>
      </c>
      <c r="M1099" s="3">
        <v>12787.3</v>
      </c>
      <c r="N1099" s="3">
        <v>9901.08</v>
      </c>
      <c r="O1099" s="3">
        <v>2886.22</v>
      </c>
      <c r="P1099" s="3" t="s">
        <v>34</v>
      </c>
    </row>
    <row r="1100" spans="1:16" x14ac:dyDescent="0.35">
      <c r="A1100" s="3" t="s">
        <v>2196</v>
      </c>
      <c r="B1100" s="3" t="s">
        <v>2197</v>
      </c>
      <c r="C1100" s="3" t="s">
        <v>18</v>
      </c>
      <c r="D1100" s="3" t="s">
        <v>58</v>
      </c>
      <c r="E1100" s="3" t="s">
        <v>59</v>
      </c>
      <c r="F1100" s="3" t="s">
        <v>60</v>
      </c>
      <c r="G1100" s="3" t="s">
        <v>22</v>
      </c>
      <c r="H1100" s="3" t="s">
        <v>23</v>
      </c>
      <c r="I1100" s="3" t="s">
        <v>2198</v>
      </c>
      <c r="J1100" s="3" t="s">
        <v>33</v>
      </c>
      <c r="K1100" s="3">
        <v>5</v>
      </c>
      <c r="L1100" s="3">
        <v>3489.44</v>
      </c>
      <c r="M1100" s="3">
        <v>17447.2</v>
      </c>
      <c r="N1100" s="3">
        <v>10542.96</v>
      </c>
      <c r="O1100" s="3">
        <v>6904.24</v>
      </c>
      <c r="P1100" s="3" t="s">
        <v>45</v>
      </c>
    </row>
    <row r="1101" spans="1:16" x14ac:dyDescent="0.35">
      <c r="A1101" s="3" t="s">
        <v>2199</v>
      </c>
      <c r="B1101" s="3" t="s">
        <v>183</v>
      </c>
      <c r="C1101" s="3" t="s">
        <v>114</v>
      </c>
      <c r="D1101" s="3" t="s">
        <v>58</v>
      </c>
      <c r="E1101" s="3" t="s">
        <v>176</v>
      </c>
      <c r="F1101" s="3" t="s">
        <v>177</v>
      </c>
      <c r="G1101" s="3" t="s">
        <v>41</v>
      </c>
      <c r="H1101" s="3" t="s">
        <v>138</v>
      </c>
      <c r="I1101" s="3" t="s">
        <v>1825</v>
      </c>
      <c r="J1101" s="3" t="s">
        <v>85</v>
      </c>
      <c r="K1101" s="3">
        <v>3</v>
      </c>
      <c r="L1101" s="3">
        <v>17351.580000000002</v>
      </c>
      <c r="M1101" s="3">
        <v>52054.74</v>
      </c>
      <c r="N1101" s="3">
        <v>43167.61</v>
      </c>
      <c r="O1101" s="3">
        <v>8887.1299999999992</v>
      </c>
      <c r="P1101" s="3" t="s">
        <v>34</v>
      </c>
    </row>
    <row r="1102" spans="1:16" x14ac:dyDescent="0.35">
      <c r="A1102" s="3" t="s">
        <v>2200</v>
      </c>
      <c r="B1102" s="3" t="s">
        <v>2127</v>
      </c>
      <c r="C1102" s="3" t="s">
        <v>48</v>
      </c>
      <c r="D1102" s="3" t="s">
        <v>19</v>
      </c>
      <c r="E1102" s="3" t="s">
        <v>20</v>
      </c>
      <c r="F1102" s="3" t="s">
        <v>21</v>
      </c>
      <c r="G1102" s="3" t="s">
        <v>41</v>
      </c>
      <c r="H1102" s="3" t="s">
        <v>42</v>
      </c>
      <c r="I1102" s="3" t="s">
        <v>2201</v>
      </c>
      <c r="J1102" s="3" t="s">
        <v>106</v>
      </c>
      <c r="K1102" s="3">
        <v>7</v>
      </c>
      <c r="L1102" s="3">
        <v>49130.05</v>
      </c>
      <c r="M1102" s="3">
        <v>343910.35</v>
      </c>
      <c r="N1102" s="3">
        <v>241825.45</v>
      </c>
      <c r="O1102" s="3">
        <v>102084.9</v>
      </c>
      <c r="P1102" s="3" t="s">
        <v>69</v>
      </c>
    </row>
    <row r="1103" spans="1:16" x14ac:dyDescent="0.35">
      <c r="A1103" s="3" t="s">
        <v>2202</v>
      </c>
      <c r="B1103" s="3" t="s">
        <v>412</v>
      </c>
      <c r="C1103" s="3" t="s">
        <v>48</v>
      </c>
      <c r="D1103" s="3" t="s">
        <v>38</v>
      </c>
      <c r="E1103" s="3" t="s">
        <v>104</v>
      </c>
      <c r="F1103" s="3" t="s">
        <v>104</v>
      </c>
      <c r="G1103" s="3" t="s">
        <v>51</v>
      </c>
      <c r="H1103" s="3" t="s">
        <v>52</v>
      </c>
      <c r="I1103" s="3" t="s">
        <v>1647</v>
      </c>
      <c r="J1103" s="3" t="s">
        <v>171</v>
      </c>
      <c r="K1103" s="3">
        <v>6</v>
      </c>
      <c r="L1103" s="3">
        <v>23.44</v>
      </c>
      <c r="M1103" s="3">
        <v>140.63999999999999</v>
      </c>
      <c r="N1103" s="3">
        <v>60.54</v>
      </c>
      <c r="O1103" s="3">
        <v>80.099999999999994</v>
      </c>
      <c r="P1103" s="3" t="s">
        <v>69</v>
      </c>
    </row>
    <row r="1104" spans="1:16" x14ac:dyDescent="0.35">
      <c r="A1104" s="3" t="s">
        <v>2203</v>
      </c>
      <c r="B1104" s="3" t="s">
        <v>1098</v>
      </c>
      <c r="C1104" s="3" t="s">
        <v>57</v>
      </c>
      <c r="D1104" s="3" t="s">
        <v>90</v>
      </c>
      <c r="E1104" s="3" t="s">
        <v>119</v>
      </c>
      <c r="F1104" s="3" t="s">
        <v>120</v>
      </c>
      <c r="G1104" s="3" t="s">
        <v>51</v>
      </c>
      <c r="H1104" s="3" t="s">
        <v>145</v>
      </c>
      <c r="I1104" s="3" t="s">
        <v>2204</v>
      </c>
      <c r="J1104" s="3" t="s">
        <v>54</v>
      </c>
      <c r="K1104" s="3">
        <v>6</v>
      </c>
      <c r="L1104" s="3">
        <v>122.89</v>
      </c>
      <c r="M1104" s="3">
        <v>737.34</v>
      </c>
      <c r="N1104" s="3">
        <v>354.27</v>
      </c>
      <c r="O1104" s="3">
        <v>383.07</v>
      </c>
      <c r="P1104" s="3" t="s">
        <v>69</v>
      </c>
    </row>
    <row r="1105" spans="1:16" x14ac:dyDescent="0.35">
      <c r="A1105" s="3" t="s">
        <v>2205</v>
      </c>
      <c r="B1105" s="3" t="s">
        <v>599</v>
      </c>
      <c r="C1105" s="3" t="s">
        <v>82</v>
      </c>
      <c r="D1105" s="3" t="s">
        <v>90</v>
      </c>
      <c r="E1105" s="3" t="s">
        <v>91</v>
      </c>
      <c r="F1105" s="3" t="s">
        <v>92</v>
      </c>
      <c r="G1105" s="3" t="s">
        <v>30</v>
      </c>
      <c r="H1105" s="3" t="s">
        <v>67</v>
      </c>
      <c r="I1105" s="3" t="s">
        <v>928</v>
      </c>
      <c r="J1105" s="3" t="s">
        <v>85</v>
      </c>
      <c r="K1105" s="3">
        <v>7</v>
      </c>
      <c r="L1105" s="3">
        <v>9703.66</v>
      </c>
      <c r="M1105" s="3">
        <v>67925.62</v>
      </c>
      <c r="N1105" s="3">
        <v>55705.8</v>
      </c>
      <c r="O1105" s="3">
        <v>12219.82</v>
      </c>
      <c r="P1105" s="3" t="s">
        <v>34</v>
      </c>
    </row>
    <row r="1106" spans="1:16" x14ac:dyDescent="0.35">
      <c r="A1106" s="3" t="s">
        <v>2206</v>
      </c>
      <c r="B1106" s="3" t="s">
        <v>96</v>
      </c>
      <c r="C1106" s="3" t="s">
        <v>48</v>
      </c>
      <c r="D1106" s="3" t="s">
        <v>19</v>
      </c>
      <c r="E1106" s="3" t="s">
        <v>49</v>
      </c>
      <c r="F1106" s="3" t="s">
        <v>50</v>
      </c>
      <c r="G1106" s="3" t="s">
        <v>30</v>
      </c>
      <c r="H1106" s="3" t="s">
        <v>67</v>
      </c>
      <c r="I1106" s="3" t="s">
        <v>184</v>
      </c>
      <c r="J1106" s="3" t="s">
        <v>54</v>
      </c>
      <c r="K1106" s="3">
        <v>6</v>
      </c>
      <c r="L1106" s="3">
        <v>9129.7999999999993</v>
      </c>
      <c r="M1106" s="3">
        <v>54778.8</v>
      </c>
      <c r="N1106" s="3">
        <v>45609.73</v>
      </c>
      <c r="O1106" s="3">
        <v>9169.07</v>
      </c>
      <c r="P1106" s="3" t="s">
        <v>69</v>
      </c>
    </row>
    <row r="1107" spans="1:16" x14ac:dyDescent="0.35">
      <c r="A1107" s="3" t="s">
        <v>2207</v>
      </c>
      <c r="B1107" s="3" t="s">
        <v>339</v>
      </c>
      <c r="C1107" s="3" t="s">
        <v>29</v>
      </c>
      <c r="D1107" s="3" t="s">
        <v>58</v>
      </c>
      <c r="E1107" s="3" t="s">
        <v>59</v>
      </c>
      <c r="F1107" s="3" t="s">
        <v>60</v>
      </c>
      <c r="G1107" s="3" t="s">
        <v>30</v>
      </c>
      <c r="H1107" s="3" t="s">
        <v>31</v>
      </c>
      <c r="I1107" s="3" t="s">
        <v>1736</v>
      </c>
      <c r="J1107" s="3" t="s">
        <v>188</v>
      </c>
      <c r="K1107" s="3">
        <v>4</v>
      </c>
      <c r="L1107" s="3">
        <v>2911.48</v>
      </c>
      <c r="M1107" s="3">
        <v>11645.92</v>
      </c>
      <c r="N1107" s="3">
        <v>7627.87</v>
      </c>
      <c r="O1107" s="3">
        <v>4018.05</v>
      </c>
      <c r="P1107" s="3" t="s">
        <v>26</v>
      </c>
    </row>
    <row r="1108" spans="1:16" x14ac:dyDescent="0.35">
      <c r="A1108" s="3" t="s">
        <v>2208</v>
      </c>
      <c r="B1108" s="3" t="s">
        <v>1082</v>
      </c>
      <c r="C1108" s="3" t="s">
        <v>114</v>
      </c>
      <c r="D1108" s="3" t="s">
        <v>90</v>
      </c>
      <c r="E1108" s="3" t="s">
        <v>119</v>
      </c>
      <c r="F1108" s="3" t="s">
        <v>120</v>
      </c>
      <c r="G1108" s="3" t="s">
        <v>41</v>
      </c>
      <c r="H1108" s="3" t="s">
        <v>42</v>
      </c>
      <c r="I1108" s="3" t="s">
        <v>2209</v>
      </c>
      <c r="J1108" s="3" t="s">
        <v>131</v>
      </c>
      <c r="K1108" s="3">
        <v>8</v>
      </c>
      <c r="L1108" s="3">
        <v>47762.2</v>
      </c>
      <c r="M1108" s="3">
        <v>382097.6</v>
      </c>
      <c r="N1108" s="3">
        <v>275493.7</v>
      </c>
      <c r="O1108" s="3">
        <v>106603.9</v>
      </c>
      <c r="P1108" s="3" t="s">
        <v>34</v>
      </c>
    </row>
    <row r="1109" spans="1:16" x14ac:dyDescent="0.35">
      <c r="A1109" s="3" t="s">
        <v>2210</v>
      </c>
      <c r="B1109" s="3" t="s">
        <v>2211</v>
      </c>
      <c r="C1109" s="3" t="s">
        <v>72</v>
      </c>
      <c r="D1109" s="3" t="s">
        <v>38</v>
      </c>
      <c r="E1109" s="3" t="s">
        <v>109</v>
      </c>
      <c r="F1109" s="3" t="s">
        <v>110</v>
      </c>
      <c r="G1109" s="3" t="s">
        <v>22</v>
      </c>
      <c r="H1109" s="3" t="s">
        <v>23</v>
      </c>
      <c r="I1109" s="3" t="s">
        <v>1059</v>
      </c>
      <c r="J1109" s="3" t="s">
        <v>217</v>
      </c>
      <c r="K1109" s="3">
        <v>8</v>
      </c>
      <c r="L1109" s="3">
        <v>3294.44</v>
      </c>
      <c r="M1109" s="3">
        <v>26355.52</v>
      </c>
      <c r="N1109" s="3">
        <v>18357.439999999999</v>
      </c>
      <c r="O1109" s="3">
        <v>7998.08</v>
      </c>
      <c r="P1109" s="3" t="s">
        <v>86</v>
      </c>
    </row>
    <row r="1110" spans="1:16" x14ac:dyDescent="0.35">
      <c r="A1110" s="3" t="s">
        <v>2212</v>
      </c>
      <c r="B1110" s="3" t="s">
        <v>1435</v>
      </c>
      <c r="C1110" s="3" t="s">
        <v>137</v>
      </c>
      <c r="D1110" s="3" t="s">
        <v>90</v>
      </c>
      <c r="E1110" s="3" t="s">
        <v>91</v>
      </c>
      <c r="F1110" s="3" t="s">
        <v>92</v>
      </c>
      <c r="G1110" s="3" t="s">
        <v>51</v>
      </c>
      <c r="H1110" s="3" t="s">
        <v>77</v>
      </c>
      <c r="I1110" s="3" t="s">
        <v>2213</v>
      </c>
      <c r="J1110" s="3" t="s">
        <v>25</v>
      </c>
      <c r="K1110" s="3">
        <v>8</v>
      </c>
      <c r="L1110" s="3">
        <v>11349.71</v>
      </c>
      <c r="M1110" s="3">
        <v>90797.68</v>
      </c>
      <c r="N1110" s="3">
        <v>71010.350000000006</v>
      </c>
      <c r="O1110" s="3">
        <v>19787.330000000002</v>
      </c>
      <c r="P1110" s="3" t="s">
        <v>69</v>
      </c>
    </row>
    <row r="1111" spans="1:16" x14ac:dyDescent="0.35">
      <c r="A1111" s="3" t="s">
        <v>2214</v>
      </c>
      <c r="B1111" s="3" t="s">
        <v>412</v>
      </c>
      <c r="C1111" s="3" t="s">
        <v>48</v>
      </c>
      <c r="D1111" s="3" t="s">
        <v>90</v>
      </c>
      <c r="E1111" s="3" t="s">
        <v>97</v>
      </c>
      <c r="F1111" s="3" t="s">
        <v>98</v>
      </c>
      <c r="G1111" s="3" t="s">
        <v>41</v>
      </c>
      <c r="H1111" s="3" t="s">
        <v>61</v>
      </c>
      <c r="I1111" s="3" t="s">
        <v>2215</v>
      </c>
      <c r="J1111" s="3" t="s">
        <v>154</v>
      </c>
      <c r="K1111" s="3">
        <v>3</v>
      </c>
      <c r="L1111" s="3">
        <v>2656.76</v>
      </c>
      <c r="M1111" s="3">
        <v>7970.28</v>
      </c>
      <c r="N1111" s="3">
        <v>4925.3</v>
      </c>
      <c r="O1111" s="3">
        <v>3044.98</v>
      </c>
      <c r="P1111" s="3" t="s">
        <v>34</v>
      </c>
    </row>
    <row r="1112" spans="1:16" x14ac:dyDescent="0.35">
      <c r="A1112" s="3" t="s">
        <v>2216</v>
      </c>
      <c r="B1112" s="3" t="s">
        <v>705</v>
      </c>
      <c r="C1112" s="3" t="s">
        <v>82</v>
      </c>
      <c r="D1112" s="3" t="s">
        <v>58</v>
      </c>
      <c r="E1112" s="3" t="s">
        <v>65</v>
      </c>
      <c r="F1112" s="3" t="s">
        <v>66</v>
      </c>
      <c r="G1112" s="3" t="s">
        <v>41</v>
      </c>
      <c r="H1112" s="3" t="s">
        <v>61</v>
      </c>
      <c r="I1112" s="3" t="s">
        <v>2025</v>
      </c>
      <c r="J1112" s="3" t="s">
        <v>54</v>
      </c>
      <c r="K1112" s="3">
        <v>5</v>
      </c>
      <c r="L1112" s="3">
        <v>2570.2199999999998</v>
      </c>
      <c r="M1112" s="3">
        <v>12851.1</v>
      </c>
      <c r="N1112" s="3">
        <v>7999.63</v>
      </c>
      <c r="O1112" s="3">
        <v>4851.47</v>
      </c>
      <c r="P1112" s="3" t="s">
        <v>45</v>
      </c>
    </row>
    <row r="1113" spans="1:16" x14ac:dyDescent="0.35">
      <c r="A1113" s="3" t="s">
        <v>2217</v>
      </c>
      <c r="B1113" s="3" t="s">
        <v>2041</v>
      </c>
      <c r="C1113" s="3" t="s">
        <v>89</v>
      </c>
      <c r="D1113" s="3" t="s">
        <v>58</v>
      </c>
      <c r="E1113" s="3" t="s">
        <v>65</v>
      </c>
      <c r="F1113" s="3" t="s">
        <v>66</v>
      </c>
      <c r="G1113" s="3" t="s">
        <v>22</v>
      </c>
      <c r="H1113" s="3" t="s">
        <v>83</v>
      </c>
      <c r="I1113" s="3" t="s">
        <v>1821</v>
      </c>
      <c r="J1113" s="3" t="s">
        <v>54</v>
      </c>
      <c r="K1113" s="3">
        <v>7</v>
      </c>
      <c r="L1113" s="3">
        <v>23698.68</v>
      </c>
      <c r="M1113" s="3">
        <v>165890.76</v>
      </c>
      <c r="N1113" s="3">
        <v>124497.87</v>
      </c>
      <c r="O1113" s="3">
        <v>41392.89</v>
      </c>
      <c r="P1113" s="3" t="s">
        <v>26</v>
      </c>
    </row>
    <row r="1114" spans="1:16" x14ac:dyDescent="0.35">
      <c r="A1114" s="3" t="s">
        <v>2218</v>
      </c>
      <c r="B1114" s="3" t="s">
        <v>136</v>
      </c>
      <c r="C1114" s="3" t="s">
        <v>137</v>
      </c>
      <c r="D1114" s="3" t="s">
        <v>19</v>
      </c>
      <c r="E1114" s="3" t="s">
        <v>199</v>
      </c>
      <c r="F1114" s="3" t="s">
        <v>200</v>
      </c>
      <c r="G1114" s="3" t="s">
        <v>41</v>
      </c>
      <c r="H1114" s="3" t="s">
        <v>61</v>
      </c>
      <c r="I1114" s="3" t="s">
        <v>2219</v>
      </c>
      <c r="J1114" s="3" t="s">
        <v>25</v>
      </c>
      <c r="K1114" s="3">
        <v>1</v>
      </c>
      <c r="L1114" s="3">
        <v>2254.1999999999998</v>
      </c>
      <c r="M1114" s="3">
        <v>2254.1999999999998</v>
      </c>
      <c r="N1114" s="3">
        <v>1531.89</v>
      </c>
      <c r="O1114" s="3">
        <v>722.31</v>
      </c>
      <c r="P1114" s="3" t="s">
        <v>34</v>
      </c>
    </row>
    <row r="1115" spans="1:16" x14ac:dyDescent="0.35">
      <c r="A1115" s="3" t="s">
        <v>2220</v>
      </c>
      <c r="B1115" s="3" t="s">
        <v>1053</v>
      </c>
      <c r="C1115" s="3" t="s">
        <v>82</v>
      </c>
      <c r="D1115" s="3" t="s">
        <v>90</v>
      </c>
      <c r="E1115" s="3" t="s">
        <v>91</v>
      </c>
      <c r="F1115" s="3" t="s">
        <v>92</v>
      </c>
      <c r="G1115" s="3" t="s">
        <v>41</v>
      </c>
      <c r="H1115" s="3" t="s">
        <v>138</v>
      </c>
      <c r="I1115" s="3" t="s">
        <v>2204</v>
      </c>
      <c r="J1115" s="3" t="s">
        <v>25</v>
      </c>
      <c r="K1115" s="3">
        <v>2</v>
      </c>
      <c r="L1115" s="3">
        <v>16537.560000000001</v>
      </c>
      <c r="M1115" s="3">
        <v>33075.120000000003</v>
      </c>
      <c r="N1115" s="3">
        <v>27700.99</v>
      </c>
      <c r="O1115" s="3">
        <v>5374.13</v>
      </c>
      <c r="P1115" s="3" t="s">
        <v>69</v>
      </c>
    </row>
    <row r="1116" spans="1:16" x14ac:dyDescent="0.35">
      <c r="A1116" s="3" t="s">
        <v>2221</v>
      </c>
      <c r="B1116" s="3" t="s">
        <v>2222</v>
      </c>
      <c r="C1116" s="3" t="s">
        <v>89</v>
      </c>
      <c r="D1116" s="3" t="s">
        <v>19</v>
      </c>
      <c r="E1116" s="3" t="s">
        <v>20</v>
      </c>
      <c r="F1116" s="3" t="s">
        <v>21</v>
      </c>
      <c r="G1116" s="3" t="s">
        <v>51</v>
      </c>
      <c r="H1116" s="3" t="s">
        <v>77</v>
      </c>
      <c r="I1116" s="3" t="s">
        <v>1153</v>
      </c>
      <c r="J1116" s="3" t="s">
        <v>85</v>
      </c>
      <c r="K1116" s="3">
        <v>8</v>
      </c>
      <c r="L1116" s="3">
        <v>11772.85</v>
      </c>
      <c r="M1116" s="3">
        <v>94182.8</v>
      </c>
      <c r="N1116" s="3">
        <v>68973.119999999995</v>
      </c>
      <c r="O1116" s="3">
        <v>25209.68</v>
      </c>
      <c r="P1116" s="3" t="s">
        <v>45</v>
      </c>
    </row>
    <row r="1117" spans="1:16" x14ac:dyDescent="0.35">
      <c r="A1117" s="3" t="s">
        <v>2223</v>
      </c>
      <c r="B1117" s="3" t="s">
        <v>723</v>
      </c>
      <c r="C1117" s="3" t="s">
        <v>137</v>
      </c>
      <c r="D1117" s="3" t="s">
        <v>38</v>
      </c>
      <c r="E1117" s="3" t="s">
        <v>109</v>
      </c>
      <c r="F1117" s="3" t="s">
        <v>110</v>
      </c>
      <c r="G1117" s="3" t="s">
        <v>51</v>
      </c>
      <c r="H1117" s="3" t="s">
        <v>145</v>
      </c>
      <c r="I1117" s="3" t="s">
        <v>1175</v>
      </c>
      <c r="J1117" s="3" t="s">
        <v>79</v>
      </c>
      <c r="K1117" s="3">
        <v>4</v>
      </c>
      <c r="L1117" s="3">
        <v>126.51</v>
      </c>
      <c r="M1117" s="3">
        <v>506.04</v>
      </c>
      <c r="N1117" s="3">
        <v>241.17</v>
      </c>
      <c r="O1117" s="3">
        <v>264.87</v>
      </c>
      <c r="P1117" s="3" t="s">
        <v>45</v>
      </c>
    </row>
    <row r="1118" spans="1:16" x14ac:dyDescent="0.35">
      <c r="A1118" s="3" t="s">
        <v>2224</v>
      </c>
      <c r="B1118" s="3" t="s">
        <v>1042</v>
      </c>
      <c r="C1118" s="3" t="s">
        <v>118</v>
      </c>
      <c r="D1118" s="3" t="s">
        <v>58</v>
      </c>
      <c r="E1118" s="3" t="s">
        <v>59</v>
      </c>
      <c r="F1118" s="3" t="s">
        <v>60</v>
      </c>
      <c r="G1118" s="3" t="s">
        <v>41</v>
      </c>
      <c r="H1118" s="3" t="s">
        <v>61</v>
      </c>
      <c r="I1118" s="3" t="s">
        <v>1361</v>
      </c>
      <c r="J1118" s="3" t="s">
        <v>54</v>
      </c>
      <c r="K1118" s="3">
        <v>1</v>
      </c>
      <c r="L1118" s="3">
        <v>2587.29</v>
      </c>
      <c r="M1118" s="3">
        <v>2587.29</v>
      </c>
      <c r="N1118" s="3">
        <v>1543.79</v>
      </c>
      <c r="O1118" s="3">
        <v>1043.5</v>
      </c>
      <c r="P1118" s="3" t="s">
        <v>34</v>
      </c>
    </row>
    <row r="1119" spans="1:16" x14ac:dyDescent="0.35">
      <c r="A1119" s="3" t="s">
        <v>2225</v>
      </c>
      <c r="B1119" s="3" t="s">
        <v>518</v>
      </c>
      <c r="C1119" s="3" t="s">
        <v>89</v>
      </c>
      <c r="D1119" s="3" t="s">
        <v>19</v>
      </c>
      <c r="E1119" s="3" t="s">
        <v>49</v>
      </c>
      <c r="F1119" s="3" t="s">
        <v>50</v>
      </c>
      <c r="G1119" s="3" t="s">
        <v>41</v>
      </c>
      <c r="H1119" s="3" t="s">
        <v>61</v>
      </c>
      <c r="I1119" s="3" t="s">
        <v>1926</v>
      </c>
      <c r="J1119" s="3" t="s">
        <v>100</v>
      </c>
      <c r="K1119" s="3">
        <v>5</v>
      </c>
      <c r="L1119" s="3">
        <v>2726.17</v>
      </c>
      <c r="M1119" s="3">
        <v>13630.85</v>
      </c>
      <c r="N1119" s="3">
        <v>7948.07</v>
      </c>
      <c r="O1119" s="3">
        <v>5682.78</v>
      </c>
      <c r="P1119" s="3" t="s">
        <v>86</v>
      </c>
    </row>
    <row r="1120" spans="1:16" x14ac:dyDescent="0.35">
      <c r="A1120" s="3" t="s">
        <v>2226</v>
      </c>
      <c r="B1120" s="3" t="s">
        <v>2227</v>
      </c>
      <c r="C1120" s="3" t="s">
        <v>72</v>
      </c>
      <c r="D1120" s="3" t="s">
        <v>58</v>
      </c>
      <c r="E1120" s="3" t="s">
        <v>176</v>
      </c>
      <c r="F1120" s="3" t="s">
        <v>177</v>
      </c>
      <c r="G1120" s="3" t="s">
        <v>41</v>
      </c>
      <c r="H1120" s="3" t="s">
        <v>42</v>
      </c>
      <c r="I1120" s="3" t="s">
        <v>2228</v>
      </c>
      <c r="J1120" s="3" t="s">
        <v>188</v>
      </c>
      <c r="K1120" s="3">
        <v>7</v>
      </c>
      <c r="L1120" s="3">
        <v>44401.919999999998</v>
      </c>
      <c r="M1120" s="3">
        <v>310813.44</v>
      </c>
      <c r="N1120" s="3">
        <v>247879.66</v>
      </c>
      <c r="O1120" s="3">
        <v>62933.78</v>
      </c>
      <c r="P1120" s="3" t="s">
        <v>86</v>
      </c>
    </row>
    <row r="1121" spans="1:16" x14ac:dyDescent="0.35">
      <c r="A1121" s="3" t="s">
        <v>2229</v>
      </c>
      <c r="B1121" s="3" t="s">
        <v>305</v>
      </c>
      <c r="C1121" s="3" t="s">
        <v>18</v>
      </c>
      <c r="D1121" s="3" t="s">
        <v>19</v>
      </c>
      <c r="E1121" s="3" t="s">
        <v>199</v>
      </c>
      <c r="F1121" s="3" t="s">
        <v>200</v>
      </c>
      <c r="G1121" s="3" t="s">
        <v>41</v>
      </c>
      <c r="H1121" s="3" t="s">
        <v>138</v>
      </c>
      <c r="I1121" s="3" t="s">
        <v>2230</v>
      </c>
      <c r="J1121" s="3" t="s">
        <v>131</v>
      </c>
      <c r="K1121" s="3">
        <v>5</v>
      </c>
      <c r="L1121" s="3">
        <v>19245.13</v>
      </c>
      <c r="M1121" s="3">
        <v>96225.65</v>
      </c>
      <c r="N1121" s="3">
        <v>70333.3</v>
      </c>
      <c r="O1121" s="3">
        <v>25892.35</v>
      </c>
      <c r="P1121" s="3" t="s">
        <v>86</v>
      </c>
    </row>
    <row r="1122" spans="1:16" x14ac:dyDescent="0.35">
      <c r="A1122" s="3" t="s">
        <v>2231</v>
      </c>
      <c r="B1122" s="3" t="s">
        <v>904</v>
      </c>
      <c r="C1122" s="3" t="s">
        <v>118</v>
      </c>
      <c r="D1122" s="3" t="s">
        <v>90</v>
      </c>
      <c r="E1122" s="3" t="s">
        <v>119</v>
      </c>
      <c r="F1122" s="3" t="s">
        <v>120</v>
      </c>
      <c r="G1122" s="3" t="s">
        <v>30</v>
      </c>
      <c r="H1122" s="3" t="s">
        <v>67</v>
      </c>
      <c r="I1122" s="3" t="s">
        <v>213</v>
      </c>
      <c r="J1122" s="3" t="s">
        <v>131</v>
      </c>
      <c r="K1122" s="3">
        <v>5</v>
      </c>
      <c r="L1122" s="3">
        <v>9954.2900000000009</v>
      </c>
      <c r="M1122" s="3">
        <v>49771.45</v>
      </c>
      <c r="N1122" s="3">
        <v>38142.050000000003</v>
      </c>
      <c r="O1122" s="3">
        <v>11629.4</v>
      </c>
      <c r="P1122" s="3" t="s">
        <v>86</v>
      </c>
    </row>
    <row r="1123" spans="1:16" x14ac:dyDescent="0.35">
      <c r="A1123" s="3" t="s">
        <v>2232</v>
      </c>
      <c r="B1123" s="3" t="s">
        <v>1301</v>
      </c>
      <c r="C1123" s="3" t="s">
        <v>18</v>
      </c>
      <c r="D1123" s="3" t="s">
        <v>90</v>
      </c>
      <c r="E1123" s="3" t="s">
        <v>91</v>
      </c>
      <c r="F1123" s="3" t="s">
        <v>92</v>
      </c>
      <c r="G1123" s="3" t="s">
        <v>41</v>
      </c>
      <c r="H1123" s="3" t="s">
        <v>138</v>
      </c>
      <c r="I1123" s="3" t="s">
        <v>2233</v>
      </c>
      <c r="J1123" s="3" t="s">
        <v>188</v>
      </c>
      <c r="K1123" s="3">
        <v>6</v>
      </c>
      <c r="L1123" s="3">
        <v>17966.93</v>
      </c>
      <c r="M1123" s="3">
        <v>107801.58</v>
      </c>
      <c r="N1123" s="3">
        <v>80592.08</v>
      </c>
      <c r="O1123" s="3">
        <v>27209.5</v>
      </c>
      <c r="P1123" s="3" t="s">
        <v>45</v>
      </c>
    </row>
    <row r="1124" spans="1:16" x14ac:dyDescent="0.35">
      <c r="A1124" s="3" t="s">
        <v>2234</v>
      </c>
      <c r="B1124" s="3" t="s">
        <v>1499</v>
      </c>
      <c r="C1124" s="3" t="s">
        <v>103</v>
      </c>
      <c r="D1124" s="3" t="s">
        <v>58</v>
      </c>
      <c r="E1124" s="3" t="s">
        <v>176</v>
      </c>
      <c r="F1124" s="3" t="s">
        <v>177</v>
      </c>
      <c r="G1124" s="3" t="s">
        <v>41</v>
      </c>
      <c r="H1124" s="3" t="s">
        <v>138</v>
      </c>
      <c r="I1124" s="3" t="s">
        <v>1415</v>
      </c>
      <c r="J1124" s="3" t="s">
        <v>154</v>
      </c>
      <c r="K1124" s="3">
        <v>4</v>
      </c>
      <c r="L1124" s="3">
        <v>18278.63</v>
      </c>
      <c r="M1124" s="3">
        <v>73114.52</v>
      </c>
      <c r="N1124" s="3">
        <v>54610.86</v>
      </c>
      <c r="O1124" s="3">
        <v>18503.66</v>
      </c>
      <c r="P1124" s="3" t="s">
        <v>34</v>
      </c>
    </row>
    <row r="1125" spans="1:16" x14ac:dyDescent="0.35">
      <c r="A1125" s="3" t="s">
        <v>2235</v>
      </c>
      <c r="B1125" s="3" t="s">
        <v>1999</v>
      </c>
      <c r="C1125" s="3" t="s">
        <v>114</v>
      </c>
      <c r="D1125" s="3" t="s">
        <v>38</v>
      </c>
      <c r="E1125" s="3" t="s">
        <v>109</v>
      </c>
      <c r="F1125" s="3" t="s">
        <v>110</v>
      </c>
      <c r="G1125" s="3" t="s">
        <v>41</v>
      </c>
      <c r="H1125" s="3" t="s">
        <v>42</v>
      </c>
      <c r="I1125" s="3" t="s">
        <v>1859</v>
      </c>
      <c r="J1125" s="3" t="s">
        <v>171</v>
      </c>
      <c r="K1125" s="3">
        <v>1</v>
      </c>
      <c r="L1125" s="3">
        <v>44302.9</v>
      </c>
      <c r="M1125" s="3">
        <v>44302.9</v>
      </c>
      <c r="N1125" s="3">
        <v>36266.230000000003</v>
      </c>
      <c r="O1125" s="3">
        <v>8036.67</v>
      </c>
      <c r="P1125" s="3" t="s">
        <v>86</v>
      </c>
    </row>
    <row r="1126" spans="1:16" x14ac:dyDescent="0.35">
      <c r="A1126" s="3" t="s">
        <v>2236</v>
      </c>
      <c r="B1126" s="3" t="s">
        <v>1182</v>
      </c>
      <c r="C1126" s="3" t="s">
        <v>48</v>
      </c>
      <c r="D1126" s="3" t="s">
        <v>38</v>
      </c>
      <c r="E1126" s="3" t="s">
        <v>109</v>
      </c>
      <c r="F1126" s="3" t="s">
        <v>110</v>
      </c>
      <c r="G1126" s="3" t="s">
        <v>51</v>
      </c>
      <c r="H1126" s="3" t="s">
        <v>145</v>
      </c>
      <c r="I1126" s="3" t="s">
        <v>1868</v>
      </c>
      <c r="J1126" s="3" t="s">
        <v>25</v>
      </c>
      <c r="K1126" s="3">
        <v>5</v>
      </c>
      <c r="L1126" s="3">
        <v>112.04</v>
      </c>
      <c r="M1126" s="3">
        <v>560.20000000000005</v>
      </c>
      <c r="N1126" s="3">
        <v>313.74</v>
      </c>
      <c r="O1126" s="3">
        <v>246.46</v>
      </c>
      <c r="P1126" s="3" t="s">
        <v>86</v>
      </c>
    </row>
    <row r="1127" spans="1:16" x14ac:dyDescent="0.35">
      <c r="A1127" s="3" t="s">
        <v>2237</v>
      </c>
      <c r="B1127" s="3" t="s">
        <v>1912</v>
      </c>
      <c r="C1127" s="3" t="s">
        <v>137</v>
      </c>
      <c r="D1127" s="3" t="s">
        <v>90</v>
      </c>
      <c r="E1127" s="3" t="s">
        <v>97</v>
      </c>
      <c r="F1127" s="3" t="s">
        <v>98</v>
      </c>
      <c r="G1127" s="3" t="s">
        <v>30</v>
      </c>
      <c r="H1127" s="3" t="s">
        <v>67</v>
      </c>
      <c r="I1127" s="3" t="s">
        <v>961</v>
      </c>
      <c r="J1127" s="3" t="s">
        <v>161</v>
      </c>
      <c r="K1127" s="3">
        <v>7</v>
      </c>
      <c r="L1127" s="3">
        <v>8747.9</v>
      </c>
      <c r="M1127" s="3">
        <v>61235.3</v>
      </c>
      <c r="N1127" s="3">
        <v>54771.72</v>
      </c>
      <c r="O1127" s="3">
        <v>6463.58</v>
      </c>
      <c r="P1127" s="3" t="s">
        <v>69</v>
      </c>
    </row>
    <row r="1128" spans="1:16" x14ac:dyDescent="0.35">
      <c r="A1128" s="3" t="s">
        <v>2238</v>
      </c>
      <c r="B1128" s="3" t="s">
        <v>370</v>
      </c>
      <c r="C1128" s="3" t="s">
        <v>137</v>
      </c>
      <c r="D1128" s="3" t="s">
        <v>19</v>
      </c>
      <c r="E1128" s="3" t="s">
        <v>20</v>
      </c>
      <c r="F1128" s="3" t="s">
        <v>21</v>
      </c>
      <c r="G1128" s="3" t="s">
        <v>41</v>
      </c>
      <c r="H1128" s="3" t="s">
        <v>61</v>
      </c>
      <c r="I1128" s="3" t="s">
        <v>2239</v>
      </c>
      <c r="J1128" s="3" t="s">
        <v>154</v>
      </c>
      <c r="K1128" s="3">
        <v>4</v>
      </c>
      <c r="L1128" s="3">
        <v>2261.39</v>
      </c>
      <c r="M1128" s="3">
        <v>9045.56</v>
      </c>
      <c r="N1128" s="3">
        <v>6415.32</v>
      </c>
      <c r="O1128" s="3">
        <v>2630.24</v>
      </c>
      <c r="P1128" s="3" t="s">
        <v>26</v>
      </c>
    </row>
    <row r="1129" spans="1:16" x14ac:dyDescent="0.35">
      <c r="A1129" s="3" t="s">
        <v>2240</v>
      </c>
      <c r="B1129" s="3" t="s">
        <v>911</v>
      </c>
      <c r="C1129" s="3" t="s">
        <v>72</v>
      </c>
      <c r="D1129" s="3" t="s">
        <v>58</v>
      </c>
      <c r="E1129" s="3" t="s">
        <v>65</v>
      </c>
      <c r="F1129" s="3" t="s">
        <v>66</v>
      </c>
      <c r="G1129" s="3" t="s">
        <v>30</v>
      </c>
      <c r="H1129" s="3" t="s">
        <v>31</v>
      </c>
      <c r="I1129" s="3" t="s">
        <v>1167</v>
      </c>
      <c r="J1129" s="3" t="s">
        <v>100</v>
      </c>
      <c r="K1129" s="3">
        <v>5</v>
      </c>
      <c r="L1129" s="3">
        <v>2616.39</v>
      </c>
      <c r="M1129" s="3">
        <v>13081.95</v>
      </c>
      <c r="N1129" s="3">
        <v>9884.4599999999991</v>
      </c>
      <c r="O1129" s="3">
        <v>3197.49</v>
      </c>
      <c r="P1129" s="3" t="s">
        <v>69</v>
      </c>
    </row>
    <row r="1130" spans="1:16" x14ac:dyDescent="0.35">
      <c r="A1130" s="3" t="s">
        <v>2241</v>
      </c>
      <c r="B1130" s="3" t="s">
        <v>318</v>
      </c>
      <c r="C1130" s="3" t="s">
        <v>37</v>
      </c>
      <c r="D1130" s="3" t="s">
        <v>38</v>
      </c>
      <c r="E1130" s="3" t="s">
        <v>109</v>
      </c>
      <c r="F1130" s="3" t="s">
        <v>110</v>
      </c>
      <c r="G1130" s="3" t="s">
        <v>51</v>
      </c>
      <c r="H1130" s="3" t="s">
        <v>77</v>
      </c>
      <c r="I1130" s="3" t="s">
        <v>2242</v>
      </c>
      <c r="J1130" s="3" t="s">
        <v>161</v>
      </c>
      <c r="K1130" s="3">
        <v>4</v>
      </c>
      <c r="L1130" s="3">
        <v>12907.84</v>
      </c>
      <c r="M1130" s="3">
        <v>51631.360000000001</v>
      </c>
      <c r="N1130" s="3">
        <v>36260.43</v>
      </c>
      <c r="O1130" s="3">
        <v>15370.93</v>
      </c>
      <c r="P1130" s="3" t="s">
        <v>34</v>
      </c>
    </row>
    <row r="1131" spans="1:16" x14ac:dyDescent="0.35">
      <c r="A1131" s="3" t="s">
        <v>2243</v>
      </c>
      <c r="B1131" s="3" t="s">
        <v>1910</v>
      </c>
      <c r="C1131" s="3" t="s">
        <v>29</v>
      </c>
      <c r="D1131" s="3" t="s">
        <v>19</v>
      </c>
      <c r="E1131" s="3" t="s">
        <v>49</v>
      </c>
      <c r="F1131" s="3" t="s">
        <v>50</v>
      </c>
      <c r="G1131" s="3" t="s">
        <v>51</v>
      </c>
      <c r="H1131" s="3" t="s">
        <v>145</v>
      </c>
      <c r="I1131" s="3" t="s">
        <v>741</v>
      </c>
      <c r="J1131" s="3" t="s">
        <v>131</v>
      </c>
      <c r="K1131" s="3">
        <v>7</v>
      </c>
      <c r="L1131" s="3">
        <v>108.73</v>
      </c>
      <c r="M1131" s="3">
        <v>761.11</v>
      </c>
      <c r="N1131" s="3">
        <v>410.15</v>
      </c>
      <c r="O1131" s="3">
        <v>350.96</v>
      </c>
      <c r="P1131" s="3" t="s">
        <v>34</v>
      </c>
    </row>
    <row r="1132" spans="1:16" x14ac:dyDescent="0.35">
      <c r="A1132" s="3" t="s">
        <v>2244</v>
      </c>
      <c r="B1132" s="3" t="s">
        <v>144</v>
      </c>
      <c r="C1132" s="3" t="s">
        <v>37</v>
      </c>
      <c r="D1132" s="3" t="s">
        <v>38</v>
      </c>
      <c r="E1132" s="3" t="s">
        <v>104</v>
      </c>
      <c r="F1132" s="3" t="s">
        <v>104</v>
      </c>
      <c r="G1132" s="3" t="s">
        <v>30</v>
      </c>
      <c r="H1132" s="3" t="s">
        <v>73</v>
      </c>
      <c r="I1132" s="3" t="s">
        <v>68</v>
      </c>
      <c r="J1132" s="3" t="s">
        <v>33</v>
      </c>
      <c r="K1132" s="3">
        <v>7</v>
      </c>
      <c r="L1132" s="3">
        <v>3267.67</v>
      </c>
      <c r="M1132" s="3">
        <v>22873.69</v>
      </c>
      <c r="N1132" s="3">
        <v>16585.3</v>
      </c>
      <c r="O1132" s="3">
        <v>6288.39</v>
      </c>
      <c r="P1132" s="3" t="s">
        <v>34</v>
      </c>
    </row>
    <row r="1133" spans="1:16" x14ac:dyDescent="0.35">
      <c r="A1133" s="3" t="s">
        <v>2245</v>
      </c>
      <c r="B1133" s="3" t="s">
        <v>1823</v>
      </c>
      <c r="C1133" s="3" t="s">
        <v>118</v>
      </c>
      <c r="D1133" s="3" t="s">
        <v>58</v>
      </c>
      <c r="E1133" s="3" t="s">
        <v>59</v>
      </c>
      <c r="F1133" s="3" t="s">
        <v>60</v>
      </c>
      <c r="G1133" s="3" t="s">
        <v>30</v>
      </c>
      <c r="H1133" s="3" t="s">
        <v>67</v>
      </c>
      <c r="I1133" s="3" t="s">
        <v>2246</v>
      </c>
      <c r="J1133" s="3" t="s">
        <v>85</v>
      </c>
      <c r="K1133" s="3">
        <v>3</v>
      </c>
      <c r="L1133" s="3">
        <v>8717.4699999999993</v>
      </c>
      <c r="M1133" s="3">
        <v>26152.41</v>
      </c>
      <c r="N1133" s="3">
        <v>22036.83</v>
      </c>
      <c r="O1133" s="3">
        <v>4115.58</v>
      </c>
      <c r="P1133" s="3" t="s">
        <v>45</v>
      </c>
    </row>
    <row r="1134" spans="1:16" x14ac:dyDescent="0.35">
      <c r="A1134" s="3" t="s">
        <v>2247</v>
      </c>
      <c r="B1134" s="3" t="s">
        <v>141</v>
      </c>
      <c r="C1134" s="3" t="s">
        <v>57</v>
      </c>
      <c r="D1134" s="3" t="s">
        <v>58</v>
      </c>
      <c r="E1134" s="3" t="s">
        <v>65</v>
      </c>
      <c r="F1134" s="3" t="s">
        <v>66</v>
      </c>
      <c r="G1134" s="3" t="s">
        <v>51</v>
      </c>
      <c r="H1134" s="3" t="s">
        <v>77</v>
      </c>
      <c r="I1134" s="3" t="s">
        <v>748</v>
      </c>
      <c r="J1134" s="3" t="s">
        <v>147</v>
      </c>
      <c r="K1134" s="3">
        <v>7</v>
      </c>
      <c r="L1134" s="3">
        <v>11696.65</v>
      </c>
      <c r="M1134" s="3">
        <v>81876.55</v>
      </c>
      <c r="N1134" s="3">
        <v>65843.039999999994</v>
      </c>
      <c r="O1134" s="3">
        <v>16033.51</v>
      </c>
      <c r="P1134" s="3" t="s">
        <v>45</v>
      </c>
    </row>
    <row r="1135" spans="1:16" x14ac:dyDescent="0.35">
      <c r="A1135" s="3" t="s">
        <v>2248</v>
      </c>
      <c r="B1135" s="3" t="s">
        <v>76</v>
      </c>
      <c r="C1135" s="3" t="s">
        <v>48</v>
      </c>
      <c r="D1135" s="3" t="s">
        <v>38</v>
      </c>
      <c r="E1135" s="3" t="s">
        <v>104</v>
      </c>
      <c r="F1135" s="3" t="s">
        <v>104</v>
      </c>
      <c r="G1135" s="3" t="s">
        <v>41</v>
      </c>
      <c r="H1135" s="3" t="s">
        <v>42</v>
      </c>
      <c r="I1135" s="3" t="s">
        <v>1825</v>
      </c>
      <c r="J1135" s="3" t="s">
        <v>79</v>
      </c>
      <c r="K1135" s="3">
        <v>2</v>
      </c>
      <c r="L1135" s="3">
        <v>48477.77</v>
      </c>
      <c r="M1135" s="3">
        <v>96955.54</v>
      </c>
      <c r="N1135" s="3">
        <v>71451.570000000007</v>
      </c>
      <c r="O1135" s="3">
        <v>25503.97</v>
      </c>
      <c r="P1135" s="3" t="s">
        <v>26</v>
      </c>
    </row>
    <row r="1136" spans="1:16" x14ac:dyDescent="0.35">
      <c r="A1136" s="3" t="s">
        <v>2249</v>
      </c>
      <c r="B1136" s="3" t="s">
        <v>228</v>
      </c>
      <c r="C1136" s="3" t="s">
        <v>114</v>
      </c>
      <c r="D1136" s="3" t="s">
        <v>19</v>
      </c>
      <c r="E1136" s="3" t="s">
        <v>20</v>
      </c>
      <c r="F1136" s="3" t="s">
        <v>21</v>
      </c>
      <c r="G1136" s="3" t="s">
        <v>22</v>
      </c>
      <c r="H1136" s="3" t="s">
        <v>93</v>
      </c>
      <c r="I1136" s="3" t="s">
        <v>2250</v>
      </c>
      <c r="J1136" s="3" t="s">
        <v>100</v>
      </c>
      <c r="K1136" s="3">
        <v>8</v>
      </c>
      <c r="L1136" s="3">
        <v>6888.68</v>
      </c>
      <c r="M1136" s="3">
        <v>55109.440000000002</v>
      </c>
      <c r="N1136" s="3">
        <v>41377.61</v>
      </c>
      <c r="O1136" s="3">
        <v>13731.83</v>
      </c>
      <c r="P1136" s="3" t="s">
        <v>26</v>
      </c>
    </row>
    <row r="1137" spans="1:16" x14ac:dyDescent="0.35">
      <c r="A1137" s="3" t="s">
        <v>2251</v>
      </c>
      <c r="B1137" s="3" t="s">
        <v>866</v>
      </c>
      <c r="C1137" s="3" t="s">
        <v>72</v>
      </c>
      <c r="D1137" s="3" t="s">
        <v>19</v>
      </c>
      <c r="E1137" s="3" t="s">
        <v>49</v>
      </c>
      <c r="F1137" s="3" t="s">
        <v>50</v>
      </c>
      <c r="G1137" s="3" t="s">
        <v>41</v>
      </c>
      <c r="H1137" s="3" t="s">
        <v>42</v>
      </c>
      <c r="I1137" s="3" t="s">
        <v>771</v>
      </c>
      <c r="J1137" s="3" t="s">
        <v>217</v>
      </c>
      <c r="K1137" s="3">
        <v>4</v>
      </c>
      <c r="L1137" s="3">
        <v>48649.53</v>
      </c>
      <c r="M1137" s="3">
        <v>194598.12</v>
      </c>
      <c r="N1137" s="3">
        <v>145747.62</v>
      </c>
      <c r="O1137" s="3">
        <v>48850.5</v>
      </c>
      <c r="P1137" s="3" t="s">
        <v>86</v>
      </c>
    </row>
    <row r="1138" spans="1:16" x14ac:dyDescent="0.35">
      <c r="A1138" s="3" t="s">
        <v>2252</v>
      </c>
      <c r="B1138" s="3" t="s">
        <v>856</v>
      </c>
      <c r="C1138" s="3" t="s">
        <v>103</v>
      </c>
      <c r="D1138" s="3" t="s">
        <v>19</v>
      </c>
      <c r="E1138" s="3" t="s">
        <v>49</v>
      </c>
      <c r="F1138" s="3" t="s">
        <v>50</v>
      </c>
      <c r="G1138" s="3" t="s">
        <v>22</v>
      </c>
      <c r="H1138" s="3" t="s">
        <v>93</v>
      </c>
      <c r="I1138" s="3" t="s">
        <v>563</v>
      </c>
      <c r="J1138" s="3" t="s">
        <v>188</v>
      </c>
      <c r="K1138" s="3">
        <v>1</v>
      </c>
      <c r="L1138" s="3">
        <v>6361.74</v>
      </c>
      <c r="M1138" s="3">
        <v>6361.74</v>
      </c>
      <c r="N1138" s="3">
        <v>4860.7299999999996</v>
      </c>
      <c r="O1138" s="3">
        <v>1501.01</v>
      </c>
      <c r="P1138" s="3" t="s">
        <v>86</v>
      </c>
    </row>
    <row r="1139" spans="1:16" x14ac:dyDescent="0.35">
      <c r="A1139" s="3" t="s">
        <v>2253</v>
      </c>
      <c r="B1139" s="3" t="s">
        <v>407</v>
      </c>
      <c r="C1139" s="3" t="s">
        <v>48</v>
      </c>
      <c r="D1139" s="3" t="s">
        <v>38</v>
      </c>
      <c r="E1139" s="3" t="s">
        <v>39</v>
      </c>
      <c r="F1139" s="3" t="s">
        <v>40</v>
      </c>
      <c r="G1139" s="3" t="s">
        <v>22</v>
      </c>
      <c r="H1139" s="3" t="s">
        <v>23</v>
      </c>
      <c r="I1139" s="3" t="s">
        <v>2254</v>
      </c>
      <c r="J1139" s="3" t="s">
        <v>25</v>
      </c>
      <c r="K1139" s="3">
        <v>6</v>
      </c>
      <c r="L1139" s="3">
        <v>3199.42</v>
      </c>
      <c r="M1139" s="3">
        <v>19196.52</v>
      </c>
      <c r="N1139" s="3">
        <v>12828.41</v>
      </c>
      <c r="O1139" s="3">
        <v>6368.11</v>
      </c>
      <c r="P1139" s="3" t="s">
        <v>45</v>
      </c>
    </row>
    <row r="1140" spans="1:16" x14ac:dyDescent="0.35">
      <c r="A1140" s="3" t="s">
        <v>2255</v>
      </c>
      <c r="B1140" s="3" t="s">
        <v>531</v>
      </c>
      <c r="C1140" s="3" t="s">
        <v>137</v>
      </c>
      <c r="D1140" s="3" t="s">
        <v>38</v>
      </c>
      <c r="E1140" s="3" t="s">
        <v>109</v>
      </c>
      <c r="F1140" s="3" t="s">
        <v>110</v>
      </c>
      <c r="G1140" s="3" t="s">
        <v>41</v>
      </c>
      <c r="H1140" s="3" t="s">
        <v>138</v>
      </c>
      <c r="I1140" s="3" t="s">
        <v>1483</v>
      </c>
      <c r="J1140" s="3" t="s">
        <v>25</v>
      </c>
      <c r="K1140" s="3">
        <v>2</v>
      </c>
      <c r="L1140" s="3">
        <v>19221.66</v>
      </c>
      <c r="M1140" s="3">
        <v>38443.32</v>
      </c>
      <c r="N1140" s="3">
        <v>29089.5</v>
      </c>
      <c r="O1140" s="3">
        <v>9353.82</v>
      </c>
      <c r="P1140" s="3" t="s">
        <v>26</v>
      </c>
    </row>
    <row r="1141" spans="1:16" x14ac:dyDescent="0.35">
      <c r="A1141" s="3" t="s">
        <v>2256</v>
      </c>
      <c r="B1141" s="3" t="s">
        <v>384</v>
      </c>
      <c r="C1141" s="3" t="s">
        <v>57</v>
      </c>
      <c r="D1141" s="3" t="s">
        <v>38</v>
      </c>
      <c r="E1141" s="3" t="s">
        <v>104</v>
      </c>
      <c r="F1141" s="3" t="s">
        <v>104</v>
      </c>
      <c r="G1141" s="3" t="s">
        <v>41</v>
      </c>
      <c r="H1141" s="3" t="s">
        <v>138</v>
      </c>
      <c r="I1141" s="3" t="s">
        <v>1637</v>
      </c>
      <c r="J1141" s="3" t="s">
        <v>85</v>
      </c>
      <c r="K1141" s="3">
        <v>8</v>
      </c>
      <c r="L1141" s="3">
        <v>19512.97</v>
      </c>
      <c r="M1141" s="3">
        <v>156103.76</v>
      </c>
      <c r="N1141" s="3">
        <v>114140.79</v>
      </c>
      <c r="O1141" s="3">
        <v>41962.97</v>
      </c>
      <c r="P1141" s="3" t="s">
        <v>86</v>
      </c>
    </row>
    <row r="1142" spans="1:16" x14ac:dyDescent="0.35">
      <c r="A1142" s="3" t="s">
        <v>2257</v>
      </c>
      <c r="B1142" s="3" t="s">
        <v>1383</v>
      </c>
      <c r="C1142" s="3" t="s">
        <v>18</v>
      </c>
      <c r="D1142" s="3" t="s">
        <v>19</v>
      </c>
      <c r="E1142" s="3" t="s">
        <v>199</v>
      </c>
      <c r="F1142" s="3" t="s">
        <v>200</v>
      </c>
      <c r="G1142" s="3" t="s">
        <v>41</v>
      </c>
      <c r="H1142" s="3" t="s">
        <v>42</v>
      </c>
      <c r="I1142" s="3" t="s">
        <v>379</v>
      </c>
      <c r="J1142" s="3" t="s">
        <v>54</v>
      </c>
      <c r="K1142" s="3">
        <v>8</v>
      </c>
      <c r="L1142" s="3">
        <v>42176.19</v>
      </c>
      <c r="M1142" s="3">
        <v>337409.52</v>
      </c>
      <c r="N1142" s="3">
        <v>286566.31</v>
      </c>
      <c r="O1142" s="3">
        <v>50843.21</v>
      </c>
      <c r="P1142" s="3" t="s">
        <v>34</v>
      </c>
    </row>
    <row r="1143" spans="1:16" x14ac:dyDescent="0.35">
      <c r="A1143" s="3" t="s">
        <v>2258</v>
      </c>
      <c r="B1143" s="3" t="s">
        <v>1687</v>
      </c>
      <c r="C1143" s="3" t="s">
        <v>18</v>
      </c>
      <c r="D1143" s="3" t="s">
        <v>58</v>
      </c>
      <c r="E1143" s="3" t="s">
        <v>176</v>
      </c>
      <c r="F1143" s="3" t="s">
        <v>177</v>
      </c>
      <c r="G1143" s="3" t="s">
        <v>51</v>
      </c>
      <c r="H1143" s="3" t="s">
        <v>77</v>
      </c>
      <c r="I1143" s="3" t="s">
        <v>1338</v>
      </c>
      <c r="J1143" s="3" t="s">
        <v>188</v>
      </c>
      <c r="K1143" s="3">
        <v>1</v>
      </c>
      <c r="L1143" s="3">
        <v>12454.21</v>
      </c>
      <c r="M1143" s="3">
        <v>12454.21</v>
      </c>
      <c r="N1143" s="3">
        <v>9411.09</v>
      </c>
      <c r="O1143" s="3">
        <v>3043.12</v>
      </c>
      <c r="P1143" s="3" t="s">
        <v>45</v>
      </c>
    </row>
    <row r="1144" spans="1:16" x14ac:dyDescent="0.35">
      <c r="A1144" s="3" t="s">
        <v>2259</v>
      </c>
      <c r="B1144" s="3" t="s">
        <v>774</v>
      </c>
      <c r="C1144" s="3" t="s">
        <v>82</v>
      </c>
      <c r="D1144" s="3" t="s">
        <v>90</v>
      </c>
      <c r="E1144" s="3" t="s">
        <v>91</v>
      </c>
      <c r="F1144" s="3" t="s">
        <v>92</v>
      </c>
      <c r="G1144" s="3" t="s">
        <v>30</v>
      </c>
      <c r="H1144" s="3" t="s">
        <v>73</v>
      </c>
      <c r="I1144" s="3" t="s">
        <v>2260</v>
      </c>
      <c r="J1144" s="3" t="s">
        <v>33</v>
      </c>
      <c r="K1144" s="3">
        <v>8</v>
      </c>
      <c r="L1144" s="3">
        <v>3496.04</v>
      </c>
      <c r="M1144" s="3">
        <v>27968.32</v>
      </c>
      <c r="N1144" s="3">
        <v>18672.38</v>
      </c>
      <c r="O1144" s="3">
        <v>9295.94</v>
      </c>
      <c r="P1144" s="3" t="s">
        <v>45</v>
      </c>
    </row>
    <row r="1145" spans="1:16" x14ac:dyDescent="0.35">
      <c r="A1145" s="3" t="s">
        <v>2261</v>
      </c>
      <c r="B1145" s="3" t="s">
        <v>762</v>
      </c>
      <c r="C1145" s="3" t="s">
        <v>137</v>
      </c>
      <c r="D1145" s="3" t="s">
        <v>90</v>
      </c>
      <c r="E1145" s="3" t="s">
        <v>97</v>
      </c>
      <c r="F1145" s="3" t="s">
        <v>98</v>
      </c>
      <c r="G1145" s="3" t="s">
        <v>41</v>
      </c>
      <c r="H1145" s="3" t="s">
        <v>138</v>
      </c>
      <c r="I1145" s="3" t="s">
        <v>1563</v>
      </c>
      <c r="J1145" s="3" t="s">
        <v>54</v>
      </c>
      <c r="K1145" s="3">
        <v>4</v>
      </c>
      <c r="L1145" s="3">
        <v>17681.07</v>
      </c>
      <c r="M1145" s="3">
        <v>70724.28</v>
      </c>
      <c r="N1145" s="3">
        <v>58533.56</v>
      </c>
      <c r="O1145" s="3">
        <v>12190.72</v>
      </c>
      <c r="P1145" s="3" t="s">
        <v>45</v>
      </c>
    </row>
    <row r="1146" spans="1:16" x14ac:dyDescent="0.35">
      <c r="A1146" s="3" t="s">
        <v>2262</v>
      </c>
      <c r="B1146" s="3" t="s">
        <v>760</v>
      </c>
      <c r="C1146" s="3" t="s">
        <v>114</v>
      </c>
      <c r="D1146" s="3" t="s">
        <v>19</v>
      </c>
      <c r="E1146" s="3" t="s">
        <v>49</v>
      </c>
      <c r="F1146" s="3" t="s">
        <v>50</v>
      </c>
      <c r="G1146" s="3" t="s">
        <v>22</v>
      </c>
      <c r="H1146" s="3" t="s">
        <v>93</v>
      </c>
      <c r="I1146" s="3" t="s">
        <v>1837</v>
      </c>
      <c r="J1146" s="3" t="s">
        <v>54</v>
      </c>
      <c r="K1146" s="3">
        <v>6</v>
      </c>
      <c r="L1146" s="3">
        <v>6734.65</v>
      </c>
      <c r="M1146" s="3">
        <v>40407.9</v>
      </c>
      <c r="N1146" s="3">
        <v>31122.03</v>
      </c>
      <c r="O1146" s="3">
        <v>9285.8700000000008</v>
      </c>
      <c r="P1146" s="3" t="s">
        <v>34</v>
      </c>
    </row>
    <row r="1147" spans="1:16" x14ac:dyDescent="0.35">
      <c r="A1147" s="3" t="s">
        <v>2263</v>
      </c>
      <c r="B1147" s="3" t="s">
        <v>305</v>
      </c>
      <c r="C1147" s="3" t="s">
        <v>18</v>
      </c>
      <c r="D1147" s="3" t="s">
        <v>90</v>
      </c>
      <c r="E1147" s="3" t="s">
        <v>91</v>
      </c>
      <c r="F1147" s="3" t="s">
        <v>92</v>
      </c>
      <c r="G1147" s="3" t="s">
        <v>22</v>
      </c>
      <c r="H1147" s="3" t="s">
        <v>23</v>
      </c>
      <c r="I1147" s="3" t="s">
        <v>2264</v>
      </c>
      <c r="J1147" s="3" t="s">
        <v>44</v>
      </c>
      <c r="K1147" s="3">
        <v>1</v>
      </c>
      <c r="L1147" s="3">
        <v>3264.35</v>
      </c>
      <c r="M1147" s="3">
        <v>3264.35</v>
      </c>
      <c r="N1147" s="3">
        <v>2271.0700000000002</v>
      </c>
      <c r="O1147" s="3">
        <v>993.28</v>
      </c>
      <c r="P1147" s="3" t="s">
        <v>26</v>
      </c>
    </row>
    <row r="1148" spans="1:16" x14ac:dyDescent="0.35">
      <c r="A1148" s="3" t="s">
        <v>2265</v>
      </c>
      <c r="B1148" s="3" t="s">
        <v>2156</v>
      </c>
      <c r="C1148" s="3" t="s">
        <v>114</v>
      </c>
      <c r="D1148" s="3" t="s">
        <v>19</v>
      </c>
      <c r="E1148" s="3" t="s">
        <v>199</v>
      </c>
      <c r="F1148" s="3" t="s">
        <v>200</v>
      </c>
      <c r="G1148" s="3" t="s">
        <v>30</v>
      </c>
      <c r="H1148" s="3" t="s">
        <v>67</v>
      </c>
      <c r="I1148" s="3" t="s">
        <v>1203</v>
      </c>
      <c r="J1148" s="3" t="s">
        <v>100</v>
      </c>
      <c r="K1148" s="3">
        <v>7</v>
      </c>
      <c r="L1148" s="3">
        <v>9611.56</v>
      </c>
      <c r="M1148" s="3">
        <v>67280.92</v>
      </c>
      <c r="N1148" s="3">
        <v>52940.78</v>
      </c>
      <c r="O1148" s="3">
        <v>14340.14</v>
      </c>
      <c r="P1148" s="3" t="s">
        <v>26</v>
      </c>
    </row>
    <row r="1149" spans="1:16" x14ac:dyDescent="0.35">
      <c r="A1149" s="3" t="s">
        <v>2266</v>
      </c>
      <c r="B1149" s="3" t="s">
        <v>911</v>
      </c>
      <c r="C1149" s="3" t="s">
        <v>72</v>
      </c>
      <c r="D1149" s="3" t="s">
        <v>19</v>
      </c>
      <c r="E1149" s="3" t="s">
        <v>49</v>
      </c>
      <c r="F1149" s="3" t="s">
        <v>50</v>
      </c>
      <c r="G1149" s="3" t="s">
        <v>30</v>
      </c>
      <c r="H1149" s="3" t="s">
        <v>73</v>
      </c>
      <c r="I1149" s="3" t="s">
        <v>2267</v>
      </c>
      <c r="J1149" s="3" t="s">
        <v>85</v>
      </c>
      <c r="K1149" s="3">
        <v>7</v>
      </c>
      <c r="L1149" s="3">
        <v>3020.55</v>
      </c>
      <c r="M1149" s="3">
        <v>21143.85</v>
      </c>
      <c r="N1149" s="3">
        <v>16943.93</v>
      </c>
      <c r="O1149" s="3">
        <v>4199.92</v>
      </c>
      <c r="P1149" s="3" t="s">
        <v>69</v>
      </c>
    </row>
    <row r="1150" spans="1:16" x14ac:dyDescent="0.35">
      <c r="A1150" s="3" t="s">
        <v>2268</v>
      </c>
      <c r="B1150" s="3" t="s">
        <v>276</v>
      </c>
      <c r="C1150" s="3" t="s">
        <v>114</v>
      </c>
      <c r="D1150" s="3" t="s">
        <v>90</v>
      </c>
      <c r="E1150" s="3" t="s">
        <v>97</v>
      </c>
      <c r="F1150" s="3" t="s">
        <v>98</v>
      </c>
      <c r="G1150" s="3" t="s">
        <v>41</v>
      </c>
      <c r="H1150" s="3" t="s">
        <v>138</v>
      </c>
      <c r="I1150" s="3" t="s">
        <v>356</v>
      </c>
      <c r="J1150" s="3" t="s">
        <v>217</v>
      </c>
      <c r="K1150" s="3">
        <v>5</v>
      </c>
      <c r="L1150" s="3">
        <v>17432.07</v>
      </c>
      <c r="M1150" s="3">
        <v>87160.35</v>
      </c>
      <c r="N1150" s="3">
        <v>70603.179999999993</v>
      </c>
      <c r="O1150" s="3">
        <v>16557.169999999998</v>
      </c>
      <c r="P1150" s="3" t="s">
        <v>26</v>
      </c>
    </row>
    <row r="1151" spans="1:16" x14ac:dyDescent="0.35">
      <c r="A1151" s="3" t="s">
        <v>2269</v>
      </c>
      <c r="B1151" s="3" t="s">
        <v>904</v>
      </c>
      <c r="C1151" s="3" t="s">
        <v>118</v>
      </c>
      <c r="D1151" s="3" t="s">
        <v>58</v>
      </c>
      <c r="E1151" s="3" t="s">
        <v>65</v>
      </c>
      <c r="F1151" s="3" t="s">
        <v>66</v>
      </c>
      <c r="G1151" s="3" t="s">
        <v>30</v>
      </c>
      <c r="H1151" s="3" t="s">
        <v>73</v>
      </c>
      <c r="I1151" s="3" t="s">
        <v>736</v>
      </c>
      <c r="J1151" s="3" t="s">
        <v>131</v>
      </c>
      <c r="K1151" s="3">
        <v>7</v>
      </c>
      <c r="L1151" s="3">
        <v>3422.41</v>
      </c>
      <c r="M1151" s="3">
        <v>23956.87</v>
      </c>
      <c r="N1151" s="3">
        <v>17243.91</v>
      </c>
      <c r="O1151" s="3">
        <v>6712.96</v>
      </c>
      <c r="P1151" s="3" t="s">
        <v>45</v>
      </c>
    </row>
    <row r="1152" spans="1:16" x14ac:dyDescent="0.35">
      <c r="A1152" s="3" t="s">
        <v>2270</v>
      </c>
      <c r="B1152" s="3" t="s">
        <v>847</v>
      </c>
      <c r="C1152" s="3" t="s">
        <v>89</v>
      </c>
      <c r="D1152" s="3" t="s">
        <v>38</v>
      </c>
      <c r="E1152" s="3" t="s">
        <v>39</v>
      </c>
      <c r="F1152" s="3" t="s">
        <v>40</v>
      </c>
      <c r="G1152" s="3" t="s">
        <v>41</v>
      </c>
      <c r="H1152" s="3" t="s">
        <v>138</v>
      </c>
      <c r="I1152" s="3" t="s">
        <v>1547</v>
      </c>
      <c r="J1152" s="3" t="s">
        <v>147</v>
      </c>
      <c r="K1152" s="3">
        <v>1</v>
      </c>
      <c r="L1152" s="3">
        <v>17717.63</v>
      </c>
      <c r="M1152" s="3">
        <v>17717.63</v>
      </c>
      <c r="N1152" s="3">
        <v>13663.81</v>
      </c>
      <c r="O1152" s="3">
        <v>4053.82</v>
      </c>
      <c r="P1152" s="3" t="s">
        <v>45</v>
      </c>
    </row>
    <row r="1153" spans="1:16" x14ac:dyDescent="0.35">
      <c r="A1153" s="3" t="s">
        <v>2271</v>
      </c>
      <c r="B1153" s="3" t="s">
        <v>1337</v>
      </c>
      <c r="C1153" s="3" t="s">
        <v>48</v>
      </c>
      <c r="D1153" s="3" t="s">
        <v>19</v>
      </c>
      <c r="E1153" s="3" t="s">
        <v>20</v>
      </c>
      <c r="F1153" s="3" t="s">
        <v>21</v>
      </c>
      <c r="G1153" s="3" t="s">
        <v>30</v>
      </c>
      <c r="H1153" s="3" t="s">
        <v>67</v>
      </c>
      <c r="I1153" s="3" t="s">
        <v>2272</v>
      </c>
      <c r="J1153" s="3" t="s">
        <v>217</v>
      </c>
      <c r="K1153" s="3">
        <v>1</v>
      </c>
      <c r="L1153" s="3">
        <v>9833.41</v>
      </c>
      <c r="M1153" s="3">
        <v>9833.41</v>
      </c>
      <c r="N1153" s="3">
        <v>7716.71</v>
      </c>
      <c r="O1153" s="3">
        <v>2116.6999999999998</v>
      </c>
      <c r="P1153" s="3" t="s">
        <v>45</v>
      </c>
    </row>
    <row r="1154" spans="1:16" x14ac:dyDescent="0.35">
      <c r="A1154" s="3" t="s">
        <v>2273</v>
      </c>
      <c r="B1154" s="3" t="s">
        <v>1600</v>
      </c>
      <c r="C1154" s="3" t="s">
        <v>103</v>
      </c>
      <c r="D1154" s="3" t="s">
        <v>38</v>
      </c>
      <c r="E1154" s="3" t="s">
        <v>104</v>
      </c>
      <c r="F1154" s="3" t="s">
        <v>104</v>
      </c>
      <c r="G1154" s="3" t="s">
        <v>30</v>
      </c>
      <c r="H1154" s="3" t="s">
        <v>31</v>
      </c>
      <c r="I1154" s="3" t="s">
        <v>2274</v>
      </c>
      <c r="J1154" s="3" t="s">
        <v>106</v>
      </c>
      <c r="K1154" s="3">
        <v>1</v>
      </c>
      <c r="L1154" s="3">
        <v>2935.77</v>
      </c>
      <c r="M1154" s="3">
        <v>2935.77</v>
      </c>
      <c r="N1154" s="3">
        <v>1848.79</v>
      </c>
      <c r="O1154" s="3">
        <v>1086.98</v>
      </c>
      <c r="P1154" s="3" t="s">
        <v>86</v>
      </c>
    </row>
    <row r="1155" spans="1:16" x14ac:dyDescent="0.35">
      <c r="A1155" s="3" t="s">
        <v>2275</v>
      </c>
      <c r="B1155" s="3" t="s">
        <v>927</v>
      </c>
      <c r="C1155" s="3" t="s">
        <v>57</v>
      </c>
      <c r="D1155" s="3" t="s">
        <v>58</v>
      </c>
      <c r="E1155" s="3" t="s">
        <v>65</v>
      </c>
      <c r="F1155" s="3" t="s">
        <v>66</v>
      </c>
      <c r="G1155" s="3" t="s">
        <v>41</v>
      </c>
      <c r="H1155" s="3" t="s">
        <v>42</v>
      </c>
      <c r="I1155" s="3" t="s">
        <v>2276</v>
      </c>
      <c r="J1155" s="3" t="s">
        <v>54</v>
      </c>
      <c r="K1155" s="3">
        <v>8</v>
      </c>
      <c r="L1155" s="3">
        <v>40924.71</v>
      </c>
      <c r="M1155" s="3">
        <v>327397.68</v>
      </c>
      <c r="N1155" s="3">
        <v>274556.14</v>
      </c>
      <c r="O1155" s="3">
        <v>52841.54</v>
      </c>
      <c r="P1155" s="3" t="s">
        <v>45</v>
      </c>
    </row>
    <row r="1156" spans="1:16" x14ac:dyDescent="0.35">
      <c r="A1156" s="3" t="s">
        <v>2277</v>
      </c>
      <c r="B1156" s="3" t="s">
        <v>770</v>
      </c>
      <c r="C1156" s="3" t="s">
        <v>72</v>
      </c>
      <c r="D1156" s="3" t="s">
        <v>19</v>
      </c>
      <c r="E1156" s="3" t="s">
        <v>20</v>
      </c>
      <c r="F1156" s="3" t="s">
        <v>21</v>
      </c>
      <c r="G1156" s="3" t="s">
        <v>22</v>
      </c>
      <c r="H1156" s="3" t="s">
        <v>83</v>
      </c>
      <c r="I1156" s="3" t="s">
        <v>2278</v>
      </c>
      <c r="J1156" s="3" t="s">
        <v>147</v>
      </c>
      <c r="K1156" s="3">
        <v>8</v>
      </c>
      <c r="L1156" s="3">
        <v>23677.66</v>
      </c>
      <c r="M1156" s="3">
        <v>189421.28</v>
      </c>
      <c r="N1156" s="3">
        <v>138024.47</v>
      </c>
      <c r="O1156" s="3">
        <v>51396.81</v>
      </c>
      <c r="P1156" s="3" t="s">
        <v>69</v>
      </c>
    </row>
    <row r="1157" spans="1:16" x14ac:dyDescent="0.35">
      <c r="A1157" s="3" t="s">
        <v>2279</v>
      </c>
      <c r="B1157" s="3" t="s">
        <v>2280</v>
      </c>
      <c r="C1157" s="3" t="s">
        <v>89</v>
      </c>
      <c r="D1157" s="3" t="s">
        <v>90</v>
      </c>
      <c r="E1157" s="3" t="s">
        <v>91</v>
      </c>
      <c r="F1157" s="3" t="s">
        <v>92</v>
      </c>
      <c r="G1157" s="3" t="s">
        <v>22</v>
      </c>
      <c r="H1157" s="3" t="s">
        <v>83</v>
      </c>
      <c r="I1157" s="3" t="s">
        <v>1863</v>
      </c>
      <c r="J1157" s="3" t="s">
        <v>54</v>
      </c>
      <c r="K1157" s="3">
        <v>2</v>
      </c>
      <c r="L1157" s="3">
        <v>20514.3</v>
      </c>
      <c r="M1157" s="3">
        <v>41028.6</v>
      </c>
      <c r="N1157" s="3">
        <v>33835.18</v>
      </c>
      <c r="O1157" s="3">
        <v>7193.42</v>
      </c>
      <c r="P1157" s="3" t="s">
        <v>45</v>
      </c>
    </row>
    <row r="1158" spans="1:16" x14ac:dyDescent="0.35">
      <c r="A1158" s="3" t="s">
        <v>2281</v>
      </c>
      <c r="B1158" s="3" t="s">
        <v>779</v>
      </c>
      <c r="C1158" s="3" t="s">
        <v>114</v>
      </c>
      <c r="D1158" s="3" t="s">
        <v>58</v>
      </c>
      <c r="E1158" s="3" t="s">
        <v>176</v>
      </c>
      <c r="F1158" s="3" t="s">
        <v>177</v>
      </c>
      <c r="G1158" s="3" t="s">
        <v>30</v>
      </c>
      <c r="H1158" s="3" t="s">
        <v>67</v>
      </c>
      <c r="I1158" s="3" t="s">
        <v>2011</v>
      </c>
      <c r="J1158" s="3" t="s">
        <v>131</v>
      </c>
      <c r="K1158" s="3">
        <v>4</v>
      </c>
      <c r="L1158" s="3">
        <v>9789.5300000000007</v>
      </c>
      <c r="M1158" s="3">
        <v>39158.120000000003</v>
      </c>
      <c r="N1158" s="3">
        <v>30320.02</v>
      </c>
      <c r="O1158" s="3">
        <v>8838.1</v>
      </c>
      <c r="P1158" s="3" t="s">
        <v>86</v>
      </c>
    </row>
    <row r="1159" spans="1:16" x14ac:dyDescent="0.35">
      <c r="A1159" s="3" t="s">
        <v>2282</v>
      </c>
      <c r="B1159" s="3" t="s">
        <v>1935</v>
      </c>
      <c r="C1159" s="3" t="s">
        <v>72</v>
      </c>
      <c r="D1159" s="3" t="s">
        <v>38</v>
      </c>
      <c r="E1159" s="3" t="s">
        <v>109</v>
      </c>
      <c r="F1159" s="3" t="s">
        <v>110</v>
      </c>
      <c r="G1159" s="3" t="s">
        <v>22</v>
      </c>
      <c r="H1159" s="3" t="s">
        <v>93</v>
      </c>
      <c r="I1159" s="3" t="s">
        <v>2283</v>
      </c>
      <c r="J1159" s="3" t="s">
        <v>161</v>
      </c>
      <c r="K1159" s="3">
        <v>6</v>
      </c>
      <c r="L1159" s="3">
        <v>6664.94</v>
      </c>
      <c r="M1159" s="3">
        <v>39989.64</v>
      </c>
      <c r="N1159" s="3">
        <v>30349.35</v>
      </c>
      <c r="O1159" s="3">
        <v>9640.2900000000009</v>
      </c>
      <c r="P1159" s="3" t="s">
        <v>69</v>
      </c>
    </row>
    <row r="1160" spans="1:16" x14ac:dyDescent="0.35">
      <c r="A1160" s="3" t="s">
        <v>2284</v>
      </c>
      <c r="B1160" s="3" t="s">
        <v>156</v>
      </c>
      <c r="C1160" s="3" t="s">
        <v>103</v>
      </c>
      <c r="D1160" s="3" t="s">
        <v>90</v>
      </c>
      <c r="E1160" s="3" t="s">
        <v>91</v>
      </c>
      <c r="F1160" s="3" t="s">
        <v>92</v>
      </c>
      <c r="G1160" s="3" t="s">
        <v>22</v>
      </c>
      <c r="H1160" s="3" t="s">
        <v>93</v>
      </c>
      <c r="I1160" s="3" t="s">
        <v>2169</v>
      </c>
      <c r="J1160" s="3" t="s">
        <v>171</v>
      </c>
      <c r="K1160" s="3">
        <v>4</v>
      </c>
      <c r="L1160" s="3">
        <v>6786.19</v>
      </c>
      <c r="M1160" s="3">
        <v>27144.76</v>
      </c>
      <c r="N1160" s="3">
        <v>20115.61</v>
      </c>
      <c r="O1160" s="3">
        <v>7029.15</v>
      </c>
      <c r="P1160" s="3" t="s">
        <v>45</v>
      </c>
    </row>
    <row r="1161" spans="1:16" x14ac:dyDescent="0.35">
      <c r="A1161" s="3" t="s">
        <v>2285</v>
      </c>
      <c r="B1161" s="3" t="s">
        <v>1276</v>
      </c>
      <c r="C1161" s="3" t="s">
        <v>37</v>
      </c>
      <c r="D1161" s="3" t="s">
        <v>38</v>
      </c>
      <c r="E1161" s="3" t="s">
        <v>39</v>
      </c>
      <c r="F1161" s="3" t="s">
        <v>40</v>
      </c>
      <c r="G1161" s="3" t="s">
        <v>41</v>
      </c>
      <c r="H1161" s="3" t="s">
        <v>42</v>
      </c>
      <c r="I1161" s="3" t="s">
        <v>2286</v>
      </c>
      <c r="J1161" s="3" t="s">
        <v>147</v>
      </c>
      <c r="K1161" s="3">
        <v>2</v>
      </c>
      <c r="L1161" s="3">
        <v>44410.43</v>
      </c>
      <c r="M1161" s="3">
        <v>88820.86</v>
      </c>
      <c r="N1161" s="3">
        <v>67102</v>
      </c>
      <c r="O1161" s="3">
        <v>21718.86</v>
      </c>
      <c r="P1161" s="3" t="s">
        <v>34</v>
      </c>
    </row>
    <row r="1162" spans="1:16" x14ac:dyDescent="0.35">
      <c r="A1162" s="3" t="s">
        <v>2287</v>
      </c>
      <c r="B1162" s="3" t="s">
        <v>1578</v>
      </c>
      <c r="C1162" s="3" t="s">
        <v>137</v>
      </c>
      <c r="D1162" s="3" t="s">
        <v>38</v>
      </c>
      <c r="E1162" s="3" t="s">
        <v>39</v>
      </c>
      <c r="F1162" s="3" t="s">
        <v>40</v>
      </c>
      <c r="G1162" s="3" t="s">
        <v>30</v>
      </c>
      <c r="H1162" s="3" t="s">
        <v>31</v>
      </c>
      <c r="I1162" s="3" t="s">
        <v>2288</v>
      </c>
      <c r="J1162" s="3" t="s">
        <v>44</v>
      </c>
      <c r="K1162" s="3">
        <v>4</v>
      </c>
      <c r="L1162" s="3">
        <v>3042.08</v>
      </c>
      <c r="M1162" s="3">
        <v>12168.32</v>
      </c>
      <c r="N1162" s="3">
        <v>7794.95</v>
      </c>
      <c r="O1162" s="3">
        <v>4373.37</v>
      </c>
      <c r="P1162" s="3" t="s">
        <v>45</v>
      </c>
    </row>
    <row r="1163" spans="1:16" x14ac:dyDescent="0.35">
      <c r="A1163" s="3" t="s">
        <v>2289</v>
      </c>
      <c r="B1163" s="3" t="s">
        <v>774</v>
      </c>
      <c r="C1163" s="3" t="s">
        <v>82</v>
      </c>
      <c r="D1163" s="3" t="s">
        <v>38</v>
      </c>
      <c r="E1163" s="3" t="s">
        <v>104</v>
      </c>
      <c r="F1163" s="3" t="s">
        <v>104</v>
      </c>
      <c r="G1163" s="3" t="s">
        <v>22</v>
      </c>
      <c r="H1163" s="3" t="s">
        <v>23</v>
      </c>
      <c r="I1163" s="3" t="s">
        <v>2290</v>
      </c>
      <c r="J1163" s="3" t="s">
        <v>100</v>
      </c>
      <c r="K1163" s="3">
        <v>1</v>
      </c>
      <c r="L1163" s="3">
        <v>3575.14</v>
      </c>
      <c r="M1163" s="3">
        <v>3575.14</v>
      </c>
      <c r="N1163" s="3">
        <v>2291.27</v>
      </c>
      <c r="O1163" s="3">
        <v>1283.8699999999999</v>
      </c>
      <c r="P1163" s="3" t="s">
        <v>86</v>
      </c>
    </row>
    <row r="1164" spans="1:16" x14ac:dyDescent="0.35">
      <c r="A1164" s="3" t="s">
        <v>2291</v>
      </c>
      <c r="B1164" s="3" t="s">
        <v>743</v>
      </c>
      <c r="C1164" s="3" t="s">
        <v>72</v>
      </c>
      <c r="D1164" s="3" t="s">
        <v>19</v>
      </c>
      <c r="E1164" s="3" t="s">
        <v>49</v>
      </c>
      <c r="F1164" s="3" t="s">
        <v>50</v>
      </c>
      <c r="G1164" s="3" t="s">
        <v>30</v>
      </c>
      <c r="H1164" s="3" t="s">
        <v>73</v>
      </c>
      <c r="I1164" s="3" t="s">
        <v>1421</v>
      </c>
      <c r="J1164" s="3" t="s">
        <v>85</v>
      </c>
      <c r="K1164" s="3">
        <v>8</v>
      </c>
      <c r="L1164" s="3">
        <v>3391.49</v>
      </c>
      <c r="M1164" s="3">
        <v>27131.919999999998</v>
      </c>
      <c r="N1164" s="3">
        <v>19638.41</v>
      </c>
      <c r="O1164" s="3">
        <v>7493.51</v>
      </c>
      <c r="P1164" s="3" t="s">
        <v>45</v>
      </c>
    </row>
    <row r="1165" spans="1:16" x14ac:dyDescent="0.35">
      <c r="A1165" s="3" t="s">
        <v>2292</v>
      </c>
      <c r="B1165" s="3" t="s">
        <v>666</v>
      </c>
      <c r="C1165" s="3" t="s">
        <v>37</v>
      </c>
      <c r="D1165" s="3" t="s">
        <v>38</v>
      </c>
      <c r="E1165" s="3" t="s">
        <v>109</v>
      </c>
      <c r="F1165" s="3" t="s">
        <v>110</v>
      </c>
      <c r="G1165" s="3" t="s">
        <v>22</v>
      </c>
      <c r="H1165" s="3" t="s">
        <v>23</v>
      </c>
      <c r="I1165" s="3" t="s">
        <v>1571</v>
      </c>
      <c r="J1165" s="3" t="s">
        <v>171</v>
      </c>
      <c r="K1165" s="3">
        <v>2</v>
      </c>
      <c r="L1165" s="3">
        <v>3692.97</v>
      </c>
      <c r="M1165" s="3">
        <v>7385.94</v>
      </c>
      <c r="N1165" s="3">
        <v>4548.2299999999996</v>
      </c>
      <c r="O1165" s="3">
        <v>2837.71</v>
      </c>
      <c r="P1165" s="3" t="s">
        <v>45</v>
      </c>
    </row>
    <row r="1166" spans="1:16" x14ac:dyDescent="0.35">
      <c r="A1166" s="3" t="s">
        <v>2293</v>
      </c>
      <c r="B1166" s="3" t="s">
        <v>2117</v>
      </c>
      <c r="C1166" s="3" t="s">
        <v>37</v>
      </c>
      <c r="D1166" s="3" t="s">
        <v>19</v>
      </c>
      <c r="E1166" s="3" t="s">
        <v>49</v>
      </c>
      <c r="F1166" s="3" t="s">
        <v>50</v>
      </c>
      <c r="G1166" s="3" t="s">
        <v>30</v>
      </c>
      <c r="H1166" s="3" t="s">
        <v>73</v>
      </c>
      <c r="I1166" s="3" t="s">
        <v>1227</v>
      </c>
      <c r="J1166" s="3" t="s">
        <v>100</v>
      </c>
      <c r="K1166" s="3">
        <v>6</v>
      </c>
      <c r="L1166" s="3">
        <v>3123.57</v>
      </c>
      <c r="M1166" s="3">
        <v>18741.419999999998</v>
      </c>
      <c r="N1166" s="3">
        <v>13770.97</v>
      </c>
      <c r="O1166" s="3">
        <v>4970.45</v>
      </c>
      <c r="P1166" s="3" t="s">
        <v>45</v>
      </c>
    </row>
    <row r="1167" spans="1:16" x14ac:dyDescent="0.35">
      <c r="A1167" s="3" t="s">
        <v>2294</v>
      </c>
      <c r="B1167" s="3" t="s">
        <v>847</v>
      </c>
      <c r="C1167" s="3" t="s">
        <v>89</v>
      </c>
      <c r="D1167" s="3" t="s">
        <v>19</v>
      </c>
      <c r="E1167" s="3" t="s">
        <v>199</v>
      </c>
      <c r="F1167" s="3" t="s">
        <v>200</v>
      </c>
      <c r="G1167" s="3" t="s">
        <v>30</v>
      </c>
      <c r="H1167" s="3" t="s">
        <v>67</v>
      </c>
      <c r="I1167" s="3" t="s">
        <v>2295</v>
      </c>
      <c r="J1167" s="3" t="s">
        <v>44</v>
      </c>
      <c r="K1167" s="3">
        <v>3</v>
      </c>
      <c r="L1167" s="3">
        <v>9275.93</v>
      </c>
      <c r="M1167" s="3">
        <v>27827.79</v>
      </c>
      <c r="N1167" s="3">
        <v>21724.76</v>
      </c>
      <c r="O1167" s="3">
        <v>6103.03</v>
      </c>
      <c r="P1167" s="3" t="s">
        <v>26</v>
      </c>
    </row>
    <row r="1168" spans="1:16" x14ac:dyDescent="0.35">
      <c r="A1168" s="3" t="s">
        <v>2296</v>
      </c>
      <c r="B1168" s="3" t="s">
        <v>1912</v>
      </c>
      <c r="C1168" s="3" t="s">
        <v>137</v>
      </c>
      <c r="D1168" s="3" t="s">
        <v>90</v>
      </c>
      <c r="E1168" s="3" t="s">
        <v>97</v>
      </c>
      <c r="F1168" s="3" t="s">
        <v>98</v>
      </c>
      <c r="G1168" s="3" t="s">
        <v>41</v>
      </c>
      <c r="H1168" s="3" t="s">
        <v>42</v>
      </c>
      <c r="I1168" s="3" t="s">
        <v>627</v>
      </c>
      <c r="J1168" s="3" t="s">
        <v>85</v>
      </c>
      <c r="K1168" s="3">
        <v>3</v>
      </c>
      <c r="L1168" s="3">
        <v>47806.94</v>
      </c>
      <c r="M1168" s="3">
        <v>143420.82</v>
      </c>
      <c r="N1168" s="3">
        <v>106516.71</v>
      </c>
      <c r="O1168" s="3">
        <v>36904.11</v>
      </c>
      <c r="P1168" s="3" t="s">
        <v>26</v>
      </c>
    </row>
    <row r="1169" spans="1:16" x14ac:dyDescent="0.35">
      <c r="A1169" s="3" t="s">
        <v>2297</v>
      </c>
      <c r="B1169" s="3" t="s">
        <v>765</v>
      </c>
      <c r="C1169" s="3" t="s">
        <v>57</v>
      </c>
      <c r="D1169" s="3" t="s">
        <v>38</v>
      </c>
      <c r="E1169" s="3" t="s">
        <v>39</v>
      </c>
      <c r="F1169" s="3" t="s">
        <v>40</v>
      </c>
      <c r="G1169" s="3" t="s">
        <v>51</v>
      </c>
      <c r="H1169" s="3" t="s">
        <v>52</v>
      </c>
      <c r="I1169" s="3" t="s">
        <v>261</v>
      </c>
      <c r="J1169" s="3" t="s">
        <v>33</v>
      </c>
      <c r="K1169" s="3">
        <v>2</v>
      </c>
      <c r="L1169" s="3">
        <v>24.76</v>
      </c>
      <c r="M1169" s="3">
        <v>49.52</v>
      </c>
      <c r="N1169" s="3">
        <v>20.260000000000002</v>
      </c>
      <c r="O1169" s="3">
        <v>29.26</v>
      </c>
      <c r="P1169" s="3" t="s">
        <v>86</v>
      </c>
    </row>
    <row r="1170" spans="1:16" x14ac:dyDescent="0.35">
      <c r="A1170" s="3" t="s">
        <v>2298</v>
      </c>
      <c r="B1170" s="3" t="s">
        <v>502</v>
      </c>
      <c r="C1170" s="3" t="s">
        <v>48</v>
      </c>
      <c r="D1170" s="3" t="s">
        <v>38</v>
      </c>
      <c r="E1170" s="3" t="s">
        <v>39</v>
      </c>
      <c r="F1170" s="3" t="s">
        <v>40</v>
      </c>
      <c r="G1170" s="3" t="s">
        <v>41</v>
      </c>
      <c r="H1170" s="3" t="s">
        <v>61</v>
      </c>
      <c r="I1170" s="3" t="s">
        <v>1452</v>
      </c>
      <c r="J1170" s="3" t="s">
        <v>106</v>
      </c>
      <c r="K1170" s="3">
        <v>6</v>
      </c>
      <c r="L1170" s="3">
        <v>2587.27</v>
      </c>
      <c r="M1170" s="3">
        <v>15523.62</v>
      </c>
      <c r="N1170" s="3">
        <v>9520.4</v>
      </c>
      <c r="O1170" s="3">
        <v>6003.22</v>
      </c>
      <c r="P1170" s="3" t="s">
        <v>69</v>
      </c>
    </row>
    <row r="1171" spans="1:16" x14ac:dyDescent="0.35">
      <c r="A1171" s="3" t="s">
        <v>2299</v>
      </c>
      <c r="B1171" s="3" t="s">
        <v>1125</v>
      </c>
      <c r="C1171" s="3" t="s">
        <v>57</v>
      </c>
      <c r="D1171" s="3" t="s">
        <v>38</v>
      </c>
      <c r="E1171" s="3" t="s">
        <v>109</v>
      </c>
      <c r="F1171" s="3" t="s">
        <v>110</v>
      </c>
      <c r="G1171" s="3" t="s">
        <v>30</v>
      </c>
      <c r="H1171" s="3" t="s">
        <v>31</v>
      </c>
      <c r="I1171" s="3" t="s">
        <v>2300</v>
      </c>
      <c r="J1171" s="3" t="s">
        <v>131</v>
      </c>
      <c r="K1171" s="3">
        <v>8</v>
      </c>
      <c r="L1171" s="3">
        <v>2622.49</v>
      </c>
      <c r="M1171" s="3">
        <v>20979.919999999998</v>
      </c>
      <c r="N1171" s="3">
        <v>14589.31</v>
      </c>
      <c r="O1171" s="3">
        <v>6390.61</v>
      </c>
      <c r="P1171" s="3" t="s">
        <v>45</v>
      </c>
    </row>
    <row r="1172" spans="1:16" x14ac:dyDescent="0.35">
      <c r="A1172" s="3" t="s">
        <v>2301</v>
      </c>
      <c r="B1172" s="3" t="s">
        <v>358</v>
      </c>
      <c r="C1172" s="3" t="s">
        <v>72</v>
      </c>
      <c r="D1172" s="3" t="s">
        <v>19</v>
      </c>
      <c r="E1172" s="3" t="s">
        <v>199</v>
      </c>
      <c r="F1172" s="3" t="s">
        <v>200</v>
      </c>
      <c r="G1172" s="3" t="s">
        <v>22</v>
      </c>
      <c r="H1172" s="3" t="s">
        <v>23</v>
      </c>
      <c r="I1172" s="3" t="s">
        <v>1270</v>
      </c>
      <c r="J1172" s="3" t="s">
        <v>25</v>
      </c>
      <c r="K1172" s="3">
        <v>7</v>
      </c>
      <c r="L1172" s="3">
        <v>3691.87</v>
      </c>
      <c r="M1172" s="3">
        <v>25843.09</v>
      </c>
      <c r="N1172" s="3">
        <v>14964.76</v>
      </c>
      <c r="O1172" s="3">
        <v>10878.33</v>
      </c>
      <c r="P1172" s="3" t="s">
        <v>26</v>
      </c>
    </row>
    <row r="1173" spans="1:16" x14ac:dyDescent="0.35">
      <c r="A1173" s="3" t="s">
        <v>2302</v>
      </c>
      <c r="B1173" s="3" t="s">
        <v>685</v>
      </c>
      <c r="C1173" s="3" t="s">
        <v>137</v>
      </c>
      <c r="D1173" s="3" t="s">
        <v>19</v>
      </c>
      <c r="E1173" s="3" t="s">
        <v>199</v>
      </c>
      <c r="F1173" s="3" t="s">
        <v>200</v>
      </c>
      <c r="G1173" s="3" t="s">
        <v>22</v>
      </c>
      <c r="H1173" s="3" t="s">
        <v>23</v>
      </c>
      <c r="I1173" s="3" t="s">
        <v>2119</v>
      </c>
      <c r="J1173" s="3" t="s">
        <v>188</v>
      </c>
      <c r="K1173" s="3">
        <v>3</v>
      </c>
      <c r="L1173" s="3">
        <v>3535.34</v>
      </c>
      <c r="M1173" s="3">
        <v>10606.02</v>
      </c>
      <c r="N1173" s="3">
        <v>6774.36</v>
      </c>
      <c r="O1173" s="3">
        <v>3831.66</v>
      </c>
      <c r="P1173" s="3" t="s">
        <v>86</v>
      </c>
    </row>
    <row r="1174" spans="1:16" x14ac:dyDescent="0.35">
      <c r="A1174" s="3" t="s">
        <v>2303</v>
      </c>
      <c r="B1174" s="3" t="s">
        <v>1997</v>
      </c>
      <c r="C1174" s="3" t="s">
        <v>114</v>
      </c>
      <c r="D1174" s="3" t="s">
        <v>19</v>
      </c>
      <c r="E1174" s="3" t="s">
        <v>199</v>
      </c>
      <c r="F1174" s="3" t="s">
        <v>200</v>
      </c>
      <c r="G1174" s="3" t="s">
        <v>51</v>
      </c>
      <c r="H1174" s="3" t="s">
        <v>145</v>
      </c>
      <c r="I1174" s="3" t="s">
        <v>2304</v>
      </c>
      <c r="J1174" s="3" t="s">
        <v>154</v>
      </c>
      <c r="K1174" s="3">
        <v>2</v>
      </c>
      <c r="L1174" s="3">
        <v>124.36</v>
      </c>
      <c r="M1174" s="3">
        <v>248.72</v>
      </c>
      <c r="N1174" s="3">
        <v>119.62</v>
      </c>
      <c r="O1174" s="3">
        <v>129.1</v>
      </c>
      <c r="P1174" s="3" t="s">
        <v>26</v>
      </c>
    </row>
    <row r="1175" spans="1:16" x14ac:dyDescent="0.35">
      <c r="A1175" s="3" t="s">
        <v>2305</v>
      </c>
      <c r="B1175" s="3" t="s">
        <v>245</v>
      </c>
      <c r="C1175" s="3" t="s">
        <v>29</v>
      </c>
      <c r="D1175" s="3" t="s">
        <v>58</v>
      </c>
      <c r="E1175" s="3" t="s">
        <v>65</v>
      </c>
      <c r="F1175" s="3" t="s">
        <v>66</v>
      </c>
      <c r="G1175" s="3" t="s">
        <v>22</v>
      </c>
      <c r="H1175" s="3" t="s">
        <v>93</v>
      </c>
      <c r="I1175" s="3" t="s">
        <v>2306</v>
      </c>
      <c r="J1175" s="3" t="s">
        <v>154</v>
      </c>
      <c r="K1175" s="3">
        <v>4</v>
      </c>
      <c r="L1175" s="3">
        <v>6985.4</v>
      </c>
      <c r="M1175" s="3">
        <v>27941.599999999999</v>
      </c>
      <c r="N1175" s="3">
        <v>19439.509999999998</v>
      </c>
      <c r="O1175" s="3">
        <v>8502.09</v>
      </c>
      <c r="P1175" s="3" t="s">
        <v>45</v>
      </c>
    </row>
    <row r="1176" spans="1:16" x14ac:dyDescent="0.35">
      <c r="A1176" s="3" t="s">
        <v>2307</v>
      </c>
      <c r="B1176" s="3" t="s">
        <v>318</v>
      </c>
      <c r="C1176" s="3" t="s">
        <v>37</v>
      </c>
      <c r="D1176" s="3" t="s">
        <v>38</v>
      </c>
      <c r="E1176" s="3" t="s">
        <v>39</v>
      </c>
      <c r="F1176" s="3" t="s">
        <v>40</v>
      </c>
      <c r="G1176" s="3" t="s">
        <v>51</v>
      </c>
      <c r="H1176" s="3" t="s">
        <v>77</v>
      </c>
      <c r="I1176" s="3" t="s">
        <v>1542</v>
      </c>
      <c r="J1176" s="3" t="s">
        <v>154</v>
      </c>
      <c r="K1176" s="3">
        <v>6</v>
      </c>
      <c r="L1176" s="3">
        <v>13112.88</v>
      </c>
      <c r="M1176" s="3">
        <v>78677.279999999999</v>
      </c>
      <c r="N1176" s="3">
        <v>54734.8</v>
      </c>
      <c r="O1176" s="3">
        <v>23942.48</v>
      </c>
      <c r="P1176" s="3" t="s">
        <v>26</v>
      </c>
    </row>
    <row r="1177" spans="1:16" x14ac:dyDescent="0.35">
      <c r="A1177" s="3" t="s">
        <v>2308</v>
      </c>
      <c r="B1177" s="3" t="s">
        <v>1464</v>
      </c>
      <c r="C1177" s="3" t="s">
        <v>137</v>
      </c>
      <c r="D1177" s="3" t="s">
        <v>90</v>
      </c>
      <c r="E1177" s="3" t="s">
        <v>91</v>
      </c>
      <c r="F1177" s="3" t="s">
        <v>92</v>
      </c>
      <c r="G1177" s="3" t="s">
        <v>22</v>
      </c>
      <c r="H1177" s="3" t="s">
        <v>83</v>
      </c>
      <c r="I1177" s="3" t="s">
        <v>1651</v>
      </c>
      <c r="J1177" s="3" t="s">
        <v>171</v>
      </c>
      <c r="K1177" s="3">
        <v>6</v>
      </c>
      <c r="L1177" s="3">
        <v>21839.81</v>
      </c>
      <c r="M1177" s="3">
        <v>131038.86</v>
      </c>
      <c r="N1177" s="3">
        <v>100830.04</v>
      </c>
      <c r="O1177" s="3">
        <v>30208.82</v>
      </c>
      <c r="P1177" s="3" t="s">
        <v>86</v>
      </c>
    </row>
    <row r="1178" spans="1:16" x14ac:dyDescent="0.35">
      <c r="A1178" s="3" t="s">
        <v>2309</v>
      </c>
      <c r="B1178" s="3" t="s">
        <v>765</v>
      </c>
      <c r="C1178" s="3" t="s">
        <v>57</v>
      </c>
      <c r="D1178" s="3" t="s">
        <v>90</v>
      </c>
      <c r="E1178" s="3" t="s">
        <v>97</v>
      </c>
      <c r="F1178" s="3" t="s">
        <v>98</v>
      </c>
      <c r="G1178" s="3" t="s">
        <v>41</v>
      </c>
      <c r="H1178" s="3" t="s">
        <v>61</v>
      </c>
      <c r="I1178" s="3" t="s">
        <v>605</v>
      </c>
      <c r="J1178" s="3" t="s">
        <v>147</v>
      </c>
      <c r="K1178" s="3">
        <v>7</v>
      </c>
      <c r="L1178" s="3">
        <v>2679.26</v>
      </c>
      <c r="M1178" s="3">
        <v>18754.82</v>
      </c>
      <c r="N1178" s="3">
        <v>11677.31</v>
      </c>
      <c r="O1178" s="3">
        <v>7077.51</v>
      </c>
      <c r="P1178" s="3" t="s">
        <v>69</v>
      </c>
    </row>
    <row r="1179" spans="1:16" x14ac:dyDescent="0.35">
      <c r="A1179" s="3" t="s">
        <v>2310</v>
      </c>
      <c r="B1179" s="3" t="s">
        <v>1255</v>
      </c>
      <c r="C1179" s="3" t="s">
        <v>72</v>
      </c>
      <c r="D1179" s="3" t="s">
        <v>90</v>
      </c>
      <c r="E1179" s="3" t="s">
        <v>97</v>
      </c>
      <c r="F1179" s="3" t="s">
        <v>98</v>
      </c>
      <c r="G1179" s="3" t="s">
        <v>41</v>
      </c>
      <c r="H1179" s="3" t="s">
        <v>61</v>
      </c>
      <c r="I1179" s="3" t="s">
        <v>1284</v>
      </c>
      <c r="J1179" s="3" t="s">
        <v>44</v>
      </c>
      <c r="K1179" s="3">
        <v>7</v>
      </c>
      <c r="L1179" s="3">
        <v>2456.59</v>
      </c>
      <c r="M1179" s="3">
        <v>17196.13</v>
      </c>
      <c r="N1179" s="3">
        <v>11614.07</v>
      </c>
      <c r="O1179" s="3">
        <v>5582.06</v>
      </c>
      <c r="P1179" s="3" t="s">
        <v>86</v>
      </c>
    </row>
    <row r="1180" spans="1:16" x14ac:dyDescent="0.35">
      <c r="A1180" s="3" t="s">
        <v>2311</v>
      </c>
      <c r="B1180" s="3" t="s">
        <v>219</v>
      </c>
      <c r="C1180" s="3" t="s">
        <v>72</v>
      </c>
      <c r="D1180" s="3" t="s">
        <v>38</v>
      </c>
      <c r="E1180" s="3" t="s">
        <v>104</v>
      </c>
      <c r="F1180" s="3" t="s">
        <v>104</v>
      </c>
      <c r="G1180" s="3" t="s">
        <v>30</v>
      </c>
      <c r="H1180" s="3" t="s">
        <v>73</v>
      </c>
      <c r="I1180" s="3" t="s">
        <v>2312</v>
      </c>
      <c r="J1180" s="3" t="s">
        <v>171</v>
      </c>
      <c r="K1180" s="3">
        <v>4</v>
      </c>
      <c r="L1180" s="3">
        <v>3401.11</v>
      </c>
      <c r="M1180" s="3">
        <v>13604.44</v>
      </c>
      <c r="N1180" s="3">
        <v>9618.4500000000007</v>
      </c>
      <c r="O1180" s="3">
        <v>3985.99</v>
      </c>
      <c r="P1180" s="3" t="s">
        <v>26</v>
      </c>
    </row>
    <row r="1181" spans="1:16" x14ac:dyDescent="0.35">
      <c r="A1181" s="3" t="s">
        <v>2313</v>
      </c>
      <c r="B1181" s="3" t="s">
        <v>1704</v>
      </c>
      <c r="C1181" s="3" t="s">
        <v>48</v>
      </c>
      <c r="D1181" s="3" t="s">
        <v>19</v>
      </c>
      <c r="E1181" s="3" t="s">
        <v>20</v>
      </c>
      <c r="F1181" s="3" t="s">
        <v>21</v>
      </c>
      <c r="G1181" s="3" t="s">
        <v>30</v>
      </c>
      <c r="H1181" s="3" t="s">
        <v>67</v>
      </c>
      <c r="I1181" s="3" t="s">
        <v>1926</v>
      </c>
      <c r="J1181" s="3" t="s">
        <v>106</v>
      </c>
      <c r="K1181" s="3">
        <v>1</v>
      </c>
      <c r="L1181" s="3">
        <v>9867.41</v>
      </c>
      <c r="M1181" s="3">
        <v>9867.41</v>
      </c>
      <c r="N1181" s="3">
        <v>7809.44</v>
      </c>
      <c r="O1181" s="3">
        <v>2057.9699999999998</v>
      </c>
      <c r="P1181" s="3" t="s">
        <v>45</v>
      </c>
    </row>
    <row r="1182" spans="1:16" x14ac:dyDescent="0.35">
      <c r="A1182" s="3" t="s">
        <v>2314</v>
      </c>
      <c r="B1182" s="3" t="s">
        <v>129</v>
      </c>
      <c r="C1182" s="3" t="s">
        <v>37</v>
      </c>
      <c r="D1182" s="3" t="s">
        <v>58</v>
      </c>
      <c r="E1182" s="3" t="s">
        <v>65</v>
      </c>
      <c r="F1182" s="3" t="s">
        <v>66</v>
      </c>
      <c r="G1182" s="3" t="s">
        <v>51</v>
      </c>
      <c r="H1182" s="3" t="s">
        <v>145</v>
      </c>
      <c r="I1182" s="3" t="s">
        <v>2315</v>
      </c>
      <c r="J1182" s="3" t="s">
        <v>147</v>
      </c>
      <c r="K1182" s="3">
        <v>4</v>
      </c>
      <c r="L1182" s="3">
        <v>122.01</v>
      </c>
      <c r="M1182" s="3">
        <v>488.04</v>
      </c>
      <c r="N1182" s="3">
        <v>231.15</v>
      </c>
      <c r="O1182" s="3">
        <v>256.89</v>
      </c>
      <c r="P1182" s="3" t="s">
        <v>34</v>
      </c>
    </row>
    <row r="1183" spans="1:16" x14ac:dyDescent="0.35">
      <c r="A1183" s="3" t="s">
        <v>2316</v>
      </c>
      <c r="B1183" s="3" t="s">
        <v>1053</v>
      </c>
      <c r="C1183" s="3" t="s">
        <v>82</v>
      </c>
      <c r="D1183" s="3" t="s">
        <v>90</v>
      </c>
      <c r="E1183" s="3" t="s">
        <v>97</v>
      </c>
      <c r="F1183" s="3" t="s">
        <v>98</v>
      </c>
      <c r="G1183" s="3" t="s">
        <v>22</v>
      </c>
      <c r="H1183" s="3" t="s">
        <v>23</v>
      </c>
      <c r="I1183" s="3" t="s">
        <v>878</v>
      </c>
      <c r="J1183" s="3" t="s">
        <v>54</v>
      </c>
      <c r="K1183" s="3">
        <v>4</v>
      </c>
      <c r="L1183" s="3">
        <v>3838.12</v>
      </c>
      <c r="M1183" s="3">
        <v>15352.48</v>
      </c>
      <c r="N1183" s="3">
        <v>8704.82</v>
      </c>
      <c r="O1183" s="3">
        <v>6647.66</v>
      </c>
      <c r="P1183" s="3" t="s">
        <v>34</v>
      </c>
    </row>
    <row r="1184" spans="1:16" x14ac:dyDescent="0.35">
      <c r="A1184" s="3" t="s">
        <v>2317</v>
      </c>
      <c r="B1184" s="3" t="s">
        <v>1471</v>
      </c>
      <c r="C1184" s="3" t="s">
        <v>89</v>
      </c>
      <c r="D1184" s="3" t="s">
        <v>58</v>
      </c>
      <c r="E1184" s="3" t="s">
        <v>176</v>
      </c>
      <c r="F1184" s="3" t="s">
        <v>177</v>
      </c>
      <c r="G1184" s="3" t="s">
        <v>22</v>
      </c>
      <c r="H1184" s="3" t="s">
        <v>93</v>
      </c>
      <c r="I1184" s="3" t="s">
        <v>2318</v>
      </c>
      <c r="J1184" s="3" t="s">
        <v>54</v>
      </c>
      <c r="K1184" s="3">
        <v>4</v>
      </c>
      <c r="L1184" s="3">
        <v>6441.79</v>
      </c>
      <c r="M1184" s="3">
        <v>25767.16</v>
      </c>
      <c r="N1184" s="3">
        <v>20879.62</v>
      </c>
      <c r="O1184" s="3">
        <v>4887.54</v>
      </c>
      <c r="P1184" s="3" t="s">
        <v>26</v>
      </c>
    </row>
    <row r="1185" spans="1:16" x14ac:dyDescent="0.35">
      <c r="A1185" s="3" t="s">
        <v>2319</v>
      </c>
      <c r="B1185" s="3" t="s">
        <v>152</v>
      </c>
      <c r="C1185" s="3" t="s">
        <v>57</v>
      </c>
      <c r="D1185" s="3" t="s">
        <v>58</v>
      </c>
      <c r="E1185" s="3" t="s">
        <v>59</v>
      </c>
      <c r="F1185" s="3" t="s">
        <v>60</v>
      </c>
      <c r="G1185" s="3" t="s">
        <v>41</v>
      </c>
      <c r="H1185" s="3" t="s">
        <v>42</v>
      </c>
      <c r="I1185" s="3" t="s">
        <v>2009</v>
      </c>
      <c r="J1185" s="3" t="s">
        <v>44</v>
      </c>
      <c r="K1185" s="3">
        <v>6</v>
      </c>
      <c r="L1185" s="3">
        <v>47929.84</v>
      </c>
      <c r="M1185" s="3">
        <v>287579.03999999998</v>
      </c>
      <c r="N1185" s="3">
        <v>212864.51</v>
      </c>
      <c r="O1185" s="3">
        <v>74714.53</v>
      </c>
      <c r="P1185" s="3" t="s">
        <v>45</v>
      </c>
    </row>
    <row r="1186" spans="1:16" x14ac:dyDescent="0.35">
      <c r="A1186" s="3" t="s">
        <v>2320</v>
      </c>
      <c r="B1186" s="3" t="s">
        <v>1772</v>
      </c>
      <c r="C1186" s="3" t="s">
        <v>114</v>
      </c>
      <c r="D1186" s="3" t="s">
        <v>90</v>
      </c>
      <c r="E1186" s="3" t="s">
        <v>97</v>
      </c>
      <c r="F1186" s="3" t="s">
        <v>98</v>
      </c>
      <c r="G1186" s="3" t="s">
        <v>51</v>
      </c>
      <c r="H1186" s="3" t="s">
        <v>145</v>
      </c>
      <c r="I1186" s="3" t="s">
        <v>824</v>
      </c>
      <c r="J1186" s="3" t="s">
        <v>33</v>
      </c>
      <c r="K1186" s="3">
        <v>2</v>
      </c>
      <c r="L1186" s="3">
        <v>116.15</v>
      </c>
      <c r="M1186" s="3">
        <v>232.3</v>
      </c>
      <c r="N1186" s="3">
        <v>125.2</v>
      </c>
      <c r="O1186" s="3">
        <v>107.1</v>
      </c>
      <c r="P1186" s="3" t="s">
        <v>86</v>
      </c>
    </row>
    <row r="1187" spans="1:16" x14ac:dyDescent="0.35">
      <c r="A1187" s="3" t="s">
        <v>2321</v>
      </c>
      <c r="B1187" s="3" t="s">
        <v>417</v>
      </c>
      <c r="C1187" s="3" t="s">
        <v>37</v>
      </c>
      <c r="D1187" s="3" t="s">
        <v>38</v>
      </c>
      <c r="E1187" s="3" t="s">
        <v>39</v>
      </c>
      <c r="F1187" s="3" t="s">
        <v>40</v>
      </c>
      <c r="G1187" s="3" t="s">
        <v>22</v>
      </c>
      <c r="H1187" s="3" t="s">
        <v>23</v>
      </c>
      <c r="I1187" s="3" t="s">
        <v>670</v>
      </c>
      <c r="J1187" s="3" t="s">
        <v>85</v>
      </c>
      <c r="K1187" s="3">
        <v>3</v>
      </c>
      <c r="L1187" s="3">
        <v>3444.99</v>
      </c>
      <c r="M1187" s="3">
        <v>10334.969999999999</v>
      </c>
      <c r="N1187" s="3">
        <v>6687.75</v>
      </c>
      <c r="O1187" s="3">
        <v>3647.22</v>
      </c>
      <c r="P1187" s="3" t="s">
        <v>26</v>
      </c>
    </row>
    <row r="1188" spans="1:16" x14ac:dyDescent="0.35">
      <c r="A1188" s="3" t="s">
        <v>2322</v>
      </c>
      <c r="B1188" s="3" t="s">
        <v>570</v>
      </c>
      <c r="C1188" s="3" t="s">
        <v>18</v>
      </c>
      <c r="D1188" s="3" t="s">
        <v>19</v>
      </c>
      <c r="E1188" s="3" t="s">
        <v>20</v>
      </c>
      <c r="F1188" s="3" t="s">
        <v>21</v>
      </c>
      <c r="G1188" s="3" t="s">
        <v>41</v>
      </c>
      <c r="H1188" s="3" t="s">
        <v>61</v>
      </c>
      <c r="I1188" s="3" t="s">
        <v>2163</v>
      </c>
      <c r="J1188" s="3" t="s">
        <v>188</v>
      </c>
      <c r="K1188" s="3">
        <v>1</v>
      </c>
      <c r="L1188" s="3">
        <v>2366.7199999999998</v>
      </c>
      <c r="M1188" s="3">
        <v>2366.7199999999998</v>
      </c>
      <c r="N1188" s="3">
        <v>1537.24</v>
      </c>
      <c r="O1188" s="3">
        <v>829.48</v>
      </c>
      <c r="P1188" s="3" t="s">
        <v>69</v>
      </c>
    </row>
    <row r="1189" spans="1:16" x14ac:dyDescent="0.35">
      <c r="A1189" s="3" t="s">
        <v>2323</v>
      </c>
      <c r="B1189" s="3" t="s">
        <v>318</v>
      </c>
      <c r="C1189" s="3" t="s">
        <v>37</v>
      </c>
      <c r="D1189" s="3" t="s">
        <v>38</v>
      </c>
      <c r="E1189" s="3" t="s">
        <v>39</v>
      </c>
      <c r="F1189" s="3" t="s">
        <v>40</v>
      </c>
      <c r="G1189" s="3" t="s">
        <v>51</v>
      </c>
      <c r="H1189" s="3" t="s">
        <v>52</v>
      </c>
      <c r="I1189" s="3" t="s">
        <v>1744</v>
      </c>
      <c r="J1189" s="3" t="s">
        <v>154</v>
      </c>
      <c r="K1189" s="3">
        <v>5</v>
      </c>
      <c r="L1189" s="3">
        <v>23.78</v>
      </c>
      <c r="M1189" s="3">
        <v>118.9</v>
      </c>
      <c r="N1189" s="3">
        <v>48.93</v>
      </c>
      <c r="O1189" s="3">
        <v>69.97</v>
      </c>
      <c r="P1189" s="3" t="s">
        <v>45</v>
      </c>
    </row>
    <row r="1190" spans="1:16" x14ac:dyDescent="0.35">
      <c r="A1190" s="3" t="s">
        <v>2324</v>
      </c>
      <c r="B1190" s="3" t="s">
        <v>1383</v>
      </c>
      <c r="C1190" s="3" t="s">
        <v>18</v>
      </c>
      <c r="D1190" s="3" t="s">
        <v>19</v>
      </c>
      <c r="E1190" s="3" t="s">
        <v>20</v>
      </c>
      <c r="F1190" s="3" t="s">
        <v>21</v>
      </c>
      <c r="G1190" s="3" t="s">
        <v>41</v>
      </c>
      <c r="H1190" s="3" t="s">
        <v>61</v>
      </c>
      <c r="I1190" s="3" t="s">
        <v>2325</v>
      </c>
      <c r="J1190" s="3" t="s">
        <v>154</v>
      </c>
      <c r="K1190" s="3">
        <v>8</v>
      </c>
      <c r="L1190" s="3">
        <v>2416.65</v>
      </c>
      <c r="M1190" s="3">
        <v>19333.2</v>
      </c>
      <c r="N1190" s="3">
        <v>12629.19</v>
      </c>
      <c r="O1190" s="3">
        <v>6704.01</v>
      </c>
      <c r="P1190" s="3" t="s">
        <v>34</v>
      </c>
    </row>
    <row r="1191" spans="1:16" x14ac:dyDescent="0.35">
      <c r="A1191" s="3" t="s">
        <v>2326</v>
      </c>
      <c r="B1191" s="3" t="s">
        <v>149</v>
      </c>
      <c r="C1191" s="3" t="s">
        <v>118</v>
      </c>
      <c r="D1191" s="3" t="s">
        <v>58</v>
      </c>
      <c r="E1191" s="3" t="s">
        <v>59</v>
      </c>
      <c r="F1191" s="3" t="s">
        <v>60</v>
      </c>
      <c r="G1191" s="3" t="s">
        <v>22</v>
      </c>
      <c r="H1191" s="3" t="s">
        <v>93</v>
      </c>
      <c r="I1191" s="3" t="s">
        <v>2092</v>
      </c>
      <c r="J1191" s="3" t="s">
        <v>25</v>
      </c>
      <c r="K1191" s="3">
        <v>8</v>
      </c>
      <c r="L1191" s="3">
        <v>7289.76</v>
      </c>
      <c r="M1191" s="3">
        <v>58318.080000000002</v>
      </c>
      <c r="N1191" s="3">
        <v>40407.68</v>
      </c>
      <c r="O1191" s="3">
        <v>17910.400000000001</v>
      </c>
      <c r="P1191" s="3" t="s">
        <v>45</v>
      </c>
    </row>
    <row r="1192" spans="1:16" x14ac:dyDescent="0.35">
      <c r="A1192" s="3" t="s">
        <v>2327</v>
      </c>
      <c r="B1192" s="3" t="s">
        <v>219</v>
      </c>
      <c r="C1192" s="3" t="s">
        <v>72</v>
      </c>
      <c r="D1192" s="3" t="s">
        <v>19</v>
      </c>
      <c r="E1192" s="3" t="s">
        <v>49</v>
      </c>
      <c r="F1192" s="3" t="s">
        <v>50</v>
      </c>
      <c r="G1192" s="3" t="s">
        <v>51</v>
      </c>
      <c r="H1192" s="3" t="s">
        <v>145</v>
      </c>
      <c r="I1192" s="3" t="s">
        <v>1172</v>
      </c>
      <c r="J1192" s="3" t="s">
        <v>154</v>
      </c>
      <c r="K1192" s="3">
        <v>2</v>
      </c>
      <c r="L1192" s="3">
        <v>121.18</v>
      </c>
      <c r="M1192" s="3">
        <v>242.36</v>
      </c>
      <c r="N1192" s="3">
        <v>115.35</v>
      </c>
      <c r="O1192" s="3">
        <v>127.01</v>
      </c>
      <c r="P1192" s="3" t="s">
        <v>86</v>
      </c>
    </row>
    <row r="1193" spans="1:16" x14ac:dyDescent="0.35">
      <c r="A1193" s="3" t="s">
        <v>2328</v>
      </c>
      <c r="B1193" s="3" t="s">
        <v>1082</v>
      </c>
      <c r="C1193" s="3" t="s">
        <v>114</v>
      </c>
      <c r="D1193" s="3" t="s">
        <v>19</v>
      </c>
      <c r="E1193" s="3" t="s">
        <v>199</v>
      </c>
      <c r="F1193" s="3" t="s">
        <v>200</v>
      </c>
      <c r="G1193" s="3" t="s">
        <v>41</v>
      </c>
      <c r="H1193" s="3" t="s">
        <v>138</v>
      </c>
      <c r="I1193" s="3" t="s">
        <v>2329</v>
      </c>
      <c r="J1193" s="3" t="s">
        <v>85</v>
      </c>
      <c r="K1193" s="3">
        <v>6</v>
      </c>
      <c r="L1193" s="3">
        <v>18647.98</v>
      </c>
      <c r="M1193" s="3">
        <v>111887.88</v>
      </c>
      <c r="N1193" s="3">
        <v>82297.460000000006</v>
      </c>
      <c r="O1193" s="3">
        <v>29590.42</v>
      </c>
      <c r="P1193" s="3" t="s">
        <v>86</v>
      </c>
    </row>
    <row r="1194" spans="1:16" x14ac:dyDescent="0.35">
      <c r="A1194" s="3" t="s">
        <v>2330</v>
      </c>
      <c r="B1194" s="3" t="s">
        <v>1612</v>
      </c>
      <c r="C1194" s="3" t="s">
        <v>48</v>
      </c>
      <c r="D1194" s="3" t="s">
        <v>58</v>
      </c>
      <c r="E1194" s="3" t="s">
        <v>65</v>
      </c>
      <c r="F1194" s="3" t="s">
        <v>66</v>
      </c>
      <c r="G1194" s="3" t="s">
        <v>22</v>
      </c>
      <c r="H1194" s="3" t="s">
        <v>93</v>
      </c>
      <c r="I1194" s="3" t="s">
        <v>2331</v>
      </c>
      <c r="J1194" s="3" t="s">
        <v>25</v>
      </c>
      <c r="K1194" s="3">
        <v>2</v>
      </c>
      <c r="L1194" s="3">
        <v>6351.76</v>
      </c>
      <c r="M1194" s="3">
        <v>12703.52</v>
      </c>
      <c r="N1194" s="3">
        <v>10212.92</v>
      </c>
      <c r="O1194" s="3">
        <v>2490.6</v>
      </c>
      <c r="P1194" s="3" t="s">
        <v>86</v>
      </c>
    </row>
    <row r="1195" spans="1:16" x14ac:dyDescent="0.35">
      <c r="A1195" s="3" t="s">
        <v>2332</v>
      </c>
      <c r="B1195" s="3" t="s">
        <v>924</v>
      </c>
      <c r="C1195" s="3" t="s">
        <v>18</v>
      </c>
      <c r="D1195" s="3" t="s">
        <v>90</v>
      </c>
      <c r="E1195" s="3" t="s">
        <v>119</v>
      </c>
      <c r="F1195" s="3" t="s">
        <v>120</v>
      </c>
      <c r="G1195" s="3" t="s">
        <v>41</v>
      </c>
      <c r="H1195" s="3" t="s">
        <v>42</v>
      </c>
      <c r="I1195" s="3" t="s">
        <v>2276</v>
      </c>
      <c r="J1195" s="3" t="s">
        <v>106</v>
      </c>
      <c r="K1195" s="3">
        <v>3</v>
      </c>
      <c r="L1195" s="3">
        <v>43484.85</v>
      </c>
      <c r="M1195" s="3">
        <v>130454.55</v>
      </c>
      <c r="N1195" s="3">
        <v>103536.92</v>
      </c>
      <c r="O1195" s="3">
        <v>26917.63</v>
      </c>
      <c r="P1195" s="3" t="s">
        <v>26</v>
      </c>
    </row>
    <row r="1196" spans="1:16" x14ac:dyDescent="0.35">
      <c r="A1196" s="3" t="s">
        <v>2333</v>
      </c>
      <c r="B1196" s="3" t="s">
        <v>1053</v>
      </c>
      <c r="C1196" s="3" t="s">
        <v>82</v>
      </c>
      <c r="D1196" s="3" t="s">
        <v>58</v>
      </c>
      <c r="E1196" s="3" t="s">
        <v>59</v>
      </c>
      <c r="F1196" s="3" t="s">
        <v>60</v>
      </c>
      <c r="G1196" s="3" t="s">
        <v>41</v>
      </c>
      <c r="H1196" s="3" t="s">
        <v>138</v>
      </c>
      <c r="I1196" s="3" t="s">
        <v>1099</v>
      </c>
      <c r="J1196" s="3" t="s">
        <v>106</v>
      </c>
      <c r="K1196" s="3">
        <v>6</v>
      </c>
      <c r="L1196" s="3">
        <v>17583.18</v>
      </c>
      <c r="M1196" s="3">
        <v>105499.08</v>
      </c>
      <c r="N1196" s="3">
        <v>87007.1</v>
      </c>
      <c r="O1196" s="3">
        <v>18491.98</v>
      </c>
      <c r="P1196" s="3" t="s">
        <v>26</v>
      </c>
    </row>
    <row r="1197" spans="1:16" x14ac:dyDescent="0.35">
      <c r="A1197" s="3" t="s">
        <v>2334</v>
      </c>
      <c r="B1197" s="3" t="s">
        <v>443</v>
      </c>
      <c r="C1197" s="3" t="s">
        <v>57</v>
      </c>
      <c r="D1197" s="3" t="s">
        <v>19</v>
      </c>
      <c r="E1197" s="3" t="s">
        <v>20</v>
      </c>
      <c r="F1197" s="3" t="s">
        <v>21</v>
      </c>
      <c r="G1197" s="3" t="s">
        <v>41</v>
      </c>
      <c r="H1197" s="3" t="s">
        <v>42</v>
      </c>
      <c r="I1197" s="3" t="s">
        <v>436</v>
      </c>
      <c r="J1197" s="3" t="s">
        <v>147</v>
      </c>
      <c r="K1197" s="3">
        <v>7</v>
      </c>
      <c r="L1197" s="3">
        <v>44805.32</v>
      </c>
      <c r="M1197" s="3">
        <v>313637.24</v>
      </c>
      <c r="N1197" s="3">
        <v>254421.07</v>
      </c>
      <c r="O1197" s="3">
        <v>59216.17</v>
      </c>
      <c r="P1197" s="3" t="s">
        <v>69</v>
      </c>
    </row>
    <row r="1198" spans="1:16" x14ac:dyDescent="0.35">
      <c r="A1198" s="3" t="s">
        <v>2335</v>
      </c>
      <c r="B1198" s="3" t="s">
        <v>1461</v>
      </c>
      <c r="C1198" s="3" t="s">
        <v>72</v>
      </c>
      <c r="D1198" s="3" t="s">
        <v>38</v>
      </c>
      <c r="E1198" s="3" t="s">
        <v>39</v>
      </c>
      <c r="F1198" s="3" t="s">
        <v>40</v>
      </c>
      <c r="G1198" s="3" t="s">
        <v>51</v>
      </c>
      <c r="H1198" s="3" t="s">
        <v>77</v>
      </c>
      <c r="I1198" s="3" t="s">
        <v>2006</v>
      </c>
      <c r="J1198" s="3" t="s">
        <v>54</v>
      </c>
      <c r="K1198" s="3">
        <v>1</v>
      </c>
      <c r="L1198" s="3">
        <v>10815.97</v>
      </c>
      <c r="M1198" s="3">
        <v>10815.97</v>
      </c>
      <c r="N1198" s="3">
        <v>8692.3700000000008</v>
      </c>
      <c r="O1198" s="3">
        <v>2123.6</v>
      </c>
      <c r="P1198" s="3" t="s">
        <v>34</v>
      </c>
    </row>
    <row r="1199" spans="1:16" x14ac:dyDescent="0.35">
      <c r="A1199" s="3" t="s">
        <v>2336</v>
      </c>
      <c r="B1199" s="3" t="s">
        <v>705</v>
      </c>
      <c r="C1199" s="3" t="s">
        <v>82</v>
      </c>
      <c r="D1199" s="3" t="s">
        <v>19</v>
      </c>
      <c r="E1199" s="3" t="s">
        <v>199</v>
      </c>
      <c r="F1199" s="3" t="s">
        <v>200</v>
      </c>
      <c r="G1199" s="3" t="s">
        <v>30</v>
      </c>
      <c r="H1199" s="3" t="s">
        <v>73</v>
      </c>
      <c r="I1199" s="3" t="s">
        <v>2337</v>
      </c>
      <c r="J1199" s="3" t="s">
        <v>25</v>
      </c>
      <c r="K1199" s="3">
        <v>5</v>
      </c>
      <c r="L1199" s="3">
        <v>3137.28</v>
      </c>
      <c r="M1199" s="3">
        <v>15686.4</v>
      </c>
      <c r="N1199" s="3">
        <v>11638.87</v>
      </c>
      <c r="O1199" s="3">
        <v>4047.53</v>
      </c>
      <c r="P1199" s="3" t="s">
        <v>34</v>
      </c>
    </row>
    <row r="1200" spans="1:16" x14ac:dyDescent="0.35">
      <c r="A1200" s="3" t="s">
        <v>2338</v>
      </c>
      <c r="B1200" s="3" t="s">
        <v>1464</v>
      </c>
      <c r="C1200" s="3" t="s">
        <v>137</v>
      </c>
      <c r="D1200" s="3" t="s">
        <v>58</v>
      </c>
      <c r="E1200" s="3" t="s">
        <v>176</v>
      </c>
      <c r="F1200" s="3" t="s">
        <v>177</v>
      </c>
      <c r="G1200" s="3" t="s">
        <v>41</v>
      </c>
      <c r="H1200" s="3" t="s">
        <v>138</v>
      </c>
      <c r="I1200" s="3" t="s">
        <v>2339</v>
      </c>
      <c r="J1200" s="3" t="s">
        <v>171</v>
      </c>
      <c r="K1200" s="3">
        <v>1</v>
      </c>
      <c r="L1200" s="3">
        <v>19261.63</v>
      </c>
      <c r="M1200" s="3">
        <v>19261.63</v>
      </c>
      <c r="N1200" s="3">
        <v>14586.07</v>
      </c>
      <c r="O1200" s="3">
        <v>4675.5600000000004</v>
      </c>
      <c r="P1200" s="3" t="s">
        <v>69</v>
      </c>
    </row>
    <row r="1201" spans="1:16" x14ac:dyDescent="0.35">
      <c r="A1201" s="3" t="s">
        <v>2340</v>
      </c>
      <c r="B1201" s="3" t="s">
        <v>1276</v>
      </c>
      <c r="C1201" s="3" t="s">
        <v>37</v>
      </c>
      <c r="D1201" s="3" t="s">
        <v>90</v>
      </c>
      <c r="E1201" s="3" t="s">
        <v>97</v>
      </c>
      <c r="F1201" s="3" t="s">
        <v>98</v>
      </c>
      <c r="G1201" s="3" t="s">
        <v>30</v>
      </c>
      <c r="H1201" s="3" t="s">
        <v>73</v>
      </c>
      <c r="I1201" s="3" t="s">
        <v>2195</v>
      </c>
      <c r="J1201" s="3" t="s">
        <v>171</v>
      </c>
      <c r="K1201" s="3">
        <v>5</v>
      </c>
      <c r="L1201" s="3">
        <v>3205.34</v>
      </c>
      <c r="M1201" s="3">
        <v>16026.7</v>
      </c>
      <c r="N1201" s="3">
        <v>12206.49</v>
      </c>
      <c r="O1201" s="3">
        <v>3820.21</v>
      </c>
      <c r="P1201" s="3" t="s">
        <v>86</v>
      </c>
    </row>
    <row r="1202" spans="1:16" x14ac:dyDescent="0.35">
      <c r="A1202" s="3" t="s">
        <v>2341</v>
      </c>
      <c r="B1202" s="3" t="s">
        <v>186</v>
      </c>
      <c r="C1202" s="3" t="s">
        <v>89</v>
      </c>
      <c r="D1202" s="3" t="s">
        <v>19</v>
      </c>
      <c r="E1202" s="3" t="s">
        <v>20</v>
      </c>
      <c r="F1202" s="3" t="s">
        <v>21</v>
      </c>
      <c r="G1202" s="3" t="s">
        <v>22</v>
      </c>
      <c r="H1202" s="3" t="s">
        <v>23</v>
      </c>
      <c r="I1202" s="3" t="s">
        <v>319</v>
      </c>
      <c r="J1202" s="3" t="s">
        <v>100</v>
      </c>
      <c r="K1202" s="3">
        <v>5</v>
      </c>
      <c r="L1202" s="3">
        <v>3719.61</v>
      </c>
      <c r="M1202" s="3">
        <v>18598.05</v>
      </c>
      <c r="N1202" s="3">
        <v>10700.13</v>
      </c>
      <c r="O1202" s="3">
        <v>7897.92</v>
      </c>
      <c r="P1202" s="3" t="s">
        <v>86</v>
      </c>
    </row>
    <row r="1203" spans="1:16" x14ac:dyDescent="0.35">
      <c r="A1203" s="3" t="s">
        <v>2342</v>
      </c>
      <c r="B1203" s="3" t="s">
        <v>2343</v>
      </c>
      <c r="C1203" s="3" t="s">
        <v>103</v>
      </c>
      <c r="D1203" s="3" t="s">
        <v>19</v>
      </c>
      <c r="E1203" s="3" t="s">
        <v>49</v>
      </c>
      <c r="F1203" s="3" t="s">
        <v>50</v>
      </c>
      <c r="G1203" s="3" t="s">
        <v>22</v>
      </c>
      <c r="H1203" s="3" t="s">
        <v>23</v>
      </c>
      <c r="I1203" s="3" t="s">
        <v>2344</v>
      </c>
      <c r="J1203" s="3" t="s">
        <v>217</v>
      </c>
      <c r="K1203" s="3">
        <v>7</v>
      </c>
      <c r="L1203" s="3">
        <v>3503.04</v>
      </c>
      <c r="M1203" s="3">
        <v>24521.279999999999</v>
      </c>
      <c r="N1203" s="3">
        <v>15470.03</v>
      </c>
      <c r="O1203" s="3">
        <v>9051.25</v>
      </c>
      <c r="P1203" s="3" t="s">
        <v>34</v>
      </c>
    </row>
    <row r="1204" spans="1:16" x14ac:dyDescent="0.35">
      <c r="A1204" s="3" t="s">
        <v>2345</v>
      </c>
      <c r="B1204" s="3" t="s">
        <v>1042</v>
      </c>
      <c r="C1204" s="3" t="s">
        <v>118</v>
      </c>
      <c r="D1204" s="3" t="s">
        <v>90</v>
      </c>
      <c r="E1204" s="3" t="s">
        <v>91</v>
      </c>
      <c r="F1204" s="3" t="s">
        <v>92</v>
      </c>
      <c r="G1204" s="3" t="s">
        <v>30</v>
      </c>
      <c r="H1204" s="3" t="s">
        <v>73</v>
      </c>
      <c r="I1204" s="3" t="s">
        <v>178</v>
      </c>
      <c r="J1204" s="3" t="s">
        <v>85</v>
      </c>
      <c r="K1204" s="3">
        <v>1</v>
      </c>
      <c r="L1204" s="3">
        <v>3023.3</v>
      </c>
      <c r="M1204" s="3">
        <v>3023.3</v>
      </c>
      <c r="N1204" s="3">
        <v>2290.7399999999998</v>
      </c>
      <c r="O1204" s="3">
        <v>732.56</v>
      </c>
      <c r="P1204" s="3" t="s">
        <v>34</v>
      </c>
    </row>
    <row r="1205" spans="1:16" x14ac:dyDescent="0.35">
      <c r="A1205" s="3" t="s">
        <v>2346</v>
      </c>
      <c r="B1205" s="3" t="s">
        <v>449</v>
      </c>
      <c r="C1205" s="3" t="s">
        <v>37</v>
      </c>
      <c r="D1205" s="3" t="s">
        <v>19</v>
      </c>
      <c r="E1205" s="3" t="s">
        <v>49</v>
      </c>
      <c r="F1205" s="3" t="s">
        <v>50</v>
      </c>
      <c r="G1205" s="3" t="s">
        <v>22</v>
      </c>
      <c r="H1205" s="3" t="s">
        <v>23</v>
      </c>
      <c r="I1205" s="3" t="s">
        <v>1157</v>
      </c>
      <c r="J1205" s="3" t="s">
        <v>161</v>
      </c>
      <c r="K1205" s="3">
        <v>5</v>
      </c>
      <c r="L1205" s="3">
        <v>3565.07</v>
      </c>
      <c r="M1205" s="3">
        <v>17825.349999999999</v>
      </c>
      <c r="N1205" s="3">
        <v>10824.56</v>
      </c>
      <c r="O1205" s="3">
        <v>7000.79</v>
      </c>
      <c r="P1205" s="3" t="s">
        <v>45</v>
      </c>
    </row>
    <row r="1206" spans="1:16" x14ac:dyDescent="0.35">
      <c r="A1206" s="3" t="s">
        <v>2347</v>
      </c>
      <c r="B1206" s="3" t="s">
        <v>163</v>
      </c>
      <c r="C1206" s="3" t="s">
        <v>137</v>
      </c>
      <c r="D1206" s="3" t="s">
        <v>19</v>
      </c>
      <c r="E1206" s="3" t="s">
        <v>199</v>
      </c>
      <c r="F1206" s="3" t="s">
        <v>200</v>
      </c>
      <c r="G1206" s="3" t="s">
        <v>51</v>
      </c>
      <c r="H1206" s="3" t="s">
        <v>77</v>
      </c>
      <c r="I1206" s="3" t="s">
        <v>679</v>
      </c>
      <c r="J1206" s="3" t="s">
        <v>188</v>
      </c>
      <c r="K1206" s="3">
        <v>4</v>
      </c>
      <c r="L1206" s="3">
        <v>11697.25</v>
      </c>
      <c r="M1206" s="3">
        <v>46789</v>
      </c>
      <c r="N1206" s="3">
        <v>37097.72</v>
      </c>
      <c r="O1206" s="3">
        <v>9691.2800000000007</v>
      </c>
      <c r="P1206" s="3" t="s">
        <v>86</v>
      </c>
    </row>
    <row r="1207" spans="1:16" x14ac:dyDescent="0.35">
      <c r="A1207" s="3" t="s">
        <v>2348</v>
      </c>
      <c r="B1207" s="3" t="s">
        <v>672</v>
      </c>
      <c r="C1207" s="3" t="s">
        <v>118</v>
      </c>
      <c r="D1207" s="3" t="s">
        <v>19</v>
      </c>
      <c r="E1207" s="3" t="s">
        <v>20</v>
      </c>
      <c r="F1207" s="3" t="s">
        <v>21</v>
      </c>
      <c r="G1207" s="3" t="s">
        <v>41</v>
      </c>
      <c r="H1207" s="3" t="s">
        <v>42</v>
      </c>
      <c r="I1207" s="3" t="s">
        <v>2349</v>
      </c>
      <c r="J1207" s="3" t="s">
        <v>54</v>
      </c>
      <c r="K1207" s="3">
        <v>7</v>
      </c>
      <c r="L1207" s="3">
        <v>44748.76</v>
      </c>
      <c r="M1207" s="3">
        <v>313241.32</v>
      </c>
      <c r="N1207" s="3">
        <v>255076.89</v>
      </c>
      <c r="O1207" s="3">
        <v>58164.43</v>
      </c>
      <c r="P1207" s="3" t="s">
        <v>45</v>
      </c>
    </row>
    <row r="1208" spans="1:16" x14ac:dyDescent="0.35">
      <c r="A1208" s="3" t="s">
        <v>2350</v>
      </c>
      <c r="B1208" s="3" t="s">
        <v>828</v>
      </c>
      <c r="C1208" s="3" t="s">
        <v>89</v>
      </c>
      <c r="D1208" s="3" t="s">
        <v>58</v>
      </c>
      <c r="E1208" s="3" t="s">
        <v>65</v>
      </c>
      <c r="F1208" s="3" t="s">
        <v>66</v>
      </c>
      <c r="G1208" s="3" t="s">
        <v>51</v>
      </c>
      <c r="H1208" s="3" t="s">
        <v>52</v>
      </c>
      <c r="I1208" s="3" t="s">
        <v>1855</v>
      </c>
      <c r="J1208" s="3" t="s">
        <v>188</v>
      </c>
      <c r="K1208" s="3">
        <v>4</v>
      </c>
      <c r="L1208" s="3">
        <v>22.61</v>
      </c>
      <c r="M1208" s="3">
        <v>90.44</v>
      </c>
      <c r="N1208" s="3">
        <v>40.5</v>
      </c>
      <c r="O1208" s="3">
        <v>49.94</v>
      </c>
      <c r="P1208" s="3" t="s">
        <v>34</v>
      </c>
    </row>
    <row r="1209" spans="1:16" x14ac:dyDescent="0.35">
      <c r="A1209" s="3" t="s">
        <v>2351</v>
      </c>
      <c r="B1209" s="3" t="s">
        <v>1898</v>
      </c>
      <c r="C1209" s="3" t="s">
        <v>29</v>
      </c>
      <c r="D1209" s="3" t="s">
        <v>19</v>
      </c>
      <c r="E1209" s="3" t="s">
        <v>49</v>
      </c>
      <c r="F1209" s="3" t="s">
        <v>50</v>
      </c>
      <c r="G1209" s="3" t="s">
        <v>22</v>
      </c>
      <c r="H1209" s="3" t="s">
        <v>83</v>
      </c>
      <c r="I1209" s="3" t="s">
        <v>354</v>
      </c>
      <c r="J1209" s="3" t="s">
        <v>100</v>
      </c>
      <c r="K1209" s="3">
        <v>3</v>
      </c>
      <c r="L1209" s="3">
        <v>23206.99</v>
      </c>
      <c r="M1209" s="3">
        <v>69620.97</v>
      </c>
      <c r="N1209" s="3">
        <v>52975.44</v>
      </c>
      <c r="O1209" s="3">
        <v>16645.53</v>
      </c>
      <c r="P1209" s="3" t="s">
        <v>86</v>
      </c>
    </row>
    <row r="1210" spans="1:16" x14ac:dyDescent="0.35">
      <c r="A1210" s="3" t="s">
        <v>2352</v>
      </c>
      <c r="B1210" s="3" t="s">
        <v>575</v>
      </c>
      <c r="C1210" s="3" t="s">
        <v>137</v>
      </c>
      <c r="D1210" s="3" t="s">
        <v>58</v>
      </c>
      <c r="E1210" s="3" t="s">
        <v>65</v>
      </c>
      <c r="F1210" s="3" t="s">
        <v>66</v>
      </c>
      <c r="G1210" s="3" t="s">
        <v>22</v>
      </c>
      <c r="H1210" s="3" t="s">
        <v>83</v>
      </c>
      <c r="I1210" s="3" t="s">
        <v>297</v>
      </c>
      <c r="J1210" s="3" t="s">
        <v>100</v>
      </c>
      <c r="K1210" s="3">
        <v>1</v>
      </c>
      <c r="L1210" s="3">
        <v>22826.36</v>
      </c>
      <c r="M1210" s="3">
        <v>22826.36</v>
      </c>
      <c r="N1210" s="3">
        <v>16526.150000000001</v>
      </c>
      <c r="O1210" s="3">
        <v>6300.21</v>
      </c>
      <c r="P1210" s="3" t="s">
        <v>45</v>
      </c>
    </row>
    <row r="1211" spans="1:16" x14ac:dyDescent="0.35">
      <c r="A1211" s="3" t="s">
        <v>2353</v>
      </c>
      <c r="B1211" s="3" t="s">
        <v>212</v>
      </c>
      <c r="C1211" s="3" t="s">
        <v>37</v>
      </c>
      <c r="D1211" s="3" t="s">
        <v>38</v>
      </c>
      <c r="E1211" s="3" t="s">
        <v>109</v>
      </c>
      <c r="F1211" s="3" t="s">
        <v>110</v>
      </c>
      <c r="G1211" s="3" t="s">
        <v>22</v>
      </c>
      <c r="H1211" s="3" t="s">
        <v>93</v>
      </c>
      <c r="I1211" s="3" t="s">
        <v>1690</v>
      </c>
      <c r="J1211" s="3" t="s">
        <v>79</v>
      </c>
      <c r="K1211" s="3">
        <v>6</v>
      </c>
      <c r="L1211" s="3">
        <v>6690.68</v>
      </c>
      <c r="M1211" s="3">
        <v>40144.080000000002</v>
      </c>
      <c r="N1211" s="3">
        <v>30537.75</v>
      </c>
      <c r="O1211" s="3">
        <v>9606.33</v>
      </c>
      <c r="P1211" s="3" t="s">
        <v>45</v>
      </c>
    </row>
    <row r="1212" spans="1:16" x14ac:dyDescent="0.35">
      <c r="A1212" s="3" t="s">
        <v>2354</v>
      </c>
      <c r="B1212" s="3" t="s">
        <v>787</v>
      </c>
      <c r="C1212" s="3" t="s">
        <v>37</v>
      </c>
      <c r="D1212" s="3" t="s">
        <v>90</v>
      </c>
      <c r="E1212" s="3" t="s">
        <v>97</v>
      </c>
      <c r="F1212" s="3" t="s">
        <v>98</v>
      </c>
      <c r="G1212" s="3" t="s">
        <v>51</v>
      </c>
      <c r="H1212" s="3" t="s">
        <v>145</v>
      </c>
      <c r="I1212" s="3" t="s">
        <v>508</v>
      </c>
      <c r="J1212" s="3" t="s">
        <v>217</v>
      </c>
      <c r="K1212" s="3">
        <v>3</v>
      </c>
      <c r="L1212" s="3">
        <v>126.61</v>
      </c>
      <c r="M1212" s="3">
        <v>379.83</v>
      </c>
      <c r="N1212" s="3">
        <v>188.18</v>
      </c>
      <c r="O1212" s="3">
        <v>191.65</v>
      </c>
      <c r="P1212" s="3" t="s">
        <v>26</v>
      </c>
    </row>
    <row r="1213" spans="1:16" x14ac:dyDescent="0.35">
      <c r="A1213" s="3" t="s">
        <v>2355</v>
      </c>
      <c r="B1213" s="3" t="s">
        <v>358</v>
      </c>
      <c r="C1213" s="3" t="s">
        <v>72</v>
      </c>
      <c r="D1213" s="3" t="s">
        <v>19</v>
      </c>
      <c r="E1213" s="3" t="s">
        <v>20</v>
      </c>
      <c r="F1213" s="3" t="s">
        <v>21</v>
      </c>
      <c r="G1213" s="3" t="s">
        <v>51</v>
      </c>
      <c r="H1213" s="3" t="s">
        <v>145</v>
      </c>
      <c r="I1213" s="3" t="s">
        <v>2356</v>
      </c>
      <c r="J1213" s="3" t="s">
        <v>154</v>
      </c>
      <c r="K1213" s="3">
        <v>6</v>
      </c>
      <c r="L1213" s="3">
        <v>109.3</v>
      </c>
      <c r="M1213" s="3">
        <v>655.8</v>
      </c>
      <c r="N1213" s="3">
        <v>377.34</v>
      </c>
      <c r="O1213" s="3">
        <v>278.45999999999998</v>
      </c>
      <c r="P1213" s="3" t="s">
        <v>86</v>
      </c>
    </row>
    <row r="1214" spans="1:16" x14ac:dyDescent="0.35">
      <c r="A1214" s="3" t="s">
        <v>2357</v>
      </c>
      <c r="B1214" s="3" t="s">
        <v>1755</v>
      </c>
      <c r="C1214" s="3" t="s">
        <v>57</v>
      </c>
      <c r="D1214" s="3" t="s">
        <v>19</v>
      </c>
      <c r="E1214" s="3" t="s">
        <v>20</v>
      </c>
      <c r="F1214" s="3" t="s">
        <v>21</v>
      </c>
      <c r="G1214" s="3" t="s">
        <v>51</v>
      </c>
      <c r="H1214" s="3" t="s">
        <v>77</v>
      </c>
      <c r="I1214" s="3" t="s">
        <v>2358</v>
      </c>
      <c r="J1214" s="3" t="s">
        <v>79</v>
      </c>
      <c r="K1214" s="3">
        <v>7</v>
      </c>
      <c r="L1214" s="3">
        <v>12648.93</v>
      </c>
      <c r="M1214" s="3">
        <v>88542.51</v>
      </c>
      <c r="N1214" s="3">
        <v>62511.92</v>
      </c>
      <c r="O1214" s="3">
        <v>26030.59</v>
      </c>
      <c r="P1214" s="3" t="s">
        <v>69</v>
      </c>
    </row>
    <row r="1215" spans="1:16" x14ac:dyDescent="0.35">
      <c r="A1215" s="3" t="s">
        <v>2359</v>
      </c>
      <c r="B1215" s="3" t="s">
        <v>777</v>
      </c>
      <c r="C1215" s="3" t="s">
        <v>72</v>
      </c>
      <c r="D1215" s="3" t="s">
        <v>58</v>
      </c>
      <c r="E1215" s="3" t="s">
        <v>59</v>
      </c>
      <c r="F1215" s="3" t="s">
        <v>60</v>
      </c>
      <c r="G1215" s="3" t="s">
        <v>41</v>
      </c>
      <c r="H1215" s="3" t="s">
        <v>61</v>
      </c>
      <c r="I1215" s="3" t="s">
        <v>2360</v>
      </c>
      <c r="J1215" s="3" t="s">
        <v>33</v>
      </c>
      <c r="K1215" s="3">
        <v>1</v>
      </c>
      <c r="L1215" s="3">
        <v>2409.23</v>
      </c>
      <c r="M1215" s="3">
        <v>2409.23</v>
      </c>
      <c r="N1215" s="3">
        <v>1641.48</v>
      </c>
      <c r="O1215" s="3">
        <v>767.75</v>
      </c>
      <c r="P1215" s="3" t="s">
        <v>86</v>
      </c>
    </row>
    <row r="1216" spans="1:16" x14ac:dyDescent="0.35">
      <c r="A1216" s="3" t="s">
        <v>2361</v>
      </c>
      <c r="B1216" s="3" t="s">
        <v>904</v>
      </c>
      <c r="C1216" s="3" t="s">
        <v>118</v>
      </c>
      <c r="D1216" s="3" t="s">
        <v>58</v>
      </c>
      <c r="E1216" s="3" t="s">
        <v>176</v>
      </c>
      <c r="F1216" s="3" t="s">
        <v>177</v>
      </c>
      <c r="G1216" s="3" t="s">
        <v>30</v>
      </c>
      <c r="H1216" s="3" t="s">
        <v>67</v>
      </c>
      <c r="I1216" s="3" t="s">
        <v>1478</v>
      </c>
      <c r="J1216" s="3" t="s">
        <v>44</v>
      </c>
      <c r="K1216" s="3">
        <v>3</v>
      </c>
      <c r="L1216" s="3">
        <v>10435.86</v>
      </c>
      <c r="M1216" s="3">
        <v>31307.58</v>
      </c>
      <c r="N1216" s="3">
        <v>21664.76</v>
      </c>
      <c r="O1216" s="3">
        <v>9642.82</v>
      </c>
      <c r="P1216" s="3" t="s">
        <v>26</v>
      </c>
    </row>
    <row r="1217" spans="1:16" x14ac:dyDescent="0.35">
      <c r="A1217" s="3" t="s">
        <v>2362</v>
      </c>
      <c r="B1217" s="3" t="s">
        <v>642</v>
      </c>
      <c r="C1217" s="3" t="s">
        <v>18</v>
      </c>
      <c r="D1217" s="3" t="s">
        <v>19</v>
      </c>
      <c r="E1217" s="3" t="s">
        <v>20</v>
      </c>
      <c r="F1217" s="3" t="s">
        <v>21</v>
      </c>
      <c r="G1217" s="3" t="s">
        <v>30</v>
      </c>
      <c r="H1217" s="3" t="s">
        <v>31</v>
      </c>
      <c r="I1217" s="3" t="s">
        <v>94</v>
      </c>
      <c r="J1217" s="3" t="s">
        <v>106</v>
      </c>
      <c r="K1217" s="3">
        <v>1</v>
      </c>
      <c r="L1217" s="3">
        <v>2642.4</v>
      </c>
      <c r="M1217" s="3">
        <v>2642.4</v>
      </c>
      <c r="N1217" s="3">
        <v>1990.13</v>
      </c>
      <c r="O1217" s="3">
        <v>652.27</v>
      </c>
      <c r="P1217" s="3" t="s">
        <v>26</v>
      </c>
    </row>
    <row r="1218" spans="1:16" x14ac:dyDescent="0.35">
      <c r="A1218" s="3" t="s">
        <v>2363</v>
      </c>
      <c r="B1218" s="3" t="s">
        <v>420</v>
      </c>
      <c r="C1218" s="3" t="s">
        <v>89</v>
      </c>
      <c r="D1218" s="3" t="s">
        <v>38</v>
      </c>
      <c r="E1218" s="3" t="s">
        <v>104</v>
      </c>
      <c r="F1218" s="3" t="s">
        <v>104</v>
      </c>
      <c r="G1218" s="3" t="s">
        <v>51</v>
      </c>
      <c r="H1218" s="3" t="s">
        <v>77</v>
      </c>
      <c r="I1218" s="3" t="s">
        <v>1965</v>
      </c>
      <c r="J1218" s="3" t="s">
        <v>79</v>
      </c>
      <c r="K1218" s="3">
        <v>2</v>
      </c>
      <c r="L1218" s="3">
        <v>12786.23</v>
      </c>
      <c r="M1218" s="3">
        <v>25572.46</v>
      </c>
      <c r="N1218" s="3">
        <v>18012.91</v>
      </c>
      <c r="O1218" s="3">
        <v>7559.55</v>
      </c>
      <c r="P1218" s="3" t="s">
        <v>26</v>
      </c>
    </row>
    <row r="1219" spans="1:16" x14ac:dyDescent="0.35">
      <c r="A1219" s="3" t="s">
        <v>2364</v>
      </c>
      <c r="B1219" s="3" t="s">
        <v>2365</v>
      </c>
      <c r="C1219" s="3" t="s">
        <v>57</v>
      </c>
      <c r="D1219" s="3" t="s">
        <v>90</v>
      </c>
      <c r="E1219" s="3" t="s">
        <v>91</v>
      </c>
      <c r="F1219" s="3" t="s">
        <v>92</v>
      </c>
      <c r="G1219" s="3" t="s">
        <v>30</v>
      </c>
      <c r="H1219" s="3" t="s">
        <v>67</v>
      </c>
      <c r="I1219" s="3" t="s">
        <v>2366</v>
      </c>
      <c r="J1219" s="3" t="s">
        <v>25</v>
      </c>
      <c r="K1219" s="3">
        <v>6</v>
      </c>
      <c r="L1219" s="3">
        <v>9487.58</v>
      </c>
      <c r="M1219" s="3">
        <v>56925.48</v>
      </c>
      <c r="N1219" s="3">
        <v>45217.11</v>
      </c>
      <c r="O1219" s="3">
        <v>11708.37</v>
      </c>
      <c r="P1219" s="3" t="s">
        <v>69</v>
      </c>
    </row>
    <row r="1220" spans="1:16" x14ac:dyDescent="0.35">
      <c r="A1220" s="3" t="s">
        <v>2367</v>
      </c>
      <c r="B1220" s="3" t="s">
        <v>1667</v>
      </c>
      <c r="C1220" s="3" t="s">
        <v>48</v>
      </c>
      <c r="D1220" s="3" t="s">
        <v>58</v>
      </c>
      <c r="E1220" s="3" t="s">
        <v>176</v>
      </c>
      <c r="F1220" s="3" t="s">
        <v>177</v>
      </c>
      <c r="G1220" s="3" t="s">
        <v>30</v>
      </c>
      <c r="H1220" s="3" t="s">
        <v>73</v>
      </c>
      <c r="I1220" s="3" t="s">
        <v>1532</v>
      </c>
      <c r="J1220" s="3" t="s">
        <v>161</v>
      </c>
      <c r="K1220" s="3">
        <v>8</v>
      </c>
      <c r="L1220" s="3">
        <v>3331.84</v>
      </c>
      <c r="M1220" s="3">
        <v>26654.720000000001</v>
      </c>
      <c r="N1220" s="3">
        <v>19015.009999999998</v>
      </c>
      <c r="O1220" s="3">
        <v>7639.71</v>
      </c>
      <c r="P1220" s="3" t="s">
        <v>69</v>
      </c>
    </row>
    <row r="1221" spans="1:16" x14ac:dyDescent="0.35">
      <c r="A1221" s="3" t="s">
        <v>2368</v>
      </c>
      <c r="B1221" s="3" t="s">
        <v>1704</v>
      </c>
      <c r="C1221" s="3" t="s">
        <v>48</v>
      </c>
      <c r="D1221" s="3" t="s">
        <v>38</v>
      </c>
      <c r="E1221" s="3" t="s">
        <v>104</v>
      </c>
      <c r="F1221" s="3" t="s">
        <v>104</v>
      </c>
      <c r="G1221" s="3" t="s">
        <v>51</v>
      </c>
      <c r="H1221" s="3" t="s">
        <v>77</v>
      </c>
      <c r="I1221" s="3" t="s">
        <v>1662</v>
      </c>
      <c r="J1221" s="3" t="s">
        <v>131</v>
      </c>
      <c r="K1221" s="3">
        <v>3</v>
      </c>
      <c r="L1221" s="3">
        <v>11353.06</v>
      </c>
      <c r="M1221" s="3">
        <v>34059.18</v>
      </c>
      <c r="N1221" s="3">
        <v>27871.52</v>
      </c>
      <c r="O1221" s="3">
        <v>6187.66</v>
      </c>
      <c r="P1221" s="3" t="s">
        <v>45</v>
      </c>
    </row>
    <row r="1222" spans="1:16" x14ac:dyDescent="0.35">
      <c r="A1222" s="3" t="s">
        <v>2369</v>
      </c>
      <c r="B1222" s="3" t="s">
        <v>336</v>
      </c>
      <c r="C1222" s="3" t="s">
        <v>29</v>
      </c>
      <c r="D1222" s="3" t="s">
        <v>38</v>
      </c>
      <c r="E1222" s="3" t="s">
        <v>39</v>
      </c>
      <c r="F1222" s="3" t="s">
        <v>40</v>
      </c>
      <c r="G1222" s="3" t="s">
        <v>30</v>
      </c>
      <c r="H1222" s="3" t="s">
        <v>73</v>
      </c>
      <c r="I1222" s="3" t="s">
        <v>1476</v>
      </c>
      <c r="J1222" s="3" t="s">
        <v>33</v>
      </c>
      <c r="K1222" s="3">
        <v>7</v>
      </c>
      <c r="L1222" s="3">
        <v>3347.18</v>
      </c>
      <c r="M1222" s="3">
        <v>23430.26</v>
      </c>
      <c r="N1222" s="3">
        <v>17007.86</v>
      </c>
      <c r="O1222" s="3">
        <v>6422.4</v>
      </c>
      <c r="P1222" s="3" t="s">
        <v>45</v>
      </c>
    </row>
    <row r="1223" spans="1:16" x14ac:dyDescent="0.35">
      <c r="A1223" s="3" t="s">
        <v>2370</v>
      </c>
      <c r="B1223" s="3" t="s">
        <v>239</v>
      </c>
      <c r="C1223" s="3" t="s">
        <v>72</v>
      </c>
      <c r="D1223" s="3" t="s">
        <v>90</v>
      </c>
      <c r="E1223" s="3" t="s">
        <v>97</v>
      </c>
      <c r="F1223" s="3" t="s">
        <v>98</v>
      </c>
      <c r="G1223" s="3" t="s">
        <v>51</v>
      </c>
      <c r="H1223" s="3" t="s">
        <v>145</v>
      </c>
      <c r="I1223" s="3" t="s">
        <v>1279</v>
      </c>
      <c r="J1223" s="3" t="s">
        <v>33</v>
      </c>
      <c r="K1223" s="3">
        <v>6</v>
      </c>
      <c r="L1223" s="3">
        <v>120.83</v>
      </c>
      <c r="M1223" s="3">
        <v>724.98</v>
      </c>
      <c r="N1223" s="3">
        <v>361.99</v>
      </c>
      <c r="O1223" s="3">
        <v>362.99</v>
      </c>
      <c r="P1223" s="3" t="s">
        <v>86</v>
      </c>
    </row>
    <row r="1224" spans="1:16" x14ac:dyDescent="0.35">
      <c r="A1224" s="3" t="s">
        <v>2371</v>
      </c>
      <c r="B1224" s="3" t="s">
        <v>570</v>
      </c>
      <c r="C1224" s="3" t="s">
        <v>18</v>
      </c>
      <c r="D1224" s="3" t="s">
        <v>19</v>
      </c>
      <c r="E1224" s="3" t="s">
        <v>199</v>
      </c>
      <c r="F1224" s="3" t="s">
        <v>200</v>
      </c>
      <c r="G1224" s="3" t="s">
        <v>22</v>
      </c>
      <c r="H1224" s="3" t="s">
        <v>93</v>
      </c>
      <c r="I1224" s="3" t="s">
        <v>1868</v>
      </c>
      <c r="J1224" s="3" t="s">
        <v>25</v>
      </c>
      <c r="K1224" s="3">
        <v>4</v>
      </c>
      <c r="L1224" s="3">
        <v>6339.17</v>
      </c>
      <c r="M1224" s="3">
        <v>25356.68</v>
      </c>
      <c r="N1224" s="3">
        <v>19187.93</v>
      </c>
      <c r="O1224" s="3">
        <v>6168.75</v>
      </c>
      <c r="P1224" s="3" t="s">
        <v>45</v>
      </c>
    </row>
    <row r="1225" spans="1:16" x14ac:dyDescent="0.35">
      <c r="A1225" s="3" t="s">
        <v>2372</v>
      </c>
      <c r="B1225" s="3" t="s">
        <v>654</v>
      </c>
      <c r="C1225" s="3" t="s">
        <v>103</v>
      </c>
      <c r="D1225" s="3" t="s">
        <v>58</v>
      </c>
      <c r="E1225" s="3" t="s">
        <v>65</v>
      </c>
      <c r="F1225" s="3" t="s">
        <v>66</v>
      </c>
      <c r="G1225" s="3" t="s">
        <v>30</v>
      </c>
      <c r="H1225" s="3" t="s">
        <v>67</v>
      </c>
      <c r="I1225" s="3" t="s">
        <v>433</v>
      </c>
      <c r="J1225" s="3" t="s">
        <v>106</v>
      </c>
      <c r="K1225" s="3">
        <v>7</v>
      </c>
      <c r="L1225" s="3">
        <v>10063.23</v>
      </c>
      <c r="M1225" s="3">
        <v>70442.61</v>
      </c>
      <c r="N1225" s="3">
        <v>53597.45</v>
      </c>
      <c r="O1225" s="3">
        <v>16845.16</v>
      </c>
      <c r="P1225" s="3" t="s">
        <v>45</v>
      </c>
    </row>
    <row r="1226" spans="1:16" x14ac:dyDescent="0.35">
      <c r="A1226" s="3" t="s">
        <v>2373</v>
      </c>
      <c r="B1226" s="3" t="s">
        <v>712</v>
      </c>
      <c r="C1226" s="3" t="s">
        <v>37</v>
      </c>
      <c r="D1226" s="3" t="s">
        <v>90</v>
      </c>
      <c r="E1226" s="3" t="s">
        <v>97</v>
      </c>
      <c r="F1226" s="3" t="s">
        <v>98</v>
      </c>
      <c r="G1226" s="3" t="s">
        <v>30</v>
      </c>
      <c r="H1226" s="3" t="s">
        <v>73</v>
      </c>
      <c r="I1226" s="3" t="s">
        <v>2272</v>
      </c>
      <c r="J1226" s="3" t="s">
        <v>131</v>
      </c>
      <c r="K1226" s="3">
        <v>3</v>
      </c>
      <c r="L1226" s="3">
        <v>3514.85</v>
      </c>
      <c r="M1226" s="3">
        <v>10544.55</v>
      </c>
      <c r="N1226" s="3">
        <v>7547.83</v>
      </c>
      <c r="O1226" s="3">
        <v>2996.72</v>
      </c>
      <c r="P1226" s="3" t="s">
        <v>34</v>
      </c>
    </row>
    <row r="1227" spans="1:16" x14ac:dyDescent="0.35">
      <c r="A1227" s="3" t="s">
        <v>2374</v>
      </c>
      <c r="B1227" s="3" t="s">
        <v>1471</v>
      </c>
      <c r="C1227" s="3" t="s">
        <v>89</v>
      </c>
      <c r="D1227" s="3" t="s">
        <v>38</v>
      </c>
      <c r="E1227" s="3" t="s">
        <v>109</v>
      </c>
      <c r="F1227" s="3" t="s">
        <v>110</v>
      </c>
      <c r="G1227" s="3" t="s">
        <v>22</v>
      </c>
      <c r="H1227" s="3" t="s">
        <v>83</v>
      </c>
      <c r="I1227" s="3" t="s">
        <v>610</v>
      </c>
      <c r="J1227" s="3" t="s">
        <v>85</v>
      </c>
      <c r="K1227" s="3">
        <v>1</v>
      </c>
      <c r="L1227" s="3">
        <v>20741.53</v>
      </c>
      <c r="M1227" s="3">
        <v>20741.53</v>
      </c>
      <c r="N1227" s="3">
        <v>16906.400000000001</v>
      </c>
      <c r="O1227" s="3">
        <v>3835.13</v>
      </c>
      <c r="P1227" s="3" t="s">
        <v>45</v>
      </c>
    </row>
    <row r="1228" spans="1:16" x14ac:dyDescent="0.35">
      <c r="A1228" s="3" t="s">
        <v>2375</v>
      </c>
      <c r="B1228" s="3" t="s">
        <v>1392</v>
      </c>
      <c r="C1228" s="3" t="s">
        <v>103</v>
      </c>
      <c r="D1228" s="3" t="s">
        <v>90</v>
      </c>
      <c r="E1228" s="3" t="s">
        <v>97</v>
      </c>
      <c r="F1228" s="3" t="s">
        <v>98</v>
      </c>
      <c r="G1228" s="3" t="s">
        <v>30</v>
      </c>
      <c r="H1228" s="3" t="s">
        <v>31</v>
      </c>
      <c r="I1228" s="3" t="s">
        <v>2376</v>
      </c>
      <c r="J1228" s="3" t="s">
        <v>85</v>
      </c>
      <c r="K1228" s="3">
        <v>1</v>
      </c>
      <c r="L1228" s="3">
        <v>2520.2800000000002</v>
      </c>
      <c r="M1228" s="3">
        <v>2520.2800000000002</v>
      </c>
      <c r="N1228" s="3">
        <v>1973.59</v>
      </c>
      <c r="O1228" s="3">
        <v>546.69000000000005</v>
      </c>
      <c r="P1228" s="3" t="s">
        <v>86</v>
      </c>
    </row>
    <row r="1229" spans="1:16" x14ac:dyDescent="0.35">
      <c r="A1229" s="3" t="s">
        <v>2377</v>
      </c>
      <c r="B1229" s="3" t="s">
        <v>1216</v>
      </c>
      <c r="C1229" s="3" t="s">
        <v>114</v>
      </c>
      <c r="D1229" s="3" t="s">
        <v>90</v>
      </c>
      <c r="E1229" s="3" t="s">
        <v>91</v>
      </c>
      <c r="F1229" s="3" t="s">
        <v>92</v>
      </c>
      <c r="G1229" s="3" t="s">
        <v>41</v>
      </c>
      <c r="H1229" s="3" t="s">
        <v>61</v>
      </c>
      <c r="I1229" s="3" t="s">
        <v>2378</v>
      </c>
      <c r="J1229" s="3" t="s">
        <v>147</v>
      </c>
      <c r="K1229" s="3">
        <v>8</v>
      </c>
      <c r="L1229" s="3">
        <v>2583.91</v>
      </c>
      <c r="M1229" s="3">
        <v>20671.28</v>
      </c>
      <c r="N1229" s="3">
        <v>13192.28</v>
      </c>
      <c r="O1229" s="3">
        <v>7479</v>
      </c>
      <c r="P1229" s="3" t="s">
        <v>45</v>
      </c>
    </row>
    <row r="1230" spans="1:16" x14ac:dyDescent="0.35">
      <c r="A1230" s="3" t="s">
        <v>2379</v>
      </c>
      <c r="B1230" s="3" t="s">
        <v>203</v>
      </c>
      <c r="C1230" s="3" t="s">
        <v>48</v>
      </c>
      <c r="D1230" s="3" t="s">
        <v>90</v>
      </c>
      <c r="E1230" s="3" t="s">
        <v>119</v>
      </c>
      <c r="F1230" s="3" t="s">
        <v>120</v>
      </c>
      <c r="G1230" s="3" t="s">
        <v>51</v>
      </c>
      <c r="H1230" s="3" t="s">
        <v>145</v>
      </c>
      <c r="I1230" s="3" t="s">
        <v>422</v>
      </c>
      <c r="J1230" s="3" t="s">
        <v>106</v>
      </c>
      <c r="K1230" s="3">
        <v>2</v>
      </c>
      <c r="L1230" s="3">
        <v>128.07</v>
      </c>
      <c r="M1230" s="3">
        <v>256.14</v>
      </c>
      <c r="N1230" s="3">
        <v>120.3</v>
      </c>
      <c r="O1230" s="3">
        <v>135.84</v>
      </c>
      <c r="P1230" s="3" t="s">
        <v>45</v>
      </c>
    </row>
    <row r="1231" spans="1:16" x14ac:dyDescent="0.35">
      <c r="A1231" s="3" t="s">
        <v>2380</v>
      </c>
      <c r="B1231" s="3" t="s">
        <v>152</v>
      </c>
      <c r="C1231" s="3" t="s">
        <v>57</v>
      </c>
      <c r="D1231" s="3" t="s">
        <v>58</v>
      </c>
      <c r="E1231" s="3" t="s">
        <v>176</v>
      </c>
      <c r="F1231" s="3" t="s">
        <v>177</v>
      </c>
      <c r="G1231" s="3" t="s">
        <v>51</v>
      </c>
      <c r="H1231" s="3" t="s">
        <v>145</v>
      </c>
      <c r="I1231" s="3" t="s">
        <v>2381</v>
      </c>
      <c r="J1231" s="3" t="s">
        <v>79</v>
      </c>
      <c r="K1231" s="3">
        <v>1</v>
      </c>
      <c r="L1231" s="3">
        <v>110.39</v>
      </c>
      <c r="M1231" s="3">
        <v>110.39</v>
      </c>
      <c r="N1231" s="3">
        <v>60.49</v>
      </c>
      <c r="O1231" s="3">
        <v>49.9</v>
      </c>
      <c r="P1231" s="3" t="s">
        <v>45</v>
      </c>
    </row>
    <row r="1232" spans="1:16" x14ac:dyDescent="0.35">
      <c r="A1232" s="3" t="s">
        <v>2382</v>
      </c>
      <c r="B1232" s="3" t="s">
        <v>883</v>
      </c>
      <c r="C1232" s="3" t="s">
        <v>37</v>
      </c>
      <c r="D1232" s="3" t="s">
        <v>90</v>
      </c>
      <c r="E1232" s="3" t="s">
        <v>119</v>
      </c>
      <c r="F1232" s="3" t="s">
        <v>120</v>
      </c>
      <c r="G1232" s="3" t="s">
        <v>22</v>
      </c>
      <c r="H1232" s="3" t="s">
        <v>93</v>
      </c>
      <c r="I1232" s="3" t="s">
        <v>1907</v>
      </c>
      <c r="J1232" s="3" t="s">
        <v>106</v>
      </c>
      <c r="K1232" s="3">
        <v>6</v>
      </c>
      <c r="L1232" s="3">
        <v>6362.67</v>
      </c>
      <c r="M1232" s="3">
        <v>38176.019999999997</v>
      </c>
      <c r="N1232" s="3">
        <v>30994.12</v>
      </c>
      <c r="O1232" s="3">
        <v>7181.9</v>
      </c>
      <c r="P1232" s="3" t="s">
        <v>34</v>
      </c>
    </row>
    <row r="1233" spans="1:16" x14ac:dyDescent="0.35">
      <c r="A1233" s="3" t="s">
        <v>2383</v>
      </c>
      <c r="B1233" s="3" t="s">
        <v>1235</v>
      </c>
      <c r="C1233" s="3" t="s">
        <v>18</v>
      </c>
      <c r="D1233" s="3" t="s">
        <v>58</v>
      </c>
      <c r="E1233" s="3" t="s">
        <v>65</v>
      </c>
      <c r="F1233" s="3" t="s">
        <v>66</v>
      </c>
      <c r="G1233" s="3" t="s">
        <v>41</v>
      </c>
      <c r="H1233" s="3" t="s">
        <v>42</v>
      </c>
      <c r="I1233" s="3" t="s">
        <v>1059</v>
      </c>
      <c r="J1233" s="3" t="s">
        <v>54</v>
      </c>
      <c r="K1233" s="3">
        <v>1</v>
      </c>
      <c r="L1233" s="3">
        <v>42383.38</v>
      </c>
      <c r="M1233" s="3">
        <v>42383.38</v>
      </c>
      <c r="N1233" s="3">
        <v>33396.660000000003</v>
      </c>
      <c r="O1233" s="3">
        <v>8986.7199999999993</v>
      </c>
      <c r="P1233" s="3" t="s">
        <v>34</v>
      </c>
    </row>
    <row r="1234" spans="1:16" x14ac:dyDescent="0.35">
      <c r="A1234" s="3" t="s">
        <v>2384</v>
      </c>
      <c r="B1234" s="3" t="s">
        <v>562</v>
      </c>
      <c r="C1234" s="3" t="s">
        <v>82</v>
      </c>
      <c r="D1234" s="3" t="s">
        <v>58</v>
      </c>
      <c r="E1234" s="3" t="s">
        <v>65</v>
      </c>
      <c r="F1234" s="3" t="s">
        <v>66</v>
      </c>
      <c r="G1234" s="3" t="s">
        <v>22</v>
      </c>
      <c r="H1234" s="3" t="s">
        <v>83</v>
      </c>
      <c r="I1234" s="3" t="s">
        <v>2246</v>
      </c>
      <c r="J1234" s="3" t="s">
        <v>25</v>
      </c>
      <c r="K1234" s="3">
        <v>8</v>
      </c>
      <c r="L1234" s="3">
        <v>23273.25</v>
      </c>
      <c r="M1234" s="3">
        <v>186186</v>
      </c>
      <c r="N1234" s="3">
        <v>136275.49</v>
      </c>
      <c r="O1234" s="3">
        <v>49910.51</v>
      </c>
      <c r="P1234" s="3" t="s">
        <v>86</v>
      </c>
    </row>
    <row r="1235" spans="1:16" x14ac:dyDescent="0.35">
      <c r="A1235" s="3" t="s">
        <v>2385</v>
      </c>
      <c r="B1235" s="3" t="s">
        <v>1999</v>
      </c>
      <c r="C1235" s="3" t="s">
        <v>114</v>
      </c>
      <c r="D1235" s="3" t="s">
        <v>38</v>
      </c>
      <c r="E1235" s="3" t="s">
        <v>104</v>
      </c>
      <c r="F1235" s="3" t="s">
        <v>104</v>
      </c>
      <c r="G1235" s="3" t="s">
        <v>30</v>
      </c>
      <c r="H1235" s="3" t="s">
        <v>73</v>
      </c>
      <c r="I1235" s="3" t="s">
        <v>1893</v>
      </c>
      <c r="J1235" s="3" t="s">
        <v>44</v>
      </c>
      <c r="K1235" s="3">
        <v>5</v>
      </c>
      <c r="L1235" s="3">
        <v>2882.78</v>
      </c>
      <c r="M1235" s="3">
        <v>14413.9</v>
      </c>
      <c r="N1235" s="3">
        <v>12267.27</v>
      </c>
      <c r="O1235" s="3">
        <v>2146.63</v>
      </c>
      <c r="P1235" s="3" t="s">
        <v>34</v>
      </c>
    </row>
    <row r="1236" spans="1:16" x14ac:dyDescent="0.35">
      <c r="A1236" s="3" t="s">
        <v>2386</v>
      </c>
      <c r="B1236" s="3" t="s">
        <v>696</v>
      </c>
      <c r="C1236" s="3" t="s">
        <v>82</v>
      </c>
      <c r="D1236" s="3" t="s">
        <v>58</v>
      </c>
      <c r="E1236" s="3" t="s">
        <v>176</v>
      </c>
      <c r="F1236" s="3" t="s">
        <v>177</v>
      </c>
      <c r="G1236" s="3" t="s">
        <v>51</v>
      </c>
      <c r="H1236" s="3" t="s">
        <v>52</v>
      </c>
      <c r="I1236" s="3" t="s">
        <v>2387</v>
      </c>
      <c r="J1236" s="3" t="s">
        <v>79</v>
      </c>
      <c r="K1236" s="3">
        <v>3</v>
      </c>
      <c r="L1236" s="3">
        <v>26.85</v>
      </c>
      <c r="M1236" s="3">
        <v>80.55</v>
      </c>
      <c r="N1236" s="3">
        <v>29.76</v>
      </c>
      <c r="O1236" s="3">
        <v>50.79</v>
      </c>
      <c r="P1236" s="3" t="s">
        <v>86</v>
      </c>
    </row>
    <row r="1237" spans="1:16" x14ac:dyDescent="0.35">
      <c r="A1237" s="3" t="s">
        <v>2388</v>
      </c>
      <c r="B1237" s="3" t="s">
        <v>381</v>
      </c>
      <c r="C1237" s="3" t="s">
        <v>18</v>
      </c>
      <c r="D1237" s="3" t="s">
        <v>90</v>
      </c>
      <c r="E1237" s="3" t="s">
        <v>91</v>
      </c>
      <c r="F1237" s="3" t="s">
        <v>92</v>
      </c>
      <c r="G1237" s="3" t="s">
        <v>22</v>
      </c>
      <c r="H1237" s="3" t="s">
        <v>83</v>
      </c>
      <c r="I1237" s="3" t="s">
        <v>1744</v>
      </c>
      <c r="J1237" s="3" t="s">
        <v>79</v>
      </c>
      <c r="K1237" s="3">
        <v>8</v>
      </c>
      <c r="L1237" s="3">
        <v>23472.63</v>
      </c>
      <c r="M1237" s="3">
        <v>187781.04</v>
      </c>
      <c r="N1237" s="3">
        <v>134203.37</v>
      </c>
      <c r="O1237" s="3">
        <v>53577.67</v>
      </c>
      <c r="P1237" s="3" t="s">
        <v>86</v>
      </c>
    </row>
    <row r="1238" spans="1:16" x14ac:dyDescent="0.35">
      <c r="A1238" s="3" t="s">
        <v>2389</v>
      </c>
      <c r="B1238" s="3" t="s">
        <v>1525</v>
      </c>
      <c r="C1238" s="3" t="s">
        <v>57</v>
      </c>
      <c r="D1238" s="3" t="s">
        <v>19</v>
      </c>
      <c r="E1238" s="3" t="s">
        <v>199</v>
      </c>
      <c r="F1238" s="3" t="s">
        <v>200</v>
      </c>
      <c r="G1238" s="3" t="s">
        <v>30</v>
      </c>
      <c r="H1238" s="3" t="s">
        <v>67</v>
      </c>
      <c r="I1238" s="3" t="s">
        <v>1739</v>
      </c>
      <c r="J1238" s="3" t="s">
        <v>44</v>
      </c>
      <c r="K1238" s="3">
        <v>7</v>
      </c>
      <c r="L1238" s="3">
        <v>9814.34</v>
      </c>
      <c r="M1238" s="3">
        <v>68700.38</v>
      </c>
      <c r="N1238" s="3">
        <v>55169.120000000003</v>
      </c>
      <c r="O1238" s="3">
        <v>13531.26</v>
      </c>
      <c r="P1238" s="3" t="s">
        <v>86</v>
      </c>
    </row>
    <row r="1239" spans="1:16" x14ac:dyDescent="0.35">
      <c r="A1239" s="3" t="s">
        <v>2390</v>
      </c>
      <c r="B1239" s="3" t="s">
        <v>502</v>
      </c>
      <c r="C1239" s="3" t="s">
        <v>48</v>
      </c>
      <c r="D1239" s="3" t="s">
        <v>38</v>
      </c>
      <c r="E1239" s="3" t="s">
        <v>39</v>
      </c>
      <c r="F1239" s="3" t="s">
        <v>40</v>
      </c>
      <c r="G1239" s="3" t="s">
        <v>30</v>
      </c>
      <c r="H1239" s="3" t="s">
        <v>73</v>
      </c>
      <c r="I1239" s="3" t="s">
        <v>2061</v>
      </c>
      <c r="J1239" s="3" t="s">
        <v>217</v>
      </c>
      <c r="K1239" s="3">
        <v>2</v>
      </c>
      <c r="L1239" s="3">
        <v>2883.82</v>
      </c>
      <c r="M1239" s="3">
        <v>5767.64</v>
      </c>
      <c r="N1239" s="3">
        <v>4727.28</v>
      </c>
      <c r="O1239" s="3">
        <v>1040.3599999999999</v>
      </c>
      <c r="P1239" s="3" t="s">
        <v>45</v>
      </c>
    </row>
    <row r="1240" spans="1:16" x14ac:dyDescent="0.35">
      <c r="A1240" s="3" t="s">
        <v>2391</v>
      </c>
      <c r="B1240" s="3" t="s">
        <v>2227</v>
      </c>
      <c r="C1240" s="3" t="s">
        <v>72</v>
      </c>
      <c r="D1240" s="3" t="s">
        <v>58</v>
      </c>
      <c r="E1240" s="3" t="s">
        <v>176</v>
      </c>
      <c r="F1240" s="3" t="s">
        <v>177</v>
      </c>
      <c r="G1240" s="3" t="s">
        <v>41</v>
      </c>
      <c r="H1240" s="3" t="s">
        <v>61</v>
      </c>
      <c r="I1240" s="3" t="s">
        <v>2392</v>
      </c>
      <c r="J1240" s="3" t="s">
        <v>171</v>
      </c>
      <c r="K1240" s="3">
        <v>7</v>
      </c>
      <c r="L1240" s="3">
        <v>2656.39</v>
      </c>
      <c r="M1240" s="3">
        <v>18594.73</v>
      </c>
      <c r="N1240" s="3">
        <v>10958.73</v>
      </c>
      <c r="O1240" s="3">
        <v>7636</v>
      </c>
      <c r="P1240" s="3" t="s">
        <v>26</v>
      </c>
    </row>
    <row r="1241" spans="1:16" x14ac:dyDescent="0.35">
      <c r="A1241" s="3" t="s">
        <v>2393</v>
      </c>
      <c r="B1241" s="3" t="s">
        <v>1670</v>
      </c>
      <c r="C1241" s="3" t="s">
        <v>114</v>
      </c>
      <c r="D1241" s="3" t="s">
        <v>90</v>
      </c>
      <c r="E1241" s="3" t="s">
        <v>97</v>
      </c>
      <c r="F1241" s="3" t="s">
        <v>98</v>
      </c>
      <c r="G1241" s="3" t="s">
        <v>22</v>
      </c>
      <c r="H1241" s="3" t="s">
        <v>23</v>
      </c>
      <c r="I1241" s="3" t="s">
        <v>1605</v>
      </c>
      <c r="J1241" s="3" t="s">
        <v>217</v>
      </c>
      <c r="K1241" s="3">
        <v>4</v>
      </c>
      <c r="L1241" s="3">
        <v>3248.91</v>
      </c>
      <c r="M1241" s="3">
        <v>12995.64</v>
      </c>
      <c r="N1241" s="3">
        <v>8834.67</v>
      </c>
      <c r="O1241" s="3">
        <v>4160.97</v>
      </c>
      <c r="P1241" s="3" t="s">
        <v>69</v>
      </c>
    </row>
    <row r="1242" spans="1:16" x14ac:dyDescent="0.35">
      <c r="A1242" s="3" t="s">
        <v>2394</v>
      </c>
      <c r="B1242" s="3" t="s">
        <v>412</v>
      </c>
      <c r="C1242" s="3" t="s">
        <v>48</v>
      </c>
      <c r="D1242" s="3" t="s">
        <v>90</v>
      </c>
      <c r="E1242" s="3" t="s">
        <v>91</v>
      </c>
      <c r="F1242" s="3" t="s">
        <v>92</v>
      </c>
      <c r="G1242" s="3" t="s">
        <v>51</v>
      </c>
      <c r="H1242" s="3" t="s">
        <v>145</v>
      </c>
      <c r="I1242" s="3" t="s">
        <v>2381</v>
      </c>
      <c r="J1242" s="3" t="s">
        <v>147</v>
      </c>
      <c r="K1242" s="3">
        <v>5</v>
      </c>
      <c r="L1242" s="3">
        <v>113.79</v>
      </c>
      <c r="M1242" s="3">
        <v>568.95000000000005</v>
      </c>
      <c r="N1242" s="3">
        <v>301.79000000000002</v>
      </c>
      <c r="O1242" s="3">
        <v>267.16000000000003</v>
      </c>
      <c r="P1242" s="3" t="s">
        <v>34</v>
      </c>
    </row>
    <row r="1243" spans="1:16" x14ac:dyDescent="0.35">
      <c r="A1243" s="3" t="s">
        <v>2395</v>
      </c>
      <c r="B1243" s="3" t="s">
        <v>1301</v>
      </c>
      <c r="C1243" s="3" t="s">
        <v>18</v>
      </c>
      <c r="D1243" s="3" t="s">
        <v>38</v>
      </c>
      <c r="E1243" s="3" t="s">
        <v>109</v>
      </c>
      <c r="F1243" s="3" t="s">
        <v>110</v>
      </c>
      <c r="G1243" s="3" t="s">
        <v>41</v>
      </c>
      <c r="H1243" s="3" t="s">
        <v>42</v>
      </c>
      <c r="I1243" s="3" t="s">
        <v>1965</v>
      </c>
      <c r="J1243" s="3" t="s">
        <v>44</v>
      </c>
      <c r="K1243" s="3">
        <v>6</v>
      </c>
      <c r="L1243" s="3">
        <v>41684.080000000002</v>
      </c>
      <c r="M1243" s="3">
        <v>250104.48</v>
      </c>
      <c r="N1243" s="3">
        <v>219983.21</v>
      </c>
      <c r="O1243" s="3">
        <v>30121.27</v>
      </c>
      <c r="P1243" s="3" t="s">
        <v>45</v>
      </c>
    </row>
    <row r="1244" spans="1:16" x14ac:dyDescent="0.35">
      <c r="A1244" s="3" t="s">
        <v>2396</v>
      </c>
      <c r="B1244" s="3" t="s">
        <v>589</v>
      </c>
      <c r="C1244" s="3" t="s">
        <v>137</v>
      </c>
      <c r="D1244" s="3" t="s">
        <v>90</v>
      </c>
      <c r="E1244" s="3" t="s">
        <v>119</v>
      </c>
      <c r="F1244" s="3" t="s">
        <v>120</v>
      </c>
      <c r="G1244" s="3" t="s">
        <v>41</v>
      </c>
      <c r="H1244" s="3" t="s">
        <v>138</v>
      </c>
      <c r="I1244" s="3" t="s">
        <v>340</v>
      </c>
      <c r="J1244" s="3" t="s">
        <v>85</v>
      </c>
      <c r="K1244" s="3">
        <v>3</v>
      </c>
      <c r="L1244" s="3">
        <v>19642.87</v>
      </c>
      <c r="M1244" s="3">
        <v>58928.61</v>
      </c>
      <c r="N1244" s="3">
        <v>42196.52</v>
      </c>
      <c r="O1244" s="3">
        <v>16732.09</v>
      </c>
      <c r="P1244" s="3" t="s">
        <v>45</v>
      </c>
    </row>
    <row r="1245" spans="1:16" x14ac:dyDescent="0.35">
      <c r="A1245" s="3" t="s">
        <v>2397</v>
      </c>
      <c r="B1245" s="3" t="s">
        <v>1727</v>
      </c>
      <c r="C1245" s="3" t="s">
        <v>89</v>
      </c>
      <c r="D1245" s="3" t="s">
        <v>58</v>
      </c>
      <c r="E1245" s="3" t="s">
        <v>59</v>
      </c>
      <c r="F1245" s="3" t="s">
        <v>60</v>
      </c>
      <c r="G1245" s="3" t="s">
        <v>30</v>
      </c>
      <c r="H1245" s="3" t="s">
        <v>73</v>
      </c>
      <c r="I1245" s="3" t="s">
        <v>2398</v>
      </c>
      <c r="J1245" s="3" t="s">
        <v>25</v>
      </c>
      <c r="K1245" s="3">
        <v>8</v>
      </c>
      <c r="L1245" s="3">
        <v>2903.76</v>
      </c>
      <c r="M1245" s="3">
        <v>23230.080000000002</v>
      </c>
      <c r="N1245" s="3">
        <v>19923.75</v>
      </c>
      <c r="O1245" s="3">
        <v>3306.33</v>
      </c>
      <c r="P1245" s="3" t="s">
        <v>26</v>
      </c>
    </row>
    <row r="1246" spans="1:16" x14ac:dyDescent="0.35">
      <c r="A1246" s="3" t="s">
        <v>2399</v>
      </c>
      <c r="B1246" s="3" t="s">
        <v>1872</v>
      </c>
      <c r="C1246" s="3" t="s">
        <v>82</v>
      </c>
      <c r="D1246" s="3" t="s">
        <v>58</v>
      </c>
      <c r="E1246" s="3" t="s">
        <v>65</v>
      </c>
      <c r="F1246" s="3" t="s">
        <v>66</v>
      </c>
      <c r="G1246" s="3" t="s">
        <v>30</v>
      </c>
      <c r="H1246" s="3" t="s">
        <v>31</v>
      </c>
      <c r="I1246" s="3" t="s">
        <v>2400</v>
      </c>
      <c r="J1246" s="3" t="s">
        <v>44</v>
      </c>
      <c r="K1246" s="3">
        <v>4</v>
      </c>
      <c r="L1246" s="3">
        <v>3063.34</v>
      </c>
      <c r="M1246" s="3">
        <v>12253.36</v>
      </c>
      <c r="N1246" s="3">
        <v>7443.58</v>
      </c>
      <c r="O1246" s="3">
        <v>4809.78</v>
      </c>
      <c r="P1246" s="3" t="s">
        <v>34</v>
      </c>
    </row>
    <row r="1247" spans="1:16" x14ac:dyDescent="0.35">
      <c r="A1247" s="3" t="s">
        <v>2401</v>
      </c>
      <c r="B1247" s="3" t="s">
        <v>1872</v>
      </c>
      <c r="C1247" s="3" t="s">
        <v>82</v>
      </c>
      <c r="D1247" s="3" t="s">
        <v>19</v>
      </c>
      <c r="E1247" s="3" t="s">
        <v>20</v>
      </c>
      <c r="F1247" s="3" t="s">
        <v>21</v>
      </c>
      <c r="G1247" s="3" t="s">
        <v>51</v>
      </c>
      <c r="H1247" s="3" t="s">
        <v>77</v>
      </c>
      <c r="I1247" s="3" t="s">
        <v>2402</v>
      </c>
      <c r="J1247" s="3" t="s">
        <v>161</v>
      </c>
      <c r="K1247" s="3">
        <v>4</v>
      </c>
      <c r="L1247" s="3">
        <v>11206.89</v>
      </c>
      <c r="M1247" s="3">
        <v>44827.56</v>
      </c>
      <c r="N1247" s="3">
        <v>36619.65</v>
      </c>
      <c r="O1247" s="3">
        <v>8207.91</v>
      </c>
      <c r="P1247" s="3" t="s">
        <v>34</v>
      </c>
    </row>
    <row r="1248" spans="1:16" x14ac:dyDescent="0.35">
      <c r="A1248" s="3" t="s">
        <v>2403</v>
      </c>
      <c r="B1248" s="3" t="s">
        <v>1360</v>
      </c>
      <c r="C1248" s="3" t="s">
        <v>72</v>
      </c>
      <c r="D1248" s="3" t="s">
        <v>38</v>
      </c>
      <c r="E1248" s="3" t="s">
        <v>109</v>
      </c>
      <c r="F1248" s="3" t="s">
        <v>110</v>
      </c>
      <c r="G1248" s="3" t="s">
        <v>41</v>
      </c>
      <c r="H1248" s="3" t="s">
        <v>42</v>
      </c>
      <c r="I1248" s="3" t="s">
        <v>2174</v>
      </c>
      <c r="J1248" s="3" t="s">
        <v>106</v>
      </c>
      <c r="K1248" s="3">
        <v>7</v>
      </c>
      <c r="L1248" s="3">
        <v>43315.27</v>
      </c>
      <c r="M1248" s="3">
        <v>303206.89</v>
      </c>
      <c r="N1248" s="3">
        <v>235171.5</v>
      </c>
      <c r="O1248" s="3">
        <v>68035.39</v>
      </c>
      <c r="P1248" s="3" t="s">
        <v>26</v>
      </c>
    </row>
    <row r="1249" spans="1:16" x14ac:dyDescent="0.35">
      <c r="A1249" s="3" t="s">
        <v>2404</v>
      </c>
      <c r="B1249" s="3" t="s">
        <v>840</v>
      </c>
      <c r="C1249" s="3" t="s">
        <v>57</v>
      </c>
      <c r="D1249" s="3" t="s">
        <v>38</v>
      </c>
      <c r="E1249" s="3" t="s">
        <v>39</v>
      </c>
      <c r="F1249" s="3" t="s">
        <v>40</v>
      </c>
      <c r="G1249" s="3" t="s">
        <v>30</v>
      </c>
      <c r="H1249" s="3" t="s">
        <v>31</v>
      </c>
      <c r="I1249" s="3" t="s">
        <v>640</v>
      </c>
      <c r="J1249" s="3" t="s">
        <v>188</v>
      </c>
      <c r="K1249" s="3">
        <v>7</v>
      </c>
      <c r="L1249" s="3">
        <v>2609.0500000000002</v>
      </c>
      <c r="M1249" s="3">
        <v>18263.349999999999</v>
      </c>
      <c r="N1249" s="3">
        <v>13172.74</v>
      </c>
      <c r="O1249" s="3">
        <v>5090.6099999999997</v>
      </c>
      <c r="P1249" s="3" t="s">
        <v>86</v>
      </c>
    </row>
    <row r="1250" spans="1:16" x14ac:dyDescent="0.35">
      <c r="A1250" s="3" t="s">
        <v>2405</v>
      </c>
      <c r="B1250" s="3" t="s">
        <v>47</v>
      </c>
      <c r="C1250" s="3" t="s">
        <v>48</v>
      </c>
      <c r="D1250" s="3" t="s">
        <v>90</v>
      </c>
      <c r="E1250" s="3" t="s">
        <v>91</v>
      </c>
      <c r="F1250" s="3" t="s">
        <v>92</v>
      </c>
      <c r="G1250" s="3" t="s">
        <v>41</v>
      </c>
      <c r="H1250" s="3" t="s">
        <v>42</v>
      </c>
      <c r="I1250" s="3" t="s">
        <v>2278</v>
      </c>
      <c r="J1250" s="3" t="s">
        <v>147</v>
      </c>
      <c r="K1250" s="3">
        <v>8</v>
      </c>
      <c r="L1250" s="3">
        <v>43901.69</v>
      </c>
      <c r="M1250" s="3">
        <v>351213.52</v>
      </c>
      <c r="N1250" s="3">
        <v>278477.76</v>
      </c>
      <c r="O1250" s="3">
        <v>72735.759999999995</v>
      </c>
      <c r="P1250" s="3" t="s">
        <v>34</v>
      </c>
    </row>
    <row r="1251" spans="1:16" x14ac:dyDescent="0.35">
      <c r="A1251" s="3" t="s">
        <v>2406</v>
      </c>
      <c r="B1251" s="3" t="s">
        <v>344</v>
      </c>
      <c r="C1251" s="3" t="s">
        <v>48</v>
      </c>
      <c r="D1251" s="3" t="s">
        <v>38</v>
      </c>
      <c r="E1251" s="3" t="s">
        <v>39</v>
      </c>
      <c r="F1251" s="3" t="s">
        <v>40</v>
      </c>
      <c r="G1251" s="3" t="s">
        <v>51</v>
      </c>
      <c r="H1251" s="3" t="s">
        <v>52</v>
      </c>
      <c r="I1251" s="3" t="s">
        <v>2407</v>
      </c>
      <c r="J1251" s="3" t="s">
        <v>25</v>
      </c>
      <c r="K1251" s="3">
        <v>3</v>
      </c>
      <c r="L1251" s="3">
        <v>25.46</v>
      </c>
      <c r="M1251" s="3">
        <v>76.38</v>
      </c>
      <c r="N1251" s="3">
        <v>29.26</v>
      </c>
      <c r="O1251" s="3">
        <v>47.12</v>
      </c>
      <c r="P1251" s="3" t="s">
        <v>34</v>
      </c>
    </row>
    <row r="1252" spans="1:16" x14ac:dyDescent="0.35">
      <c r="A1252" s="3" t="s">
        <v>2408</v>
      </c>
      <c r="B1252" s="3" t="s">
        <v>129</v>
      </c>
      <c r="C1252" s="3" t="s">
        <v>37</v>
      </c>
      <c r="D1252" s="3" t="s">
        <v>58</v>
      </c>
      <c r="E1252" s="3" t="s">
        <v>65</v>
      </c>
      <c r="F1252" s="3" t="s">
        <v>66</v>
      </c>
      <c r="G1252" s="3" t="s">
        <v>30</v>
      </c>
      <c r="H1252" s="3" t="s">
        <v>67</v>
      </c>
      <c r="I1252" s="3" t="s">
        <v>2409</v>
      </c>
      <c r="J1252" s="3" t="s">
        <v>161</v>
      </c>
      <c r="K1252" s="3">
        <v>7</v>
      </c>
      <c r="L1252" s="3">
        <v>8677.64</v>
      </c>
      <c r="M1252" s="3">
        <v>60743.48</v>
      </c>
      <c r="N1252" s="3">
        <v>52867.51</v>
      </c>
      <c r="O1252" s="3">
        <v>7875.97</v>
      </c>
      <c r="P1252" s="3" t="s">
        <v>86</v>
      </c>
    </row>
    <row r="1253" spans="1:16" x14ac:dyDescent="0.35">
      <c r="A1253" s="3" t="s">
        <v>2410</v>
      </c>
      <c r="B1253" s="3" t="s">
        <v>225</v>
      </c>
      <c r="C1253" s="3" t="s">
        <v>89</v>
      </c>
      <c r="D1253" s="3" t="s">
        <v>58</v>
      </c>
      <c r="E1253" s="3" t="s">
        <v>59</v>
      </c>
      <c r="F1253" s="3" t="s">
        <v>60</v>
      </c>
      <c r="G1253" s="3" t="s">
        <v>22</v>
      </c>
      <c r="H1253" s="3" t="s">
        <v>23</v>
      </c>
      <c r="I1253" s="3" t="s">
        <v>1984</v>
      </c>
      <c r="J1253" s="3" t="s">
        <v>54</v>
      </c>
      <c r="K1253" s="3">
        <v>7</v>
      </c>
      <c r="L1253" s="3">
        <v>3386.02</v>
      </c>
      <c r="M1253" s="3">
        <v>23702.14</v>
      </c>
      <c r="N1253" s="3">
        <v>16025.39</v>
      </c>
      <c r="O1253" s="3">
        <v>7676.75</v>
      </c>
      <c r="P1253" s="3" t="s">
        <v>86</v>
      </c>
    </row>
    <row r="1254" spans="1:16" x14ac:dyDescent="0.35">
      <c r="A1254" s="3" t="s">
        <v>2411</v>
      </c>
      <c r="B1254" s="3" t="s">
        <v>1226</v>
      </c>
      <c r="C1254" s="3" t="s">
        <v>29</v>
      </c>
      <c r="D1254" s="3" t="s">
        <v>19</v>
      </c>
      <c r="E1254" s="3" t="s">
        <v>49</v>
      </c>
      <c r="F1254" s="3" t="s">
        <v>50</v>
      </c>
      <c r="G1254" s="3" t="s">
        <v>51</v>
      </c>
      <c r="H1254" s="3" t="s">
        <v>145</v>
      </c>
      <c r="I1254" s="3" t="s">
        <v>1421</v>
      </c>
      <c r="J1254" s="3" t="s">
        <v>131</v>
      </c>
      <c r="K1254" s="3">
        <v>4</v>
      </c>
      <c r="L1254" s="3">
        <v>109.6</v>
      </c>
      <c r="M1254" s="3">
        <v>438.4</v>
      </c>
      <c r="N1254" s="3">
        <v>242.6</v>
      </c>
      <c r="O1254" s="3">
        <v>195.8</v>
      </c>
      <c r="P1254" s="3" t="s">
        <v>34</v>
      </c>
    </row>
    <row r="1255" spans="1:16" x14ac:dyDescent="0.35">
      <c r="A1255" s="3" t="s">
        <v>2412</v>
      </c>
      <c r="B1255" s="3" t="s">
        <v>1423</v>
      </c>
      <c r="C1255" s="3" t="s">
        <v>37</v>
      </c>
      <c r="D1255" s="3" t="s">
        <v>38</v>
      </c>
      <c r="E1255" s="3" t="s">
        <v>39</v>
      </c>
      <c r="F1255" s="3" t="s">
        <v>40</v>
      </c>
      <c r="G1255" s="3" t="s">
        <v>51</v>
      </c>
      <c r="H1255" s="3" t="s">
        <v>77</v>
      </c>
      <c r="I1255" s="3" t="s">
        <v>2413</v>
      </c>
      <c r="J1255" s="3" t="s">
        <v>147</v>
      </c>
      <c r="K1255" s="3">
        <v>7</v>
      </c>
      <c r="L1255" s="3">
        <v>13159.89</v>
      </c>
      <c r="M1255" s="3">
        <v>92119.23</v>
      </c>
      <c r="N1255" s="3">
        <v>63216.97</v>
      </c>
      <c r="O1255" s="3">
        <v>28902.26</v>
      </c>
      <c r="P1255" s="3" t="s">
        <v>26</v>
      </c>
    </row>
    <row r="1256" spans="1:16" x14ac:dyDescent="0.35">
      <c r="A1256" s="3" t="s">
        <v>2414</v>
      </c>
      <c r="B1256" s="3" t="s">
        <v>999</v>
      </c>
      <c r="C1256" s="3" t="s">
        <v>103</v>
      </c>
      <c r="D1256" s="3" t="s">
        <v>19</v>
      </c>
      <c r="E1256" s="3" t="s">
        <v>20</v>
      </c>
      <c r="F1256" s="3" t="s">
        <v>21</v>
      </c>
      <c r="G1256" s="3" t="s">
        <v>41</v>
      </c>
      <c r="H1256" s="3" t="s">
        <v>61</v>
      </c>
      <c r="I1256" s="3" t="s">
        <v>2415</v>
      </c>
      <c r="J1256" s="3" t="s">
        <v>100</v>
      </c>
      <c r="K1256" s="3">
        <v>2</v>
      </c>
      <c r="L1256" s="3">
        <v>2341.02</v>
      </c>
      <c r="M1256" s="3">
        <v>4682.04</v>
      </c>
      <c r="N1256" s="3">
        <v>3140</v>
      </c>
      <c r="O1256" s="3">
        <v>1542.04</v>
      </c>
      <c r="P1256" s="3" t="s">
        <v>86</v>
      </c>
    </row>
    <row r="1257" spans="1:16" x14ac:dyDescent="0.35">
      <c r="A1257" s="3" t="s">
        <v>2416</v>
      </c>
      <c r="B1257" s="3" t="s">
        <v>1053</v>
      </c>
      <c r="C1257" s="3" t="s">
        <v>82</v>
      </c>
      <c r="D1257" s="3" t="s">
        <v>58</v>
      </c>
      <c r="E1257" s="3" t="s">
        <v>176</v>
      </c>
      <c r="F1257" s="3" t="s">
        <v>177</v>
      </c>
      <c r="G1257" s="3" t="s">
        <v>41</v>
      </c>
      <c r="H1257" s="3" t="s">
        <v>61</v>
      </c>
      <c r="I1257" s="3" t="s">
        <v>2417</v>
      </c>
      <c r="J1257" s="3" t="s">
        <v>131</v>
      </c>
      <c r="K1257" s="3">
        <v>4</v>
      </c>
      <c r="L1257" s="3">
        <v>2293.64</v>
      </c>
      <c r="M1257" s="3">
        <v>9174.56</v>
      </c>
      <c r="N1257" s="3">
        <v>6266.44</v>
      </c>
      <c r="O1257" s="3">
        <v>2908.12</v>
      </c>
      <c r="P1257" s="3" t="s">
        <v>34</v>
      </c>
    </row>
    <row r="1258" spans="1:16" x14ac:dyDescent="0.35">
      <c r="A1258" s="3" t="s">
        <v>2418</v>
      </c>
      <c r="B1258" s="3" t="s">
        <v>36</v>
      </c>
      <c r="C1258" s="3" t="s">
        <v>37</v>
      </c>
      <c r="D1258" s="3" t="s">
        <v>90</v>
      </c>
      <c r="E1258" s="3" t="s">
        <v>119</v>
      </c>
      <c r="F1258" s="3" t="s">
        <v>120</v>
      </c>
      <c r="G1258" s="3" t="s">
        <v>41</v>
      </c>
      <c r="H1258" s="3" t="s">
        <v>138</v>
      </c>
      <c r="I1258" s="3" t="s">
        <v>1883</v>
      </c>
      <c r="J1258" s="3" t="s">
        <v>147</v>
      </c>
      <c r="K1258" s="3">
        <v>6</v>
      </c>
      <c r="L1258" s="3">
        <v>18801.66</v>
      </c>
      <c r="M1258" s="3">
        <v>112809.96</v>
      </c>
      <c r="N1258" s="3">
        <v>86691.07</v>
      </c>
      <c r="O1258" s="3">
        <v>26118.89</v>
      </c>
      <c r="P1258" s="3" t="s">
        <v>26</v>
      </c>
    </row>
    <row r="1259" spans="1:16" x14ac:dyDescent="0.35">
      <c r="A1259" s="3" t="s">
        <v>2419</v>
      </c>
      <c r="B1259" s="3" t="s">
        <v>880</v>
      </c>
      <c r="C1259" s="3" t="s">
        <v>114</v>
      </c>
      <c r="D1259" s="3" t="s">
        <v>38</v>
      </c>
      <c r="E1259" s="3" t="s">
        <v>104</v>
      </c>
      <c r="F1259" s="3" t="s">
        <v>104</v>
      </c>
      <c r="G1259" s="3" t="s">
        <v>30</v>
      </c>
      <c r="H1259" s="3" t="s">
        <v>67</v>
      </c>
      <c r="I1259" s="3" t="s">
        <v>2420</v>
      </c>
      <c r="J1259" s="3" t="s">
        <v>85</v>
      </c>
      <c r="K1259" s="3">
        <v>5</v>
      </c>
      <c r="L1259" s="3">
        <v>9377.81</v>
      </c>
      <c r="M1259" s="3">
        <v>46889.05</v>
      </c>
      <c r="N1259" s="3">
        <v>38336.82</v>
      </c>
      <c r="O1259" s="3">
        <v>8552.23</v>
      </c>
      <c r="P1259" s="3" t="s">
        <v>86</v>
      </c>
    </row>
    <row r="1260" spans="1:16" x14ac:dyDescent="0.35">
      <c r="A1260" s="3" t="s">
        <v>2421</v>
      </c>
      <c r="B1260" s="3" t="s">
        <v>260</v>
      </c>
      <c r="C1260" s="3" t="s">
        <v>37</v>
      </c>
      <c r="D1260" s="3" t="s">
        <v>38</v>
      </c>
      <c r="E1260" s="3" t="s">
        <v>39</v>
      </c>
      <c r="F1260" s="3" t="s">
        <v>40</v>
      </c>
      <c r="G1260" s="3" t="s">
        <v>51</v>
      </c>
      <c r="H1260" s="3" t="s">
        <v>145</v>
      </c>
      <c r="I1260" s="3" t="s">
        <v>2422</v>
      </c>
      <c r="J1260" s="3" t="s">
        <v>44</v>
      </c>
      <c r="K1260" s="3">
        <v>4</v>
      </c>
      <c r="L1260" s="3">
        <v>118.37</v>
      </c>
      <c r="M1260" s="3">
        <v>473.48</v>
      </c>
      <c r="N1260" s="3">
        <v>247.41</v>
      </c>
      <c r="O1260" s="3">
        <v>226.07</v>
      </c>
      <c r="P1260" s="3" t="s">
        <v>26</v>
      </c>
    </row>
    <row r="1261" spans="1:16" x14ac:dyDescent="0.35">
      <c r="A1261" s="3" t="s">
        <v>2423</v>
      </c>
      <c r="B1261" s="3" t="s">
        <v>108</v>
      </c>
      <c r="C1261" s="3" t="s">
        <v>72</v>
      </c>
      <c r="D1261" s="3" t="s">
        <v>19</v>
      </c>
      <c r="E1261" s="3" t="s">
        <v>20</v>
      </c>
      <c r="F1261" s="3" t="s">
        <v>21</v>
      </c>
      <c r="G1261" s="3" t="s">
        <v>30</v>
      </c>
      <c r="H1261" s="3" t="s">
        <v>73</v>
      </c>
      <c r="I1261" s="3" t="s">
        <v>1834</v>
      </c>
      <c r="J1261" s="3" t="s">
        <v>171</v>
      </c>
      <c r="K1261" s="3">
        <v>2</v>
      </c>
      <c r="L1261" s="3">
        <v>3097.61</v>
      </c>
      <c r="M1261" s="3">
        <v>6195.22</v>
      </c>
      <c r="N1261" s="3">
        <v>4703.8999999999996</v>
      </c>
      <c r="O1261" s="3">
        <v>1491.32</v>
      </c>
      <c r="P1261" s="3" t="s">
        <v>26</v>
      </c>
    </row>
    <row r="1262" spans="1:16" x14ac:dyDescent="0.35">
      <c r="A1262" s="3" t="s">
        <v>2424</v>
      </c>
      <c r="B1262" s="3" t="s">
        <v>586</v>
      </c>
      <c r="C1262" s="3" t="s">
        <v>57</v>
      </c>
      <c r="D1262" s="3" t="s">
        <v>58</v>
      </c>
      <c r="E1262" s="3" t="s">
        <v>65</v>
      </c>
      <c r="F1262" s="3" t="s">
        <v>66</v>
      </c>
      <c r="G1262" s="3" t="s">
        <v>30</v>
      </c>
      <c r="H1262" s="3" t="s">
        <v>31</v>
      </c>
      <c r="I1262" s="3" t="s">
        <v>2078</v>
      </c>
      <c r="J1262" s="3" t="s">
        <v>161</v>
      </c>
      <c r="K1262" s="3">
        <v>5</v>
      </c>
      <c r="L1262" s="3">
        <v>2977.48</v>
      </c>
      <c r="M1262" s="3">
        <v>14887.4</v>
      </c>
      <c r="N1262" s="3">
        <v>9885.76</v>
      </c>
      <c r="O1262" s="3">
        <v>5001.6400000000003</v>
      </c>
      <c r="P1262" s="3" t="s">
        <v>69</v>
      </c>
    </row>
    <row r="1263" spans="1:16" x14ac:dyDescent="0.35">
      <c r="A1263" s="3" t="s">
        <v>2425</v>
      </c>
      <c r="B1263" s="3" t="s">
        <v>886</v>
      </c>
      <c r="C1263" s="3" t="s">
        <v>48</v>
      </c>
      <c r="D1263" s="3" t="s">
        <v>38</v>
      </c>
      <c r="E1263" s="3" t="s">
        <v>39</v>
      </c>
      <c r="F1263" s="3" t="s">
        <v>40</v>
      </c>
      <c r="G1263" s="3" t="s">
        <v>41</v>
      </c>
      <c r="H1263" s="3" t="s">
        <v>42</v>
      </c>
      <c r="I1263" s="3" t="s">
        <v>1217</v>
      </c>
      <c r="J1263" s="3" t="s">
        <v>171</v>
      </c>
      <c r="K1263" s="3">
        <v>5</v>
      </c>
      <c r="L1263" s="3">
        <v>43875.72</v>
      </c>
      <c r="M1263" s="3">
        <v>219378.6</v>
      </c>
      <c r="N1263" s="3">
        <v>182850.03</v>
      </c>
      <c r="O1263" s="3">
        <v>36528.57</v>
      </c>
      <c r="P1263" s="3" t="s">
        <v>86</v>
      </c>
    </row>
    <row r="1264" spans="1:16" x14ac:dyDescent="0.35">
      <c r="A1264" s="3" t="s">
        <v>2426</v>
      </c>
      <c r="B1264" s="3" t="s">
        <v>1155</v>
      </c>
      <c r="C1264" s="3" t="s">
        <v>89</v>
      </c>
      <c r="D1264" s="3" t="s">
        <v>38</v>
      </c>
      <c r="E1264" s="3" t="s">
        <v>104</v>
      </c>
      <c r="F1264" s="3" t="s">
        <v>104</v>
      </c>
      <c r="G1264" s="3" t="s">
        <v>22</v>
      </c>
      <c r="H1264" s="3" t="s">
        <v>83</v>
      </c>
      <c r="I1264" s="3" t="s">
        <v>2295</v>
      </c>
      <c r="J1264" s="3" t="s">
        <v>85</v>
      </c>
      <c r="K1264" s="3">
        <v>5</v>
      </c>
      <c r="L1264" s="3">
        <v>22428.35</v>
      </c>
      <c r="M1264" s="3">
        <v>112141.75</v>
      </c>
      <c r="N1264" s="3">
        <v>84043.51</v>
      </c>
      <c r="O1264" s="3">
        <v>28098.240000000002</v>
      </c>
      <c r="P1264" s="3" t="s">
        <v>86</v>
      </c>
    </row>
    <row r="1265" spans="1:16" x14ac:dyDescent="0.35">
      <c r="A1265" s="3" t="s">
        <v>2427</v>
      </c>
      <c r="B1265" s="3" t="s">
        <v>1997</v>
      </c>
      <c r="C1265" s="3" t="s">
        <v>114</v>
      </c>
      <c r="D1265" s="3" t="s">
        <v>90</v>
      </c>
      <c r="E1265" s="3" t="s">
        <v>97</v>
      </c>
      <c r="F1265" s="3" t="s">
        <v>98</v>
      </c>
      <c r="G1265" s="3" t="s">
        <v>51</v>
      </c>
      <c r="H1265" s="3" t="s">
        <v>145</v>
      </c>
      <c r="I1265" s="3" t="s">
        <v>2428</v>
      </c>
      <c r="J1265" s="3" t="s">
        <v>171</v>
      </c>
      <c r="K1265" s="3">
        <v>4</v>
      </c>
      <c r="L1265" s="3">
        <v>123.63</v>
      </c>
      <c r="M1265" s="3">
        <v>494.52</v>
      </c>
      <c r="N1265" s="3">
        <v>250.81</v>
      </c>
      <c r="O1265" s="3">
        <v>243.71</v>
      </c>
      <c r="P1265" s="3" t="s">
        <v>45</v>
      </c>
    </row>
    <row r="1266" spans="1:16" x14ac:dyDescent="0.35">
      <c r="A1266" s="3" t="s">
        <v>2429</v>
      </c>
      <c r="B1266" s="3" t="s">
        <v>723</v>
      </c>
      <c r="C1266" s="3" t="s">
        <v>137</v>
      </c>
      <c r="D1266" s="3" t="s">
        <v>19</v>
      </c>
      <c r="E1266" s="3" t="s">
        <v>49</v>
      </c>
      <c r="F1266" s="3" t="s">
        <v>50</v>
      </c>
      <c r="G1266" s="3" t="s">
        <v>30</v>
      </c>
      <c r="H1266" s="3" t="s">
        <v>31</v>
      </c>
      <c r="I1266" s="3" t="s">
        <v>900</v>
      </c>
      <c r="J1266" s="3" t="s">
        <v>171</v>
      </c>
      <c r="K1266" s="3">
        <v>7</v>
      </c>
      <c r="L1266" s="3">
        <v>2621.65</v>
      </c>
      <c r="M1266" s="3">
        <v>18351.55</v>
      </c>
      <c r="N1266" s="3">
        <v>13286.44</v>
      </c>
      <c r="O1266" s="3">
        <v>5065.1099999999997</v>
      </c>
      <c r="P1266" s="3" t="s">
        <v>26</v>
      </c>
    </row>
    <row r="1267" spans="1:16" x14ac:dyDescent="0.35">
      <c r="A1267" s="3" t="s">
        <v>2430</v>
      </c>
      <c r="B1267" s="3" t="s">
        <v>1125</v>
      </c>
      <c r="C1267" s="3" t="s">
        <v>57</v>
      </c>
      <c r="D1267" s="3" t="s">
        <v>38</v>
      </c>
      <c r="E1267" s="3" t="s">
        <v>109</v>
      </c>
      <c r="F1267" s="3" t="s">
        <v>110</v>
      </c>
      <c r="G1267" s="3" t="s">
        <v>22</v>
      </c>
      <c r="H1267" s="3" t="s">
        <v>23</v>
      </c>
      <c r="I1267" s="3" t="s">
        <v>2431</v>
      </c>
      <c r="J1267" s="3" t="s">
        <v>131</v>
      </c>
      <c r="K1267" s="3">
        <v>4</v>
      </c>
      <c r="L1267" s="3">
        <v>3401.15</v>
      </c>
      <c r="M1267" s="3">
        <v>13604.6</v>
      </c>
      <c r="N1267" s="3">
        <v>8774.56</v>
      </c>
      <c r="O1267" s="3">
        <v>4830.04</v>
      </c>
      <c r="P1267" s="3" t="s">
        <v>86</v>
      </c>
    </row>
    <row r="1268" spans="1:16" x14ac:dyDescent="0.35">
      <c r="A1268" s="3" t="s">
        <v>2432</v>
      </c>
      <c r="B1268" s="3" t="s">
        <v>678</v>
      </c>
      <c r="C1268" s="3" t="s">
        <v>137</v>
      </c>
      <c r="D1268" s="3" t="s">
        <v>19</v>
      </c>
      <c r="E1268" s="3" t="s">
        <v>199</v>
      </c>
      <c r="F1268" s="3" t="s">
        <v>200</v>
      </c>
      <c r="G1268" s="3" t="s">
        <v>30</v>
      </c>
      <c r="H1268" s="3" t="s">
        <v>31</v>
      </c>
      <c r="I1268" s="3" t="s">
        <v>2337</v>
      </c>
      <c r="J1268" s="3" t="s">
        <v>217</v>
      </c>
      <c r="K1268" s="3">
        <v>8</v>
      </c>
      <c r="L1268" s="3">
        <v>3034.13</v>
      </c>
      <c r="M1268" s="3">
        <v>24273.040000000001</v>
      </c>
      <c r="N1268" s="3">
        <v>15156.63</v>
      </c>
      <c r="O1268" s="3">
        <v>9116.41</v>
      </c>
      <c r="P1268" s="3" t="s">
        <v>69</v>
      </c>
    </row>
    <row r="1269" spans="1:16" x14ac:dyDescent="0.35">
      <c r="A1269" s="3" t="s">
        <v>2433</v>
      </c>
      <c r="B1269" s="3" t="s">
        <v>883</v>
      </c>
      <c r="C1269" s="3" t="s">
        <v>37</v>
      </c>
      <c r="D1269" s="3" t="s">
        <v>58</v>
      </c>
      <c r="E1269" s="3" t="s">
        <v>176</v>
      </c>
      <c r="F1269" s="3" t="s">
        <v>177</v>
      </c>
      <c r="G1269" s="3" t="s">
        <v>41</v>
      </c>
      <c r="H1269" s="3" t="s">
        <v>61</v>
      </c>
      <c r="I1269" s="3" t="s">
        <v>2349</v>
      </c>
      <c r="J1269" s="3" t="s">
        <v>131</v>
      </c>
      <c r="K1269" s="3">
        <v>6</v>
      </c>
      <c r="L1269" s="3">
        <v>2694.04</v>
      </c>
      <c r="M1269" s="3">
        <v>16164.24</v>
      </c>
      <c r="N1269" s="3">
        <v>9546.6200000000008</v>
      </c>
      <c r="O1269" s="3">
        <v>6617.62</v>
      </c>
      <c r="P1269" s="3" t="s">
        <v>69</v>
      </c>
    </row>
    <row r="1270" spans="1:16" x14ac:dyDescent="0.35">
      <c r="A1270" s="3" t="s">
        <v>2434</v>
      </c>
      <c r="B1270" s="3" t="s">
        <v>1301</v>
      </c>
      <c r="C1270" s="3" t="s">
        <v>18</v>
      </c>
      <c r="D1270" s="3" t="s">
        <v>19</v>
      </c>
      <c r="E1270" s="3" t="s">
        <v>20</v>
      </c>
      <c r="F1270" s="3" t="s">
        <v>21</v>
      </c>
      <c r="G1270" s="3" t="s">
        <v>41</v>
      </c>
      <c r="H1270" s="3" t="s">
        <v>42</v>
      </c>
      <c r="I1270" s="3" t="s">
        <v>1478</v>
      </c>
      <c r="J1270" s="3" t="s">
        <v>171</v>
      </c>
      <c r="K1270" s="3">
        <v>3</v>
      </c>
      <c r="L1270" s="3">
        <v>47989.16</v>
      </c>
      <c r="M1270" s="3">
        <v>143967.48000000001</v>
      </c>
      <c r="N1270" s="3">
        <v>106189</v>
      </c>
      <c r="O1270" s="3">
        <v>37778.480000000003</v>
      </c>
      <c r="P1270" s="3" t="s">
        <v>34</v>
      </c>
    </row>
    <row r="1271" spans="1:16" x14ac:dyDescent="0.35">
      <c r="A1271" s="3" t="s">
        <v>2435</v>
      </c>
      <c r="B1271" s="3" t="s">
        <v>349</v>
      </c>
      <c r="C1271" s="3" t="s">
        <v>72</v>
      </c>
      <c r="D1271" s="3" t="s">
        <v>90</v>
      </c>
      <c r="E1271" s="3" t="s">
        <v>119</v>
      </c>
      <c r="F1271" s="3" t="s">
        <v>120</v>
      </c>
      <c r="G1271" s="3" t="s">
        <v>41</v>
      </c>
      <c r="H1271" s="3" t="s">
        <v>138</v>
      </c>
      <c r="I1271" s="3" t="s">
        <v>2436</v>
      </c>
      <c r="J1271" s="3" t="s">
        <v>154</v>
      </c>
      <c r="K1271" s="3">
        <v>3</v>
      </c>
      <c r="L1271" s="3">
        <v>18303.86</v>
      </c>
      <c r="M1271" s="3">
        <v>54911.58</v>
      </c>
      <c r="N1271" s="3">
        <v>42313.96</v>
      </c>
      <c r="O1271" s="3">
        <v>12597.62</v>
      </c>
      <c r="P1271" s="3" t="s">
        <v>69</v>
      </c>
    </row>
    <row r="1272" spans="1:16" x14ac:dyDescent="0.35">
      <c r="A1272" s="3" t="s">
        <v>2437</v>
      </c>
      <c r="B1272" s="3" t="s">
        <v>1461</v>
      </c>
      <c r="C1272" s="3" t="s">
        <v>72</v>
      </c>
      <c r="D1272" s="3" t="s">
        <v>38</v>
      </c>
      <c r="E1272" s="3" t="s">
        <v>39</v>
      </c>
      <c r="F1272" s="3" t="s">
        <v>40</v>
      </c>
      <c r="G1272" s="3" t="s">
        <v>30</v>
      </c>
      <c r="H1272" s="3" t="s">
        <v>73</v>
      </c>
      <c r="I1272" s="3" t="s">
        <v>1295</v>
      </c>
      <c r="J1272" s="3" t="s">
        <v>25</v>
      </c>
      <c r="K1272" s="3">
        <v>2</v>
      </c>
      <c r="L1272" s="3">
        <v>3205.65</v>
      </c>
      <c r="M1272" s="3">
        <v>6411.3</v>
      </c>
      <c r="N1272" s="3">
        <v>4996.59</v>
      </c>
      <c r="O1272" s="3">
        <v>1414.71</v>
      </c>
      <c r="P1272" s="3" t="s">
        <v>69</v>
      </c>
    </row>
    <row r="1273" spans="1:16" x14ac:dyDescent="0.35">
      <c r="A1273" s="3" t="s">
        <v>2438</v>
      </c>
      <c r="B1273" s="3" t="s">
        <v>2117</v>
      </c>
      <c r="C1273" s="3" t="s">
        <v>37</v>
      </c>
      <c r="D1273" s="3" t="s">
        <v>90</v>
      </c>
      <c r="E1273" s="3" t="s">
        <v>119</v>
      </c>
      <c r="F1273" s="3" t="s">
        <v>120</v>
      </c>
      <c r="G1273" s="3" t="s">
        <v>41</v>
      </c>
      <c r="H1273" s="3" t="s">
        <v>138</v>
      </c>
      <c r="I1273" s="3" t="s">
        <v>2439</v>
      </c>
      <c r="J1273" s="3" t="s">
        <v>131</v>
      </c>
      <c r="K1273" s="3">
        <v>1</v>
      </c>
      <c r="L1273" s="3">
        <v>19386.53</v>
      </c>
      <c r="M1273" s="3">
        <v>19386.53</v>
      </c>
      <c r="N1273" s="3">
        <v>13631.19</v>
      </c>
      <c r="O1273" s="3">
        <v>5755.34</v>
      </c>
      <c r="P1273" s="3" t="s">
        <v>45</v>
      </c>
    </row>
    <row r="1274" spans="1:16" x14ac:dyDescent="0.35">
      <c r="A1274" s="3" t="s">
        <v>2440</v>
      </c>
      <c r="B1274" s="3" t="s">
        <v>488</v>
      </c>
      <c r="C1274" s="3" t="s">
        <v>29</v>
      </c>
      <c r="D1274" s="3" t="s">
        <v>58</v>
      </c>
      <c r="E1274" s="3" t="s">
        <v>176</v>
      </c>
      <c r="F1274" s="3" t="s">
        <v>177</v>
      </c>
      <c r="G1274" s="3" t="s">
        <v>51</v>
      </c>
      <c r="H1274" s="3" t="s">
        <v>52</v>
      </c>
      <c r="I1274" s="3" t="s">
        <v>2441</v>
      </c>
      <c r="J1274" s="3" t="s">
        <v>131</v>
      </c>
      <c r="K1274" s="3">
        <v>8</v>
      </c>
      <c r="L1274" s="3">
        <v>27.3</v>
      </c>
      <c r="M1274" s="3">
        <v>218.4</v>
      </c>
      <c r="N1274" s="3">
        <v>83.83</v>
      </c>
      <c r="O1274" s="3">
        <v>134.57</v>
      </c>
      <c r="P1274" s="3" t="s">
        <v>34</v>
      </c>
    </row>
    <row r="1275" spans="1:16" x14ac:dyDescent="0.35">
      <c r="A1275" s="3" t="s">
        <v>2442</v>
      </c>
      <c r="B1275" s="3" t="s">
        <v>1525</v>
      </c>
      <c r="C1275" s="3" t="s">
        <v>57</v>
      </c>
      <c r="D1275" s="3" t="s">
        <v>90</v>
      </c>
      <c r="E1275" s="3" t="s">
        <v>97</v>
      </c>
      <c r="F1275" s="3" t="s">
        <v>98</v>
      </c>
      <c r="G1275" s="3" t="s">
        <v>51</v>
      </c>
      <c r="H1275" s="3" t="s">
        <v>145</v>
      </c>
      <c r="I1275" s="3" t="s">
        <v>2443</v>
      </c>
      <c r="J1275" s="3" t="s">
        <v>100</v>
      </c>
      <c r="K1275" s="3">
        <v>5</v>
      </c>
      <c r="L1275" s="3">
        <v>123.88</v>
      </c>
      <c r="M1275" s="3">
        <v>619.4</v>
      </c>
      <c r="N1275" s="3">
        <v>285.49</v>
      </c>
      <c r="O1275" s="3">
        <v>333.91</v>
      </c>
      <c r="P1275" s="3" t="s">
        <v>86</v>
      </c>
    </row>
    <row r="1276" spans="1:16" x14ac:dyDescent="0.35">
      <c r="A1276" s="3" t="s">
        <v>2444</v>
      </c>
      <c r="B1276" s="3" t="s">
        <v>499</v>
      </c>
      <c r="C1276" s="3" t="s">
        <v>103</v>
      </c>
      <c r="D1276" s="3" t="s">
        <v>58</v>
      </c>
      <c r="E1276" s="3" t="s">
        <v>59</v>
      </c>
      <c r="F1276" s="3" t="s">
        <v>60</v>
      </c>
      <c r="G1276" s="3" t="s">
        <v>51</v>
      </c>
      <c r="H1276" s="3" t="s">
        <v>145</v>
      </c>
      <c r="I1276" s="3" t="s">
        <v>2445</v>
      </c>
      <c r="J1276" s="3" t="s">
        <v>25</v>
      </c>
      <c r="K1276" s="3">
        <v>2</v>
      </c>
      <c r="L1276" s="3">
        <v>128.97999999999999</v>
      </c>
      <c r="M1276" s="3">
        <v>257.95999999999998</v>
      </c>
      <c r="N1276" s="3">
        <v>114.34</v>
      </c>
      <c r="O1276" s="3">
        <v>143.62</v>
      </c>
      <c r="P1276" s="3" t="s">
        <v>69</v>
      </c>
    </row>
    <row r="1277" spans="1:16" x14ac:dyDescent="0.35">
      <c r="A1277" s="3" t="s">
        <v>2446</v>
      </c>
      <c r="B1277" s="3" t="s">
        <v>1113</v>
      </c>
      <c r="C1277" s="3" t="s">
        <v>82</v>
      </c>
      <c r="D1277" s="3" t="s">
        <v>38</v>
      </c>
      <c r="E1277" s="3" t="s">
        <v>109</v>
      </c>
      <c r="F1277" s="3" t="s">
        <v>110</v>
      </c>
      <c r="G1277" s="3" t="s">
        <v>30</v>
      </c>
      <c r="H1277" s="3" t="s">
        <v>67</v>
      </c>
      <c r="I1277" s="3" t="s">
        <v>319</v>
      </c>
      <c r="J1277" s="3" t="s">
        <v>85</v>
      </c>
      <c r="K1277" s="3">
        <v>1</v>
      </c>
      <c r="L1277" s="3">
        <v>10037.06</v>
      </c>
      <c r="M1277" s="3">
        <v>10037.06</v>
      </c>
      <c r="N1277" s="3">
        <v>7849.24</v>
      </c>
      <c r="O1277" s="3">
        <v>2187.8200000000002</v>
      </c>
      <c r="P1277" s="3" t="s">
        <v>26</v>
      </c>
    </row>
    <row r="1278" spans="1:16" x14ac:dyDescent="0.35">
      <c r="A1278" s="3" t="s">
        <v>2447</v>
      </c>
      <c r="B1278" s="3" t="s">
        <v>1612</v>
      </c>
      <c r="C1278" s="3" t="s">
        <v>48</v>
      </c>
      <c r="D1278" s="3" t="s">
        <v>19</v>
      </c>
      <c r="E1278" s="3" t="s">
        <v>199</v>
      </c>
      <c r="F1278" s="3" t="s">
        <v>200</v>
      </c>
      <c r="G1278" s="3" t="s">
        <v>51</v>
      </c>
      <c r="H1278" s="3" t="s">
        <v>145</v>
      </c>
      <c r="I1278" s="3" t="s">
        <v>473</v>
      </c>
      <c r="J1278" s="3" t="s">
        <v>188</v>
      </c>
      <c r="K1278" s="3">
        <v>3</v>
      </c>
      <c r="L1278" s="3">
        <v>125.86</v>
      </c>
      <c r="M1278" s="3">
        <v>377.58</v>
      </c>
      <c r="N1278" s="3">
        <v>182.2</v>
      </c>
      <c r="O1278" s="3">
        <v>195.38</v>
      </c>
      <c r="P1278" s="3" t="s">
        <v>69</v>
      </c>
    </row>
    <row r="1279" spans="1:16" x14ac:dyDescent="0.35">
      <c r="A1279" s="3" t="s">
        <v>2448</v>
      </c>
      <c r="B1279" s="3" t="s">
        <v>310</v>
      </c>
      <c r="C1279" s="3" t="s">
        <v>37</v>
      </c>
      <c r="D1279" s="3" t="s">
        <v>19</v>
      </c>
      <c r="E1279" s="3" t="s">
        <v>20</v>
      </c>
      <c r="F1279" s="3" t="s">
        <v>21</v>
      </c>
      <c r="G1279" s="3" t="s">
        <v>30</v>
      </c>
      <c r="H1279" s="3" t="s">
        <v>73</v>
      </c>
      <c r="I1279" s="3" t="s">
        <v>2449</v>
      </c>
      <c r="J1279" s="3" t="s">
        <v>188</v>
      </c>
      <c r="K1279" s="3">
        <v>8</v>
      </c>
      <c r="L1279" s="3">
        <v>3004.66</v>
      </c>
      <c r="M1279" s="3">
        <v>24037.279999999999</v>
      </c>
      <c r="N1279" s="3">
        <v>19332.48</v>
      </c>
      <c r="O1279" s="3">
        <v>4704.8</v>
      </c>
      <c r="P1279" s="3" t="s">
        <v>34</v>
      </c>
    </row>
    <row r="1280" spans="1:16" x14ac:dyDescent="0.35">
      <c r="A1280" s="3" t="s">
        <v>2450</v>
      </c>
      <c r="B1280" s="3" t="s">
        <v>871</v>
      </c>
      <c r="C1280" s="3" t="s">
        <v>103</v>
      </c>
      <c r="D1280" s="3" t="s">
        <v>90</v>
      </c>
      <c r="E1280" s="3" t="s">
        <v>91</v>
      </c>
      <c r="F1280" s="3" t="s">
        <v>92</v>
      </c>
      <c r="G1280" s="3" t="s">
        <v>30</v>
      </c>
      <c r="H1280" s="3" t="s">
        <v>67</v>
      </c>
      <c r="I1280" s="3" t="s">
        <v>1878</v>
      </c>
      <c r="J1280" s="3" t="s">
        <v>217</v>
      </c>
      <c r="K1280" s="3">
        <v>7</v>
      </c>
      <c r="L1280" s="3">
        <v>9088.67</v>
      </c>
      <c r="M1280" s="3">
        <v>63620.69</v>
      </c>
      <c r="N1280" s="3">
        <v>54325.55</v>
      </c>
      <c r="O1280" s="3">
        <v>9295.14</v>
      </c>
      <c r="P1280" s="3" t="s">
        <v>45</v>
      </c>
    </row>
    <row r="1281" spans="1:16" x14ac:dyDescent="0.35">
      <c r="A1281" s="3" t="s">
        <v>2451</v>
      </c>
      <c r="B1281" s="3" t="s">
        <v>499</v>
      </c>
      <c r="C1281" s="3" t="s">
        <v>103</v>
      </c>
      <c r="D1281" s="3" t="s">
        <v>19</v>
      </c>
      <c r="E1281" s="3" t="s">
        <v>49</v>
      </c>
      <c r="F1281" s="3" t="s">
        <v>50</v>
      </c>
      <c r="G1281" s="3" t="s">
        <v>22</v>
      </c>
      <c r="H1281" s="3" t="s">
        <v>23</v>
      </c>
      <c r="I1281" s="3" t="s">
        <v>303</v>
      </c>
      <c r="J1281" s="3" t="s">
        <v>100</v>
      </c>
      <c r="K1281" s="3">
        <v>5</v>
      </c>
      <c r="L1281" s="3">
        <v>3497.51</v>
      </c>
      <c r="M1281" s="3">
        <v>17487.55</v>
      </c>
      <c r="N1281" s="3">
        <v>10750.74</v>
      </c>
      <c r="O1281" s="3">
        <v>6736.81</v>
      </c>
      <c r="P1281" s="3" t="s">
        <v>86</v>
      </c>
    </row>
    <row r="1282" spans="1:16" x14ac:dyDescent="0.35">
      <c r="A1282" s="3" t="s">
        <v>2452</v>
      </c>
      <c r="B1282" s="3" t="s">
        <v>1122</v>
      </c>
      <c r="C1282" s="3" t="s">
        <v>118</v>
      </c>
      <c r="D1282" s="3" t="s">
        <v>90</v>
      </c>
      <c r="E1282" s="3" t="s">
        <v>91</v>
      </c>
      <c r="F1282" s="3" t="s">
        <v>92</v>
      </c>
      <c r="G1282" s="3" t="s">
        <v>41</v>
      </c>
      <c r="H1282" s="3" t="s">
        <v>138</v>
      </c>
      <c r="I1282" s="3" t="s">
        <v>2128</v>
      </c>
      <c r="J1282" s="3" t="s">
        <v>100</v>
      </c>
      <c r="K1282" s="3">
        <v>6</v>
      </c>
      <c r="L1282" s="3">
        <v>17636.11</v>
      </c>
      <c r="M1282" s="3">
        <v>105816.66</v>
      </c>
      <c r="N1282" s="3">
        <v>80332.23</v>
      </c>
      <c r="O1282" s="3">
        <v>25484.43</v>
      </c>
      <c r="P1282" s="3" t="s">
        <v>45</v>
      </c>
    </row>
    <row r="1283" spans="1:16" x14ac:dyDescent="0.35">
      <c r="A1283" s="3" t="s">
        <v>2453</v>
      </c>
      <c r="B1283" s="3" t="s">
        <v>1166</v>
      </c>
      <c r="C1283" s="3" t="s">
        <v>118</v>
      </c>
      <c r="D1283" s="3" t="s">
        <v>19</v>
      </c>
      <c r="E1283" s="3" t="s">
        <v>199</v>
      </c>
      <c r="F1283" s="3" t="s">
        <v>200</v>
      </c>
      <c r="G1283" s="3" t="s">
        <v>30</v>
      </c>
      <c r="H1283" s="3" t="s">
        <v>67</v>
      </c>
      <c r="I1283" s="3" t="s">
        <v>1374</v>
      </c>
      <c r="J1283" s="3" t="s">
        <v>85</v>
      </c>
      <c r="K1283" s="3">
        <v>1</v>
      </c>
      <c r="L1283" s="3">
        <v>9986.74</v>
      </c>
      <c r="M1283" s="3">
        <v>9986.74</v>
      </c>
      <c r="N1283" s="3">
        <v>7406.25</v>
      </c>
      <c r="O1283" s="3">
        <v>2580.4899999999998</v>
      </c>
      <c r="P1283" s="3" t="s">
        <v>45</v>
      </c>
    </row>
    <row r="1284" spans="1:16" x14ac:dyDescent="0.35">
      <c r="A1284" s="3" t="s">
        <v>2454</v>
      </c>
      <c r="B1284" s="3" t="s">
        <v>834</v>
      </c>
      <c r="C1284" s="3" t="s">
        <v>114</v>
      </c>
      <c r="D1284" s="3" t="s">
        <v>38</v>
      </c>
      <c r="E1284" s="3" t="s">
        <v>104</v>
      </c>
      <c r="F1284" s="3" t="s">
        <v>104</v>
      </c>
      <c r="G1284" s="3" t="s">
        <v>30</v>
      </c>
      <c r="H1284" s="3" t="s">
        <v>31</v>
      </c>
      <c r="I1284" s="3" t="s">
        <v>1327</v>
      </c>
      <c r="J1284" s="3" t="s">
        <v>147</v>
      </c>
      <c r="K1284" s="3">
        <v>2</v>
      </c>
      <c r="L1284" s="3">
        <v>2637.75</v>
      </c>
      <c r="M1284" s="3">
        <v>5275.5</v>
      </c>
      <c r="N1284" s="3">
        <v>3819.96</v>
      </c>
      <c r="O1284" s="3">
        <v>1455.54</v>
      </c>
      <c r="P1284" s="3" t="s">
        <v>45</v>
      </c>
    </row>
    <row r="1285" spans="1:16" x14ac:dyDescent="0.35">
      <c r="A1285" s="3" t="s">
        <v>2455</v>
      </c>
      <c r="B1285" s="3" t="s">
        <v>531</v>
      </c>
      <c r="C1285" s="3" t="s">
        <v>137</v>
      </c>
      <c r="D1285" s="3" t="s">
        <v>90</v>
      </c>
      <c r="E1285" s="3" t="s">
        <v>97</v>
      </c>
      <c r="F1285" s="3" t="s">
        <v>98</v>
      </c>
      <c r="G1285" s="3" t="s">
        <v>30</v>
      </c>
      <c r="H1285" s="3" t="s">
        <v>73</v>
      </c>
      <c r="I1285" s="3" t="s">
        <v>1167</v>
      </c>
      <c r="J1285" s="3" t="s">
        <v>154</v>
      </c>
      <c r="K1285" s="3">
        <v>2</v>
      </c>
      <c r="L1285" s="3">
        <v>3027.31</v>
      </c>
      <c r="M1285" s="3">
        <v>6054.62</v>
      </c>
      <c r="N1285" s="3">
        <v>4754.1400000000003</v>
      </c>
      <c r="O1285" s="3">
        <v>1300.48</v>
      </c>
      <c r="P1285" s="3" t="s">
        <v>86</v>
      </c>
    </row>
    <row r="1286" spans="1:16" x14ac:dyDescent="0.35">
      <c r="A1286" s="3" t="s">
        <v>2456</v>
      </c>
      <c r="B1286" s="3" t="s">
        <v>192</v>
      </c>
      <c r="C1286" s="3" t="s">
        <v>103</v>
      </c>
      <c r="D1286" s="3" t="s">
        <v>38</v>
      </c>
      <c r="E1286" s="3" t="s">
        <v>39</v>
      </c>
      <c r="F1286" s="3" t="s">
        <v>40</v>
      </c>
      <c r="G1286" s="3" t="s">
        <v>51</v>
      </c>
      <c r="H1286" s="3" t="s">
        <v>145</v>
      </c>
      <c r="I1286" s="3" t="s">
        <v>914</v>
      </c>
      <c r="J1286" s="3" t="s">
        <v>154</v>
      </c>
      <c r="K1286" s="3">
        <v>2</v>
      </c>
      <c r="L1286" s="3">
        <v>117.75</v>
      </c>
      <c r="M1286" s="3">
        <v>235.5</v>
      </c>
      <c r="N1286" s="3">
        <v>125.48</v>
      </c>
      <c r="O1286" s="3">
        <v>110.02</v>
      </c>
      <c r="P1286" s="3" t="s">
        <v>45</v>
      </c>
    </row>
    <row r="1287" spans="1:16" x14ac:dyDescent="0.35">
      <c r="A1287" s="3" t="s">
        <v>2457</v>
      </c>
      <c r="B1287" s="3" t="s">
        <v>1823</v>
      </c>
      <c r="C1287" s="3" t="s">
        <v>118</v>
      </c>
      <c r="D1287" s="3" t="s">
        <v>38</v>
      </c>
      <c r="E1287" s="3" t="s">
        <v>39</v>
      </c>
      <c r="F1287" s="3" t="s">
        <v>40</v>
      </c>
      <c r="G1287" s="3" t="s">
        <v>41</v>
      </c>
      <c r="H1287" s="3" t="s">
        <v>138</v>
      </c>
      <c r="I1287" s="3" t="s">
        <v>1200</v>
      </c>
      <c r="J1287" s="3" t="s">
        <v>154</v>
      </c>
      <c r="K1287" s="3">
        <v>2</v>
      </c>
      <c r="L1287" s="3">
        <v>19260.669999999998</v>
      </c>
      <c r="M1287" s="3">
        <v>38521.339999999997</v>
      </c>
      <c r="N1287" s="3">
        <v>26943.88</v>
      </c>
      <c r="O1287" s="3">
        <v>11577.46</v>
      </c>
      <c r="P1287" s="3" t="s">
        <v>86</v>
      </c>
    </row>
    <row r="1288" spans="1:16" x14ac:dyDescent="0.35">
      <c r="A1288" s="3" t="s">
        <v>2458</v>
      </c>
      <c r="B1288" s="3" t="s">
        <v>580</v>
      </c>
      <c r="C1288" s="3" t="s">
        <v>57</v>
      </c>
      <c r="D1288" s="3" t="s">
        <v>38</v>
      </c>
      <c r="E1288" s="3" t="s">
        <v>39</v>
      </c>
      <c r="F1288" s="3" t="s">
        <v>40</v>
      </c>
      <c r="G1288" s="3" t="s">
        <v>51</v>
      </c>
      <c r="H1288" s="3" t="s">
        <v>52</v>
      </c>
      <c r="I1288" s="3" t="s">
        <v>396</v>
      </c>
      <c r="J1288" s="3" t="s">
        <v>44</v>
      </c>
      <c r="K1288" s="3">
        <v>5</v>
      </c>
      <c r="L1288" s="3">
        <v>24.14</v>
      </c>
      <c r="M1288" s="3">
        <v>120.7</v>
      </c>
      <c r="N1288" s="3">
        <v>52.23</v>
      </c>
      <c r="O1288" s="3">
        <v>68.47</v>
      </c>
      <c r="P1288" s="3" t="s">
        <v>86</v>
      </c>
    </row>
    <row r="1289" spans="1:16" x14ac:dyDescent="0.35">
      <c r="A1289" s="3" t="s">
        <v>2459</v>
      </c>
      <c r="B1289" s="3" t="s">
        <v>575</v>
      </c>
      <c r="C1289" s="3" t="s">
        <v>137</v>
      </c>
      <c r="D1289" s="3" t="s">
        <v>58</v>
      </c>
      <c r="E1289" s="3" t="s">
        <v>59</v>
      </c>
      <c r="F1289" s="3" t="s">
        <v>60</v>
      </c>
      <c r="G1289" s="3" t="s">
        <v>41</v>
      </c>
      <c r="H1289" s="3" t="s">
        <v>61</v>
      </c>
      <c r="I1289" s="3" t="s">
        <v>2460</v>
      </c>
      <c r="J1289" s="3" t="s">
        <v>33</v>
      </c>
      <c r="K1289" s="3">
        <v>3</v>
      </c>
      <c r="L1289" s="3">
        <v>2655.62</v>
      </c>
      <c r="M1289" s="3">
        <v>7966.86</v>
      </c>
      <c r="N1289" s="3">
        <v>5004.3599999999997</v>
      </c>
      <c r="O1289" s="3">
        <v>2962.5</v>
      </c>
      <c r="P1289" s="3" t="s">
        <v>69</v>
      </c>
    </row>
    <row r="1290" spans="1:16" x14ac:dyDescent="0.35">
      <c r="A1290" s="3" t="s">
        <v>2461</v>
      </c>
      <c r="B1290" s="3" t="s">
        <v>183</v>
      </c>
      <c r="C1290" s="3" t="s">
        <v>114</v>
      </c>
      <c r="D1290" s="3" t="s">
        <v>19</v>
      </c>
      <c r="E1290" s="3" t="s">
        <v>49</v>
      </c>
      <c r="F1290" s="3" t="s">
        <v>50</v>
      </c>
      <c r="G1290" s="3" t="s">
        <v>30</v>
      </c>
      <c r="H1290" s="3" t="s">
        <v>67</v>
      </c>
      <c r="I1290" s="3" t="s">
        <v>1474</v>
      </c>
      <c r="J1290" s="3" t="s">
        <v>100</v>
      </c>
      <c r="K1290" s="3">
        <v>4</v>
      </c>
      <c r="L1290" s="3">
        <v>8676.49</v>
      </c>
      <c r="M1290" s="3">
        <v>34705.96</v>
      </c>
      <c r="N1290" s="3">
        <v>29679.71</v>
      </c>
      <c r="O1290" s="3">
        <v>5026.25</v>
      </c>
      <c r="P1290" s="3" t="s">
        <v>34</v>
      </c>
    </row>
    <row r="1291" spans="1:16" x14ac:dyDescent="0.35">
      <c r="A1291" s="3" t="s">
        <v>2462</v>
      </c>
      <c r="B1291" s="3" t="s">
        <v>1151</v>
      </c>
      <c r="C1291" s="3" t="s">
        <v>103</v>
      </c>
      <c r="D1291" s="3" t="s">
        <v>38</v>
      </c>
      <c r="E1291" s="3" t="s">
        <v>39</v>
      </c>
      <c r="F1291" s="3" t="s">
        <v>40</v>
      </c>
      <c r="G1291" s="3" t="s">
        <v>30</v>
      </c>
      <c r="H1291" s="3" t="s">
        <v>73</v>
      </c>
      <c r="I1291" s="3" t="s">
        <v>785</v>
      </c>
      <c r="J1291" s="3" t="s">
        <v>100</v>
      </c>
      <c r="K1291" s="3">
        <v>1</v>
      </c>
      <c r="L1291" s="3">
        <v>3405</v>
      </c>
      <c r="M1291" s="3">
        <v>3405</v>
      </c>
      <c r="N1291" s="3">
        <v>2311.3000000000002</v>
      </c>
      <c r="O1291" s="3">
        <v>1093.7</v>
      </c>
      <c r="P1291" s="3" t="s">
        <v>45</v>
      </c>
    </row>
    <row r="1292" spans="1:16" x14ac:dyDescent="0.35">
      <c r="A1292" s="3" t="s">
        <v>2463</v>
      </c>
      <c r="B1292" s="3" t="s">
        <v>688</v>
      </c>
      <c r="C1292" s="3" t="s">
        <v>118</v>
      </c>
      <c r="D1292" s="3" t="s">
        <v>38</v>
      </c>
      <c r="E1292" s="3" t="s">
        <v>39</v>
      </c>
      <c r="F1292" s="3" t="s">
        <v>40</v>
      </c>
      <c r="G1292" s="3" t="s">
        <v>41</v>
      </c>
      <c r="H1292" s="3" t="s">
        <v>61</v>
      </c>
      <c r="I1292" s="3" t="s">
        <v>2464</v>
      </c>
      <c r="J1292" s="3" t="s">
        <v>79</v>
      </c>
      <c r="K1292" s="3">
        <v>3</v>
      </c>
      <c r="L1292" s="3">
        <v>2569.46</v>
      </c>
      <c r="M1292" s="3">
        <v>7708.38</v>
      </c>
      <c r="N1292" s="3">
        <v>4582.82</v>
      </c>
      <c r="O1292" s="3">
        <v>3125.56</v>
      </c>
      <c r="P1292" s="3" t="s">
        <v>45</v>
      </c>
    </row>
    <row r="1293" spans="1:16" x14ac:dyDescent="0.35">
      <c r="A1293" s="3" t="s">
        <v>2465</v>
      </c>
      <c r="B1293" s="3" t="s">
        <v>518</v>
      </c>
      <c r="C1293" s="3" t="s">
        <v>89</v>
      </c>
      <c r="D1293" s="3" t="s">
        <v>19</v>
      </c>
      <c r="E1293" s="3" t="s">
        <v>20</v>
      </c>
      <c r="F1293" s="3" t="s">
        <v>21</v>
      </c>
      <c r="G1293" s="3" t="s">
        <v>22</v>
      </c>
      <c r="H1293" s="3" t="s">
        <v>93</v>
      </c>
      <c r="I1293" s="3" t="s">
        <v>713</v>
      </c>
      <c r="J1293" s="3" t="s">
        <v>54</v>
      </c>
      <c r="K1293" s="3">
        <v>6</v>
      </c>
      <c r="L1293" s="3">
        <v>7223.21</v>
      </c>
      <c r="M1293" s="3">
        <v>43339.26</v>
      </c>
      <c r="N1293" s="3">
        <v>29526.49</v>
      </c>
      <c r="O1293" s="3">
        <v>13812.77</v>
      </c>
      <c r="P1293" s="3" t="s">
        <v>26</v>
      </c>
    </row>
    <row r="1294" spans="1:16" x14ac:dyDescent="0.35">
      <c r="A1294" s="3" t="s">
        <v>2466</v>
      </c>
      <c r="B1294" s="3" t="s">
        <v>656</v>
      </c>
      <c r="C1294" s="3" t="s">
        <v>89</v>
      </c>
      <c r="D1294" s="3" t="s">
        <v>90</v>
      </c>
      <c r="E1294" s="3" t="s">
        <v>119</v>
      </c>
      <c r="F1294" s="3" t="s">
        <v>120</v>
      </c>
      <c r="G1294" s="3" t="s">
        <v>41</v>
      </c>
      <c r="H1294" s="3" t="s">
        <v>138</v>
      </c>
      <c r="I1294" s="3" t="s">
        <v>2467</v>
      </c>
      <c r="J1294" s="3" t="s">
        <v>131</v>
      </c>
      <c r="K1294" s="3">
        <v>5</v>
      </c>
      <c r="L1294" s="3">
        <v>18339.8</v>
      </c>
      <c r="M1294" s="3">
        <v>91699</v>
      </c>
      <c r="N1294" s="3">
        <v>72200.17</v>
      </c>
      <c r="O1294" s="3">
        <v>19498.830000000002</v>
      </c>
      <c r="P1294" s="3" t="s">
        <v>45</v>
      </c>
    </row>
    <row r="1295" spans="1:16" x14ac:dyDescent="0.35">
      <c r="A1295" s="3" t="s">
        <v>2468</v>
      </c>
      <c r="B1295" s="3" t="s">
        <v>1269</v>
      </c>
      <c r="C1295" s="3" t="s">
        <v>57</v>
      </c>
      <c r="D1295" s="3" t="s">
        <v>38</v>
      </c>
      <c r="E1295" s="3" t="s">
        <v>109</v>
      </c>
      <c r="F1295" s="3" t="s">
        <v>110</v>
      </c>
      <c r="G1295" s="3" t="s">
        <v>51</v>
      </c>
      <c r="H1295" s="3" t="s">
        <v>52</v>
      </c>
      <c r="I1295" s="3" t="s">
        <v>1284</v>
      </c>
      <c r="J1295" s="3" t="s">
        <v>85</v>
      </c>
      <c r="K1295" s="3">
        <v>2</v>
      </c>
      <c r="L1295" s="3">
        <v>26.11</v>
      </c>
      <c r="M1295" s="3">
        <v>52.22</v>
      </c>
      <c r="N1295" s="3">
        <v>20.190000000000001</v>
      </c>
      <c r="O1295" s="3">
        <v>32.03</v>
      </c>
      <c r="P1295" s="3" t="s">
        <v>34</v>
      </c>
    </row>
    <row r="1296" spans="1:16" x14ac:dyDescent="0.35">
      <c r="A1296" s="3" t="s">
        <v>2469</v>
      </c>
      <c r="B1296" s="3" t="s">
        <v>819</v>
      </c>
      <c r="C1296" s="3" t="s">
        <v>89</v>
      </c>
      <c r="D1296" s="3" t="s">
        <v>19</v>
      </c>
      <c r="E1296" s="3" t="s">
        <v>49</v>
      </c>
      <c r="F1296" s="3" t="s">
        <v>50</v>
      </c>
      <c r="G1296" s="3" t="s">
        <v>30</v>
      </c>
      <c r="H1296" s="3" t="s">
        <v>73</v>
      </c>
      <c r="I1296" s="3" t="s">
        <v>246</v>
      </c>
      <c r="J1296" s="3" t="s">
        <v>54</v>
      </c>
      <c r="K1296" s="3">
        <v>7</v>
      </c>
      <c r="L1296" s="3">
        <v>2981.25</v>
      </c>
      <c r="M1296" s="3">
        <v>20868.75</v>
      </c>
      <c r="N1296" s="3">
        <v>15992.15</v>
      </c>
      <c r="O1296" s="3">
        <v>4876.6000000000004</v>
      </c>
      <c r="P1296" s="3" t="s">
        <v>45</v>
      </c>
    </row>
    <row r="1297" spans="1:16" x14ac:dyDescent="0.35">
      <c r="A1297" s="3" t="s">
        <v>2470</v>
      </c>
      <c r="B1297" s="3" t="s">
        <v>1502</v>
      </c>
      <c r="C1297" s="3" t="s">
        <v>57</v>
      </c>
      <c r="D1297" s="3" t="s">
        <v>90</v>
      </c>
      <c r="E1297" s="3" t="s">
        <v>91</v>
      </c>
      <c r="F1297" s="3" t="s">
        <v>92</v>
      </c>
      <c r="G1297" s="3" t="s">
        <v>51</v>
      </c>
      <c r="H1297" s="3" t="s">
        <v>52</v>
      </c>
      <c r="I1297" s="3" t="s">
        <v>2070</v>
      </c>
      <c r="J1297" s="3" t="s">
        <v>100</v>
      </c>
      <c r="K1297" s="3">
        <v>5</v>
      </c>
      <c r="L1297" s="3">
        <v>22.54</v>
      </c>
      <c r="M1297" s="3">
        <v>112.7</v>
      </c>
      <c r="N1297" s="3">
        <v>50.68</v>
      </c>
      <c r="O1297" s="3">
        <v>62.02</v>
      </c>
      <c r="P1297" s="3" t="s">
        <v>34</v>
      </c>
    </row>
    <row r="1298" spans="1:16" x14ac:dyDescent="0.35">
      <c r="A1298" s="3" t="s">
        <v>2471</v>
      </c>
      <c r="B1298" s="3" t="s">
        <v>468</v>
      </c>
      <c r="C1298" s="3" t="s">
        <v>82</v>
      </c>
      <c r="D1298" s="3" t="s">
        <v>19</v>
      </c>
      <c r="E1298" s="3" t="s">
        <v>20</v>
      </c>
      <c r="F1298" s="3" t="s">
        <v>21</v>
      </c>
      <c r="G1298" s="3" t="s">
        <v>51</v>
      </c>
      <c r="H1298" s="3" t="s">
        <v>77</v>
      </c>
      <c r="I1298" s="3" t="s">
        <v>2472</v>
      </c>
      <c r="J1298" s="3" t="s">
        <v>79</v>
      </c>
      <c r="K1298" s="3">
        <v>2</v>
      </c>
      <c r="L1298" s="3">
        <v>12161.73</v>
      </c>
      <c r="M1298" s="3">
        <v>24323.46</v>
      </c>
      <c r="N1298" s="3">
        <v>18843.77</v>
      </c>
      <c r="O1298" s="3">
        <v>5479.69</v>
      </c>
      <c r="P1298" s="3" t="s">
        <v>34</v>
      </c>
    </row>
    <row r="1299" spans="1:16" x14ac:dyDescent="0.35">
      <c r="A1299" s="3" t="s">
        <v>2473</v>
      </c>
      <c r="B1299" s="3" t="s">
        <v>518</v>
      </c>
      <c r="C1299" s="3" t="s">
        <v>89</v>
      </c>
      <c r="D1299" s="3" t="s">
        <v>58</v>
      </c>
      <c r="E1299" s="3" t="s">
        <v>176</v>
      </c>
      <c r="F1299" s="3" t="s">
        <v>177</v>
      </c>
      <c r="G1299" s="3" t="s">
        <v>41</v>
      </c>
      <c r="H1299" s="3" t="s">
        <v>42</v>
      </c>
      <c r="I1299" s="3" t="s">
        <v>170</v>
      </c>
      <c r="J1299" s="3" t="s">
        <v>217</v>
      </c>
      <c r="K1299" s="3">
        <v>1</v>
      </c>
      <c r="L1299" s="3">
        <v>44923.46</v>
      </c>
      <c r="M1299" s="3">
        <v>44923.46</v>
      </c>
      <c r="N1299" s="3">
        <v>34894.75</v>
      </c>
      <c r="O1299" s="3">
        <v>10028.709999999999</v>
      </c>
      <c r="P1299" s="3" t="s">
        <v>45</v>
      </c>
    </row>
    <row r="1300" spans="1:16" x14ac:dyDescent="0.35">
      <c r="A1300" s="3" t="s">
        <v>2474</v>
      </c>
      <c r="B1300" s="3" t="s">
        <v>47</v>
      </c>
      <c r="C1300" s="3" t="s">
        <v>48</v>
      </c>
      <c r="D1300" s="3" t="s">
        <v>38</v>
      </c>
      <c r="E1300" s="3" t="s">
        <v>39</v>
      </c>
      <c r="F1300" s="3" t="s">
        <v>40</v>
      </c>
      <c r="G1300" s="3" t="s">
        <v>41</v>
      </c>
      <c r="H1300" s="3" t="s">
        <v>42</v>
      </c>
      <c r="I1300" s="3" t="s">
        <v>2475</v>
      </c>
      <c r="J1300" s="3" t="s">
        <v>106</v>
      </c>
      <c r="K1300" s="3">
        <v>7</v>
      </c>
      <c r="L1300" s="3">
        <v>45158.02</v>
      </c>
      <c r="M1300" s="3">
        <v>316106.14</v>
      </c>
      <c r="N1300" s="3">
        <v>249158.62</v>
      </c>
      <c r="O1300" s="3">
        <v>66947.520000000004</v>
      </c>
      <c r="P1300" s="3" t="s">
        <v>26</v>
      </c>
    </row>
    <row r="1301" spans="1:16" x14ac:dyDescent="0.35">
      <c r="A1301" s="3" t="s">
        <v>2476</v>
      </c>
      <c r="B1301" s="3" t="s">
        <v>1205</v>
      </c>
      <c r="C1301" s="3" t="s">
        <v>114</v>
      </c>
      <c r="D1301" s="3" t="s">
        <v>38</v>
      </c>
      <c r="E1301" s="3" t="s">
        <v>104</v>
      </c>
      <c r="F1301" s="3" t="s">
        <v>104</v>
      </c>
      <c r="G1301" s="3" t="s">
        <v>51</v>
      </c>
      <c r="H1301" s="3" t="s">
        <v>145</v>
      </c>
      <c r="I1301" s="3" t="s">
        <v>2477</v>
      </c>
      <c r="J1301" s="3" t="s">
        <v>171</v>
      </c>
      <c r="K1301" s="3">
        <v>3</v>
      </c>
      <c r="L1301" s="3">
        <v>112.93</v>
      </c>
      <c r="M1301" s="3">
        <v>338.79</v>
      </c>
      <c r="N1301" s="3">
        <v>179.38</v>
      </c>
      <c r="O1301" s="3">
        <v>159.41</v>
      </c>
      <c r="P1301" s="3" t="s">
        <v>86</v>
      </c>
    </row>
    <row r="1302" spans="1:16" x14ac:dyDescent="0.35">
      <c r="A1302" s="3" t="s">
        <v>2478</v>
      </c>
      <c r="B1302" s="3" t="s">
        <v>236</v>
      </c>
      <c r="C1302" s="3" t="s">
        <v>18</v>
      </c>
      <c r="D1302" s="3" t="s">
        <v>19</v>
      </c>
      <c r="E1302" s="3" t="s">
        <v>199</v>
      </c>
      <c r="F1302" s="3" t="s">
        <v>200</v>
      </c>
      <c r="G1302" s="3" t="s">
        <v>30</v>
      </c>
      <c r="H1302" s="3" t="s">
        <v>31</v>
      </c>
      <c r="I1302" s="3" t="s">
        <v>542</v>
      </c>
      <c r="J1302" s="3" t="s">
        <v>171</v>
      </c>
      <c r="K1302" s="3">
        <v>8</v>
      </c>
      <c r="L1302" s="3">
        <v>2778.34</v>
      </c>
      <c r="M1302" s="3">
        <v>22226.720000000001</v>
      </c>
      <c r="N1302" s="3">
        <v>15423.84</v>
      </c>
      <c r="O1302" s="3">
        <v>6802.88</v>
      </c>
      <c r="P1302" s="3" t="s">
        <v>69</v>
      </c>
    </row>
    <row r="1303" spans="1:16" x14ac:dyDescent="0.35">
      <c r="A1303" s="3" t="s">
        <v>2479</v>
      </c>
      <c r="B1303" s="3" t="s">
        <v>2480</v>
      </c>
      <c r="C1303" s="3" t="s">
        <v>37</v>
      </c>
      <c r="D1303" s="3" t="s">
        <v>19</v>
      </c>
      <c r="E1303" s="3" t="s">
        <v>49</v>
      </c>
      <c r="F1303" s="3" t="s">
        <v>50</v>
      </c>
      <c r="G1303" s="3" t="s">
        <v>30</v>
      </c>
      <c r="H1303" s="3" t="s">
        <v>73</v>
      </c>
      <c r="I1303" s="3" t="s">
        <v>2022</v>
      </c>
      <c r="J1303" s="3" t="s">
        <v>33</v>
      </c>
      <c r="K1303" s="3">
        <v>4</v>
      </c>
      <c r="L1303" s="3">
        <v>3041.57</v>
      </c>
      <c r="M1303" s="3">
        <v>12166.28</v>
      </c>
      <c r="N1303" s="3">
        <v>9907.9</v>
      </c>
      <c r="O1303" s="3">
        <v>2258.38</v>
      </c>
      <c r="P1303" s="3" t="s">
        <v>86</v>
      </c>
    </row>
    <row r="1304" spans="1:16" x14ac:dyDescent="0.35">
      <c r="A1304" s="3" t="s">
        <v>2481</v>
      </c>
      <c r="B1304" s="3" t="s">
        <v>271</v>
      </c>
      <c r="C1304" s="3" t="s">
        <v>82</v>
      </c>
      <c r="D1304" s="3" t="s">
        <v>58</v>
      </c>
      <c r="E1304" s="3" t="s">
        <v>65</v>
      </c>
      <c r="F1304" s="3" t="s">
        <v>66</v>
      </c>
      <c r="G1304" s="3" t="s">
        <v>51</v>
      </c>
      <c r="H1304" s="3" t="s">
        <v>145</v>
      </c>
      <c r="I1304" s="3" t="s">
        <v>2045</v>
      </c>
      <c r="J1304" s="3" t="s">
        <v>188</v>
      </c>
      <c r="K1304" s="3">
        <v>7</v>
      </c>
      <c r="L1304" s="3">
        <v>112.94</v>
      </c>
      <c r="M1304" s="3">
        <v>790.58</v>
      </c>
      <c r="N1304" s="3">
        <v>435.76</v>
      </c>
      <c r="O1304" s="3">
        <v>354.82</v>
      </c>
      <c r="P1304" s="3" t="s">
        <v>86</v>
      </c>
    </row>
    <row r="1305" spans="1:16" x14ac:dyDescent="0.35">
      <c r="A1305" s="3" t="s">
        <v>2482</v>
      </c>
      <c r="B1305" s="3" t="s">
        <v>1623</v>
      </c>
      <c r="C1305" s="3" t="s">
        <v>29</v>
      </c>
      <c r="D1305" s="3" t="s">
        <v>58</v>
      </c>
      <c r="E1305" s="3" t="s">
        <v>59</v>
      </c>
      <c r="F1305" s="3" t="s">
        <v>60</v>
      </c>
      <c r="G1305" s="3" t="s">
        <v>51</v>
      </c>
      <c r="H1305" s="3" t="s">
        <v>145</v>
      </c>
      <c r="I1305" s="3" t="s">
        <v>2483</v>
      </c>
      <c r="J1305" s="3" t="s">
        <v>33</v>
      </c>
      <c r="K1305" s="3">
        <v>6</v>
      </c>
      <c r="L1305" s="3">
        <v>108.2</v>
      </c>
      <c r="M1305" s="3">
        <v>649.20000000000005</v>
      </c>
      <c r="N1305" s="3">
        <v>357.81</v>
      </c>
      <c r="O1305" s="3">
        <v>291.39</v>
      </c>
      <c r="P1305" s="3" t="s">
        <v>69</v>
      </c>
    </row>
    <row r="1306" spans="1:16" x14ac:dyDescent="0.35">
      <c r="A1306" s="3" t="s">
        <v>2484</v>
      </c>
      <c r="B1306" s="3" t="s">
        <v>1216</v>
      </c>
      <c r="C1306" s="3" t="s">
        <v>114</v>
      </c>
      <c r="D1306" s="3" t="s">
        <v>38</v>
      </c>
      <c r="E1306" s="3" t="s">
        <v>109</v>
      </c>
      <c r="F1306" s="3" t="s">
        <v>110</v>
      </c>
      <c r="G1306" s="3" t="s">
        <v>30</v>
      </c>
      <c r="H1306" s="3" t="s">
        <v>73</v>
      </c>
      <c r="I1306" s="3" t="s">
        <v>2485</v>
      </c>
      <c r="J1306" s="3" t="s">
        <v>217</v>
      </c>
      <c r="K1306" s="3">
        <v>1</v>
      </c>
      <c r="L1306" s="3">
        <v>3458.41</v>
      </c>
      <c r="M1306" s="3">
        <v>3458.41</v>
      </c>
      <c r="N1306" s="3">
        <v>2480.4</v>
      </c>
      <c r="O1306" s="3">
        <v>978.01</v>
      </c>
      <c r="P1306" s="3" t="s">
        <v>86</v>
      </c>
    </row>
    <row r="1307" spans="1:16" x14ac:dyDescent="0.35">
      <c r="A1307" s="3" t="s">
        <v>2486</v>
      </c>
      <c r="B1307" s="3" t="s">
        <v>599</v>
      </c>
      <c r="C1307" s="3" t="s">
        <v>82</v>
      </c>
      <c r="D1307" s="3" t="s">
        <v>38</v>
      </c>
      <c r="E1307" s="3" t="s">
        <v>39</v>
      </c>
      <c r="F1307" s="3" t="s">
        <v>40</v>
      </c>
      <c r="G1307" s="3" t="s">
        <v>51</v>
      </c>
      <c r="H1307" s="3" t="s">
        <v>145</v>
      </c>
      <c r="I1307" s="3" t="s">
        <v>2487</v>
      </c>
      <c r="J1307" s="3" t="s">
        <v>106</v>
      </c>
      <c r="K1307" s="3">
        <v>5</v>
      </c>
      <c r="L1307" s="3">
        <v>115.26</v>
      </c>
      <c r="M1307" s="3">
        <v>576.29999999999995</v>
      </c>
      <c r="N1307" s="3">
        <v>307.33</v>
      </c>
      <c r="O1307" s="3">
        <v>268.97000000000003</v>
      </c>
      <c r="P1307" s="3" t="s">
        <v>34</v>
      </c>
    </row>
    <row r="1308" spans="1:16" x14ac:dyDescent="0.35">
      <c r="A1308" s="3" t="s">
        <v>2488</v>
      </c>
      <c r="B1308" s="3" t="s">
        <v>149</v>
      </c>
      <c r="C1308" s="3" t="s">
        <v>118</v>
      </c>
      <c r="D1308" s="3" t="s">
        <v>90</v>
      </c>
      <c r="E1308" s="3" t="s">
        <v>97</v>
      </c>
      <c r="F1308" s="3" t="s">
        <v>98</v>
      </c>
      <c r="G1308" s="3" t="s">
        <v>30</v>
      </c>
      <c r="H1308" s="3" t="s">
        <v>31</v>
      </c>
      <c r="I1308" s="3" t="s">
        <v>1632</v>
      </c>
      <c r="J1308" s="3" t="s">
        <v>100</v>
      </c>
      <c r="K1308" s="3">
        <v>4</v>
      </c>
      <c r="L1308" s="3">
        <v>2861.42</v>
      </c>
      <c r="M1308" s="3">
        <v>11445.68</v>
      </c>
      <c r="N1308" s="3">
        <v>7853.56</v>
      </c>
      <c r="O1308" s="3">
        <v>3592.12</v>
      </c>
      <c r="P1308" s="3" t="s">
        <v>45</v>
      </c>
    </row>
    <row r="1309" spans="1:16" x14ac:dyDescent="0.35">
      <c r="A1309" s="3" t="s">
        <v>2489</v>
      </c>
      <c r="B1309" s="3" t="s">
        <v>1125</v>
      </c>
      <c r="C1309" s="3" t="s">
        <v>57</v>
      </c>
      <c r="D1309" s="3" t="s">
        <v>58</v>
      </c>
      <c r="E1309" s="3" t="s">
        <v>176</v>
      </c>
      <c r="F1309" s="3" t="s">
        <v>177</v>
      </c>
      <c r="G1309" s="3" t="s">
        <v>51</v>
      </c>
      <c r="H1309" s="3" t="s">
        <v>52</v>
      </c>
      <c r="I1309" s="3" t="s">
        <v>578</v>
      </c>
      <c r="J1309" s="3" t="s">
        <v>161</v>
      </c>
      <c r="K1309" s="3">
        <v>2</v>
      </c>
      <c r="L1309" s="3">
        <v>26.25</v>
      </c>
      <c r="M1309" s="3">
        <v>52.5</v>
      </c>
      <c r="N1309" s="3">
        <v>20.170000000000002</v>
      </c>
      <c r="O1309" s="3">
        <v>32.33</v>
      </c>
      <c r="P1309" s="3" t="s">
        <v>34</v>
      </c>
    </row>
    <row r="1310" spans="1:16" x14ac:dyDescent="0.35">
      <c r="A1310" s="3" t="s">
        <v>2490</v>
      </c>
      <c r="B1310" s="3" t="s">
        <v>1552</v>
      </c>
      <c r="C1310" s="3" t="s">
        <v>114</v>
      </c>
      <c r="D1310" s="3" t="s">
        <v>90</v>
      </c>
      <c r="E1310" s="3" t="s">
        <v>97</v>
      </c>
      <c r="F1310" s="3" t="s">
        <v>98</v>
      </c>
      <c r="G1310" s="3" t="s">
        <v>41</v>
      </c>
      <c r="H1310" s="3" t="s">
        <v>42</v>
      </c>
      <c r="I1310" s="3" t="s">
        <v>1690</v>
      </c>
      <c r="J1310" s="3" t="s">
        <v>188</v>
      </c>
      <c r="K1310" s="3">
        <v>1</v>
      </c>
      <c r="L1310" s="3">
        <v>47514.68</v>
      </c>
      <c r="M1310" s="3">
        <v>47514.68</v>
      </c>
      <c r="N1310" s="3">
        <v>36282.43</v>
      </c>
      <c r="O1310" s="3">
        <v>11232.25</v>
      </c>
      <c r="P1310" s="3" t="s">
        <v>26</v>
      </c>
    </row>
    <row r="1311" spans="1:16" x14ac:dyDescent="0.35">
      <c r="A1311" s="3" t="s">
        <v>2491</v>
      </c>
      <c r="B1311" s="3" t="s">
        <v>2492</v>
      </c>
      <c r="C1311" s="3" t="s">
        <v>118</v>
      </c>
      <c r="D1311" s="3" t="s">
        <v>58</v>
      </c>
      <c r="E1311" s="3" t="s">
        <v>176</v>
      </c>
      <c r="F1311" s="3" t="s">
        <v>177</v>
      </c>
      <c r="G1311" s="3" t="s">
        <v>30</v>
      </c>
      <c r="H1311" s="3" t="s">
        <v>31</v>
      </c>
      <c r="I1311" s="3" t="s">
        <v>2274</v>
      </c>
      <c r="J1311" s="3" t="s">
        <v>161</v>
      </c>
      <c r="K1311" s="3">
        <v>5</v>
      </c>
      <c r="L1311" s="3">
        <v>2625.76</v>
      </c>
      <c r="M1311" s="3">
        <v>13128.8</v>
      </c>
      <c r="N1311" s="3">
        <v>9690.59</v>
      </c>
      <c r="O1311" s="3">
        <v>3438.21</v>
      </c>
      <c r="P1311" s="3" t="s">
        <v>26</v>
      </c>
    </row>
    <row r="1312" spans="1:16" x14ac:dyDescent="0.35">
      <c r="A1312" s="3" t="s">
        <v>2493</v>
      </c>
      <c r="B1312" s="3" t="s">
        <v>792</v>
      </c>
      <c r="C1312" s="3" t="s">
        <v>72</v>
      </c>
      <c r="D1312" s="3" t="s">
        <v>19</v>
      </c>
      <c r="E1312" s="3" t="s">
        <v>20</v>
      </c>
      <c r="F1312" s="3" t="s">
        <v>21</v>
      </c>
      <c r="G1312" s="3" t="s">
        <v>41</v>
      </c>
      <c r="H1312" s="3" t="s">
        <v>42</v>
      </c>
      <c r="I1312" s="3" t="s">
        <v>724</v>
      </c>
      <c r="J1312" s="3" t="s">
        <v>188</v>
      </c>
      <c r="K1312" s="3">
        <v>8</v>
      </c>
      <c r="L1312" s="3">
        <v>48964.91</v>
      </c>
      <c r="M1312" s="3">
        <v>391719.28</v>
      </c>
      <c r="N1312" s="3">
        <v>281630.34999999998</v>
      </c>
      <c r="O1312" s="3">
        <v>110088.93</v>
      </c>
      <c r="P1312" s="3" t="s">
        <v>86</v>
      </c>
    </row>
    <row r="1313" spans="1:16" x14ac:dyDescent="0.35">
      <c r="A1313" s="3" t="s">
        <v>2494</v>
      </c>
      <c r="B1313" s="3" t="s">
        <v>209</v>
      </c>
      <c r="C1313" s="3" t="s">
        <v>118</v>
      </c>
      <c r="D1313" s="3" t="s">
        <v>90</v>
      </c>
      <c r="E1313" s="3" t="s">
        <v>91</v>
      </c>
      <c r="F1313" s="3" t="s">
        <v>92</v>
      </c>
      <c r="G1313" s="3" t="s">
        <v>30</v>
      </c>
      <c r="H1313" s="3" t="s">
        <v>31</v>
      </c>
      <c r="I1313" s="3" t="s">
        <v>2495</v>
      </c>
      <c r="J1313" s="3" t="s">
        <v>188</v>
      </c>
      <c r="K1313" s="3">
        <v>6</v>
      </c>
      <c r="L1313" s="3">
        <v>2962.96</v>
      </c>
      <c r="M1313" s="3">
        <v>17777.759999999998</v>
      </c>
      <c r="N1313" s="3">
        <v>11794.83</v>
      </c>
      <c r="O1313" s="3">
        <v>5982.93</v>
      </c>
      <c r="P1313" s="3" t="s">
        <v>34</v>
      </c>
    </row>
    <row r="1314" spans="1:16" x14ac:dyDescent="0.35">
      <c r="A1314" s="3" t="s">
        <v>2496</v>
      </c>
      <c r="B1314" s="3" t="s">
        <v>893</v>
      </c>
      <c r="C1314" s="3" t="s">
        <v>89</v>
      </c>
      <c r="D1314" s="3" t="s">
        <v>58</v>
      </c>
      <c r="E1314" s="3" t="s">
        <v>65</v>
      </c>
      <c r="F1314" s="3" t="s">
        <v>66</v>
      </c>
      <c r="G1314" s="3" t="s">
        <v>30</v>
      </c>
      <c r="H1314" s="3" t="s">
        <v>73</v>
      </c>
      <c r="I1314" s="3" t="s">
        <v>1493</v>
      </c>
      <c r="J1314" s="3" t="s">
        <v>79</v>
      </c>
      <c r="K1314" s="3">
        <v>1</v>
      </c>
      <c r="L1314" s="3">
        <v>3237.05</v>
      </c>
      <c r="M1314" s="3">
        <v>3237.05</v>
      </c>
      <c r="N1314" s="3">
        <v>2466.29</v>
      </c>
      <c r="O1314" s="3">
        <v>770.76</v>
      </c>
      <c r="P1314" s="3" t="s">
        <v>69</v>
      </c>
    </row>
    <row r="1315" spans="1:16" x14ac:dyDescent="0.35">
      <c r="A1315" s="3" t="s">
        <v>2497</v>
      </c>
      <c r="B1315" s="3" t="s">
        <v>222</v>
      </c>
      <c r="C1315" s="3" t="s">
        <v>48</v>
      </c>
      <c r="D1315" s="3" t="s">
        <v>19</v>
      </c>
      <c r="E1315" s="3" t="s">
        <v>49</v>
      </c>
      <c r="F1315" s="3" t="s">
        <v>50</v>
      </c>
      <c r="G1315" s="3" t="s">
        <v>51</v>
      </c>
      <c r="H1315" s="3" t="s">
        <v>77</v>
      </c>
      <c r="I1315" s="3" t="s">
        <v>627</v>
      </c>
      <c r="J1315" s="3" t="s">
        <v>54</v>
      </c>
      <c r="K1315" s="3">
        <v>6</v>
      </c>
      <c r="L1315" s="3">
        <v>12699.71</v>
      </c>
      <c r="M1315" s="3">
        <v>76198.259999999995</v>
      </c>
      <c r="N1315" s="3">
        <v>54925</v>
      </c>
      <c r="O1315" s="3">
        <v>21273.26</v>
      </c>
      <c r="P1315" s="3" t="s">
        <v>86</v>
      </c>
    </row>
    <row r="1316" spans="1:16" x14ac:dyDescent="0.35">
      <c r="A1316" s="3" t="s">
        <v>2498</v>
      </c>
      <c r="B1316" s="3" t="s">
        <v>302</v>
      </c>
      <c r="C1316" s="3" t="s">
        <v>103</v>
      </c>
      <c r="D1316" s="3" t="s">
        <v>58</v>
      </c>
      <c r="E1316" s="3" t="s">
        <v>59</v>
      </c>
      <c r="F1316" s="3" t="s">
        <v>60</v>
      </c>
      <c r="G1316" s="3" t="s">
        <v>41</v>
      </c>
      <c r="H1316" s="3" t="s">
        <v>42</v>
      </c>
      <c r="I1316" s="3" t="s">
        <v>2169</v>
      </c>
      <c r="J1316" s="3" t="s">
        <v>25</v>
      </c>
      <c r="K1316" s="3">
        <v>1</v>
      </c>
      <c r="L1316" s="3">
        <v>45190</v>
      </c>
      <c r="M1316" s="3">
        <v>45190</v>
      </c>
      <c r="N1316" s="3">
        <v>34650.089999999997</v>
      </c>
      <c r="O1316" s="3">
        <v>10539.91</v>
      </c>
      <c r="P1316" s="3" t="s">
        <v>69</v>
      </c>
    </row>
    <row r="1317" spans="1:16" x14ac:dyDescent="0.35">
      <c r="A1317" s="3" t="s">
        <v>2499</v>
      </c>
      <c r="B1317" s="3" t="s">
        <v>958</v>
      </c>
      <c r="C1317" s="3" t="s">
        <v>118</v>
      </c>
      <c r="D1317" s="3" t="s">
        <v>90</v>
      </c>
      <c r="E1317" s="3" t="s">
        <v>97</v>
      </c>
      <c r="F1317" s="3" t="s">
        <v>98</v>
      </c>
      <c r="G1317" s="3" t="s">
        <v>30</v>
      </c>
      <c r="H1317" s="3" t="s">
        <v>67</v>
      </c>
      <c r="I1317" s="3" t="s">
        <v>2500</v>
      </c>
      <c r="J1317" s="3" t="s">
        <v>85</v>
      </c>
      <c r="K1317" s="3">
        <v>4</v>
      </c>
      <c r="L1317" s="3">
        <v>9689.67</v>
      </c>
      <c r="M1317" s="3">
        <v>38758.68</v>
      </c>
      <c r="N1317" s="3">
        <v>29800.75</v>
      </c>
      <c r="O1317" s="3">
        <v>8957.93</v>
      </c>
      <c r="P1317" s="3" t="s">
        <v>26</v>
      </c>
    </row>
    <row r="1318" spans="1:16" x14ac:dyDescent="0.35">
      <c r="A1318" s="3" t="s">
        <v>2501</v>
      </c>
      <c r="B1318" s="3" t="s">
        <v>1667</v>
      </c>
      <c r="C1318" s="3" t="s">
        <v>48</v>
      </c>
      <c r="D1318" s="3" t="s">
        <v>19</v>
      </c>
      <c r="E1318" s="3" t="s">
        <v>20</v>
      </c>
      <c r="F1318" s="3" t="s">
        <v>21</v>
      </c>
      <c r="G1318" s="3" t="s">
        <v>22</v>
      </c>
      <c r="H1318" s="3" t="s">
        <v>83</v>
      </c>
      <c r="I1318" s="3" t="s">
        <v>439</v>
      </c>
      <c r="J1318" s="3" t="s">
        <v>106</v>
      </c>
      <c r="K1318" s="3">
        <v>4</v>
      </c>
      <c r="L1318" s="3">
        <v>22162.86</v>
      </c>
      <c r="M1318" s="3">
        <v>88651.44</v>
      </c>
      <c r="N1318" s="3">
        <v>67528.06</v>
      </c>
      <c r="O1318" s="3">
        <v>21123.38</v>
      </c>
      <c r="P1318" s="3" t="s">
        <v>69</v>
      </c>
    </row>
    <row r="1319" spans="1:16" x14ac:dyDescent="0.35">
      <c r="A1319" s="3" t="s">
        <v>2502</v>
      </c>
      <c r="B1319" s="3" t="s">
        <v>1761</v>
      </c>
      <c r="C1319" s="3" t="s">
        <v>72</v>
      </c>
      <c r="D1319" s="3" t="s">
        <v>90</v>
      </c>
      <c r="E1319" s="3" t="s">
        <v>97</v>
      </c>
      <c r="F1319" s="3" t="s">
        <v>98</v>
      </c>
      <c r="G1319" s="3" t="s">
        <v>22</v>
      </c>
      <c r="H1319" s="3" t="s">
        <v>23</v>
      </c>
      <c r="I1319" s="3" t="s">
        <v>522</v>
      </c>
      <c r="J1319" s="3" t="s">
        <v>171</v>
      </c>
      <c r="K1319" s="3">
        <v>1</v>
      </c>
      <c r="L1319" s="3">
        <v>3552.86</v>
      </c>
      <c r="M1319" s="3">
        <v>3552.86</v>
      </c>
      <c r="N1319" s="3">
        <v>2293.7800000000002</v>
      </c>
      <c r="O1319" s="3">
        <v>1259.08</v>
      </c>
      <c r="P1319" s="3" t="s">
        <v>69</v>
      </c>
    </row>
    <row r="1320" spans="1:16" x14ac:dyDescent="0.35">
      <c r="A1320" s="3" t="s">
        <v>2503</v>
      </c>
      <c r="B1320" s="3" t="s">
        <v>1089</v>
      </c>
      <c r="C1320" s="3" t="s">
        <v>48</v>
      </c>
      <c r="D1320" s="3" t="s">
        <v>90</v>
      </c>
      <c r="E1320" s="3" t="s">
        <v>91</v>
      </c>
      <c r="F1320" s="3" t="s">
        <v>92</v>
      </c>
      <c r="G1320" s="3" t="s">
        <v>30</v>
      </c>
      <c r="H1320" s="3" t="s">
        <v>67</v>
      </c>
      <c r="I1320" s="3" t="s">
        <v>1607</v>
      </c>
      <c r="J1320" s="3" t="s">
        <v>25</v>
      </c>
      <c r="K1320" s="3">
        <v>3</v>
      </c>
      <c r="L1320" s="3">
        <v>9064.4699999999993</v>
      </c>
      <c r="M1320" s="3">
        <v>27193.41</v>
      </c>
      <c r="N1320" s="3">
        <v>22740.78</v>
      </c>
      <c r="O1320" s="3">
        <v>4452.63</v>
      </c>
      <c r="P1320" s="3" t="s">
        <v>45</v>
      </c>
    </row>
    <row r="1321" spans="1:16" x14ac:dyDescent="0.35">
      <c r="A1321" s="3" t="s">
        <v>2504</v>
      </c>
      <c r="B1321" s="3" t="s">
        <v>837</v>
      </c>
      <c r="C1321" s="3" t="s">
        <v>72</v>
      </c>
      <c r="D1321" s="3" t="s">
        <v>38</v>
      </c>
      <c r="E1321" s="3" t="s">
        <v>104</v>
      </c>
      <c r="F1321" s="3" t="s">
        <v>104</v>
      </c>
      <c r="G1321" s="3" t="s">
        <v>51</v>
      </c>
      <c r="H1321" s="3" t="s">
        <v>145</v>
      </c>
      <c r="I1321" s="3" t="s">
        <v>295</v>
      </c>
      <c r="J1321" s="3" t="s">
        <v>154</v>
      </c>
      <c r="K1321" s="3">
        <v>2</v>
      </c>
      <c r="L1321" s="3">
        <v>131.03</v>
      </c>
      <c r="M1321" s="3">
        <v>262.06</v>
      </c>
      <c r="N1321" s="3">
        <v>124.2</v>
      </c>
      <c r="O1321" s="3">
        <v>137.86000000000001</v>
      </c>
      <c r="P1321" s="3" t="s">
        <v>69</v>
      </c>
    </row>
    <row r="1322" spans="1:16" x14ac:dyDescent="0.35">
      <c r="A1322" s="3" t="s">
        <v>2505</v>
      </c>
      <c r="B1322" s="3" t="s">
        <v>999</v>
      </c>
      <c r="C1322" s="3" t="s">
        <v>103</v>
      </c>
      <c r="D1322" s="3" t="s">
        <v>90</v>
      </c>
      <c r="E1322" s="3" t="s">
        <v>97</v>
      </c>
      <c r="F1322" s="3" t="s">
        <v>98</v>
      </c>
      <c r="G1322" s="3" t="s">
        <v>41</v>
      </c>
      <c r="H1322" s="3" t="s">
        <v>61</v>
      </c>
      <c r="I1322" s="3" t="s">
        <v>1214</v>
      </c>
      <c r="J1322" s="3" t="s">
        <v>217</v>
      </c>
      <c r="K1322" s="3">
        <v>3</v>
      </c>
      <c r="L1322" s="3">
        <v>2512.7399999999998</v>
      </c>
      <c r="M1322" s="3">
        <v>7538.22</v>
      </c>
      <c r="N1322" s="3">
        <v>4822.22</v>
      </c>
      <c r="O1322" s="3">
        <v>2716</v>
      </c>
      <c r="P1322" s="3" t="s">
        <v>86</v>
      </c>
    </row>
    <row r="1323" spans="1:16" x14ac:dyDescent="0.35">
      <c r="A1323" s="3" t="s">
        <v>2506</v>
      </c>
      <c r="B1323" s="3" t="s">
        <v>2365</v>
      </c>
      <c r="C1323" s="3" t="s">
        <v>57</v>
      </c>
      <c r="D1323" s="3" t="s">
        <v>38</v>
      </c>
      <c r="E1323" s="3" t="s">
        <v>104</v>
      </c>
      <c r="F1323" s="3" t="s">
        <v>104</v>
      </c>
      <c r="G1323" s="3" t="s">
        <v>41</v>
      </c>
      <c r="H1323" s="3" t="s">
        <v>61</v>
      </c>
      <c r="I1323" s="3" t="s">
        <v>473</v>
      </c>
      <c r="J1323" s="3" t="s">
        <v>85</v>
      </c>
      <c r="K1323" s="3">
        <v>2</v>
      </c>
      <c r="L1323" s="3">
        <v>2339.94</v>
      </c>
      <c r="M1323" s="3">
        <v>4679.88</v>
      </c>
      <c r="N1323" s="3">
        <v>3302.97</v>
      </c>
      <c r="O1323" s="3">
        <v>1376.91</v>
      </c>
      <c r="P1323" s="3" t="s">
        <v>34</v>
      </c>
    </row>
    <row r="1324" spans="1:16" x14ac:dyDescent="0.35">
      <c r="A1324" s="3" t="s">
        <v>2507</v>
      </c>
      <c r="B1324" s="3" t="s">
        <v>1314</v>
      </c>
      <c r="C1324" s="3" t="s">
        <v>48</v>
      </c>
      <c r="D1324" s="3" t="s">
        <v>58</v>
      </c>
      <c r="E1324" s="3" t="s">
        <v>65</v>
      </c>
      <c r="F1324" s="3" t="s">
        <v>66</v>
      </c>
      <c r="G1324" s="3" t="s">
        <v>30</v>
      </c>
      <c r="H1324" s="3" t="s">
        <v>73</v>
      </c>
      <c r="I1324" s="3" t="s">
        <v>597</v>
      </c>
      <c r="J1324" s="3" t="s">
        <v>54</v>
      </c>
      <c r="K1324" s="3">
        <v>4</v>
      </c>
      <c r="L1324" s="3">
        <v>3491.31</v>
      </c>
      <c r="M1324" s="3">
        <v>13965.24</v>
      </c>
      <c r="N1324" s="3">
        <v>9991.0400000000009</v>
      </c>
      <c r="O1324" s="3">
        <v>3974.2</v>
      </c>
      <c r="P1324" s="3" t="s">
        <v>69</v>
      </c>
    </row>
    <row r="1325" spans="1:16" x14ac:dyDescent="0.35">
      <c r="A1325" s="3" t="s">
        <v>2508</v>
      </c>
      <c r="B1325" s="3" t="s">
        <v>930</v>
      </c>
      <c r="C1325" s="3" t="s">
        <v>103</v>
      </c>
      <c r="D1325" s="3" t="s">
        <v>58</v>
      </c>
      <c r="E1325" s="3" t="s">
        <v>65</v>
      </c>
      <c r="F1325" s="3" t="s">
        <v>66</v>
      </c>
      <c r="G1325" s="3" t="s">
        <v>51</v>
      </c>
      <c r="H1325" s="3" t="s">
        <v>77</v>
      </c>
      <c r="I1325" s="3" t="s">
        <v>997</v>
      </c>
      <c r="J1325" s="3" t="s">
        <v>171</v>
      </c>
      <c r="K1325" s="3">
        <v>7</v>
      </c>
      <c r="L1325" s="3">
        <v>12688.86</v>
      </c>
      <c r="M1325" s="3">
        <v>88822.02</v>
      </c>
      <c r="N1325" s="3">
        <v>62715.46</v>
      </c>
      <c r="O1325" s="3">
        <v>26106.560000000001</v>
      </c>
      <c r="P1325" s="3" t="s">
        <v>34</v>
      </c>
    </row>
    <row r="1326" spans="1:16" x14ac:dyDescent="0.35">
      <c r="A1326" s="3" t="s">
        <v>2509</v>
      </c>
      <c r="B1326" s="3" t="s">
        <v>136</v>
      </c>
      <c r="C1326" s="3" t="s">
        <v>137</v>
      </c>
      <c r="D1326" s="3" t="s">
        <v>19</v>
      </c>
      <c r="E1326" s="3" t="s">
        <v>49</v>
      </c>
      <c r="F1326" s="3" t="s">
        <v>50</v>
      </c>
      <c r="G1326" s="3" t="s">
        <v>30</v>
      </c>
      <c r="H1326" s="3" t="s">
        <v>67</v>
      </c>
      <c r="I1326" s="3" t="s">
        <v>2510</v>
      </c>
      <c r="J1326" s="3" t="s">
        <v>161</v>
      </c>
      <c r="K1326" s="3">
        <v>5</v>
      </c>
      <c r="L1326" s="3">
        <v>10286.129999999999</v>
      </c>
      <c r="M1326" s="3">
        <v>51430.65</v>
      </c>
      <c r="N1326" s="3">
        <v>36506.120000000003</v>
      </c>
      <c r="O1326" s="3">
        <v>14924.53</v>
      </c>
      <c r="P1326" s="3" t="s">
        <v>26</v>
      </c>
    </row>
    <row r="1327" spans="1:16" x14ac:dyDescent="0.35">
      <c r="A1327" s="3" t="s">
        <v>2511</v>
      </c>
      <c r="B1327" s="3" t="s">
        <v>186</v>
      </c>
      <c r="C1327" s="3" t="s">
        <v>89</v>
      </c>
      <c r="D1327" s="3" t="s">
        <v>19</v>
      </c>
      <c r="E1327" s="3" t="s">
        <v>199</v>
      </c>
      <c r="F1327" s="3" t="s">
        <v>200</v>
      </c>
      <c r="G1327" s="3" t="s">
        <v>22</v>
      </c>
      <c r="H1327" s="3" t="s">
        <v>93</v>
      </c>
      <c r="I1327" s="3" t="s">
        <v>1200</v>
      </c>
      <c r="J1327" s="3" t="s">
        <v>161</v>
      </c>
      <c r="K1327" s="3">
        <v>7</v>
      </c>
      <c r="L1327" s="3">
        <v>6531.49</v>
      </c>
      <c r="M1327" s="3">
        <v>45720.43</v>
      </c>
      <c r="N1327" s="3">
        <v>36480.22</v>
      </c>
      <c r="O1327" s="3">
        <v>9240.2099999999991</v>
      </c>
      <c r="P1327" s="3" t="s">
        <v>34</v>
      </c>
    </row>
    <row r="1328" spans="1:16" x14ac:dyDescent="0.35">
      <c r="A1328" s="3" t="s">
        <v>2512</v>
      </c>
      <c r="B1328" s="3" t="s">
        <v>1089</v>
      </c>
      <c r="C1328" s="3" t="s">
        <v>48</v>
      </c>
      <c r="D1328" s="3" t="s">
        <v>58</v>
      </c>
      <c r="E1328" s="3" t="s">
        <v>65</v>
      </c>
      <c r="F1328" s="3" t="s">
        <v>66</v>
      </c>
      <c r="G1328" s="3" t="s">
        <v>41</v>
      </c>
      <c r="H1328" s="3" t="s">
        <v>138</v>
      </c>
      <c r="I1328" s="3" t="s">
        <v>2513</v>
      </c>
      <c r="J1328" s="3" t="s">
        <v>171</v>
      </c>
      <c r="K1328" s="3">
        <v>2</v>
      </c>
      <c r="L1328" s="3">
        <v>18957.62</v>
      </c>
      <c r="M1328" s="3">
        <v>37915.24</v>
      </c>
      <c r="N1328" s="3">
        <v>28539.98</v>
      </c>
      <c r="O1328" s="3">
        <v>9375.26</v>
      </c>
      <c r="P1328" s="3" t="s">
        <v>69</v>
      </c>
    </row>
    <row r="1329" spans="1:16" x14ac:dyDescent="0.35">
      <c r="A1329" s="3" t="s">
        <v>2514</v>
      </c>
      <c r="B1329" s="3" t="s">
        <v>1504</v>
      </c>
      <c r="C1329" s="3" t="s">
        <v>48</v>
      </c>
      <c r="D1329" s="3" t="s">
        <v>58</v>
      </c>
      <c r="E1329" s="3" t="s">
        <v>65</v>
      </c>
      <c r="F1329" s="3" t="s">
        <v>66</v>
      </c>
      <c r="G1329" s="3" t="s">
        <v>41</v>
      </c>
      <c r="H1329" s="3" t="s">
        <v>138</v>
      </c>
      <c r="I1329" s="3" t="s">
        <v>1673</v>
      </c>
      <c r="J1329" s="3" t="s">
        <v>85</v>
      </c>
      <c r="K1329" s="3">
        <v>7</v>
      </c>
      <c r="L1329" s="3">
        <v>18008.37</v>
      </c>
      <c r="M1329" s="3">
        <v>126058.59</v>
      </c>
      <c r="N1329" s="3">
        <v>102395.73</v>
      </c>
      <c r="O1329" s="3">
        <v>23662.86</v>
      </c>
      <c r="P1329" s="3" t="s">
        <v>69</v>
      </c>
    </row>
    <row r="1330" spans="1:16" x14ac:dyDescent="0.35">
      <c r="A1330" s="3" t="s">
        <v>2515</v>
      </c>
      <c r="B1330" s="3" t="s">
        <v>570</v>
      </c>
      <c r="C1330" s="3" t="s">
        <v>18</v>
      </c>
      <c r="D1330" s="3" t="s">
        <v>58</v>
      </c>
      <c r="E1330" s="3" t="s">
        <v>59</v>
      </c>
      <c r="F1330" s="3" t="s">
        <v>60</v>
      </c>
      <c r="G1330" s="3" t="s">
        <v>41</v>
      </c>
      <c r="H1330" s="3" t="s">
        <v>42</v>
      </c>
      <c r="I1330" s="3" t="s">
        <v>1817</v>
      </c>
      <c r="J1330" s="3" t="s">
        <v>154</v>
      </c>
      <c r="K1330" s="3">
        <v>2</v>
      </c>
      <c r="L1330" s="3">
        <v>48957.52</v>
      </c>
      <c r="M1330" s="3">
        <v>97915.04</v>
      </c>
      <c r="N1330" s="3">
        <v>68371.98</v>
      </c>
      <c r="O1330" s="3">
        <v>29543.06</v>
      </c>
      <c r="P1330" s="3" t="s">
        <v>45</v>
      </c>
    </row>
    <row r="1331" spans="1:16" x14ac:dyDescent="0.35">
      <c r="A1331" s="3" t="s">
        <v>2516</v>
      </c>
      <c r="B1331" s="3" t="s">
        <v>583</v>
      </c>
      <c r="C1331" s="3" t="s">
        <v>89</v>
      </c>
      <c r="D1331" s="3" t="s">
        <v>38</v>
      </c>
      <c r="E1331" s="3" t="s">
        <v>39</v>
      </c>
      <c r="F1331" s="3" t="s">
        <v>40</v>
      </c>
      <c r="G1331" s="3" t="s">
        <v>41</v>
      </c>
      <c r="H1331" s="3" t="s">
        <v>61</v>
      </c>
      <c r="I1331" s="3" t="s">
        <v>1057</v>
      </c>
      <c r="J1331" s="3" t="s">
        <v>100</v>
      </c>
      <c r="K1331" s="3">
        <v>7</v>
      </c>
      <c r="L1331" s="3">
        <v>2670.92</v>
      </c>
      <c r="M1331" s="3">
        <v>18696.439999999999</v>
      </c>
      <c r="N1331" s="3">
        <v>10660.29</v>
      </c>
      <c r="O1331" s="3">
        <v>8036.15</v>
      </c>
      <c r="P1331" s="3" t="s">
        <v>86</v>
      </c>
    </row>
    <row r="1332" spans="1:16" x14ac:dyDescent="0.35">
      <c r="A1332" s="3" t="s">
        <v>2517</v>
      </c>
      <c r="B1332" s="3" t="s">
        <v>276</v>
      </c>
      <c r="C1332" s="3" t="s">
        <v>114</v>
      </c>
      <c r="D1332" s="3" t="s">
        <v>19</v>
      </c>
      <c r="E1332" s="3" t="s">
        <v>49</v>
      </c>
      <c r="F1332" s="3" t="s">
        <v>50</v>
      </c>
      <c r="G1332" s="3" t="s">
        <v>51</v>
      </c>
      <c r="H1332" s="3" t="s">
        <v>77</v>
      </c>
      <c r="I1332" s="3" t="s">
        <v>405</v>
      </c>
      <c r="J1332" s="3" t="s">
        <v>188</v>
      </c>
      <c r="K1332" s="3">
        <v>2</v>
      </c>
      <c r="L1332" s="3">
        <v>12228.93</v>
      </c>
      <c r="M1332" s="3">
        <v>24457.86</v>
      </c>
      <c r="N1332" s="3">
        <v>17105.830000000002</v>
      </c>
      <c r="O1332" s="3">
        <v>7352.03</v>
      </c>
      <c r="P1332" s="3" t="s">
        <v>34</v>
      </c>
    </row>
    <row r="1333" spans="1:16" x14ac:dyDescent="0.35">
      <c r="A1333" s="3" t="s">
        <v>2518</v>
      </c>
      <c r="B1333" s="3" t="s">
        <v>36</v>
      </c>
      <c r="C1333" s="3" t="s">
        <v>37</v>
      </c>
      <c r="D1333" s="3" t="s">
        <v>58</v>
      </c>
      <c r="E1333" s="3" t="s">
        <v>59</v>
      </c>
      <c r="F1333" s="3" t="s">
        <v>60</v>
      </c>
      <c r="G1333" s="3" t="s">
        <v>51</v>
      </c>
      <c r="H1333" s="3" t="s">
        <v>145</v>
      </c>
      <c r="I1333" s="3" t="s">
        <v>2115</v>
      </c>
      <c r="J1333" s="3" t="s">
        <v>188</v>
      </c>
      <c r="K1333" s="3">
        <v>7</v>
      </c>
      <c r="L1333" s="3">
        <v>113.95</v>
      </c>
      <c r="M1333" s="3">
        <v>797.65</v>
      </c>
      <c r="N1333" s="3">
        <v>409.29</v>
      </c>
      <c r="O1333" s="3">
        <v>388.36</v>
      </c>
      <c r="P1333" s="3" t="s">
        <v>45</v>
      </c>
    </row>
    <row r="1334" spans="1:16" x14ac:dyDescent="0.35">
      <c r="A1334" s="3" t="s">
        <v>2519</v>
      </c>
      <c r="B1334" s="3" t="s">
        <v>2492</v>
      </c>
      <c r="C1334" s="3" t="s">
        <v>118</v>
      </c>
      <c r="D1334" s="3" t="s">
        <v>19</v>
      </c>
      <c r="E1334" s="3" t="s">
        <v>20</v>
      </c>
      <c r="F1334" s="3" t="s">
        <v>21</v>
      </c>
      <c r="G1334" s="3" t="s">
        <v>51</v>
      </c>
      <c r="H1334" s="3" t="s">
        <v>77</v>
      </c>
      <c r="I1334" s="3" t="s">
        <v>997</v>
      </c>
      <c r="J1334" s="3" t="s">
        <v>161</v>
      </c>
      <c r="K1334" s="3">
        <v>4</v>
      </c>
      <c r="L1334" s="3">
        <v>11794.03</v>
      </c>
      <c r="M1334" s="3">
        <v>47176.12</v>
      </c>
      <c r="N1334" s="3">
        <v>35587.599999999999</v>
      </c>
      <c r="O1334" s="3">
        <v>11588.52</v>
      </c>
      <c r="P1334" s="3" t="s">
        <v>69</v>
      </c>
    </row>
    <row r="1335" spans="1:16" x14ac:dyDescent="0.35">
      <c r="A1335" s="3" t="s">
        <v>2520</v>
      </c>
      <c r="B1335" s="3" t="s">
        <v>624</v>
      </c>
      <c r="C1335" s="3" t="s">
        <v>18</v>
      </c>
      <c r="D1335" s="3" t="s">
        <v>19</v>
      </c>
      <c r="E1335" s="3" t="s">
        <v>49</v>
      </c>
      <c r="F1335" s="3" t="s">
        <v>50</v>
      </c>
      <c r="G1335" s="3" t="s">
        <v>30</v>
      </c>
      <c r="H1335" s="3" t="s">
        <v>31</v>
      </c>
      <c r="I1335" s="3" t="s">
        <v>995</v>
      </c>
      <c r="J1335" s="3" t="s">
        <v>217</v>
      </c>
      <c r="K1335" s="3">
        <v>8</v>
      </c>
      <c r="L1335" s="3">
        <v>2626.03</v>
      </c>
      <c r="M1335" s="3">
        <v>21008.240000000002</v>
      </c>
      <c r="N1335" s="3">
        <v>15474.27</v>
      </c>
      <c r="O1335" s="3">
        <v>5533.97</v>
      </c>
      <c r="P1335" s="3" t="s">
        <v>86</v>
      </c>
    </row>
    <row r="1336" spans="1:16" x14ac:dyDescent="0.35">
      <c r="A1336" s="3" t="s">
        <v>2521</v>
      </c>
      <c r="B1336" s="3" t="s">
        <v>1255</v>
      </c>
      <c r="C1336" s="3" t="s">
        <v>72</v>
      </c>
      <c r="D1336" s="3" t="s">
        <v>38</v>
      </c>
      <c r="E1336" s="3" t="s">
        <v>109</v>
      </c>
      <c r="F1336" s="3" t="s">
        <v>110</v>
      </c>
      <c r="G1336" s="3" t="s">
        <v>41</v>
      </c>
      <c r="H1336" s="3" t="s">
        <v>138</v>
      </c>
      <c r="I1336" s="3" t="s">
        <v>573</v>
      </c>
      <c r="J1336" s="3" t="s">
        <v>85</v>
      </c>
      <c r="K1336" s="3">
        <v>4</v>
      </c>
      <c r="L1336" s="3">
        <v>17035.37</v>
      </c>
      <c r="M1336" s="3">
        <v>68141.48</v>
      </c>
      <c r="N1336" s="3">
        <v>55530.19</v>
      </c>
      <c r="O1336" s="3">
        <v>12611.29</v>
      </c>
      <c r="P1336" s="3" t="s">
        <v>69</v>
      </c>
    </row>
    <row r="1337" spans="1:16" x14ac:dyDescent="0.35">
      <c r="A1337" s="3" t="s">
        <v>2522</v>
      </c>
      <c r="B1337" s="3" t="s">
        <v>770</v>
      </c>
      <c r="C1337" s="3" t="s">
        <v>72</v>
      </c>
      <c r="D1337" s="3" t="s">
        <v>58</v>
      </c>
      <c r="E1337" s="3" t="s">
        <v>65</v>
      </c>
      <c r="F1337" s="3" t="s">
        <v>66</v>
      </c>
      <c r="G1337" s="3" t="s">
        <v>41</v>
      </c>
      <c r="H1337" s="3" t="s">
        <v>138</v>
      </c>
      <c r="I1337" s="3" t="s">
        <v>2523</v>
      </c>
      <c r="J1337" s="3" t="s">
        <v>217</v>
      </c>
      <c r="K1337" s="3">
        <v>8</v>
      </c>
      <c r="L1337" s="3">
        <v>19075.66</v>
      </c>
      <c r="M1337" s="3">
        <v>152605.28</v>
      </c>
      <c r="N1337" s="3">
        <v>109187.64</v>
      </c>
      <c r="O1337" s="3">
        <v>43417.64</v>
      </c>
      <c r="P1337" s="3" t="s">
        <v>34</v>
      </c>
    </row>
    <row r="1338" spans="1:16" x14ac:dyDescent="0.35">
      <c r="A1338" s="3" t="s">
        <v>2524</v>
      </c>
      <c r="B1338" s="3" t="s">
        <v>774</v>
      </c>
      <c r="C1338" s="3" t="s">
        <v>82</v>
      </c>
      <c r="D1338" s="3" t="s">
        <v>90</v>
      </c>
      <c r="E1338" s="3" t="s">
        <v>119</v>
      </c>
      <c r="F1338" s="3" t="s">
        <v>120</v>
      </c>
      <c r="G1338" s="3" t="s">
        <v>30</v>
      </c>
      <c r="H1338" s="3" t="s">
        <v>67</v>
      </c>
      <c r="I1338" s="3" t="s">
        <v>2525</v>
      </c>
      <c r="J1338" s="3" t="s">
        <v>44</v>
      </c>
      <c r="K1338" s="3">
        <v>2</v>
      </c>
      <c r="L1338" s="3">
        <v>9125.1299999999992</v>
      </c>
      <c r="M1338" s="3">
        <v>18250.259999999998</v>
      </c>
      <c r="N1338" s="3">
        <v>15026.69</v>
      </c>
      <c r="O1338" s="3">
        <v>3223.57</v>
      </c>
      <c r="P1338" s="3" t="s">
        <v>45</v>
      </c>
    </row>
    <row r="1339" spans="1:16" x14ac:dyDescent="0.35">
      <c r="A1339" s="3" t="s">
        <v>2526</v>
      </c>
      <c r="B1339" s="3" t="s">
        <v>1552</v>
      </c>
      <c r="C1339" s="3" t="s">
        <v>114</v>
      </c>
      <c r="D1339" s="3" t="s">
        <v>38</v>
      </c>
      <c r="E1339" s="3" t="s">
        <v>104</v>
      </c>
      <c r="F1339" s="3" t="s">
        <v>104</v>
      </c>
      <c r="G1339" s="3" t="s">
        <v>41</v>
      </c>
      <c r="H1339" s="3" t="s">
        <v>61</v>
      </c>
      <c r="I1339" s="3" t="s">
        <v>605</v>
      </c>
      <c r="J1339" s="3" t="s">
        <v>147</v>
      </c>
      <c r="K1339" s="3">
        <v>4</v>
      </c>
      <c r="L1339" s="3">
        <v>2446.0100000000002</v>
      </c>
      <c r="M1339" s="3">
        <v>9784.0400000000009</v>
      </c>
      <c r="N1339" s="3">
        <v>6159.86</v>
      </c>
      <c r="O1339" s="3">
        <v>3624.18</v>
      </c>
      <c r="P1339" s="3" t="s">
        <v>34</v>
      </c>
    </row>
    <row r="1340" spans="1:16" x14ac:dyDescent="0.35">
      <c r="A1340" s="3" t="s">
        <v>2527</v>
      </c>
      <c r="B1340" s="3" t="s">
        <v>1594</v>
      </c>
      <c r="C1340" s="3" t="s">
        <v>48</v>
      </c>
      <c r="D1340" s="3" t="s">
        <v>19</v>
      </c>
      <c r="E1340" s="3" t="s">
        <v>20</v>
      </c>
      <c r="F1340" s="3" t="s">
        <v>21</v>
      </c>
      <c r="G1340" s="3" t="s">
        <v>30</v>
      </c>
      <c r="H1340" s="3" t="s">
        <v>67</v>
      </c>
      <c r="I1340" s="3" t="s">
        <v>1782</v>
      </c>
      <c r="J1340" s="3" t="s">
        <v>54</v>
      </c>
      <c r="K1340" s="3">
        <v>3</v>
      </c>
      <c r="L1340" s="3">
        <v>9468.5300000000007</v>
      </c>
      <c r="M1340" s="3">
        <v>28405.59</v>
      </c>
      <c r="N1340" s="3">
        <v>22570.39</v>
      </c>
      <c r="O1340" s="3">
        <v>5835.2</v>
      </c>
      <c r="P1340" s="3" t="s">
        <v>34</v>
      </c>
    </row>
    <row r="1341" spans="1:16" x14ac:dyDescent="0.35">
      <c r="A1341" s="3" t="s">
        <v>2528</v>
      </c>
      <c r="B1341" s="3" t="s">
        <v>1166</v>
      </c>
      <c r="C1341" s="3" t="s">
        <v>118</v>
      </c>
      <c r="D1341" s="3" t="s">
        <v>58</v>
      </c>
      <c r="E1341" s="3" t="s">
        <v>59</v>
      </c>
      <c r="F1341" s="3" t="s">
        <v>60</v>
      </c>
      <c r="G1341" s="3" t="s">
        <v>22</v>
      </c>
      <c r="H1341" s="3" t="s">
        <v>83</v>
      </c>
      <c r="I1341" s="3" t="s">
        <v>853</v>
      </c>
      <c r="J1341" s="3" t="s">
        <v>85</v>
      </c>
      <c r="K1341" s="3">
        <v>5</v>
      </c>
      <c r="L1341" s="3">
        <v>22474.31</v>
      </c>
      <c r="M1341" s="3">
        <v>112371.55</v>
      </c>
      <c r="N1341" s="3">
        <v>83148.490000000005</v>
      </c>
      <c r="O1341" s="3">
        <v>29223.06</v>
      </c>
      <c r="P1341" s="3" t="s">
        <v>69</v>
      </c>
    </row>
    <row r="1342" spans="1:16" x14ac:dyDescent="0.35">
      <c r="A1342" s="3" t="s">
        <v>2529</v>
      </c>
      <c r="B1342" s="3" t="s">
        <v>883</v>
      </c>
      <c r="C1342" s="3" t="s">
        <v>37</v>
      </c>
      <c r="D1342" s="3" t="s">
        <v>90</v>
      </c>
      <c r="E1342" s="3" t="s">
        <v>119</v>
      </c>
      <c r="F1342" s="3" t="s">
        <v>120</v>
      </c>
      <c r="G1342" s="3" t="s">
        <v>51</v>
      </c>
      <c r="H1342" s="3" t="s">
        <v>77</v>
      </c>
      <c r="I1342" s="3" t="s">
        <v>2530</v>
      </c>
      <c r="J1342" s="3" t="s">
        <v>25</v>
      </c>
      <c r="K1342" s="3">
        <v>8</v>
      </c>
      <c r="L1342" s="3">
        <v>11789.32</v>
      </c>
      <c r="M1342" s="3">
        <v>94314.559999999998</v>
      </c>
      <c r="N1342" s="3">
        <v>69179.679999999993</v>
      </c>
      <c r="O1342" s="3">
        <v>25134.880000000001</v>
      </c>
      <c r="P1342" s="3" t="s">
        <v>34</v>
      </c>
    </row>
    <row r="1343" spans="1:16" x14ac:dyDescent="0.35">
      <c r="A1343" s="3" t="s">
        <v>2531</v>
      </c>
      <c r="B1343" s="3" t="s">
        <v>1314</v>
      </c>
      <c r="C1343" s="3" t="s">
        <v>48</v>
      </c>
      <c r="D1343" s="3" t="s">
        <v>19</v>
      </c>
      <c r="E1343" s="3" t="s">
        <v>20</v>
      </c>
      <c r="F1343" s="3" t="s">
        <v>21</v>
      </c>
      <c r="G1343" s="3" t="s">
        <v>41</v>
      </c>
      <c r="H1343" s="3" t="s">
        <v>61</v>
      </c>
      <c r="I1343" s="3" t="s">
        <v>694</v>
      </c>
      <c r="J1343" s="3" t="s">
        <v>85</v>
      </c>
      <c r="K1343" s="3">
        <v>6</v>
      </c>
      <c r="L1343" s="3">
        <v>2700.01</v>
      </c>
      <c r="M1343" s="3">
        <v>16200.06</v>
      </c>
      <c r="N1343" s="3">
        <v>9666.9500000000007</v>
      </c>
      <c r="O1343" s="3">
        <v>6533.11</v>
      </c>
      <c r="P1343" s="3" t="s">
        <v>45</v>
      </c>
    </row>
    <row r="1344" spans="1:16" x14ac:dyDescent="0.35">
      <c r="A1344" s="3" t="s">
        <v>2532</v>
      </c>
      <c r="B1344" s="3" t="s">
        <v>702</v>
      </c>
      <c r="C1344" s="3" t="s">
        <v>57</v>
      </c>
      <c r="D1344" s="3" t="s">
        <v>58</v>
      </c>
      <c r="E1344" s="3" t="s">
        <v>176</v>
      </c>
      <c r="F1344" s="3" t="s">
        <v>177</v>
      </c>
      <c r="G1344" s="3" t="s">
        <v>30</v>
      </c>
      <c r="H1344" s="3" t="s">
        <v>31</v>
      </c>
      <c r="I1344" s="3" t="s">
        <v>1303</v>
      </c>
      <c r="J1344" s="3" t="s">
        <v>44</v>
      </c>
      <c r="K1344" s="3">
        <v>6</v>
      </c>
      <c r="L1344" s="3">
        <v>2907.53</v>
      </c>
      <c r="M1344" s="3">
        <v>17445.18</v>
      </c>
      <c r="N1344" s="3">
        <v>11655.38</v>
      </c>
      <c r="O1344" s="3">
        <v>5789.8</v>
      </c>
      <c r="P1344" s="3" t="s">
        <v>34</v>
      </c>
    </row>
    <row r="1345" spans="1:16" x14ac:dyDescent="0.35">
      <c r="A1345" s="3" t="s">
        <v>2533</v>
      </c>
      <c r="B1345" s="3" t="s">
        <v>1216</v>
      </c>
      <c r="C1345" s="3" t="s">
        <v>114</v>
      </c>
      <c r="D1345" s="3" t="s">
        <v>90</v>
      </c>
      <c r="E1345" s="3" t="s">
        <v>119</v>
      </c>
      <c r="F1345" s="3" t="s">
        <v>120</v>
      </c>
      <c r="G1345" s="3" t="s">
        <v>51</v>
      </c>
      <c r="H1345" s="3" t="s">
        <v>77</v>
      </c>
      <c r="I1345" s="3" t="s">
        <v>1662</v>
      </c>
      <c r="J1345" s="3" t="s">
        <v>33</v>
      </c>
      <c r="K1345" s="3">
        <v>5</v>
      </c>
      <c r="L1345" s="3">
        <v>12018.38</v>
      </c>
      <c r="M1345" s="3">
        <v>60091.9</v>
      </c>
      <c r="N1345" s="3">
        <v>43310.84</v>
      </c>
      <c r="O1345" s="3">
        <v>16781.060000000001</v>
      </c>
      <c r="P1345" s="3" t="s">
        <v>45</v>
      </c>
    </row>
    <row r="1346" spans="1:16" x14ac:dyDescent="0.35">
      <c r="A1346" s="3" t="s">
        <v>2534</v>
      </c>
      <c r="B1346" s="3" t="s">
        <v>994</v>
      </c>
      <c r="C1346" s="3" t="s">
        <v>29</v>
      </c>
      <c r="D1346" s="3" t="s">
        <v>90</v>
      </c>
      <c r="E1346" s="3" t="s">
        <v>119</v>
      </c>
      <c r="F1346" s="3" t="s">
        <v>120</v>
      </c>
      <c r="G1346" s="3" t="s">
        <v>51</v>
      </c>
      <c r="H1346" s="3" t="s">
        <v>145</v>
      </c>
      <c r="I1346" s="3" t="s">
        <v>1227</v>
      </c>
      <c r="J1346" s="3" t="s">
        <v>85</v>
      </c>
      <c r="K1346" s="3">
        <v>3</v>
      </c>
      <c r="L1346" s="3">
        <v>111.62</v>
      </c>
      <c r="M1346" s="3">
        <v>334.86</v>
      </c>
      <c r="N1346" s="3">
        <v>175.66</v>
      </c>
      <c r="O1346" s="3">
        <v>159.19999999999999</v>
      </c>
      <c r="P1346" s="3" t="s">
        <v>69</v>
      </c>
    </row>
    <row r="1347" spans="1:16" x14ac:dyDescent="0.35">
      <c r="A1347" s="3" t="s">
        <v>2535</v>
      </c>
      <c r="B1347" s="3" t="s">
        <v>886</v>
      </c>
      <c r="C1347" s="3" t="s">
        <v>48</v>
      </c>
      <c r="D1347" s="3" t="s">
        <v>58</v>
      </c>
      <c r="E1347" s="3" t="s">
        <v>65</v>
      </c>
      <c r="F1347" s="3" t="s">
        <v>66</v>
      </c>
      <c r="G1347" s="3" t="s">
        <v>22</v>
      </c>
      <c r="H1347" s="3" t="s">
        <v>83</v>
      </c>
      <c r="I1347" s="3" t="s">
        <v>662</v>
      </c>
      <c r="J1347" s="3" t="s">
        <v>188</v>
      </c>
      <c r="K1347" s="3">
        <v>4</v>
      </c>
      <c r="L1347" s="3">
        <v>23313.48</v>
      </c>
      <c r="M1347" s="3">
        <v>93253.92</v>
      </c>
      <c r="N1347" s="3">
        <v>66523.95</v>
      </c>
      <c r="O1347" s="3">
        <v>26729.97</v>
      </c>
      <c r="P1347" s="3" t="s">
        <v>45</v>
      </c>
    </row>
    <row r="1348" spans="1:16" x14ac:dyDescent="0.35">
      <c r="A1348" s="3" t="s">
        <v>2536</v>
      </c>
      <c r="B1348" s="3" t="s">
        <v>599</v>
      </c>
      <c r="C1348" s="3" t="s">
        <v>82</v>
      </c>
      <c r="D1348" s="3" t="s">
        <v>38</v>
      </c>
      <c r="E1348" s="3" t="s">
        <v>104</v>
      </c>
      <c r="F1348" s="3" t="s">
        <v>104</v>
      </c>
      <c r="G1348" s="3" t="s">
        <v>41</v>
      </c>
      <c r="H1348" s="3" t="s">
        <v>138</v>
      </c>
      <c r="I1348" s="3" t="s">
        <v>1327</v>
      </c>
      <c r="J1348" s="3" t="s">
        <v>188</v>
      </c>
      <c r="K1348" s="3">
        <v>4</v>
      </c>
      <c r="L1348" s="3">
        <v>17290.650000000001</v>
      </c>
      <c r="M1348" s="3">
        <v>69162.600000000006</v>
      </c>
      <c r="N1348" s="3">
        <v>57070.38</v>
      </c>
      <c r="O1348" s="3">
        <v>12092.22</v>
      </c>
      <c r="P1348" s="3" t="s">
        <v>45</v>
      </c>
    </row>
    <row r="1349" spans="1:16" x14ac:dyDescent="0.35">
      <c r="A1349" s="3" t="s">
        <v>2537</v>
      </c>
      <c r="B1349" s="3" t="s">
        <v>195</v>
      </c>
      <c r="C1349" s="3" t="s">
        <v>18</v>
      </c>
      <c r="D1349" s="3" t="s">
        <v>90</v>
      </c>
      <c r="E1349" s="3" t="s">
        <v>97</v>
      </c>
      <c r="F1349" s="3" t="s">
        <v>98</v>
      </c>
      <c r="G1349" s="3" t="s">
        <v>41</v>
      </c>
      <c r="H1349" s="3" t="s">
        <v>42</v>
      </c>
      <c r="I1349" s="3" t="s">
        <v>2538</v>
      </c>
      <c r="J1349" s="3" t="s">
        <v>106</v>
      </c>
      <c r="K1349" s="3">
        <v>2</v>
      </c>
      <c r="L1349" s="3">
        <v>46575.95</v>
      </c>
      <c r="M1349" s="3">
        <v>93151.9</v>
      </c>
      <c r="N1349" s="3">
        <v>71748.399999999994</v>
      </c>
      <c r="O1349" s="3">
        <v>21403.5</v>
      </c>
      <c r="P1349" s="3" t="s">
        <v>69</v>
      </c>
    </row>
    <row r="1350" spans="1:16" x14ac:dyDescent="0.35">
      <c r="A1350" s="3" t="s">
        <v>2539</v>
      </c>
      <c r="B1350" s="3" t="s">
        <v>866</v>
      </c>
      <c r="C1350" s="3" t="s">
        <v>72</v>
      </c>
      <c r="D1350" s="3" t="s">
        <v>38</v>
      </c>
      <c r="E1350" s="3" t="s">
        <v>109</v>
      </c>
      <c r="F1350" s="3" t="s">
        <v>110</v>
      </c>
      <c r="G1350" s="3" t="s">
        <v>41</v>
      </c>
      <c r="H1350" s="3" t="s">
        <v>61</v>
      </c>
      <c r="I1350" s="3" t="s">
        <v>1131</v>
      </c>
      <c r="J1350" s="3" t="s">
        <v>106</v>
      </c>
      <c r="K1350" s="3">
        <v>8</v>
      </c>
      <c r="L1350" s="3">
        <v>2255.4299999999998</v>
      </c>
      <c r="M1350" s="3">
        <v>18043.439999999999</v>
      </c>
      <c r="N1350" s="3">
        <v>12182.46</v>
      </c>
      <c r="O1350" s="3">
        <v>5860.98</v>
      </c>
      <c r="P1350" s="3" t="s">
        <v>26</v>
      </c>
    </row>
    <row r="1351" spans="1:16" x14ac:dyDescent="0.35">
      <c r="A1351" s="3" t="s">
        <v>2540</v>
      </c>
      <c r="B1351" s="3" t="s">
        <v>779</v>
      </c>
      <c r="C1351" s="3" t="s">
        <v>114</v>
      </c>
      <c r="D1351" s="3" t="s">
        <v>38</v>
      </c>
      <c r="E1351" s="3" t="s">
        <v>39</v>
      </c>
      <c r="F1351" s="3" t="s">
        <v>40</v>
      </c>
      <c r="G1351" s="3" t="s">
        <v>22</v>
      </c>
      <c r="H1351" s="3" t="s">
        <v>93</v>
      </c>
      <c r="I1351" s="3" t="s">
        <v>1424</v>
      </c>
      <c r="J1351" s="3" t="s">
        <v>54</v>
      </c>
      <c r="K1351" s="3">
        <v>8</v>
      </c>
      <c r="L1351" s="3">
        <v>6809.54</v>
      </c>
      <c r="M1351" s="3">
        <v>54476.32</v>
      </c>
      <c r="N1351" s="3">
        <v>38128.660000000003</v>
      </c>
      <c r="O1351" s="3">
        <v>16347.66</v>
      </c>
      <c r="P1351" s="3" t="s">
        <v>69</v>
      </c>
    </row>
    <row r="1352" spans="1:16" x14ac:dyDescent="0.35">
      <c r="A1352" s="3" t="s">
        <v>2541</v>
      </c>
      <c r="B1352" s="3" t="s">
        <v>1567</v>
      </c>
      <c r="C1352" s="3" t="s">
        <v>82</v>
      </c>
      <c r="D1352" s="3" t="s">
        <v>19</v>
      </c>
      <c r="E1352" s="3" t="s">
        <v>199</v>
      </c>
      <c r="F1352" s="3" t="s">
        <v>200</v>
      </c>
      <c r="G1352" s="3" t="s">
        <v>22</v>
      </c>
      <c r="H1352" s="3" t="s">
        <v>23</v>
      </c>
      <c r="I1352" s="3" t="s">
        <v>1941</v>
      </c>
      <c r="J1352" s="3" t="s">
        <v>217</v>
      </c>
      <c r="K1352" s="3">
        <v>3</v>
      </c>
      <c r="L1352" s="3">
        <v>3600.84</v>
      </c>
      <c r="M1352" s="3">
        <v>10802.52</v>
      </c>
      <c r="N1352" s="3">
        <v>6329.77</v>
      </c>
      <c r="O1352" s="3">
        <v>4472.75</v>
      </c>
      <c r="P1352" s="3" t="s">
        <v>86</v>
      </c>
    </row>
    <row r="1353" spans="1:16" x14ac:dyDescent="0.35">
      <c r="A1353" s="3" t="s">
        <v>2542</v>
      </c>
      <c r="B1353" s="3" t="s">
        <v>324</v>
      </c>
      <c r="C1353" s="3" t="s">
        <v>29</v>
      </c>
      <c r="D1353" s="3" t="s">
        <v>19</v>
      </c>
      <c r="E1353" s="3" t="s">
        <v>20</v>
      </c>
      <c r="F1353" s="3" t="s">
        <v>21</v>
      </c>
      <c r="G1353" s="3" t="s">
        <v>41</v>
      </c>
      <c r="H1353" s="3" t="s">
        <v>61</v>
      </c>
      <c r="I1353" s="3" t="s">
        <v>2543</v>
      </c>
      <c r="J1353" s="3" t="s">
        <v>154</v>
      </c>
      <c r="K1353" s="3">
        <v>5</v>
      </c>
      <c r="L1353" s="3">
        <v>2737.68</v>
      </c>
      <c r="M1353" s="3">
        <v>13688.4</v>
      </c>
      <c r="N1353" s="3">
        <v>7937.34</v>
      </c>
      <c r="O1353" s="3">
        <v>5751.06</v>
      </c>
      <c r="P1353" s="3" t="s">
        <v>26</v>
      </c>
    </row>
    <row r="1354" spans="1:16" x14ac:dyDescent="0.35">
      <c r="A1354" s="3" t="s">
        <v>2544</v>
      </c>
      <c r="B1354" s="3" t="s">
        <v>866</v>
      </c>
      <c r="C1354" s="3" t="s">
        <v>72</v>
      </c>
      <c r="D1354" s="3" t="s">
        <v>19</v>
      </c>
      <c r="E1354" s="3" t="s">
        <v>49</v>
      </c>
      <c r="F1354" s="3" t="s">
        <v>50</v>
      </c>
      <c r="G1354" s="3" t="s">
        <v>30</v>
      </c>
      <c r="H1354" s="3" t="s">
        <v>73</v>
      </c>
      <c r="I1354" s="3" t="s">
        <v>662</v>
      </c>
      <c r="J1354" s="3" t="s">
        <v>25</v>
      </c>
      <c r="K1354" s="3">
        <v>5</v>
      </c>
      <c r="L1354" s="3">
        <v>3501.62</v>
      </c>
      <c r="M1354" s="3">
        <v>17508.099999999999</v>
      </c>
      <c r="N1354" s="3">
        <v>11767.69</v>
      </c>
      <c r="O1354" s="3">
        <v>5740.41</v>
      </c>
      <c r="P1354" s="3" t="s">
        <v>34</v>
      </c>
    </row>
    <row r="1355" spans="1:16" x14ac:dyDescent="0.35">
      <c r="A1355" s="3" t="s">
        <v>2545</v>
      </c>
      <c r="B1355" s="3" t="s">
        <v>782</v>
      </c>
      <c r="C1355" s="3" t="s">
        <v>114</v>
      </c>
      <c r="D1355" s="3" t="s">
        <v>38</v>
      </c>
      <c r="E1355" s="3" t="s">
        <v>109</v>
      </c>
      <c r="F1355" s="3" t="s">
        <v>110</v>
      </c>
      <c r="G1355" s="3" t="s">
        <v>41</v>
      </c>
      <c r="H1355" s="3" t="s">
        <v>42</v>
      </c>
      <c r="I1355" s="3" t="s">
        <v>1129</v>
      </c>
      <c r="J1355" s="3" t="s">
        <v>154</v>
      </c>
      <c r="K1355" s="3">
        <v>4</v>
      </c>
      <c r="L1355" s="3">
        <v>47713.760000000002</v>
      </c>
      <c r="M1355" s="3">
        <v>190855.04000000001</v>
      </c>
      <c r="N1355" s="3">
        <v>133710.53</v>
      </c>
      <c r="O1355" s="3">
        <v>57144.51</v>
      </c>
      <c r="P1355" s="3" t="s">
        <v>69</v>
      </c>
    </row>
    <row r="1356" spans="1:16" x14ac:dyDescent="0.35">
      <c r="A1356" s="3" t="s">
        <v>2546</v>
      </c>
      <c r="B1356" s="3" t="s">
        <v>1086</v>
      </c>
      <c r="C1356" s="3" t="s">
        <v>37</v>
      </c>
      <c r="D1356" s="3" t="s">
        <v>58</v>
      </c>
      <c r="E1356" s="3" t="s">
        <v>65</v>
      </c>
      <c r="F1356" s="3" t="s">
        <v>66</v>
      </c>
      <c r="G1356" s="3" t="s">
        <v>30</v>
      </c>
      <c r="H1356" s="3" t="s">
        <v>73</v>
      </c>
      <c r="I1356" s="3" t="s">
        <v>2547</v>
      </c>
      <c r="J1356" s="3" t="s">
        <v>106</v>
      </c>
      <c r="K1356" s="3">
        <v>8</v>
      </c>
      <c r="L1356" s="3">
        <v>3290.88</v>
      </c>
      <c r="M1356" s="3">
        <v>26327.040000000001</v>
      </c>
      <c r="N1356" s="3">
        <v>18463.62</v>
      </c>
      <c r="O1356" s="3">
        <v>7863.42</v>
      </c>
      <c r="P1356" s="3" t="s">
        <v>26</v>
      </c>
    </row>
    <row r="1357" spans="1:16" x14ac:dyDescent="0.35">
      <c r="A1357" s="3" t="s">
        <v>2548</v>
      </c>
      <c r="B1357" s="3" t="s">
        <v>1687</v>
      </c>
      <c r="C1357" s="3" t="s">
        <v>18</v>
      </c>
      <c r="D1357" s="3" t="s">
        <v>19</v>
      </c>
      <c r="E1357" s="3" t="s">
        <v>49</v>
      </c>
      <c r="F1357" s="3" t="s">
        <v>50</v>
      </c>
      <c r="G1357" s="3" t="s">
        <v>51</v>
      </c>
      <c r="H1357" s="3" t="s">
        <v>52</v>
      </c>
      <c r="I1357" s="3" t="s">
        <v>896</v>
      </c>
      <c r="J1357" s="3" t="s">
        <v>85</v>
      </c>
      <c r="K1357" s="3">
        <v>6</v>
      </c>
      <c r="L1357" s="3">
        <v>24.61</v>
      </c>
      <c r="M1357" s="3">
        <v>147.66</v>
      </c>
      <c r="N1357" s="3">
        <v>61.87</v>
      </c>
      <c r="O1357" s="3">
        <v>85.79</v>
      </c>
      <c r="P1357" s="3" t="s">
        <v>26</v>
      </c>
    </row>
    <row r="1358" spans="1:16" x14ac:dyDescent="0.35">
      <c r="A1358" s="3" t="s">
        <v>2549</v>
      </c>
      <c r="B1358" s="3" t="s">
        <v>96</v>
      </c>
      <c r="C1358" s="3" t="s">
        <v>48</v>
      </c>
      <c r="D1358" s="3" t="s">
        <v>90</v>
      </c>
      <c r="E1358" s="3" t="s">
        <v>119</v>
      </c>
      <c r="F1358" s="3" t="s">
        <v>120</v>
      </c>
      <c r="G1358" s="3" t="s">
        <v>51</v>
      </c>
      <c r="H1358" s="3" t="s">
        <v>52</v>
      </c>
      <c r="I1358" s="3" t="s">
        <v>2550</v>
      </c>
      <c r="J1358" s="3" t="s">
        <v>85</v>
      </c>
      <c r="K1358" s="3">
        <v>8</v>
      </c>
      <c r="L1358" s="3">
        <v>26.43</v>
      </c>
      <c r="M1358" s="3">
        <v>211.44</v>
      </c>
      <c r="N1358" s="3">
        <v>81.84</v>
      </c>
      <c r="O1358" s="3">
        <v>129.6</v>
      </c>
      <c r="P1358" s="3" t="s">
        <v>69</v>
      </c>
    </row>
    <row r="1359" spans="1:16" x14ac:dyDescent="0.35">
      <c r="A1359" s="3" t="s">
        <v>2551</v>
      </c>
      <c r="B1359" s="3" t="s">
        <v>802</v>
      </c>
      <c r="C1359" s="3" t="s">
        <v>118</v>
      </c>
      <c r="D1359" s="3" t="s">
        <v>38</v>
      </c>
      <c r="E1359" s="3" t="s">
        <v>109</v>
      </c>
      <c r="F1359" s="3" t="s">
        <v>110</v>
      </c>
      <c r="G1359" s="3" t="s">
        <v>30</v>
      </c>
      <c r="H1359" s="3" t="s">
        <v>73</v>
      </c>
      <c r="I1359" s="3" t="s">
        <v>483</v>
      </c>
      <c r="J1359" s="3" t="s">
        <v>25</v>
      </c>
      <c r="K1359" s="3">
        <v>7</v>
      </c>
      <c r="L1359" s="3">
        <v>3229.07</v>
      </c>
      <c r="M1359" s="3">
        <v>22603.49</v>
      </c>
      <c r="N1359" s="3">
        <v>16925.78</v>
      </c>
      <c r="O1359" s="3">
        <v>5677.71</v>
      </c>
      <c r="P1359" s="3" t="s">
        <v>45</v>
      </c>
    </row>
    <row r="1360" spans="1:16" x14ac:dyDescent="0.35">
      <c r="A1360" s="3" t="s">
        <v>2552</v>
      </c>
      <c r="B1360" s="3" t="s">
        <v>2280</v>
      </c>
      <c r="C1360" s="3" t="s">
        <v>89</v>
      </c>
      <c r="D1360" s="3" t="s">
        <v>58</v>
      </c>
      <c r="E1360" s="3" t="s">
        <v>65</v>
      </c>
      <c r="F1360" s="3" t="s">
        <v>66</v>
      </c>
      <c r="G1360" s="3" t="s">
        <v>30</v>
      </c>
      <c r="H1360" s="3" t="s">
        <v>73</v>
      </c>
      <c r="I1360" s="3" t="s">
        <v>2553</v>
      </c>
      <c r="J1360" s="3" t="s">
        <v>100</v>
      </c>
      <c r="K1360" s="3">
        <v>6</v>
      </c>
      <c r="L1360" s="3">
        <v>3148.9</v>
      </c>
      <c r="M1360" s="3">
        <v>18893.400000000001</v>
      </c>
      <c r="N1360" s="3">
        <v>14173.7</v>
      </c>
      <c r="O1360" s="3">
        <v>4719.7</v>
      </c>
      <c r="P1360" s="3" t="s">
        <v>86</v>
      </c>
    </row>
    <row r="1361" spans="1:16" x14ac:dyDescent="0.35">
      <c r="A1361" s="3" t="s">
        <v>2554</v>
      </c>
      <c r="B1361" s="3" t="s">
        <v>802</v>
      </c>
      <c r="C1361" s="3" t="s">
        <v>118</v>
      </c>
      <c r="D1361" s="3" t="s">
        <v>19</v>
      </c>
      <c r="E1361" s="3" t="s">
        <v>49</v>
      </c>
      <c r="F1361" s="3" t="s">
        <v>50</v>
      </c>
      <c r="G1361" s="3" t="s">
        <v>22</v>
      </c>
      <c r="H1361" s="3" t="s">
        <v>93</v>
      </c>
      <c r="I1361" s="3" t="s">
        <v>1022</v>
      </c>
      <c r="J1361" s="3" t="s">
        <v>25</v>
      </c>
      <c r="K1361" s="3">
        <v>4</v>
      </c>
      <c r="L1361" s="3">
        <v>7134.94</v>
      </c>
      <c r="M1361" s="3">
        <v>28539.759999999998</v>
      </c>
      <c r="N1361" s="3">
        <v>19317.91</v>
      </c>
      <c r="O1361" s="3">
        <v>9221.85</v>
      </c>
      <c r="P1361" s="3" t="s">
        <v>86</v>
      </c>
    </row>
    <row r="1362" spans="1:16" x14ac:dyDescent="0.35">
      <c r="A1362" s="3" t="s">
        <v>2555</v>
      </c>
      <c r="B1362" s="3" t="s">
        <v>381</v>
      </c>
      <c r="C1362" s="3" t="s">
        <v>18</v>
      </c>
      <c r="D1362" s="3" t="s">
        <v>90</v>
      </c>
      <c r="E1362" s="3" t="s">
        <v>97</v>
      </c>
      <c r="F1362" s="3" t="s">
        <v>98</v>
      </c>
      <c r="G1362" s="3" t="s">
        <v>22</v>
      </c>
      <c r="H1362" s="3" t="s">
        <v>23</v>
      </c>
      <c r="I1362" s="3" t="s">
        <v>992</v>
      </c>
      <c r="J1362" s="3" t="s">
        <v>154</v>
      </c>
      <c r="K1362" s="3">
        <v>2</v>
      </c>
      <c r="L1362" s="3">
        <v>3285.17</v>
      </c>
      <c r="M1362" s="3">
        <v>6570.34</v>
      </c>
      <c r="N1362" s="3">
        <v>4439.3100000000004</v>
      </c>
      <c r="O1362" s="3">
        <v>2131.0300000000002</v>
      </c>
      <c r="P1362" s="3" t="s">
        <v>45</v>
      </c>
    </row>
    <row r="1363" spans="1:16" x14ac:dyDescent="0.35">
      <c r="A1363" s="3" t="s">
        <v>2556</v>
      </c>
      <c r="B1363" s="3" t="s">
        <v>1337</v>
      </c>
      <c r="C1363" s="3" t="s">
        <v>48</v>
      </c>
      <c r="D1363" s="3" t="s">
        <v>38</v>
      </c>
      <c r="E1363" s="3" t="s">
        <v>39</v>
      </c>
      <c r="F1363" s="3" t="s">
        <v>40</v>
      </c>
      <c r="G1363" s="3" t="s">
        <v>30</v>
      </c>
      <c r="H1363" s="3" t="s">
        <v>67</v>
      </c>
      <c r="I1363" s="3" t="s">
        <v>2557</v>
      </c>
      <c r="J1363" s="3" t="s">
        <v>188</v>
      </c>
      <c r="K1363" s="3">
        <v>1</v>
      </c>
      <c r="L1363" s="3">
        <v>9478.2099999999991</v>
      </c>
      <c r="M1363" s="3">
        <v>9478.2099999999991</v>
      </c>
      <c r="N1363" s="3">
        <v>7891.13</v>
      </c>
      <c r="O1363" s="3">
        <v>1587.08</v>
      </c>
      <c r="P1363" s="3" t="s">
        <v>69</v>
      </c>
    </row>
    <row r="1364" spans="1:16" x14ac:dyDescent="0.35">
      <c r="A1364" s="3" t="s">
        <v>2558</v>
      </c>
      <c r="B1364" s="3" t="s">
        <v>974</v>
      </c>
      <c r="C1364" s="3" t="s">
        <v>29</v>
      </c>
      <c r="D1364" s="3" t="s">
        <v>58</v>
      </c>
      <c r="E1364" s="3" t="s">
        <v>176</v>
      </c>
      <c r="F1364" s="3" t="s">
        <v>177</v>
      </c>
      <c r="G1364" s="3" t="s">
        <v>51</v>
      </c>
      <c r="H1364" s="3" t="s">
        <v>77</v>
      </c>
      <c r="I1364" s="3" t="s">
        <v>1544</v>
      </c>
      <c r="J1364" s="3" t="s">
        <v>54</v>
      </c>
      <c r="K1364" s="3">
        <v>7</v>
      </c>
      <c r="L1364" s="3">
        <v>12842.62</v>
      </c>
      <c r="M1364" s="3">
        <v>89898.34</v>
      </c>
      <c r="N1364" s="3">
        <v>60168.12</v>
      </c>
      <c r="O1364" s="3">
        <v>29730.22</v>
      </c>
      <c r="P1364" s="3" t="s">
        <v>69</v>
      </c>
    </row>
    <row r="1365" spans="1:16" x14ac:dyDescent="0.35">
      <c r="A1365" s="3" t="s">
        <v>2559</v>
      </c>
      <c r="B1365" s="3" t="s">
        <v>152</v>
      </c>
      <c r="C1365" s="3" t="s">
        <v>57</v>
      </c>
      <c r="D1365" s="3" t="s">
        <v>19</v>
      </c>
      <c r="E1365" s="3" t="s">
        <v>199</v>
      </c>
      <c r="F1365" s="3" t="s">
        <v>200</v>
      </c>
      <c r="G1365" s="3" t="s">
        <v>51</v>
      </c>
      <c r="H1365" s="3" t="s">
        <v>77</v>
      </c>
      <c r="I1365" s="3" t="s">
        <v>2560</v>
      </c>
      <c r="J1365" s="3" t="s">
        <v>188</v>
      </c>
      <c r="K1365" s="3">
        <v>2</v>
      </c>
      <c r="L1365" s="3">
        <v>12884.53</v>
      </c>
      <c r="M1365" s="3">
        <v>25769.06</v>
      </c>
      <c r="N1365" s="3">
        <v>17842.55</v>
      </c>
      <c r="O1365" s="3">
        <v>7926.51</v>
      </c>
      <c r="P1365" s="3" t="s">
        <v>26</v>
      </c>
    </row>
    <row r="1366" spans="1:16" x14ac:dyDescent="0.35">
      <c r="A1366" s="3" t="s">
        <v>2561</v>
      </c>
      <c r="B1366" s="3" t="s">
        <v>1159</v>
      </c>
      <c r="C1366" s="3" t="s">
        <v>29</v>
      </c>
      <c r="D1366" s="3" t="s">
        <v>38</v>
      </c>
      <c r="E1366" s="3" t="s">
        <v>104</v>
      </c>
      <c r="F1366" s="3" t="s">
        <v>104</v>
      </c>
      <c r="G1366" s="3" t="s">
        <v>30</v>
      </c>
      <c r="H1366" s="3" t="s">
        <v>73</v>
      </c>
      <c r="I1366" s="3" t="s">
        <v>1330</v>
      </c>
      <c r="J1366" s="3" t="s">
        <v>54</v>
      </c>
      <c r="K1366" s="3">
        <v>7</v>
      </c>
      <c r="L1366" s="3">
        <v>3056.48</v>
      </c>
      <c r="M1366" s="3">
        <v>21395.360000000001</v>
      </c>
      <c r="N1366" s="3">
        <v>16073.87</v>
      </c>
      <c r="O1366" s="3">
        <v>5321.49</v>
      </c>
      <c r="P1366" s="3" t="s">
        <v>45</v>
      </c>
    </row>
    <row r="1367" spans="1:16" x14ac:dyDescent="0.35">
      <c r="A1367" s="3" t="s">
        <v>2562</v>
      </c>
      <c r="B1367" s="3" t="s">
        <v>607</v>
      </c>
      <c r="C1367" s="3" t="s">
        <v>114</v>
      </c>
      <c r="D1367" s="3" t="s">
        <v>19</v>
      </c>
      <c r="E1367" s="3" t="s">
        <v>49</v>
      </c>
      <c r="F1367" s="3" t="s">
        <v>50</v>
      </c>
      <c r="G1367" s="3" t="s">
        <v>30</v>
      </c>
      <c r="H1367" s="3" t="s">
        <v>31</v>
      </c>
      <c r="I1367" s="3" t="s">
        <v>2563</v>
      </c>
      <c r="J1367" s="3" t="s">
        <v>54</v>
      </c>
      <c r="K1367" s="3">
        <v>2</v>
      </c>
      <c r="L1367" s="3">
        <v>2787.28</v>
      </c>
      <c r="M1367" s="3">
        <v>5574.56</v>
      </c>
      <c r="N1367" s="3">
        <v>3695.6</v>
      </c>
      <c r="O1367" s="3">
        <v>1878.96</v>
      </c>
      <c r="P1367" s="3" t="s">
        <v>86</v>
      </c>
    </row>
    <row r="1368" spans="1:16" x14ac:dyDescent="0.35">
      <c r="A1368" s="3" t="s">
        <v>2564</v>
      </c>
      <c r="B1368" s="3" t="s">
        <v>307</v>
      </c>
      <c r="C1368" s="3" t="s">
        <v>103</v>
      </c>
      <c r="D1368" s="3" t="s">
        <v>90</v>
      </c>
      <c r="E1368" s="3" t="s">
        <v>97</v>
      </c>
      <c r="F1368" s="3" t="s">
        <v>98</v>
      </c>
      <c r="G1368" s="3" t="s">
        <v>30</v>
      </c>
      <c r="H1368" s="3" t="s">
        <v>73</v>
      </c>
      <c r="I1368" s="3" t="s">
        <v>2349</v>
      </c>
      <c r="J1368" s="3" t="s">
        <v>85</v>
      </c>
      <c r="K1368" s="3">
        <v>7</v>
      </c>
      <c r="L1368" s="3">
        <v>3375.1</v>
      </c>
      <c r="M1368" s="3">
        <v>23625.7</v>
      </c>
      <c r="N1368" s="3">
        <v>17295.05</v>
      </c>
      <c r="O1368" s="3">
        <v>6330.65</v>
      </c>
      <c r="P1368" s="3" t="s">
        <v>69</v>
      </c>
    </row>
    <row r="1369" spans="1:16" x14ac:dyDescent="0.35">
      <c r="A1369" s="3" t="s">
        <v>2565</v>
      </c>
      <c r="B1369" s="3" t="s">
        <v>816</v>
      </c>
      <c r="C1369" s="3" t="s">
        <v>57</v>
      </c>
      <c r="D1369" s="3" t="s">
        <v>38</v>
      </c>
      <c r="E1369" s="3" t="s">
        <v>109</v>
      </c>
      <c r="F1369" s="3" t="s">
        <v>110</v>
      </c>
      <c r="G1369" s="3" t="s">
        <v>41</v>
      </c>
      <c r="H1369" s="3" t="s">
        <v>138</v>
      </c>
      <c r="I1369" s="3" t="s">
        <v>1358</v>
      </c>
      <c r="J1369" s="3" t="s">
        <v>54</v>
      </c>
      <c r="K1369" s="3">
        <v>6</v>
      </c>
      <c r="L1369" s="3">
        <v>16378.81</v>
      </c>
      <c r="M1369" s="3">
        <v>98272.86</v>
      </c>
      <c r="N1369" s="3">
        <v>84076.35</v>
      </c>
      <c r="O1369" s="3">
        <v>14196.51</v>
      </c>
      <c r="P1369" s="3" t="s">
        <v>26</v>
      </c>
    </row>
    <row r="1370" spans="1:16" x14ac:dyDescent="0.35">
      <c r="A1370" s="3" t="s">
        <v>2566</v>
      </c>
      <c r="B1370" s="3" t="s">
        <v>1320</v>
      </c>
      <c r="C1370" s="3" t="s">
        <v>37</v>
      </c>
      <c r="D1370" s="3" t="s">
        <v>90</v>
      </c>
      <c r="E1370" s="3" t="s">
        <v>97</v>
      </c>
      <c r="F1370" s="3" t="s">
        <v>98</v>
      </c>
      <c r="G1370" s="3" t="s">
        <v>41</v>
      </c>
      <c r="H1370" s="3" t="s">
        <v>61</v>
      </c>
      <c r="I1370" s="3" t="s">
        <v>2567</v>
      </c>
      <c r="J1370" s="3" t="s">
        <v>188</v>
      </c>
      <c r="K1370" s="3">
        <v>7</v>
      </c>
      <c r="L1370" s="3">
        <v>2643.69</v>
      </c>
      <c r="M1370" s="3">
        <v>18505.830000000002</v>
      </c>
      <c r="N1370" s="3">
        <v>11507.46</v>
      </c>
      <c r="O1370" s="3">
        <v>6998.37</v>
      </c>
      <c r="P1370" s="3" t="s">
        <v>45</v>
      </c>
    </row>
    <row r="1371" spans="1:16" x14ac:dyDescent="0.35">
      <c r="A1371" s="3" t="s">
        <v>2568</v>
      </c>
      <c r="B1371" s="3" t="s">
        <v>455</v>
      </c>
      <c r="C1371" s="3" t="s">
        <v>18</v>
      </c>
      <c r="D1371" s="3" t="s">
        <v>19</v>
      </c>
      <c r="E1371" s="3" t="s">
        <v>49</v>
      </c>
      <c r="F1371" s="3" t="s">
        <v>50</v>
      </c>
      <c r="G1371" s="3" t="s">
        <v>22</v>
      </c>
      <c r="H1371" s="3" t="s">
        <v>23</v>
      </c>
      <c r="I1371" s="3" t="s">
        <v>1404</v>
      </c>
      <c r="J1371" s="3" t="s">
        <v>161</v>
      </c>
      <c r="K1371" s="3">
        <v>6</v>
      </c>
      <c r="L1371" s="3">
        <v>3585.86</v>
      </c>
      <c r="M1371" s="3">
        <v>21515.16</v>
      </c>
      <c r="N1371" s="3">
        <v>13285.8</v>
      </c>
      <c r="O1371" s="3">
        <v>8229.36</v>
      </c>
      <c r="P1371" s="3" t="s">
        <v>45</v>
      </c>
    </row>
    <row r="1372" spans="1:16" x14ac:dyDescent="0.35">
      <c r="A1372" s="3" t="s">
        <v>2569</v>
      </c>
      <c r="B1372" s="3" t="s">
        <v>2222</v>
      </c>
      <c r="C1372" s="3" t="s">
        <v>89</v>
      </c>
      <c r="D1372" s="3" t="s">
        <v>58</v>
      </c>
      <c r="E1372" s="3" t="s">
        <v>176</v>
      </c>
      <c r="F1372" s="3" t="s">
        <v>177</v>
      </c>
      <c r="G1372" s="3" t="s">
        <v>51</v>
      </c>
      <c r="H1372" s="3" t="s">
        <v>145</v>
      </c>
      <c r="I1372" s="3" t="s">
        <v>529</v>
      </c>
      <c r="J1372" s="3" t="s">
        <v>25</v>
      </c>
      <c r="K1372" s="3">
        <v>3</v>
      </c>
      <c r="L1372" s="3">
        <v>113.03</v>
      </c>
      <c r="M1372" s="3">
        <v>339.09</v>
      </c>
      <c r="N1372" s="3">
        <v>185.86</v>
      </c>
      <c r="O1372" s="3">
        <v>153.22999999999999</v>
      </c>
      <c r="P1372" s="3" t="s">
        <v>69</v>
      </c>
    </row>
    <row r="1373" spans="1:16" x14ac:dyDescent="0.35">
      <c r="A1373" s="3" t="s">
        <v>2570</v>
      </c>
      <c r="B1373" s="3" t="s">
        <v>1122</v>
      </c>
      <c r="C1373" s="3" t="s">
        <v>118</v>
      </c>
      <c r="D1373" s="3" t="s">
        <v>90</v>
      </c>
      <c r="E1373" s="3" t="s">
        <v>91</v>
      </c>
      <c r="F1373" s="3" t="s">
        <v>92</v>
      </c>
      <c r="G1373" s="3" t="s">
        <v>41</v>
      </c>
      <c r="H1373" s="3" t="s">
        <v>138</v>
      </c>
      <c r="I1373" s="3" t="s">
        <v>1866</v>
      </c>
      <c r="J1373" s="3" t="s">
        <v>188</v>
      </c>
      <c r="K1373" s="3">
        <v>3</v>
      </c>
      <c r="L1373" s="3">
        <v>17392.12</v>
      </c>
      <c r="M1373" s="3">
        <v>52176.36</v>
      </c>
      <c r="N1373" s="3">
        <v>43274.96</v>
      </c>
      <c r="O1373" s="3">
        <v>8901.4</v>
      </c>
      <c r="P1373" s="3" t="s">
        <v>69</v>
      </c>
    </row>
    <row r="1374" spans="1:16" x14ac:dyDescent="0.35">
      <c r="A1374" s="3" t="s">
        <v>2571</v>
      </c>
      <c r="B1374" s="3" t="s">
        <v>629</v>
      </c>
      <c r="C1374" s="3" t="s">
        <v>29</v>
      </c>
      <c r="D1374" s="3" t="s">
        <v>38</v>
      </c>
      <c r="E1374" s="3" t="s">
        <v>109</v>
      </c>
      <c r="F1374" s="3" t="s">
        <v>110</v>
      </c>
      <c r="G1374" s="3" t="s">
        <v>30</v>
      </c>
      <c r="H1374" s="3" t="s">
        <v>67</v>
      </c>
      <c r="I1374" s="3" t="s">
        <v>1327</v>
      </c>
      <c r="J1374" s="3" t="s">
        <v>147</v>
      </c>
      <c r="K1374" s="3">
        <v>8</v>
      </c>
      <c r="L1374" s="3">
        <v>8848.91</v>
      </c>
      <c r="M1374" s="3">
        <v>70791.28</v>
      </c>
      <c r="N1374" s="3">
        <v>62239.54</v>
      </c>
      <c r="O1374" s="3">
        <v>8551.74</v>
      </c>
      <c r="P1374" s="3" t="s">
        <v>86</v>
      </c>
    </row>
    <row r="1375" spans="1:16" x14ac:dyDescent="0.35">
      <c r="A1375" s="3" t="s">
        <v>2572</v>
      </c>
      <c r="B1375" s="3" t="s">
        <v>1159</v>
      </c>
      <c r="C1375" s="3" t="s">
        <v>29</v>
      </c>
      <c r="D1375" s="3" t="s">
        <v>38</v>
      </c>
      <c r="E1375" s="3" t="s">
        <v>104</v>
      </c>
      <c r="F1375" s="3" t="s">
        <v>104</v>
      </c>
      <c r="G1375" s="3" t="s">
        <v>51</v>
      </c>
      <c r="H1375" s="3" t="s">
        <v>52</v>
      </c>
      <c r="I1375" s="3" t="s">
        <v>1284</v>
      </c>
      <c r="J1375" s="3" t="s">
        <v>44</v>
      </c>
      <c r="K1375" s="3">
        <v>5</v>
      </c>
      <c r="L1375" s="3">
        <v>22.59</v>
      </c>
      <c r="M1375" s="3">
        <v>112.95</v>
      </c>
      <c r="N1375" s="3">
        <v>47.5</v>
      </c>
      <c r="O1375" s="3">
        <v>65.45</v>
      </c>
      <c r="P1375" s="3" t="s">
        <v>45</v>
      </c>
    </row>
    <row r="1376" spans="1:16" x14ac:dyDescent="0.35">
      <c r="A1376" s="3" t="s">
        <v>2573</v>
      </c>
      <c r="B1376" s="3" t="s">
        <v>2222</v>
      </c>
      <c r="C1376" s="3" t="s">
        <v>89</v>
      </c>
      <c r="D1376" s="3" t="s">
        <v>38</v>
      </c>
      <c r="E1376" s="3" t="s">
        <v>109</v>
      </c>
      <c r="F1376" s="3" t="s">
        <v>110</v>
      </c>
      <c r="G1376" s="3" t="s">
        <v>41</v>
      </c>
      <c r="H1376" s="3" t="s">
        <v>61</v>
      </c>
      <c r="I1376" s="3" t="s">
        <v>1573</v>
      </c>
      <c r="J1376" s="3" t="s">
        <v>171</v>
      </c>
      <c r="K1376" s="3">
        <v>2</v>
      </c>
      <c r="L1376" s="3">
        <v>2377.88</v>
      </c>
      <c r="M1376" s="3">
        <v>4755.76</v>
      </c>
      <c r="N1376" s="3">
        <v>3267.63</v>
      </c>
      <c r="O1376" s="3">
        <v>1488.13</v>
      </c>
      <c r="P1376" s="3" t="s">
        <v>34</v>
      </c>
    </row>
    <row r="1377" spans="1:16" x14ac:dyDescent="0.35">
      <c r="A1377" s="3" t="s">
        <v>2574</v>
      </c>
      <c r="B1377" s="3" t="s">
        <v>889</v>
      </c>
      <c r="C1377" s="3" t="s">
        <v>82</v>
      </c>
      <c r="D1377" s="3" t="s">
        <v>38</v>
      </c>
      <c r="E1377" s="3" t="s">
        <v>104</v>
      </c>
      <c r="F1377" s="3" t="s">
        <v>104</v>
      </c>
      <c r="G1377" s="3" t="s">
        <v>30</v>
      </c>
      <c r="H1377" s="3" t="s">
        <v>31</v>
      </c>
      <c r="I1377" s="3" t="s">
        <v>1619</v>
      </c>
      <c r="J1377" s="3" t="s">
        <v>44</v>
      </c>
      <c r="K1377" s="3">
        <v>8</v>
      </c>
      <c r="L1377" s="3">
        <v>2890.24</v>
      </c>
      <c r="M1377" s="3">
        <v>23121.919999999998</v>
      </c>
      <c r="N1377" s="3">
        <v>15010.57</v>
      </c>
      <c r="O1377" s="3">
        <v>8111.35</v>
      </c>
      <c r="P1377" s="3" t="s">
        <v>45</v>
      </c>
    </row>
    <row r="1378" spans="1:16" x14ac:dyDescent="0.35">
      <c r="A1378" s="3" t="s">
        <v>2575</v>
      </c>
      <c r="B1378" s="3" t="s">
        <v>485</v>
      </c>
      <c r="C1378" s="3" t="s">
        <v>114</v>
      </c>
      <c r="D1378" s="3" t="s">
        <v>90</v>
      </c>
      <c r="E1378" s="3" t="s">
        <v>97</v>
      </c>
      <c r="F1378" s="3" t="s">
        <v>98</v>
      </c>
      <c r="G1378" s="3" t="s">
        <v>22</v>
      </c>
      <c r="H1378" s="3" t="s">
        <v>93</v>
      </c>
      <c r="I1378" s="3" t="s">
        <v>379</v>
      </c>
      <c r="J1378" s="3" t="s">
        <v>79</v>
      </c>
      <c r="K1378" s="3">
        <v>8</v>
      </c>
      <c r="L1378" s="3">
        <v>7144.72</v>
      </c>
      <c r="M1378" s="3">
        <v>57157.760000000002</v>
      </c>
      <c r="N1378" s="3">
        <v>39660.11</v>
      </c>
      <c r="O1378" s="3">
        <v>17497.650000000001</v>
      </c>
      <c r="P1378" s="3" t="s">
        <v>45</v>
      </c>
    </row>
    <row r="1379" spans="1:16" x14ac:dyDescent="0.35">
      <c r="A1379" s="3" t="s">
        <v>2576</v>
      </c>
      <c r="B1379" s="3" t="s">
        <v>2086</v>
      </c>
      <c r="C1379" s="3" t="s">
        <v>72</v>
      </c>
      <c r="D1379" s="3" t="s">
        <v>90</v>
      </c>
      <c r="E1379" s="3" t="s">
        <v>119</v>
      </c>
      <c r="F1379" s="3" t="s">
        <v>120</v>
      </c>
      <c r="G1379" s="3" t="s">
        <v>51</v>
      </c>
      <c r="H1379" s="3" t="s">
        <v>145</v>
      </c>
      <c r="I1379" s="3" t="s">
        <v>568</v>
      </c>
      <c r="J1379" s="3" t="s">
        <v>154</v>
      </c>
      <c r="K1379" s="3">
        <v>6</v>
      </c>
      <c r="L1379" s="3">
        <v>123.13</v>
      </c>
      <c r="M1379" s="3">
        <v>738.78</v>
      </c>
      <c r="N1379" s="3">
        <v>362.64</v>
      </c>
      <c r="O1379" s="3">
        <v>376.14</v>
      </c>
      <c r="P1379" s="3" t="s">
        <v>69</v>
      </c>
    </row>
    <row r="1380" spans="1:16" x14ac:dyDescent="0.35">
      <c r="A1380" s="3" t="s">
        <v>2577</v>
      </c>
      <c r="B1380" s="3" t="s">
        <v>819</v>
      </c>
      <c r="C1380" s="3" t="s">
        <v>89</v>
      </c>
      <c r="D1380" s="3" t="s">
        <v>38</v>
      </c>
      <c r="E1380" s="3" t="s">
        <v>104</v>
      </c>
      <c r="F1380" s="3" t="s">
        <v>104</v>
      </c>
      <c r="G1380" s="3" t="s">
        <v>30</v>
      </c>
      <c r="H1380" s="3" t="s">
        <v>67</v>
      </c>
      <c r="I1380" s="3" t="s">
        <v>2356</v>
      </c>
      <c r="J1380" s="3" t="s">
        <v>154</v>
      </c>
      <c r="K1380" s="3">
        <v>8</v>
      </c>
      <c r="L1380" s="3">
        <v>9172.49</v>
      </c>
      <c r="M1380" s="3">
        <v>73379.92</v>
      </c>
      <c r="N1380" s="3">
        <v>59573.32</v>
      </c>
      <c r="O1380" s="3">
        <v>13806.6</v>
      </c>
      <c r="P1380" s="3" t="s">
        <v>86</v>
      </c>
    </row>
    <row r="1381" spans="1:16" x14ac:dyDescent="0.35">
      <c r="A1381" s="3" t="s">
        <v>2578</v>
      </c>
      <c r="B1381" s="3" t="s">
        <v>274</v>
      </c>
      <c r="C1381" s="3" t="s">
        <v>57</v>
      </c>
      <c r="D1381" s="3" t="s">
        <v>19</v>
      </c>
      <c r="E1381" s="3" t="s">
        <v>49</v>
      </c>
      <c r="F1381" s="3" t="s">
        <v>50</v>
      </c>
      <c r="G1381" s="3" t="s">
        <v>51</v>
      </c>
      <c r="H1381" s="3" t="s">
        <v>77</v>
      </c>
      <c r="I1381" s="3" t="s">
        <v>2195</v>
      </c>
      <c r="J1381" s="3" t="s">
        <v>33</v>
      </c>
      <c r="K1381" s="3">
        <v>5</v>
      </c>
      <c r="L1381" s="3">
        <v>11569.2</v>
      </c>
      <c r="M1381" s="3">
        <v>57846</v>
      </c>
      <c r="N1381" s="3">
        <v>44360.18</v>
      </c>
      <c r="O1381" s="3">
        <v>13485.82</v>
      </c>
      <c r="P1381" s="3" t="s">
        <v>26</v>
      </c>
    </row>
    <row r="1382" spans="1:16" x14ac:dyDescent="0.35">
      <c r="A1382" s="3" t="s">
        <v>2579</v>
      </c>
      <c r="B1382" s="3" t="s">
        <v>2580</v>
      </c>
      <c r="C1382" s="3" t="s">
        <v>37</v>
      </c>
      <c r="D1382" s="3" t="s">
        <v>90</v>
      </c>
      <c r="E1382" s="3" t="s">
        <v>97</v>
      </c>
      <c r="F1382" s="3" t="s">
        <v>98</v>
      </c>
      <c r="G1382" s="3" t="s">
        <v>41</v>
      </c>
      <c r="H1382" s="3" t="s">
        <v>138</v>
      </c>
      <c r="I1382" s="3" t="s">
        <v>2300</v>
      </c>
      <c r="J1382" s="3" t="s">
        <v>25</v>
      </c>
      <c r="K1382" s="3">
        <v>7</v>
      </c>
      <c r="L1382" s="3">
        <v>16420.59</v>
      </c>
      <c r="M1382" s="3">
        <v>114944.13</v>
      </c>
      <c r="N1382" s="3">
        <v>99255.5</v>
      </c>
      <c r="O1382" s="3">
        <v>15688.63</v>
      </c>
      <c r="P1382" s="3" t="s">
        <v>45</v>
      </c>
    </row>
    <row r="1383" spans="1:16" x14ac:dyDescent="0.35">
      <c r="A1383" s="3" t="s">
        <v>2581</v>
      </c>
      <c r="B1383" s="3" t="s">
        <v>1342</v>
      </c>
      <c r="C1383" s="3" t="s">
        <v>82</v>
      </c>
      <c r="D1383" s="3" t="s">
        <v>19</v>
      </c>
      <c r="E1383" s="3" t="s">
        <v>49</v>
      </c>
      <c r="F1383" s="3" t="s">
        <v>50</v>
      </c>
      <c r="G1383" s="3" t="s">
        <v>51</v>
      </c>
      <c r="H1383" s="3" t="s">
        <v>77</v>
      </c>
      <c r="I1383" s="3" t="s">
        <v>970</v>
      </c>
      <c r="J1383" s="3" t="s">
        <v>217</v>
      </c>
      <c r="K1383" s="3">
        <v>5</v>
      </c>
      <c r="L1383" s="3">
        <v>11899.32</v>
      </c>
      <c r="M1383" s="3">
        <v>59496.6</v>
      </c>
      <c r="N1383" s="3">
        <v>44114.7</v>
      </c>
      <c r="O1383" s="3">
        <v>15381.9</v>
      </c>
      <c r="P1383" s="3" t="s">
        <v>86</v>
      </c>
    </row>
    <row r="1384" spans="1:16" x14ac:dyDescent="0.35">
      <c r="A1384" s="3" t="s">
        <v>2582</v>
      </c>
      <c r="B1384" s="3" t="s">
        <v>2117</v>
      </c>
      <c r="C1384" s="3" t="s">
        <v>37</v>
      </c>
      <c r="D1384" s="3" t="s">
        <v>19</v>
      </c>
      <c r="E1384" s="3" t="s">
        <v>49</v>
      </c>
      <c r="F1384" s="3" t="s">
        <v>50</v>
      </c>
      <c r="G1384" s="3" t="s">
        <v>51</v>
      </c>
      <c r="H1384" s="3" t="s">
        <v>145</v>
      </c>
      <c r="I1384" s="3" t="s">
        <v>2583</v>
      </c>
      <c r="J1384" s="3" t="s">
        <v>25</v>
      </c>
      <c r="K1384" s="3">
        <v>8</v>
      </c>
      <c r="L1384" s="3">
        <v>115.19</v>
      </c>
      <c r="M1384" s="3">
        <v>921.52</v>
      </c>
      <c r="N1384" s="3">
        <v>474.8</v>
      </c>
      <c r="O1384" s="3">
        <v>446.72</v>
      </c>
      <c r="P1384" s="3" t="s">
        <v>45</v>
      </c>
    </row>
    <row r="1385" spans="1:16" x14ac:dyDescent="0.35">
      <c r="A1385" s="3" t="s">
        <v>2584</v>
      </c>
      <c r="B1385" s="3" t="s">
        <v>717</v>
      </c>
      <c r="C1385" s="3" t="s">
        <v>114</v>
      </c>
      <c r="D1385" s="3" t="s">
        <v>58</v>
      </c>
      <c r="E1385" s="3" t="s">
        <v>65</v>
      </c>
      <c r="F1385" s="3" t="s">
        <v>66</v>
      </c>
      <c r="G1385" s="3" t="s">
        <v>41</v>
      </c>
      <c r="H1385" s="3" t="s">
        <v>61</v>
      </c>
      <c r="I1385" s="3" t="s">
        <v>1356</v>
      </c>
      <c r="J1385" s="3" t="s">
        <v>44</v>
      </c>
      <c r="K1385" s="3">
        <v>4</v>
      </c>
      <c r="L1385" s="3">
        <v>2521.5300000000002</v>
      </c>
      <c r="M1385" s="3">
        <v>10086.120000000001</v>
      </c>
      <c r="N1385" s="3">
        <v>6155.62</v>
      </c>
      <c r="O1385" s="3">
        <v>3930.5</v>
      </c>
      <c r="P1385" s="3" t="s">
        <v>86</v>
      </c>
    </row>
    <row r="1386" spans="1:16" x14ac:dyDescent="0.35">
      <c r="A1386" s="3" t="s">
        <v>2585</v>
      </c>
      <c r="B1386" s="3" t="s">
        <v>570</v>
      </c>
      <c r="C1386" s="3" t="s">
        <v>18</v>
      </c>
      <c r="D1386" s="3" t="s">
        <v>58</v>
      </c>
      <c r="E1386" s="3" t="s">
        <v>65</v>
      </c>
      <c r="F1386" s="3" t="s">
        <v>66</v>
      </c>
      <c r="G1386" s="3" t="s">
        <v>51</v>
      </c>
      <c r="H1386" s="3" t="s">
        <v>52</v>
      </c>
      <c r="I1386" s="3" t="s">
        <v>1655</v>
      </c>
      <c r="J1386" s="3" t="s">
        <v>100</v>
      </c>
      <c r="K1386" s="3">
        <v>8</v>
      </c>
      <c r="L1386" s="3">
        <v>22.93</v>
      </c>
      <c r="M1386" s="3">
        <v>183.44</v>
      </c>
      <c r="N1386" s="3">
        <v>82.52</v>
      </c>
      <c r="O1386" s="3">
        <v>100.92</v>
      </c>
      <c r="P1386" s="3" t="s">
        <v>86</v>
      </c>
    </row>
    <row r="1387" spans="1:16" x14ac:dyDescent="0.35">
      <c r="A1387" s="3" t="s">
        <v>2586</v>
      </c>
      <c r="B1387" s="3" t="s">
        <v>502</v>
      </c>
      <c r="C1387" s="3" t="s">
        <v>48</v>
      </c>
      <c r="D1387" s="3" t="s">
        <v>38</v>
      </c>
      <c r="E1387" s="3" t="s">
        <v>39</v>
      </c>
      <c r="F1387" s="3" t="s">
        <v>40</v>
      </c>
      <c r="G1387" s="3" t="s">
        <v>22</v>
      </c>
      <c r="H1387" s="3" t="s">
        <v>83</v>
      </c>
      <c r="I1387" s="3" t="s">
        <v>550</v>
      </c>
      <c r="J1387" s="3" t="s">
        <v>85</v>
      </c>
      <c r="K1387" s="3">
        <v>6</v>
      </c>
      <c r="L1387" s="3">
        <v>21858.91</v>
      </c>
      <c r="M1387" s="3">
        <v>131153.46</v>
      </c>
      <c r="N1387" s="3">
        <v>98471.29</v>
      </c>
      <c r="O1387" s="3">
        <v>32682.17</v>
      </c>
      <c r="P1387" s="3" t="s">
        <v>69</v>
      </c>
    </row>
    <row r="1388" spans="1:16" x14ac:dyDescent="0.35">
      <c r="A1388" s="3" t="s">
        <v>2587</v>
      </c>
      <c r="B1388" s="3" t="s">
        <v>1098</v>
      </c>
      <c r="C1388" s="3" t="s">
        <v>57</v>
      </c>
      <c r="D1388" s="3" t="s">
        <v>90</v>
      </c>
      <c r="E1388" s="3" t="s">
        <v>97</v>
      </c>
      <c r="F1388" s="3" t="s">
        <v>98</v>
      </c>
      <c r="G1388" s="3" t="s">
        <v>51</v>
      </c>
      <c r="H1388" s="3" t="s">
        <v>52</v>
      </c>
      <c r="I1388" s="3" t="s">
        <v>1977</v>
      </c>
      <c r="J1388" s="3" t="s">
        <v>131</v>
      </c>
      <c r="K1388" s="3">
        <v>4</v>
      </c>
      <c r="L1388" s="3">
        <v>27.45</v>
      </c>
      <c r="M1388" s="3">
        <v>109.8</v>
      </c>
      <c r="N1388" s="3">
        <v>41.08</v>
      </c>
      <c r="O1388" s="3">
        <v>68.72</v>
      </c>
      <c r="P1388" s="3" t="s">
        <v>45</v>
      </c>
    </row>
    <row r="1389" spans="1:16" x14ac:dyDescent="0.35">
      <c r="A1389" s="3" t="s">
        <v>2588</v>
      </c>
      <c r="B1389" s="3" t="s">
        <v>828</v>
      </c>
      <c r="C1389" s="3" t="s">
        <v>89</v>
      </c>
      <c r="D1389" s="3" t="s">
        <v>58</v>
      </c>
      <c r="E1389" s="3" t="s">
        <v>65</v>
      </c>
      <c r="F1389" s="3" t="s">
        <v>66</v>
      </c>
      <c r="G1389" s="3" t="s">
        <v>22</v>
      </c>
      <c r="H1389" s="3" t="s">
        <v>23</v>
      </c>
      <c r="I1389" s="3" t="s">
        <v>2300</v>
      </c>
      <c r="J1389" s="3" t="s">
        <v>106</v>
      </c>
      <c r="K1389" s="3">
        <v>2</v>
      </c>
      <c r="L1389" s="3">
        <v>3223.29</v>
      </c>
      <c r="M1389" s="3">
        <v>6446.58</v>
      </c>
      <c r="N1389" s="3">
        <v>4323.46</v>
      </c>
      <c r="O1389" s="3">
        <v>2123.12</v>
      </c>
      <c r="P1389" s="3" t="s">
        <v>26</v>
      </c>
    </row>
    <row r="1390" spans="1:16" x14ac:dyDescent="0.35">
      <c r="A1390" s="3" t="s">
        <v>2589</v>
      </c>
      <c r="B1390" s="3" t="s">
        <v>236</v>
      </c>
      <c r="C1390" s="3" t="s">
        <v>18</v>
      </c>
      <c r="D1390" s="3" t="s">
        <v>90</v>
      </c>
      <c r="E1390" s="3" t="s">
        <v>91</v>
      </c>
      <c r="F1390" s="3" t="s">
        <v>92</v>
      </c>
      <c r="G1390" s="3" t="s">
        <v>51</v>
      </c>
      <c r="H1390" s="3" t="s">
        <v>145</v>
      </c>
      <c r="I1390" s="3" t="s">
        <v>505</v>
      </c>
      <c r="J1390" s="3" t="s">
        <v>54</v>
      </c>
      <c r="K1390" s="3">
        <v>7</v>
      </c>
      <c r="L1390" s="3">
        <v>123.53</v>
      </c>
      <c r="M1390" s="3">
        <v>864.71</v>
      </c>
      <c r="N1390" s="3">
        <v>401.81</v>
      </c>
      <c r="O1390" s="3">
        <v>462.9</v>
      </c>
      <c r="P1390" s="3" t="s">
        <v>26</v>
      </c>
    </row>
    <row r="1391" spans="1:16" x14ac:dyDescent="0.35">
      <c r="A1391" s="3" t="s">
        <v>2590</v>
      </c>
      <c r="B1391" s="3" t="s">
        <v>649</v>
      </c>
      <c r="C1391" s="3" t="s">
        <v>29</v>
      </c>
      <c r="D1391" s="3" t="s">
        <v>58</v>
      </c>
      <c r="E1391" s="3" t="s">
        <v>176</v>
      </c>
      <c r="F1391" s="3" t="s">
        <v>177</v>
      </c>
      <c r="G1391" s="3" t="s">
        <v>51</v>
      </c>
      <c r="H1391" s="3" t="s">
        <v>52</v>
      </c>
      <c r="I1391" s="3" t="s">
        <v>2591</v>
      </c>
      <c r="J1391" s="3" t="s">
        <v>154</v>
      </c>
      <c r="K1391" s="3">
        <v>6</v>
      </c>
      <c r="L1391" s="3">
        <v>24.06</v>
      </c>
      <c r="M1391" s="3">
        <v>144.36000000000001</v>
      </c>
      <c r="N1391" s="3">
        <v>57.17</v>
      </c>
      <c r="O1391" s="3">
        <v>87.19</v>
      </c>
      <c r="P1391" s="3" t="s">
        <v>86</v>
      </c>
    </row>
    <row r="1392" spans="1:16" x14ac:dyDescent="0.35">
      <c r="A1392" s="3" t="s">
        <v>2592</v>
      </c>
      <c r="B1392" s="3" t="s">
        <v>733</v>
      </c>
      <c r="C1392" s="3" t="s">
        <v>89</v>
      </c>
      <c r="D1392" s="3" t="s">
        <v>19</v>
      </c>
      <c r="E1392" s="3" t="s">
        <v>199</v>
      </c>
      <c r="F1392" s="3" t="s">
        <v>200</v>
      </c>
      <c r="G1392" s="3" t="s">
        <v>22</v>
      </c>
      <c r="H1392" s="3" t="s">
        <v>93</v>
      </c>
      <c r="I1392" s="3" t="s">
        <v>1547</v>
      </c>
      <c r="J1392" s="3" t="s">
        <v>25</v>
      </c>
      <c r="K1392" s="3">
        <v>6</v>
      </c>
      <c r="L1392" s="3">
        <v>6881.67</v>
      </c>
      <c r="M1392" s="3">
        <v>41290.019999999997</v>
      </c>
      <c r="N1392" s="3">
        <v>29843.97</v>
      </c>
      <c r="O1392" s="3">
        <v>11446.05</v>
      </c>
      <c r="P1392" s="3" t="s">
        <v>26</v>
      </c>
    </row>
    <row r="1393" spans="1:16" x14ac:dyDescent="0.35">
      <c r="A1393" s="3" t="s">
        <v>2593</v>
      </c>
      <c r="B1393" s="3" t="s">
        <v>169</v>
      </c>
      <c r="C1393" s="3" t="s">
        <v>37</v>
      </c>
      <c r="D1393" s="3" t="s">
        <v>58</v>
      </c>
      <c r="E1393" s="3" t="s">
        <v>65</v>
      </c>
      <c r="F1393" s="3" t="s">
        <v>66</v>
      </c>
      <c r="G1393" s="3" t="s">
        <v>22</v>
      </c>
      <c r="H1393" s="3" t="s">
        <v>83</v>
      </c>
      <c r="I1393" s="3" t="s">
        <v>1379</v>
      </c>
      <c r="J1393" s="3" t="s">
        <v>217</v>
      </c>
      <c r="K1393" s="3">
        <v>7</v>
      </c>
      <c r="L1393" s="3">
        <v>21999.57</v>
      </c>
      <c r="M1393" s="3">
        <v>153996.99</v>
      </c>
      <c r="N1393" s="3">
        <v>120352.74</v>
      </c>
      <c r="O1393" s="3">
        <v>33644.25</v>
      </c>
      <c r="P1393" s="3" t="s">
        <v>45</v>
      </c>
    </row>
    <row r="1394" spans="1:16" x14ac:dyDescent="0.35">
      <c r="A1394" s="3" t="s">
        <v>2594</v>
      </c>
      <c r="B1394" s="3" t="s">
        <v>979</v>
      </c>
      <c r="C1394" s="3" t="s">
        <v>103</v>
      </c>
      <c r="D1394" s="3" t="s">
        <v>58</v>
      </c>
      <c r="E1394" s="3" t="s">
        <v>59</v>
      </c>
      <c r="F1394" s="3" t="s">
        <v>60</v>
      </c>
      <c r="G1394" s="3" t="s">
        <v>51</v>
      </c>
      <c r="H1394" s="3" t="s">
        <v>145</v>
      </c>
      <c r="I1394" s="3" t="s">
        <v>2595</v>
      </c>
      <c r="J1394" s="3" t="s">
        <v>131</v>
      </c>
      <c r="K1394" s="3">
        <v>5</v>
      </c>
      <c r="L1394" s="3">
        <v>122.59</v>
      </c>
      <c r="M1394" s="3">
        <v>612.95000000000005</v>
      </c>
      <c r="N1394" s="3">
        <v>287.11</v>
      </c>
      <c r="O1394" s="3">
        <v>325.83999999999997</v>
      </c>
      <c r="P1394" s="3" t="s">
        <v>45</v>
      </c>
    </row>
    <row r="1395" spans="1:16" x14ac:dyDescent="0.35">
      <c r="A1395" s="3" t="s">
        <v>2596</v>
      </c>
      <c r="B1395" s="3" t="s">
        <v>152</v>
      </c>
      <c r="C1395" s="3" t="s">
        <v>57</v>
      </c>
      <c r="D1395" s="3" t="s">
        <v>58</v>
      </c>
      <c r="E1395" s="3" t="s">
        <v>176</v>
      </c>
      <c r="F1395" s="3" t="s">
        <v>177</v>
      </c>
      <c r="G1395" s="3" t="s">
        <v>51</v>
      </c>
      <c r="H1395" s="3" t="s">
        <v>77</v>
      </c>
      <c r="I1395" s="3" t="s">
        <v>841</v>
      </c>
      <c r="J1395" s="3" t="s">
        <v>85</v>
      </c>
      <c r="K1395" s="3">
        <v>2</v>
      </c>
      <c r="L1395" s="3">
        <v>11187.53</v>
      </c>
      <c r="M1395" s="3">
        <v>22375.06</v>
      </c>
      <c r="N1395" s="3">
        <v>18361.509999999998</v>
      </c>
      <c r="O1395" s="3">
        <v>4013.55</v>
      </c>
      <c r="P1395" s="3" t="s">
        <v>86</v>
      </c>
    </row>
    <row r="1396" spans="1:16" x14ac:dyDescent="0.35">
      <c r="A1396" s="3" t="s">
        <v>2597</v>
      </c>
      <c r="B1396" s="3" t="s">
        <v>856</v>
      </c>
      <c r="C1396" s="3" t="s">
        <v>103</v>
      </c>
      <c r="D1396" s="3" t="s">
        <v>19</v>
      </c>
      <c r="E1396" s="3" t="s">
        <v>199</v>
      </c>
      <c r="F1396" s="3" t="s">
        <v>200</v>
      </c>
      <c r="G1396" s="3" t="s">
        <v>41</v>
      </c>
      <c r="H1396" s="3" t="s">
        <v>61</v>
      </c>
      <c r="I1396" s="3" t="s">
        <v>2598</v>
      </c>
      <c r="J1396" s="3" t="s">
        <v>54</v>
      </c>
      <c r="K1396" s="3">
        <v>7</v>
      </c>
      <c r="L1396" s="3">
        <v>2537.48</v>
      </c>
      <c r="M1396" s="3">
        <v>17762.36</v>
      </c>
      <c r="N1396" s="3">
        <v>11149.7</v>
      </c>
      <c r="O1396" s="3">
        <v>6612.66</v>
      </c>
      <c r="P1396" s="3" t="s">
        <v>86</v>
      </c>
    </row>
    <row r="1397" spans="1:16" x14ac:dyDescent="0.35">
      <c r="A1397" s="3" t="s">
        <v>2599</v>
      </c>
      <c r="B1397" s="3" t="s">
        <v>889</v>
      </c>
      <c r="C1397" s="3" t="s">
        <v>82</v>
      </c>
      <c r="D1397" s="3" t="s">
        <v>58</v>
      </c>
      <c r="E1397" s="3" t="s">
        <v>176</v>
      </c>
      <c r="F1397" s="3" t="s">
        <v>177</v>
      </c>
      <c r="G1397" s="3" t="s">
        <v>51</v>
      </c>
      <c r="H1397" s="3" t="s">
        <v>77</v>
      </c>
      <c r="I1397" s="3" t="s">
        <v>1979</v>
      </c>
      <c r="J1397" s="3" t="s">
        <v>154</v>
      </c>
      <c r="K1397" s="3">
        <v>5</v>
      </c>
      <c r="L1397" s="3">
        <v>12681.97</v>
      </c>
      <c r="M1397" s="3">
        <v>63409.85</v>
      </c>
      <c r="N1397" s="3">
        <v>46574.41</v>
      </c>
      <c r="O1397" s="3">
        <v>16835.439999999999</v>
      </c>
      <c r="P1397" s="3" t="s">
        <v>69</v>
      </c>
    </row>
    <row r="1398" spans="1:16" x14ac:dyDescent="0.35">
      <c r="A1398" s="3" t="s">
        <v>2600</v>
      </c>
      <c r="B1398" s="3" t="s">
        <v>1698</v>
      </c>
      <c r="C1398" s="3" t="s">
        <v>18</v>
      </c>
      <c r="D1398" s="3" t="s">
        <v>90</v>
      </c>
      <c r="E1398" s="3" t="s">
        <v>119</v>
      </c>
      <c r="F1398" s="3" t="s">
        <v>120</v>
      </c>
      <c r="G1398" s="3" t="s">
        <v>51</v>
      </c>
      <c r="H1398" s="3" t="s">
        <v>52</v>
      </c>
      <c r="I1398" s="3" t="s">
        <v>2601</v>
      </c>
      <c r="J1398" s="3" t="s">
        <v>106</v>
      </c>
      <c r="K1398" s="3">
        <v>5</v>
      </c>
      <c r="L1398" s="3">
        <v>25.95</v>
      </c>
      <c r="M1398" s="3">
        <v>129.75</v>
      </c>
      <c r="N1398" s="3">
        <v>51.84</v>
      </c>
      <c r="O1398" s="3">
        <v>77.91</v>
      </c>
      <c r="P1398" s="3" t="s">
        <v>86</v>
      </c>
    </row>
    <row r="1399" spans="1:16" x14ac:dyDescent="0.35">
      <c r="A1399" s="3" t="s">
        <v>2602</v>
      </c>
      <c r="B1399" s="3" t="s">
        <v>580</v>
      </c>
      <c r="C1399" s="3" t="s">
        <v>57</v>
      </c>
      <c r="D1399" s="3" t="s">
        <v>19</v>
      </c>
      <c r="E1399" s="3" t="s">
        <v>199</v>
      </c>
      <c r="F1399" s="3" t="s">
        <v>200</v>
      </c>
      <c r="G1399" s="3" t="s">
        <v>30</v>
      </c>
      <c r="H1399" s="3" t="s">
        <v>31</v>
      </c>
      <c r="I1399" s="3" t="s">
        <v>2413</v>
      </c>
      <c r="J1399" s="3" t="s">
        <v>188</v>
      </c>
      <c r="K1399" s="3">
        <v>2</v>
      </c>
      <c r="L1399" s="3">
        <v>2928.48</v>
      </c>
      <c r="M1399" s="3">
        <v>5856.96</v>
      </c>
      <c r="N1399" s="3">
        <v>3617.58</v>
      </c>
      <c r="O1399" s="3">
        <v>2239.38</v>
      </c>
      <c r="P1399" s="3" t="s">
        <v>69</v>
      </c>
    </row>
    <row r="1400" spans="1:16" x14ac:dyDescent="0.35">
      <c r="A1400" s="3" t="s">
        <v>2603</v>
      </c>
      <c r="B1400" s="3" t="s">
        <v>384</v>
      </c>
      <c r="C1400" s="3" t="s">
        <v>57</v>
      </c>
      <c r="D1400" s="3" t="s">
        <v>38</v>
      </c>
      <c r="E1400" s="3" t="s">
        <v>109</v>
      </c>
      <c r="F1400" s="3" t="s">
        <v>110</v>
      </c>
      <c r="G1400" s="3" t="s">
        <v>51</v>
      </c>
      <c r="H1400" s="3" t="s">
        <v>145</v>
      </c>
      <c r="I1400" s="3" t="s">
        <v>2475</v>
      </c>
      <c r="J1400" s="3" t="s">
        <v>161</v>
      </c>
      <c r="K1400" s="3">
        <v>4</v>
      </c>
      <c r="L1400" s="3">
        <v>119.58</v>
      </c>
      <c r="M1400" s="3">
        <v>478.32</v>
      </c>
      <c r="N1400" s="3">
        <v>229.04</v>
      </c>
      <c r="O1400" s="3">
        <v>249.28</v>
      </c>
      <c r="P1400" s="3" t="s">
        <v>45</v>
      </c>
    </row>
    <row r="1401" spans="1:16" x14ac:dyDescent="0.35">
      <c r="A1401" s="3" t="s">
        <v>2604</v>
      </c>
      <c r="B1401" s="3" t="s">
        <v>173</v>
      </c>
      <c r="C1401" s="3" t="s">
        <v>118</v>
      </c>
      <c r="D1401" s="3" t="s">
        <v>90</v>
      </c>
      <c r="E1401" s="3" t="s">
        <v>91</v>
      </c>
      <c r="F1401" s="3" t="s">
        <v>92</v>
      </c>
      <c r="G1401" s="3" t="s">
        <v>51</v>
      </c>
      <c r="H1401" s="3" t="s">
        <v>77</v>
      </c>
      <c r="I1401" s="3" t="s">
        <v>1134</v>
      </c>
      <c r="J1401" s="3" t="s">
        <v>79</v>
      </c>
      <c r="K1401" s="3">
        <v>5</v>
      </c>
      <c r="L1401" s="3">
        <v>11650.95</v>
      </c>
      <c r="M1401" s="3">
        <v>58254.75</v>
      </c>
      <c r="N1401" s="3">
        <v>45185.27</v>
      </c>
      <c r="O1401" s="3">
        <v>13069.48</v>
      </c>
      <c r="P1401" s="3" t="s">
        <v>69</v>
      </c>
    </row>
    <row r="1402" spans="1:16" x14ac:dyDescent="0.35">
      <c r="A1402" s="3" t="s">
        <v>2605</v>
      </c>
      <c r="B1402" s="3" t="s">
        <v>242</v>
      </c>
      <c r="C1402" s="3" t="s">
        <v>137</v>
      </c>
      <c r="D1402" s="3" t="s">
        <v>58</v>
      </c>
      <c r="E1402" s="3" t="s">
        <v>59</v>
      </c>
      <c r="F1402" s="3" t="s">
        <v>60</v>
      </c>
      <c r="G1402" s="3" t="s">
        <v>30</v>
      </c>
      <c r="H1402" s="3" t="s">
        <v>67</v>
      </c>
      <c r="I1402" s="3" t="s">
        <v>356</v>
      </c>
      <c r="J1402" s="3" t="s">
        <v>217</v>
      </c>
      <c r="K1402" s="3">
        <v>4</v>
      </c>
      <c r="L1402" s="3">
        <v>9260.76</v>
      </c>
      <c r="M1402" s="3">
        <v>37043.040000000001</v>
      </c>
      <c r="N1402" s="3">
        <v>29269.23</v>
      </c>
      <c r="O1402" s="3">
        <v>7773.81</v>
      </c>
      <c r="P1402" s="3" t="s">
        <v>34</v>
      </c>
    </row>
    <row r="1403" spans="1:16" x14ac:dyDescent="0.35">
      <c r="A1403" s="3" t="s">
        <v>2606</v>
      </c>
      <c r="B1403" s="3" t="s">
        <v>1600</v>
      </c>
      <c r="C1403" s="3" t="s">
        <v>103</v>
      </c>
      <c r="D1403" s="3" t="s">
        <v>38</v>
      </c>
      <c r="E1403" s="3" t="s">
        <v>104</v>
      </c>
      <c r="F1403" s="3" t="s">
        <v>104</v>
      </c>
      <c r="G1403" s="3" t="s">
        <v>22</v>
      </c>
      <c r="H1403" s="3" t="s">
        <v>23</v>
      </c>
      <c r="I1403" s="3" t="s">
        <v>1376</v>
      </c>
      <c r="J1403" s="3" t="s">
        <v>188</v>
      </c>
      <c r="K1403" s="3">
        <v>8</v>
      </c>
      <c r="L1403" s="3">
        <v>3566.38</v>
      </c>
      <c r="M1403" s="3">
        <v>28531.040000000001</v>
      </c>
      <c r="N1403" s="3">
        <v>17333.13</v>
      </c>
      <c r="O1403" s="3">
        <v>11197.91</v>
      </c>
      <c r="P1403" s="3" t="s">
        <v>86</v>
      </c>
    </row>
    <row r="1404" spans="1:16" x14ac:dyDescent="0.35">
      <c r="A1404" s="3" t="s">
        <v>2607</v>
      </c>
      <c r="B1404" s="3" t="s">
        <v>321</v>
      </c>
      <c r="C1404" s="3" t="s">
        <v>137</v>
      </c>
      <c r="D1404" s="3" t="s">
        <v>19</v>
      </c>
      <c r="E1404" s="3" t="s">
        <v>20</v>
      </c>
      <c r="F1404" s="3" t="s">
        <v>21</v>
      </c>
      <c r="G1404" s="3" t="s">
        <v>41</v>
      </c>
      <c r="H1404" s="3" t="s">
        <v>42</v>
      </c>
      <c r="I1404" s="3" t="s">
        <v>2608</v>
      </c>
      <c r="J1404" s="3" t="s">
        <v>161</v>
      </c>
      <c r="K1404" s="3">
        <v>4</v>
      </c>
      <c r="L1404" s="3">
        <v>46485.04</v>
      </c>
      <c r="M1404" s="3">
        <v>185940.16</v>
      </c>
      <c r="N1404" s="3">
        <v>137069.39000000001</v>
      </c>
      <c r="O1404" s="3">
        <v>48870.77</v>
      </c>
      <c r="P1404" s="3" t="s">
        <v>26</v>
      </c>
    </row>
    <row r="1405" spans="1:16" x14ac:dyDescent="0.35">
      <c r="A1405" s="3" t="s">
        <v>2609</v>
      </c>
      <c r="B1405" s="3" t="s">
        <v>71</v>
      </c>
      <c r="C1405" s="3" t="s">
        <v>72</v>
      </c>
      <c r="D1405" s="3" t="s">
        <v>58</v>
      </c>
      <c r="E1405" s="3" t="s">
        <v>65</v>
      </c>
      <c r="F1405" s="3" t="s">
        <v>66</v>
      </c>
      <c r="G1405" s="3" t="s">
        <v>22</v>
      </c>
      <c r="H1405" s="3" t="s">
        <v>93</v>
      </c>
      <c r="I1405" s="3" t="s">
        <v>679</v>
      </c>
      <c r="J1405" s="3" t="s">
        <v>33</v>
      </c>
      <c r="K1405" s="3">
        <v>6</v>
      </c>
      <c r="L1405" s="3">
        <v>7003.83</v>
      </c>
      <c r="M1405" s="3">
        <v>42022.98</v>
      </c>
      <c r="N1405" s="3">
        <v>28906.31</v>
      </c>
      <c r="O1405" s="3">
        <v>13116.67</v>
      </c>
      <c r="P1405" s="3" t="s">
        <v>69</v>
      </c>
    </row>
    <row r="1406" spans="1:16" x14ac:dyDescent="0.35">
      <c r="A1406" s="3" t="s">
        <v>2610</v>
      </c>
      <c r="B1406" s="3" t="s">
        <v>276</v>
      </c>
      <c r="C1406" s="3" t="s">
        <v>114</v>
      </c>
      <c r="D1406" s="3" t="s">
        <v>19</v>
      </c>
      <c r="E1406" s="3" t="s">
        <v>199</v>
      </c>
      <c r="F1406" s="3" t="s">
        <v>200</v>
      </c>
      <c r="G1406" s="3" t="s">
        <v>22</v>
      </c>
      <c r="H1406" s="3" t="s">
        <v>93</v>
      </c>
      <c r="I1406" s="3" t="s">
        <v>2472</v>
      </c>
      <c r="J1406" s="3" t="s">
        <v>85</v>
      </c>
      <c r="K1406" s="3">
        <v>6</v>
      </c>
      <c r="L1406" s="3">
        <v>6550.19</v>
      </c>
      <c r="M1406" s="3">
        <v>39301.14</v>
      </c>
      <c r="N1406" s="3">
        <v>29159.25</v>
      </c>
      <c r="O1406" s="3">
        <v>10141.89</v>
      </c>
      <c r="P1406" s="3" t="s">
        <v>34</v>
      </c>
    </row>
    <row r="1407" spans="1:16" x14ac:dyDescent="0.35">
      <c r="A1407" s="3" t="s">
        <v>2611</v>
      </c>
      <c r="B1407" s="3" t="s">
        <v>274</v>
      </c>
      <c r="C1407" s="3" t="s">
        <v>57</v>
      </c>
      <c r="D1407" s="3" t="s">
        <v>58</v>
      </c>
      <c r="E1407" s="3" t="s">
        <v>59</v>
      </c>
      <c r="F1407" s="3" t="s">
        <v>60</v>
      </c>
      <c r="G1407" s="3" t="s">
        <v>51</v>
      </c>
      <c r="H1407" s="3" t="s">
        <v>145</v>
      </c>
      <c r="I1407" s="3" t="s">
        <v>365</v>
      </c>
      <c r="J1407" s="3" t="s">
        <v>85</v>
      </c>
      <c r="K1407" s="3">
        <v>5</v>
      </c>
      <c r="L1407" s="3">
        <v>121.55</v>
      </c>
      <c r="M1407" s="3">
        <v>607.75</v>
      </c>
      <c r="N1407" s="3">
        <v>290.17</v>
      </c>
      <c r="O1407" s="3">
        <v>317.58</v>
      </c>
      <c r="P1407" s="3" t="s">
        <v>26</v>
      </c>
    </row>
    <row r="1408" spans="1:16" x14ac:dyDescent="0.35">
      <c r="A1408" s="3" t="s">
        <v>2612</v>
      </c>
      <c r="B1408" s="3" t="s">
        <v>989</v>
      </c>
      <c r="C1408" s="3" t="s">
        <v>29</v>
      </c>
      <c r="D1408" s="3" t="s">
        <v>38</v>
      </c>
      <c r="E1408" s="3" t="s">
        <v>104</v>
      </c>
      <c r="F1408" s="3" t="s">
        <v>104</v>
      </c>
      <c r="G1408" s="3" t="s">
        <v>51</v>
      </c>
      <c r="H1408" s="3" t="s">
        <v>77</v>
      </c>
      <c r="I1408" s="3" t="s">
        <v>1800</v>
      </c>
      <c r="J1408" s="3" t="s">
        <v>85</v>
      </c>
      <c r="K1408" s="3">
        <v>2</v>
      </c>
      <c r="L1408" s="3">
        <v>12309.17</v>
      </c>
      <c r="M1408" s="3">
        <v>24618.34</v>
      </c>
      <c r="N1408" s="3">
        <v>17960.88</v>
      </c>
      <c r="O1408" s="3">
        <v>6657.46</v>
      </c>
      <c r="P1408" s="3" t="s">
        <v>34</v>
      </c>
    </row>
    <row r="1409" spans="1:16" x14ac:dyDescent="0.35">
      <c r="A1409" s="3" t="s">
        <v>2613</v>
      </c>
      <c r="B1409" s="3" t="s">
        <v>1752</v>
      </c>
      <c r="C1409" s="3" t="s">
        <v>114</v>
      </c>
      <c r="D1409" s="3" t="s">
        <v>90</v>
      </c>
      <c r="E1409" s="3" t="s">
        <v>91</v>
      </c>
      <c r="F1409" s="3" t="s">
        <v>92</v>
      </c>
      <c r="G1409" s="3" t="s">
        <v>51</v>
      </c>
      <c r="H1409" s="3" t="s">
        <v>52</v>
      </c>
      <c r="I1409" s="3" t="s">
        <v>269</v>
      </c>
      <c r="J1409" s="3" t="s">
        <v>106</v>
      </c>
      <c r="K1409" s="3">
        <v>2</v>
      </c>
      <c r="L1409" s="3">
        <v>23.29</v>
      </c>
      <c r="M1409" s="3">
        <v>46.58</v>
      </c>
      <c r="N1409" s="3">
        <v>20.16</v>
      </c>
      <c r="O1409" s="3">
        <v>26.42</v>
      </c>
      <c r="P1409" s="3" t="s">
        <v>69</v>
      </c>
    </row>
    <row r="1410" spans="1:16" x14ac:dyDescent="0.35">
      <c r="A1410" s="3" t="s">
        <v>2614</v>
      </c>
      <c r="B1410" s="3" t="s">
        <v>2211</v>
      </c>
      <c r="C1410" s="3" t="s">
        <v>72</v>
      </c>
      <c r="D1410" s="3" t="s">
        <v>90</v>
      </c>
      <c r="E1410" s="3" t="s">
        <v>119</v>
      </c>
      <c r="F1410" s="3" t="s">
        <v>120</v>
      </c>
      <c r="G1410" s="3" t="s">
        <v>30</v>
      </c>
      <c r="H1410" s="3" t="s">
        <v>31</v>
      </c>
      <c r="I1410" s="3" t="s">
        <v>838</v>
      </c>
      <c r="J1410" s="3" t="s">
        <v>33</v>
      </c>
      <c r="K1410" s="3">
        <v>6</v>
      </c>
      <c r="L1410" s="3">
        <v>2799.1</v>
      </c>
      <c r="M1410" s="3">
        <v>16794.599999999999</v>
      </c>
      <c r="N1410" s="3">
        <v>11912.4</v>
      </c>
      <c r="O1410" s="3">
        <v>4882.2</v>
      </c>
      <c r="P1410" s="3" t="s">
        <v>69</v>
      </c>
    </row>
    <row r="1411" spans="1:16" x14ac:dyDescent="0.35">
      <c r="A1411" s="3" t="s">
        <v>2615</v>
      </c>
      <c r="B1411" s="3" t="s">
        <v>1072</v>
      </c>
      <c r="C1411" s="3" t="s">
        <v>18</v>
      </c>
      <c r="D1411" s="3" t="s">
        <v>19</v>
      </c>
      <c r="E1411" s="3" t="s">
        <v>49</v>
      </c>
      <c r="F1411" s="3" t="s">
        <v>50</v>
      </c>
      <c r="G1411" s="3" t="s">
        <v>51</v>
      </c>
      <c r="H1411" s="3" t="s">
        <v>77</v>
      </c>
      <c r="I1411" s="3" t="s">
        <v>1855</v>
      </c>
      <c r="J1411" s="3" t="s">
        <v>217</v>
      </c>
      <c r="K1411" s="3">
        <v>8</v>
      </c>
      <c r="L1411" s="3">
        <v>11051.33</v>
      </c>
      <c r="M1411" s="3">
        <v>88410.64</v>
      </c>
      <c r="N1411" s="3">
        <v>70453.19</v>
      </c>
      <c r="O1411" s="3">
        <v>17957.45</v>
      </c>
      <c r="P1411" s="3" t="s">
        <v>26</v>
      </c>
    </row>
    <row r="1412" spans="1:16" x14ac:dyDescent="0.35">
      <c r="A1412" s="3" t="s">
        <v>2616</v>
      </c>
      <c r="B1412" s="3" t="s">
        <v>949</v>
      </c>
      <c r="C1412" s="3" t="s">
        <v>18</v>
      </c>
      <c r="D1412" s="3" t="s">
        <v>90</v>
      </c>
      <c r="E1412" s="3" t="s">
        <v>119</v>
      </c>
      <c r="F1412" s="3" t="s">
        <v>120</v>
      </c>
      <c r="G1412" s="3" t="s">
        <v>30</v>
      </c>
      <c r="H1412" s="3" t="s">
        <v>73</v>
      </c>
      <c r="I1412" s="3" t="s">
        <v>246</v>
      </c>
      <c r="J1412" s="3" t="s">
        <v>106</v>
      </c>
      <c r="K1412" s="3">
        <v>3</v>
      </c>
      <c r="L1412" s="3">
        <v>3207.64</v>
      </c>
      <c r="M1412" s="3">
        <v>9622.92</v>
      </c>
      <c r="N1412" s="3">
        <v>6905.14</v>
      </c>
      <c r="O1412" s="3">
        <v>2717.78</v>
      </c>
      <c r="P1412" s="3" t="s">
        <v>69</v>
      </c>
    </row>
    <row r="1413" spans="1:16" x14ac:dyDescent="0.35">
      <c r="A1413" s="3" t="s">
        <v>2617</v>
      </c>
      <c r="B1413" s="3" t="s">
        <v>1018</v>
      </c>
      <c r="C1413" s="3" t="s">
        <v>37</v>
      </c>
      <c r="D1413" s="3" t="s">
        <v>38</v>
      </c>
      <c r="E1413" s="3" t="s">
        <v>39</v>
      </c>
      <c r="F1413" s="3" t="s">
        <v>40</v>
      </c>
      <c r="G1413" s="3" t="s">
        <v>41</v>
      </c>
      <c r="H1413" s="3" t="s">
        <v>61</v>
      </c>
      <c r="I1413" s="3" t="s">
        <v>2598</v>
      </c>
      <c r="J1413" s="3" t="s">
        <v>54</v>
      </c>
      <c r="K1413" s="3">
        <v>3</v>
      </c>
      <c r="L1413" s="3">
        <v>2523.06</v>
      </c>
      <c r="M1413" s="3">
        <v>7569.18</v>
      </c>
      <c r="N1413" s="3">
        <v>4604.8100000000004</v>
      </c>
      <c r="O1413" s="3">
        <v>2964.37</v>
      </c>
      <c r="P1413" s="3" t="s">
        <v>34</v>
      </c>
    </row>
    <row r="1414" spans="1:16" x14ac:dyDescent="0.35">
      <c r="A1414" s="3" t="s">
        <v>2618</v>
      </c>
      <c r="B1414" s="3" t="s">
        <v>743</v>
      </c>
      <c r="C1414" s="3" t="s">
        <v>72</v>
      </c>
      <c r="D1414" s="3" t="s">
        <v>58</v>
      </c>
      <c r="E1414" s="3" t="s">
        <v>176</v>
      </c>
      <c r="F1414" s="3" t="s">
        <v>177</v>
      </c>
      <c r="G1414" s="3" t="s">
        <v>41</v>
      </c>
      <c r="H1414" s="3" t="s">
        <v>61</v>
      </c>
      <c r="I1414" s="3" t="s">
        <v>1773</v>
      </c>
      <c r="J1414" s="3" t="s">
        <v>171</v>
      </c>
      <c r="K1414" s="3">
        <v>6</v>
      </c>
      <c r="L1414" s="3">
        <v>2465.21</v>
      </c>
      <c r="M1414" s="3">
        <v>14791.26</v>
      </c>
      <c r="N1414" s="3">
        <v>9548.86</v>
      </c>
      <c r="O1414" s="3">
        <v>5242.3999999999996</v>
      </c>
      <c r="P1414" s="3" t="s">
        <v>34</v>
      </c>
    </row>
    <row r="1415" spans="1:16" x14ac:dyDescent="0.35">
      <c r="A1415" s="3" t="s">
        <v>2619</v>
      </c>
      <c r="B1415" s="3" t="s">
        <v>141</v>
      </c>
      <c r="C1415" s="3" t="s">
        <v>57</v>
      </c>
      <c r="D1415" s="3" t="s">
        <v>58</v>
      </c>
      <c r="E1415" s="3" t="s">
        <v>65</v>
      </c>
      <c r="F1415" s="3" t="s">
        <v>66</v>
      </c>
      <c r="G1415" s="3" t="s">
        <v>41</v>
      </c>
      <c r="H1415" s="3" t="s">
        <v>42</v>
      </c>
      <c r="I1415" s="3" t="s">
        <v>1356</v>
      </c>
      <c r="J1415" s="3" t="s">
        <v>79</v>
      </c>
      <c r="K1415" s="3">
        <v>3</v>
      </c>
      <c r="L1415" s="3">
        <v>43863.51</v>
      </c>
      <c r="M1415" s="3">
        <v>131590.53</v>
      </c>
      <c r="N1415" s="3">
        <v>107550.72</v>
      </c>
      <c r="O1415" s="3">
        <v>24039.81</v>
      </c>
      <c r="P1415" s="3" t="s">
        <v>26</v>
      </c>
    </row>
    <row r="1416" spans="1:16" x14ac:dyDescent="0.35">
      <c r="A1416" s="3" t="s">
        <v>2620</v>
      </c>
      <c r="B1416" s="3" t="s">
        <v>974</v>
      </c>
      <c r="C1416" s="3" t="s">
        <v>29</v>
      </c>
      <c r="D1416" s="3" t="s">
        <v>58</v>
      </c>
      <c r="E1416" s="3" t="s">
        <v>59</v>
      </c>
      <c r="F1416" s="3" t="s">
        <v>60</v>
      </c>
      <c r="G1416" s="3" t="s">
        <v>41</v>
      </c>
      <c r="H1416" s="3" t="s">
        <v>138</v>
      </c>
      <c r="I1416" s="3" t="s">
        <v>439</v>
      </c>
      <c r="J1416" s="3" t="s">
        <v>188</v>
      </c>
      <c r="K1416" s="3">
        <v>1</v>
      </c>
      <c r="L1416" s="3">
        <v>16909.310000000001</v>
      </c>
      <c r="M1416" s="3">
        <v>16909.310000000001</v>
      </c>
      <c r="N1416" s="3">
        <v>14007.79</v>
      </c>
      <c r="O1416" s="3">
        <v>2901.52</v>
      </c>
      <c r="P1416" s="3" t="s">
        <v>69</v>
      </c>
    </row>
    <row r="1417" spans="1:16" x14ac:dyDescent="0.35">
      <c r="A1417" s="3" t="s">
        <v>2621</v>
      </c>
      <c r="B1417" s="3" t="s">
        <v>1406</v>
      </c>
      <c r="C1417" s="3" t="s">
        <v>137</v>
      </c>
      <c r="D1417" s="3" t="s">
        <v>38</v>
      </c>
      <c r="E1417" s="3" t="s">
        <v>109</v>
      </c>
      <c r="F1417" s="3" t="s">
        <v>110</v>
      </c>
      <c r="G1417" s="3" t="s">
        <v>41</v>
      </c>
      <c r="H1417" s="3" t="s">
        <v>61</v>
      </c>
      <c r="I1417" s="3" t="s">
        <v>2022</v>
      </c>
      <c r="J1417" s="3" t="s">
        <v>188</v>
      </c>
      <c r="K1417" s="3">
        <v>5</v>
      </c>
      <c r="L1417" s="3">
        <v>2684.87</v>
      </c>
      <c r="M1417" s="3">
        <v>13424.35</v>
      </c>
      <c r="N1417" s="3">
        <v>7854.48</v>
      </c>
      <c r="O1417" s="3">
        <v>5569.87</v>
      </c>
      <c r="P1417" s="3" t="s">
        <v>69</v>
      </c>
    </row>
    <row r="1418" spans="1:16" x14ac:dyDescent="0.35">
      <c r="A1418" s="3" t="s">
        <v>2622</v>
      </c>
      <c r="B1418" s="3" t="s">
        <v>877</v>
      </c>
      <c r="C1418" s="3" t="s">
        <v>114</v>
      </c>
      <c r="D1418" s="3" t="s">
        <v>19</v>
      </c>
      <c r="E1418" s="3" t="s">
        <v>199</v>
      </c>
      <c r="F1418" s="3" t="s">
        <v>200</v>
      </c>
      <c r="G1418" s="3" t="s">
        <v>30</v>
      </c>
      <c r="H1418" s="3" t="s">
        <v>73</v>
      </c>
      <c r="I1418" s="3" t="s">
        <v>2623</v>
      </c>
      <c r="J1418" s="3" t="s">
        <v>54</v>
      </c>
      <c r="K1418" s="3">
        <v>3</v>
      </c>
      <c r="L1418" s="3">
        <v>3190.2</v>
      </c>
      <c r="M1418" s="3">
        <v>9570.6</v>
      </c>
      <c r="N1418" s="3">
        <v>6941.63</v>
      </c>
      <c r="O1418" s="3">
        <v>2628.97</v>
      </c>
      <c r="P1418" s="3" t="s">
        <v>69</v>
      </c>
    </row>
    <row r="1419" spans="1:16" x14ac:dyDescent="0.35">
      <c r="A1419" s="3" t="s">
        <v>2624</v>
      </c>
      <c r="B1419" s="3" t="s">
        <v>672</v>
      </c>
      <c r="C1419" s="3" t="s">
        <v>118</v>
      </c>
      <c r="D1419" s="3" t="s">
        <v>19</v>
      </c>
      <c r="E1419" s="3" t="s">
        <v>199</v>
      </c>
      <c r="F1419" s="3" t="s">
        <v>200</v>
      </c>
      <c r="G1419" s="3" t="s">
        <v>30</v>
      </c>
      <c r="H1419" s="3" t="s">
        <v>31</v>
      </c>
      <c r="I1419" s="3" t="s">
        <v>2625</v>
      </c>
      <c r="J1419" s="3" t="s">
        <v>106</v>
      </c>
      <c r="K1419" s="3">
        <v>1</v>
      </c>
      <c r="L1419" s="3">
        <v>2838.96</v>
      </c>
      <c r="M1419" s="3">
        <v>2838.96</v>
      </c>
      <c r="N1419" s="3">
        <v>1911.24</v>
      </c>
      <c r="O1419" s="3">
        <v>927.72</v>
      </c>
      <c r="P1419" s="3" t="s">
        <v>69</v>
      </c>
    </row>
    <row r="1420" spans="1:16" x14ac:dyDescent="0.35">
      <c r="A1420" s="3" t="s">
        <v>2626</v>
      </c>
      <c r="B1420" s="3" t="s">
        <v>1997</v>
      </c>
      <c r="C1420" s="3" t="s">
        <v>114</v>
      </c>
      <c r="D1420" s="3" t="s">
        <v>19</v>
      </c>
      <c r="E1420" s="3" t="s">
        <v>199</v>
      </c>
      <c r="F1420" s="3" t="s">
        <v>200</v>
      </c>
      <c r="G1420" s="3" t="s">
        <v>22</v>
      </c>
      <c r="H1420" s="3" t="s">
        <v>83</v>
      </c>
      <c r="I1420" s="3" t="s">
        <v>1800</v>
      </c>
      <c r="J1420" s="3" t="s">
        <v>188</v>
      </c>
      <c r="K1420" s="3">
        <v>4</v>
      </c>
      <c r="L1420" s="3">
        <v>23325.95</v>
      </c>
      <c r="M1420" s="3">
        <v>93303.8</v>
      </c>
      <c r="N1420" s="3">
        <v>69827.37</v>
      </c>
      <c r="O1420" s="3">
        <v>23476.43</v>
      </c>
      <c r="P1420" s="3" t="s">
        <v>26</v>
      </c>
    </row>
    <row r="1421" spans="1:16" x14ac:dyDescent="0.35">
      <c r="A1421" s="3" t="s">
        <v>2627</v>
      </c>
      <c r="B1421" s="3" t="s">
        <v>712</v>
      </c>
      <c r="C1421" s="3" t="s">
        <v>37</v>
      </c>
      <c r="D1421" s="3" t="s">
        <v>38</v>
      </c>
      <c r="E1421" s="3" t="s">
        <v>109</v>
      </c>
      <c r="F1421" s="3" t="s">
        <v>110</v>
      </c>
      <c r="G1421" s="3" t="s">
        <v>22</v>
      </c>
      <c r="H1421" s="3" t="s">
        <v>93</v>
      </c>
      <c r="I1421" s="3" t="s">
        <v>519</v>
      </c>
      <c r="J1421" s="3" t="s">
        <v>85</v>
      </c>
      <c r="K1421" s="3">
        <v>6</v>
      </c>
      <c r="L1421" s="3">
        <v>7478.22</v>
      </c>
      <c r="M1421" s="3">
        <v>44869.32</v>
      </c>
      <c r="N1421" s="3">
        <v>30297.439999999999</v>
      </c>
      <c r="O1421" s="3">
        <v>14571.88</v>
      </c>
      <c r="P1421" s="3" t="s">
        <v>69</v>
      </c>
    </row>
    <row r="1422" spans="1:16" x14ac:dyDescent="0.35">
      <c r="A1422" s="3" t="s">
        <v>2628</v>
      </c>
      <c r="B1422" s="3" t="s">
        <v>828</v>
      </c>
      <c r="C1422" s="3" t="s">
        <v>89</v>
      </c>
      <c r="D1422" s="3" t="s">
        <v>38</v>
      </c>
      <c r="E1422" s="3" t="s">
        <v>109</v>
      </c>
      <c r="F1422" s="3" t="s">
        <v>110</v>
      </c>
      <c r="G1422" s="3" t="s">
        <v>22</v>
      </c>
      <c r="H1422" s="3" t="s">
        <v>93</v>
      </c>
      <c r="I1422" s="3" t="s">
        <v>2629</v>
      </c>
      <c r="J1422" s="3" t="s">
        <v>217</v>
      </c>
      <c r="K1422" s="3">
        <v>6</v>
      </c>
      <c r="L1422" s="3">
        <v>6924.1</v>
      </c>
      <c r="M1422" s="3">
        <v>41544.6</v>
      </c>
      <c r="N1422" s="3">
        <v>29958.03</v>
      </c>
      <c r="O1422" s="3">
        <v>11586.57</v>
      </c>
      <c r="P1422" s="3" t="s">
        <v>86</v>
      </c>
    </row>
    <row r="1423" spans="1:16" x14ac:dyDescent="0.35">
      <c r="A1423" s="3" t="s">
        <v>2630</v>
      </c>
      <c r="B1423" s="3" t="s">
        <v>1276</v>
      </c>
      <c r="C1423" s="3" t="s">
        <v>37</v>
      </c>
      <c r="D1423" s="3" t="s">
        <v>38</v>
      </c>
      <c r="E1423" s="3" t="s">
        <v>109</v>
      </c>
      <c r="F1423" s="3" t="s">
        <v>110</v>
      </c>
      <c r="G1423" s="3" t="s">
        <v>30</v>
      </c>
      <c r="H1423" s="3" t="s">
        <v>67</v>
      </c>
      <c r="I1423" s="3" t="s">
        <v>829</v>
      </c>
      <c r="J1423" s="3" t="s">
        <v>44</v>
      </c>
      <c r="K1423" s="3">
        <v>2</v>
      </c>
      <c r="L1423" s="3">
        <v>9624.7199999999993</v>
      </c>
      <c r="M1423" s="3">
        <v>19249.439999999999</v>
      </c>
      <c r="N1423" s="3">
        <v>15435.66</v>
      </c>
      <c r="O1423" s="3">
        <v>3813.78</v>
      </c>
      <c r="P1423" s="3" t="s">
        <v>86</v>
      </c>
    </row>
    <row r="1424" spans="1:16" x14ac:dyDescent="0.35">
      <c r="A1424" s="3" t="s">
        <v>2631</v>
      </c>
      <c r="B1424" s="3" t="s">
        <v>762</v>
      </c>
      <c r="C1424" s="3" t="s">
        <v>137</v>
      </c>
      <c r="D1424" s="3" t="s">
        <v>19</v>
      </c>
      <c r="E1424" s="3" t="s">
        <v>20</v>
      </c>
      <c r="F1424" s="3" t="s">
        <v>21</v>
      </c>
      <c r="G1424" s="3" t="s">
        <v>30</v>
      </c>
      <c r="H1424" s="3" t="s">
        <v>73</v>
      </c>
      <c r="I1424" s="3" t="s">
        <v>1365</v>
      </c>
      <c r="J1424" s="3" t="s">
        <v>106</v>
      </c>
      <c r="K1424" s="3">
        <v>5</v>
      </c>
      <c r="L1424" s="3">
        <v>3089.47</v>
      </c>
      <c r="M1424" s="3">
        <v>15447.35</v>
      </c>
      <c r="N1424" s="3">
        <v>11946.95</v>
      </c>
      <c r="O1424" s="3">
        <v>3500.4</v>
      </c>
      <c r="P1424" s="3" t="s">
        <v>69</v>
      </c>
    </row>
    <row r="1425" spans="1:16" x14ac:dyDescent="0.35">
      <c r="A1425" s="3" t="s">
        <v>2632</v>
      </c>
      <c r="B1425" s="3" t="s">
        <v>911</v>
      </c>
      <c r="C1425" s="3" t="s">
        <v>72</v>
      </c>
      <c r="D1425" s="3" t="s">
        <v>19</v>
      </c>
      <c r="E1425" s="3" t="s">
        <v>199</v>
      </c>
      <c r="F1425" s="3" t="s">
        <v>200</v>
      </c>
      <c r="G1425" s="3" t="s">
        <v>30</v>
      </c>
      <c r="H1425" s="3" t="s">
        <v>31</v>
      </c>
      <c r="I1425" s="3" t="s">
        <v>2633</v>
      </c>
      <c r="J1425" s="3" t="s">
        <v>44</v>
      </c>
      <c r="K1425" s="3">
        <v>8</v>
      </c>
      <c r="L1425" s="3">
        <v>2557.5500000000002</v>
      </c>
      <c r="M1425" s="3">
        <v>20460.400000000001</v>
      </c>
      <c r="N1425" s="3">
        <v>15886.67</v>
      </c>
      <c r="O1425" s="3">
        <v>4573.7299999999996</v>
      </c>
      <c r="P1425" s="3" t="s">
        <v>86</v>
      </c>
    </row>
    <row r="1426" spans="1:16" x14ac:dyDescent="0.35">
      <c r="A1426" s="3" t="s">
        <v>2634</v>
      </c>
      <c r="B1426" s="3" t="s">
        <v>1546</v>
      </c>
      <c r="C1426" s="3" t="s">
        <v>82</v>
      </c>
      <c r="D1426" s="3" t="s">
        <v>19</v>
      </c>
      <c r="E1426" s="3" t="s">
        <v>20</v>
      </c>
      <c r="F1426" s="3" t="s">
        <v>21</v>
      </c>
      <c r="G1426" s="3" t="s">
        <v>22</v>
      </c>
      <c r="H1426" s="3" t="s">
        <v>93</v>
      </c>
      <c r="I1426" s="3" t="s">
        <v>2635</v>
      </c>
      <c r="J1426" s="3" t="s">
        <v>79</v>
      </c>
      <c r="K1426" s="3">
        <v>8</v>
      </c>
      <c r="L1426" s="3">
        <v>7174.25</v>
      </c>
      <c r="M1426" s="3">
        <v>57394</v>
      </c>
      <c r="N1426" s="3">
        <v>41204.68</v>
      </c>
      <c r="O1426" s="3">
        <v>16189.32</v>
      </c>
      <c r="P1426" s="3" t="s">
        <v>86</v>
      </c>
    </row>
    <row r="1427" spans="1:16" x14ac:dyDescent="0.35">
      <c r="A1427" s="3" t="s">
        <v>2636</v>
      </c>
      <c r="B1427" s="3" t="s">
        <v>1727</v>
      </c>
      <c r="C1427" s="3" t="s">
        <v>89</v>
      </c>
      <c r="D1427" s="3" t="s">
        <v>19</v>
      </c>
      <c r="E1427" s="3" t="s">
        <v>49</v>
      </c>
      <c r="F1427" s="3" t="s">
        <v>50</v>
      </c>
      <c r="G1427" s="3" t="s">
        <v>51</v>
      </c>
      <c r="H1427" s="3" t="s">
        <v>52</v>
      </c>
      <c r="I1427" s="3" t="s">
        <v>950</v>
      </c>
      <c r="J1427" s="3" t="s">
        <v>54</v>
      </c>
      <c r="K1427" s="3">
        <v>7</v>
      </c>
      <c r="L1427" s="3">
        <v>23.87</v>
      </c>
      <c r="M1427" s="3">
        <v>167.09</v>
      </c>
      <c r="N1427" s="3">
        <v>70.41</v>
      </c>
      <c r="O1427" s="3">
        <v>96.68</v>
      </c>
      <c r="P1427" s="3" t="s">
        <v>34</v>
      </c>
    </row>
    <row r="1428" spans="1:16" x14ac:dyDescent="0.35">
      <c r="A1428" s="3" t="s">
        <v>2637</v>
      </c>
      <c r="B1428" s="3" t="s">
        <v>1235</v>
      </c>
      <c r="C1428" s="3" t="s">
        <v>18</v>
      </c>
      <c r="D1428" s="3" t="s">
        <v>58</v>
      </c>
      <c r="E1428" s="3" t="s">
        <v>59</v>
      </c>
      <c r="F1428" s="3" t="s">
        <v>60</v>
      </c>
      <c r="G1428" s="3" t="s">
        <v>30</v>
      </c>
      <c r="H1428" s="3" t="s">
        <v>31</v>
      </c>
      <c r="I1428" s="3" t="s">
        <v>1870</v>
      </c>
      <c r="J1428" s="3" t="s">
        <v>217</v>
      </c>
      <c r="K1428" s="3">
        <v>1</v>
      </c>
      <c r="L1428" s="3">
        <v>3009.96</v>
      </c>
      <c r="M1428" s="3">
        <v>3009.96</v>
      </c>
      <c r="N1428" s="3">
        <v>1884.18</v>
      </c>
      <c r="O1428" s="3">
        <v>1125.78</v>
      </c>
      <c r="P1428" s="3" t="s">
        <v>26</v>
      </c>
    </row>
    <row r="1429" spans="1:16" x14ac:dyDescent="0.35">
      <c r="A1429" s="3" t="s">
        <v>2638</v>
      </c>
      <c r="B1429" s="3" t="s">
        <v>302</v>
      </c>
      <c r="C1429" s="3" t="s">
        <v>103</v>
      </c>
      <c r="D1429" s="3" t="s">
        <v>38</v>
      </c>
      <c r="E1429" s="3" t="s">
        <v>104</v>
      </c>
      <c r="F1429" s="3" t="s">
        <v>104</v>
      </c>
      <c r="G1429" s="3" t="s">
        <v>41</v>
      </c>
      <c r="H1429" s="3" t="s">
        <v>138</v>
      </c>
      <c r="I1429" s="3" t="s">
        <v>900</v>
      </c>
      <c r="J1429" s="3" t="s">
        <v>100</v>
      </c>
      <c r="K1429" s="3">
        <v>8</v>
      </c>
      <c r="L1429" s="3">
        <v>17415.400000000001</v>
      </c>
      <c r="M1429" s="3">
        <v>139323.20000000001</v>
      </c>
      <c r="N1429" s="3">
        <v>116302.82</v>
      </c>
      <c r="O1429" s="3">
        <v>23020.38</v>
      </c>
      <c r="P1429" s="3" t="s">
        <v>86</v>
      </c>
    </row>
    <row r="1430" spans="1:16" x14ac:dyDescent="0.35">
      <c r="A1430" s="3" t="s">
        <v>2639</v>
      </c>
      <c r="B1430" s="3" t="s">
        <v>1125</v>
      </c>
      <c r="C1430" s="3" t="s">
        <v>57</v>
      </c>
      <c r="D1430" s="3" t="s">
        <v>90</v>
      </c>
      <c r="E1430" s="3" t="s">
        <v>119</v>
      </c>
      <c r="F1430" s="3" t="s">
        <v>120</v>
      </c>
      <c r="G1430" s="3" t="s">
        <v>51</v>
      </c>
      <c r="H1430" s="3" t="s">
        <v>52</v>
      </c>
      <c r="I1430" s="3" t="s">
        <v>280</v>
      </c>
      <c r="J1430" s="3" t="s">
        <v>100</v>
      </c>
      <c r="K1430" s="3">
        <v>4</v>
      </c>
      <c r="L1430" s="3">
        <v>25.46</v>
      </c>
      <c r="M1430" s="3">
        <v>101.84</v>
      </c>
      <c r="N1430" s="3">
        <v>39.880000000000003</v>
      </c>
      <c r="O1430" s="3">
        <v>61.96</v>
      </c>
      <c r="P1430" s="3" t="s">
        <v>45</v>
      </c>
    </row>
    <row r="1431" spans="1:16" x14ac:dyDescent="0.35">
      <c r="A1431" s="3" t="s">
        <v>2640</v>
      </c>
      <c r="B1431" s="3" t="s">
        <v>1320</v>
      </c>
      <c r="C1431" s="3" t="s">
        <v>37</v>
      </c>
      <c r="D1431" s="3" t="s">
        <v>58</v>
      </c>
      <c r="E1431" s="3" t="s">
        <v>65</v>
      </c>
      <c r="F1431" s="3" t="s">
        <v>66</v>
      </c>
      <c r="G1431" s="3" t="s">
        <v>30</v>
      </c>
      <c r="H1431" s="3" t="s">
        <v>73</v>
      </c>
      <c r="I1431" s="3" t="s">
        <v>2043</v>
      </c>
      <c r="J1431" s="3" t="s">
        <v>79</v>
      </c>
      <c r="K1431" s="3">
        <v>3</v>
      </c>
      <c r="L1431" s="3">
        <v>3183.69</v>
      </c>
      <c r="M1431" s="3">
        <v>9551.07</v>
      </c>
      <c r="N1431" s="3">
        <v>7431.91</v>
      </c>
      <c r="O1431" s="3">
        <v>2119.16</v>
      </c>
      <c r="P1431" s="3" t="s">
        <v>34</v>
      </c>
    </row>
    <row r="1432" spans="1:16" x14ac:dyDescent="0.35">
      <c r="A1432" s="3" t="s">
        <v>2641</v>
      </c>
      <c r="B1432" s="3" t="s">
        <v>358</v>
      </c>
      <c r="C1432" s="3" t="s">
        <v>72</v>
      </c>
      <c r="D1432" s="3" t="s">
        <v>58</v>
      </c>
      <c r="E1432" s="3" t="s">
        <v>65</v>
      </c>
      <c r="F1432" s="3" t="s">
        <v>66</v>
      </c>
      <c r="G1432" s="3" t="s">
        <v>22</v>
      </c>
      <c r="H1432" s="3" t="s">
        <v>93</v>
      </c>
      <c r="I1432" s="3" t="s">
        <v>2254</v>
      </c>
      <c r="J1432" s="3" t="s">
        <v>44</v>
      </c>
      <c r="K1432" s="3">
        <v>5</v>
      </c>
      <c r="L1432" s="3">
        <v>6749.37</v>
      </c>
      <c r="M1432" s="3">
        <v>33746.85</v>
      </c>
      <c r="N1432" s="3">
        <v>24911.279999999999</v>
      </c>
      <c r="O1432" s="3">
        <v>8835.57</v>
      </c>
      <c r="P1432" s="3" t="s">
        <v>69</v>
      </c>
    </row>
    <row r="1433" spans="1:16" x14ac:dyDescent="0.35">
      <c r="A1433" s="3" t="s">
        <v>2642</v>
      </c>
      <c r="B1433" s="3" t="s">
        <v>230</v>
      </c>
      <c r="C1433" s="3" t="s">
        <v>118</v>
      </c>
      <c r="D1433" s="3" t="s">
        <v>19</v>
      </c>
      <c r="E1433" s="3" t="s">
        <v>49</v>
      </c>
      <c r="F1433" s="3" t="s">
        <v>50</v>
      </c>
      <c r="G1433" s="3" t="s">
        <v>41</v>
      </c>
      <c r="H1433" s="3" t="s">
        <v>42</v>
      </c>
      <c r="I1433" s="3" t="s">
        <v>1924</v>
      </c>
      <c r="J1433" s="3" t="s">
        <v>217</v>
      </c>
      <c r="K1433" s="3">
        <v>4</v>
      </c>
      <c r="L1433" s="3">
        <v>47172.82</v>
      </c>
      <c r="M1433" s="3">
        <v>188691.28</v>
      </c>
      <c r="N1433" s="3">
        <v>133692.01999999999</v>
      </c>
      <c r="O1433" s="3">
        <v>54999.26</v>
      </c>
      <c r="P1433" s="3" t="s">
        <v>69</v>
      </c>
    </row>
    <row r="1434" spans="1:16" x14ac:dyDescent="0.35">
      <c r="A1434" s="3" t="s">
        <v>2643</v>
      </c>
      <c r="B1434" s="3" t="s">
        <v>1125</v>
      </c>
      <c r="C1434" s="3" t="s">
        <v>57</v>
      </c>
      <c r="D1434" s="3" t="s">
        <v>90</v>
      </c>
      <c r="E1434" s="3" t="s">
        <v>91</v>
      </c>
      <c r="F1434" s="3" t="s">
        <v>92</v>
      </c>
      <c r="G1434" s="3" t="s">
        <v>22</v>
      </c>
      <c r="H1434" s="3" t="s">
        <v>83</v>
      </c>
      <c r="I1434" s="3" t="s">
        <v>261</v>
      </c>
      <c r="J1434" s="3" t="s">
        <v>147</v>
      </c>
      <c r="K1434" s="3">
        <v>6</v>
      </c>
      <c r="L1434" s="3">
        <v>22524.18</v>
      </c>
      <c r="M1434" s="3">
        <v>135145.07999999999</v>
      </c>
      <c r="N1434" s="3">
        <v>97314.66</v>
      </c>
      <c r="O1434" s="3">
        <v>37830.42</v>
      </c>
      <c r="P1434" s="3" t="s">
        <v>34</v>
      </c>
    </row>
    <row r="1435" spans="1:16" x14ac:dyDescent="0.35">
      <c r="A1435" s="3" t="s">
        <v>2644</v>
      </c>
      <c r="B1435" s="3" t="s">
        <v>1895</v>
      </c>
      <c r="C1435" s="3" t="s">
        <v>48</v>
      </c>
      <c r="D1435" s="3" t="s">
        <v>19</v>
      </c>
      <c r="E1435" s="3" t="s">
        <v>20</v>
      </c>
      <c r="F1435" s="3" t="s">
        <v>21</v>
      </c>
      <c r="G1435" s="3" t="s">
        <v>22</v>
      </c>
      <c r="H1435" s="3" t="s">
        <v>83</v>
      </c>
      <c r="I1435" s="3" t="s">
        <v>1891</v>
      </c>
      <c r="J1435" s="3" t="s">
        <v>171</v>
      </c>
      <c r="K1435" s="3">
        <v>2</v>
      </c>
      <c r="L1435" s="3">
        <v>23872.92</v>
      </c>
      <c r="M1435" s="3">
        <v>47745.84</v>
      </c>
      <c r="N1435" s="3">
        <v>33818.949999999997</v>
      </c>
      <c r="O1435" s="3">
        <v>13926.89</v>
      </c>
      <c r="P1435" s="3" t="s">
        <v>69</v>
      </c>
    </row>
    <row r="1436" spans="1:16" x14ac:dyDescent="0.35">
      <c r="A1436" s="3" t="s">
        <v>2645</v>
      </c>
      <c r="B1436" s="3" t="s">
        <v>666</v>
      </c>
      <c r="C1436" s="3" t="s">
        <v>37</v>
      </c>
      <c r="D1436" s="3" t="s">
        <v>38</v>
      </c>
      <c r="E1436" s="3" t="s">
        <v>109</v>
      </c>
      <c r="F1436" s="3" t="s">
        <v>110</v>
      </c>
      <c r="G1436" s="3" t="s">
        <v>51</v>
      </c>
      <c r="H1436" s="3" t="s">
        <v>77</v>
      </c>
      <c r="I1436" s="3" t="s">
        <v>758</v>
      </c>
      <c r="J1436" s="3" t="s">
        <v>33</v>
      </c>
      <c r="K1436" s="3">
        <v>2</v>
      </c>
      <c r="L1436" s="3">
        <v>11155.27</v>
      </c>
      <c r="M1436" s="3">
        <v>22310.54</v>
      </c>
      <c r="N1436" s="3">
        <v>18122.12</v>
      </c>
      <c r="O1436" s="3">
        <v>4188.42</v>
      </c>
      <c r="P1436" s="3" t="s">
        <v>69</v>
      </c>
    </row>
    <row r="1437" spans="1:16" x14ac:dyDescent="0.35">
      <c r="A1437" s="3" t="s">
        <v>2646</v>
      </c>
      <c r="B1437" s="3" t="s">
        <v>592</v>
      </c>
      <c r="C1437" s="3" t="s">
        <v>103</v>
      </c>
      <c r="D1437" s="3" t="s">
        <v>19</v>
      </c>
      <c r="E1437" s="3" t="s">
        <v>199</v>
      </c>
      <c r="F1437" s="3" t="s">
        <v>200</v>
      </c>
      <c r="G1437" s="3" t="s">
        <v>41</v>
      </c>
      <c r="H1437" s="3" t="s">
        <v>138</v>
      </c>
      <c r="I1437" s="3" t="s">
        <v>2647</v>
      </c>
      <c r="J1437" s="3" t="s">
        <v>147</v>
      </c>
      <c r="K1437" s="3">
        <v>3</v>
      </c>
      <c r="L1437" s="3">
        <v>18493.900000000001</v>
      </c>
      <c r="M1437" s="3">
        <v>55481.7</v>
      </c>
      <c r="N1437" s="3">
        <v>43388.5</v>
      </c>
      <c r="O1437" s="3">
        <v>12093.2</v>
      </c>
      <c r="P1437" s="3" t="s">
        <v>34</v>
      </c>
    </row>
    <row r="1438" spans="1:16" x14ac:dyDescent="0.35">
      <c r="A1438" s="3" t="s">
        <v>2648</v>
      </c>
      <c r="B1438" s="3" t="s">
        <v>893</v>
      </c>
      <c r="C1438" s="3" t="s">
        <v>89</v>
      </c>
      <c r="D1438" s="3" t="s">
        <v>19</v>
      </c>
      <c r="E1438" s="3" t="s">
        <v>49</v>
      </c>
      <c r="F1438" s="3" t="s">
        <v>50</v>
      </c>
      <c r="G1438" s="3" t="s">
        <v>51</v>
      </c>
      <c r="H1438" s="3" t="s">
        <v>52</v>
      </c>
      <c r="I1438" s="3" t="s">
        <v>2649</v>
      </c>
      <c r="J1438" s="3" t="s">
        <v>100</v>
      </c>
      <c r="K1438" s="3">
        <v>8</v>
      </c>
      <c r="L1438" s="3">
        <v>24.38</v>
      </c>
      <c r="M1438" s="3">
        <v>195.04</v>
      </c>
      <c r="N1438" s="3">
        <v>81.489999999999995</v>
      </c>
      <c r="O1438" s="3">
        <v>113.55</v>
      </c>
      <c r="P1438" s="3" t="s">
        <v>69</v>
      </c>
    </row>
    <row r="1439" spans="1:16" x14ac:dyDescent="0.35">
      <c r="A1439" s="3" t="s">
        <v>2650</v>
      </c>
      <c r="B1439" s="3" t="s">
        <v>654</v>
      </c>
      <c r="C1439" s="3" t="s">
        <v>103</v>
      </c>
      <c r="D1439" s="3" t="s">
        <v>58</v>
      </c>
      <c r="E1439" s="3" t="s">
        <v>65</v>
      </c>
      <c r="F1439" s="3" t="s">
        <v>66</v>
      </c>
      <c r="G1439" s="3" t="s">
        <v>30</v>
      </c>
      <c r="H1439" s="3" t="s">
        <v>31</v>
      </c>
      <c r="I1439" s="3" t="s">
        <v>587</v>
      </c>
      <c r="J1439" s="3" t="s">
        <v>154</v>
      </c>
      <c r="K1439" s="3">
        <v>7</v>
      </c>
      <c r="L1439" s="3">
        <v>2821.6</v>
      </c>
      <c r="M1439" s="3">
        <v>19751.2</v>
      </c>
      <c r="N1439" s="3">
        <v>13029.35</v>
      </c>
      <c r="O1439" s="3">
        <v>6721.85</v>
      </c>
      <c r="P1439" s="3" t="s">
        <v>45</v>
      </c>
    </row>
    <row r="1440" spans="1:16" x14ac:dyDescent="0.35">
      <c r="A1440" s="3" t="s">
        <v>2651</v>
      </c>
      <c r="B1440" s="3" t="s">
        <v>1322</v>
      </c>
      <c r="C1440" s="3" t="s">
        <v>72</v>
      </c>
      <c r="D1440" s="3" t="s">
        <v>58</v>
      </c>
      <c r="E1440" s="3" t="s">
        <v>65</v>
      </c>
      <c r="F1440" s="3" t="s">
        <v>66</v>
      </c>
      <c r="G1440" s="3" t="s">
        <v>30</v>
      </c>
      <c r="H1440" s="3" t="s">
        <v>31</v>
      </c>
      <c r="I1440" s="3" t="s">
        <v>2213</v>
      </c>
      <c r="J1440" s="3" t="s">
        <v>217</v>
      </c>
      <c r="K1440" s="3">
        <v>6</v>
      </c>
      <c r="L1440" s="3">
        <v>2813.58</v>
      </c>
      <c r="M1440" s="3">
        <v>16881.48</v>
      </c>
      <c r="N1440" s="3">
        <v>10963.17</v>
      </c>
      <c r="O1440" s="3">
        <v>5918.31</v>
      </c>
      <c r="P1440" s="3" t="s">
        <v>45</v>
      </c>
    </row>
    <row r="1441" spans="1:16" x14ac:dyDescent="0.35">
      <c r="A1441" s="3" t="s">
        <v>2652</v>
      </c>
      <c r="B1441" s="3" t="s">
        <v>2089</v>
      </c>
      <c r="C1441" s="3" t="s">
        <v>29</v>
      </c>
      <c r="D1441" s="3" t="s">
        <v>90</v>
      </c>
      <c r="E1441" s="3" t="s">
        <v>119</v>
      </c>
      <c r="F1441" s="3" t="s">
        <v>120</v>
      </c>
      <c r="G1441" s="3" t="s">
        <v>30</v>
      </c>
      <c r="H1441" s="3" t="s">
        <v>73</v>
      </c>
      <c r="I1441" s="3" t="s">
        <v>1012</v>
      </c>
      <c r="J1441" s="3" t="s">
        <v>54</v>
      </c>
      <c r="K1441" s="3">
        <v>5</v>
      </c>
      <c r="L1441" s="3">
        <v>2979.7</v>
      </c>
      <c r="M1441" s="3">
        <v>14898.5</v>
      </c>
      <c r="N1441" s="3">
        <v>12417.72</v>
      </c>
      <c r="O1441" s="3">
        <v>2480.7800000000002</v>
      </c>
      <c r="P1441" s="3" t="s">
        <v>34</v>
      </c>
    </row>
    <row r="1442" spans="1:16" x14ac:dyDescent="0.35">
      <c r="A1442" s="3" t="s">
        <v>2653</v>
      </c>
      <c r="B1442" s="3" t="s">
        <v>166</v>
      </c>
      <c r="C1442" s="3" t="s">
        <v>37</v>
      </c>
      <c r="D1442" s="3" t="s">
        <v>90</v>
      </c>
      <c r="E1442" s="3" t="s">
        <v>97</v>
      </c>
      <c r="F1442" s="3" t="s">
        <v>98</v>
      </c>
      <c r="G1442" s="3" t="s">
        <v>22</v>
      </c>
      <c r="H1442" s="3" t="s">
        <v>93</v>
      </c>
      <c r="I1442" s="3" t="s">
        <v>1436</v>
      </c>
      <c r="J1442" s="3" t="s">
        <v>33</v>
      </c>
      <c r="K1442" s="3">
        <v>4</v>
      </c>
      <c r="L1442" s="3">
        <v>7329.49</v>
      </c>
      <c r="M1442" s="3">
        <v>29317.96</v>
      </c>
      <c r="N1442" s="3">
        <v>19147.48</v>
      </c>
      <c r="O1442" s="3">
        <v>10170.48</v>
      </c>
      <c r="P1442" s="3" t="s">
        <v>45</v>
      </c>
    </row>
    <row r="1443" spans="1:16" x14ac:dyDescent="0.35">
      <c r="A1443" s="3" t="s">
        <v>2654</v>
      </c>
      <c r="B1443" s="3" t="s">
        <v>994</v>
      </c>
      <c r="C1443" s="3" t="s">
        <v>29</v>
      </c>
      <c r="D1443" s="3" t="s">
        <v>38</v>
      </c>
      <c r="E1443" s="3" t="s">
        <v>39</v>
      </c>
      <c r="F1443" s="3" t="s">
        <v>40</v>
      </c>
      <c r="G1443" s="3" t="s">
        <v>51</v>
      </c>
      <c r="H1443" s="3" t="s">
        <v>77</v>
      </c>
      <c r="I1443" s="3" t="s">
        <v>1728</v>
      </c>
      <c r="J1443" s="3" t="s">
        <v>154</v>
      </c>
      <c r="K1443" s="3">
        <v>3</v>
      </c>
      <c r="L1443" s="3">
        <v>12487.55</v>
      </c>
      <c r="M1443" s="3">
        <v>37462.65</v>
      </c>
      <c r="N1443" s="3">
        <v>28247.32</v>
      </c>
      <c r="O1443" s="3">
        <v>9215.33</v>
      </c>
      <c r="P1443" s="3" t="s">
        <v>34</v>
      </c>
    </row>
    <row r="1444" spans="1:16" x14ac:dyDescent="0.35">
      <c r="A1444" s="3" t="s">
        <v>2655</v>
      </c>
      <c r="B1444" s="3" t="s">
        <v>1997</v>
      </c>
      <c r="C1444" s="3" t="s">
        <v>114</v>
      </c>
      <c r="D1444" s="3" t="s">
        <v>19</v>
      </c>
      <c r="E1444" s="3" t="s">
        <v>20</v>
      </c>
      <c r="F1444" s="3" t="s">
        <v>21</v>
      </c>
      <c r="G1444" s="3" t="s">
        <v>22</v>
      </c>
      <c r="H1444" s="3" t="s">
        <v>93</v>
      </c>
      <c r="I1444" s="3" t="s">
        <v>170</v>
      </c>
      <c r="J1444" s="3" t="s">
        <v>100</v>
      </c>
      <c r="K1444" s="3">
        <v>3</v>
      </c>
      <c r="L1444" s="3">
        <v>6515.11</v>
      </c>
      <c r="M1444" s="3">
        <v>19545.330000000002</v>
      </c>
      <c r="N1444" s="3">
        <v>15262.47</v>
      </c>
      <c r="O1444" s="3">
        <v>4282.8599999999997</v>
      </c>
      <c r="P1444" s="3" t="s">
        <v>26</v>
      </c>
    </row>
    <row r="1445" spans="1:16" x14ac:dyDescent="0.35">
      <c r="A1445" s="3" t="s">
        <v>2656</v>
      </c>
      <c r="B1445" s="3" t="s">
        <v>1623</v>
      </c>
      <c r="C1445" s="3" t="s">
        <v>29</v>
      </c>
      <c r="D1445" s="3" t="s">
        <v>38</v>
      </c>
      <c r="E1445" s="3" t="s">
        <v>39</v>
      </c>
      <c r="F1445" s="3" t="s">
        <v>40</v>
      </c>
      <c r="G1445" s="3" t="s">
        <v>22</v>
      </c>
      <c r="H1445" s="3" t="s">
        <v>93</v>
      </c>
      <c r="I1445" s="3" t="s">
        <v>1642</v>
      </c>
      <c r="J1445" s="3" t="s">
        <v>25</v>
      </c>
      <c r="K1445" s="3">
        <v>4</v>
      </c>
      <c r="L1445" s="3">
        <v>7663.71</v>
      </c>
      <c r="M1445" s="3">
        <v>30654.84</v>
      </c>
      <c r="N1445" s="3">
        <v>19549.09</v>
      </c>
      <c r="O1445" s="3">
        <v>11105.75</v>
      </c>
      <c r="P1445" s="3" t="s">
        <v>26</v>
      </c>
    </row>
    <row r="1446" spans="1:16" x14ac:dyDescent="0.35">
      <c r="A1446" s="3" t="s">
        <v>2657</v>
      </c>
      <c r="B1446" s="3" t="s">
        <v>770</v>
      </c>
      <c r="C1446" s="3" t="s">
        <v>72</v>
      </c>
      <c r="D1446" s="3" t="s">
        <v>58</v>
      </c>
      <c r="E1446" s="3" t="s">
        <v>59</v>
      </c>
      <c r="F1446" s="3" t="s">
        <v>60</v>
      </c>
      <c r="G1446" s="3" t="s">
        <v>41</v>
      </c>
      <c r="H1446" s="3" t="s">
        <v>42</v>
      </c>
      <c r="I1446" s="3" t="s">
        <v>2658</v>
      </c>
      <c r="J1446" s="3" t="s">
        <v>100</v>
      </c>
      <c r="K1446" s="3">
        <v>3</v>
      </c>
      <c r="L1446" s="3">
        <v>44801.55</v>
      </c>
      <c r="M1446" s="3">
        <v>134404.65</v>
      </c>
      <c r="N1446" s="3">
        <v>104258.97</v>
      </c>
      <c r="O1446" s="3">
        <v>30145.68</v>
      </c>
      <c r="P1446" s="3" t="s">
        <v>69</v>
      </c>
    </row>
    <row r="1447" spans="1:16" x14ac:dyDescent="0.35">
      <c r="A1447" s="3" t="s">
        <v>2659</v>
      </c>
      <c r="B1447" s="3" t="s">
        <v>333</v>
      </c>
      <c r="C1447" s="3" t="s">
        <v>118</v>
      </c>
      <c r="D1447" s="3" t="s">
        <v>58</v>
      </c>
      <c r="E1447" s="3" t="s">
        <v>176</v>
      </c>
      <c r="F1447" s="3" t="s">
        <v>177</v>
      </c>
      <c r="G1447" s="3" t="s">
        <v>22</v>
      </c>
      <c r="H1447" s="3" t="s">
        <v>93</v>
      </c>
      <c r="I1447" s="3" t="s">
        <v>2006</v>
      </c>
      <c r="J1447" s="3" t="s">
        <v>154</v>
      </c>
      <c r="K1447" s="3">
        <v>2</v>
      </c>
      <c r="L1447" s="3">
        <v>7419.27</v>
      </c>
      <c r="M1447" s="3">
        <v>14838.54</v>
      </c>
      <c r="N1447" s="3">
        <v>10128.16</v>
      </c>
      <c r="O1447" s="3">
        <v>4710.38</v>
      </c>
      <c r="P1447" s="3" t="s">
        <v>26</v>
      </c>
    </row>
    <row r="1448" spans="1:16" x14ac:dyDescent="0.35">
      <c r="A1448" s="3" t="s">
        <v>2660</v>
      </c>
      <c r="B1448" s="3" t="s">
        <v>675</v>
      </c>
      <c r="C1448" s="3" t="s">
        <v>82</v>
      </c>
      <c r="D1448" s="3" t="s">
        <v>19</v>
      </c>
      <c r="E1448" s="3" t="s">
        <v>49</v>
      </c>
      <c r="F1448" s="3" t="s">
        <v>50</v>
      </c>
      <c r="G1448" s="3" t="s">
        <v>22</v>
      </c>
      <c r="H1448" s="3" t="s">
        <v>83</v>
      </c>
      <c r="I1448" s="3" t="s">
        <v>2661</v>
      </c>
      <c r="J1448" s="3" t="s">
        <v>131</v>
      </c>
      <c r="K1448" s="3">
        <v>4</v>
      </c>
      <c r="L1448" s="3">
        <v>22812.2</v>
      </c>
      <c r="M1448" s="3">
        <v>91248.8</v>
      </c>
      <c r="N1448" s="3">
        <v>71116.759999999995</v>
      </c>
      <c r="O1448" s="3">
        <v>20132.04</v>
      </c>
      <c r="P1448" s="3" t="s">
        <v>86</v>
      </c>
    </row>
    <row r="1449" spans="1:16" x14ac:dyDescent="0.35">
      <c r="A1449" s="3" t="s">
        <v>2662</v>
      </c>
      <c r="B1449" s="3" t="s">
        <v>458</v>
      </c>
      <c r="C1449" s="3" t="s">
        <v>18</v>
      </c>
      <c r="D1449" s="3" t="s">
        <v>90</v>
      </c>
      <c r="E1449" s="3" t="s">
        <v>91</v>
      </c>
      <c r="F1449" s="3" t="s">
        <v>92</v>
      </c>
      <c r="G1449" s="3" t="s">
        <v>30</v>
      </c>
      <c r="H1449" s="3" t="s">
        <v>67</v>
      </c>
      <c r="I1449" s="3" t="s">
        <v>945</v>
      </c>
      <c r="J1449" s="3" t="s">
        <v>79</v>
      </c>
      <c r="K1449" s="3">
        <v>1</v>
      </c>
      <c r="L1449" s="3">
        <v>9041.18</v>
      </c>
      <c r="M1449" s="3">
        <v>9041.18</v>
      </c>
      <c r="N1449" s="3">
        <v>7761.38</v>
      </c>
      <c r="O1449" s="3">
        <v>1279.8</v>
      </c>
      <c r="P1449" s="3" t="s">
        <v>34</v>
      </c>
    </row>
    <row r="1450" spans="1:16" x14ac:dyDescent="0.35">
      <c r="A1450" s="3" t="s">
        <v>2663</v>
      </c>
      <c r="B1450" s="3" t="s">
        <v>186</v>
      </c>
      <c r="C1450" s="3" t="s">
        <v>89</v>
      </c>
      <c r="D1450" s="3" t="s">
        <v>58</v>
      </c>
      <c r="E1450" s="3" t="s">
        <v>176</v>
      </c>
      <c r="F1450" s="3" t="s">
        <v>177</v>
      </c>
      <c r="G1450" s="3" t="s">
        <v>51</v>
      </c>
      <c r="H1450" s="3" t="s">
        <v>77</v>
      </c>
      <c r="I1450" s="3" t="s">
        <v>1855</v>
      </c>
      <c r="J1450" s="3" t="s">
        <v>188</v>
      </c>
      <c r="K1450" s="3">
        <v>5</v>
      </c>
      <c r="L1450" s="3">
        <v>12952.27</v>
      </c>
      <c r="M1450" s="3">
        <v>64761.35</v>
      </c>
      <c r="N1450" s="3">
        <v>43249.94</v>
      </c>
      <c r="O1450" s="3">
        <v>21511.41</v>
      </c>
      <c r="P1450" s="3" t="s">
        <v>34</v>
      </c>
    </row>
    <row r="1451" spans="1:16" x14ac:dyDescent="0.35">
      <c r="A1451" s="3" t="s">
        <v>2664</v>
      </c>
      <c r="B1451" s="3" t="s">
        <v>384</v>
      </c>
      <c r="C1451" s="3" t="s">
        <v>57</v>
      </c>
      <c r="D1451" s="3" t="s">
        <v>58</v>
      </c>
      <c r="E1451" s="3" t="s">
        <v>176</v>
      </c>
      <c r="F1451" s="3" t="s">
        <v>177</v>
      </c>
      <c r="G1451" s="3" t="s">
        <v>30</v>
      </c>
      <c r="H1451" s="3" t="s">
        <v>73</v>
      </c>
      <c r="I1451" s="3" t="s">
        <v>2665</v>
      </c>
      <c r="J1451" s="3" t="s">
        <v>106</v>
      </c>
      <c r="K1451" s="3">
        <v>5</v>
      </c>
      <c r="L1451" s="3">
        <v>2950.17</v>
      </c>
      <c r="M1451" s="3">
        <v>14750.85</v>
      </c>
      <c r="N1451" s="3">
        <v>12245.81</v>
      </c>
      <c r="O1451" s="3">
        <v>2505.04</v>
      </c>
      <c r="P1451" s="3" t="s">
        <v>86</v>
      </c>
    </row>
    <row r="1452" spans="1:16" x14ac:dyDescent="0.35">
      <c r="A1452" s="3" t="s">
        <v>2666</v>
      </c>
      <c r="B1452" s="3" t="s">
        <v>816</v>
      </c>
      <c r="C1452" s="3" t="s">
        <v>57</v>
      </c>
      <c r="D1452" s="3" t="s">
        <v>38</v>
      </c>
      <c r="E1452" s="3" t="s">
        <v>109</v>
      </c>
      <c r="F1452" s="3" t="s">
        <v>110</v>
      </c>
      <c r="G1452" s="3" t="s">
        <v>41</v>
      </c>
      <c r="H1452" s="3" t="s">
        <v>138</v>
      </c>
      <c r="I1452" s="3" t="s">
        <v>2108</v>
      </c>
      <c r="J1452" s="3" t="s">
        <v>161</v>
      </c>
      <c r="K1452" s="3">
        <v>7</v>
      </c>
      <c r="L1452" s="3">
        <v>18528.97</v>
      </c>
      <c r="M1452" s="3">
        <v>129702.79</v>
      </c>
      <c r="N1452" s="3">
        <v>98450.07</v>
      </c>
      <c r="O1452" s="3">
        <v>31252.720000000001</v>
      </c>
      <c r="P1452" s="3" t="s">
        <v>69</v>
      </c>
    </row>
    <row r="1453" spans="1:16" x14ac:dyDescent="0.35">
      <c r="A1453" s="3" t="s">
        <v>2667</v>
      </c>
      <c r="B1453" s="3" t="s">
        <v>156</v>
      </c>
      <c r="C1453" s="3" t="s">
        <v>103</v>
      </c>
      <c r="D1453" s="3" t="s">
        <v>90</v>
      </c>
      <c r="E1453" s="3" t="s">
        <v>119</v>
      </c>
      <c r="F1453" s="3" t="s">
        <v>120</v>
      </c>
      <c r="G1453" s="3" t="s">
        <v>51</v>
      </c>
      <c r="H1453" s="3" t="s">
        <v>77</v>
      </c>
      <c r="I1453" s="3" t="s">
        <v>2331</v>
      </c>
      <c r="J1453" s="3" t="s">
        <v>147</v>
      </c>
      <c r="K1453" s="3">
        <v>8</v>
      </c>
      <c r="L1453" s="3">
        <v>12888.57</v>
      </c>
      <c r="M1453" s="3">
        <v>103108.56</v>
      </c>
      <c r="N1453" s="3">
        <v>69975.289999999994</v>
      </c>
      <c r="O1453" s="3">
        <v>33133.269999999997</v>
      </c>
      <c r="P1453" s="3" t="s">
        <v>86</v>
      </c>
    </row>
    <row r="1454" spans="1:16" x14ac:dyDescent="0.35">
      <c r="A1454" s="3" t="s">
        <v>2668</v>
      </c>
      <c r="B1454" s="3" t="s">
        <v>847</v>
      </c>
      <c r="C1454" s="3" t="s">
        <v>89</v>
      </c>
      <c r="D1454" s="3" t="s">
        <v>58</v>
      </c>
      <c r="E1454" s="3" t="s">
        <v>59</v>
      </c>
      <c r="F1454" s="3" t="s">
        <v>60</v>
      </c>
      <c r="G1454" s="3" t="s">
        <v>30</v>
      </c>
      <c r="H1454" s="3" t="s">
        <v>31</v>
      </c>
      <c r="I1454" s="3" t="s">
        <v>483</v>
      </c>
      <c r="J1454" s="3" t="s">
        <v>171</v>
      </c>
      <c r="K1454" s="3">
        <v>5</v>
      </c>
      <c r="L1454" s="3">
        <v>2744.32</v>
      </c>
      <c r="M1454" s="3">
        <v>13721.6</v>
      </c>
      <c r="N1454" s="3">
        <v>9241.8799999999992</v>
      </c>
      <c r="O1454" s="3">
        <v>4479.72</v>
      </c>
      <c r="P1454" s="3" t="s">
        <v>26</v>
      </c>
    </row>
    <row r="1455" spans="1:16" x14ac:dyDescent="0.35">
      <c r="A1455" s="3" t="s">
        <v>2669</v>
      </c>
      <c r="B1455" s="3" t="s">
        <v>271</v>
      </c>
      <c r="C1455" s="3" t="s">
        <v>82</v>
      </c>
      <c r="D1455" s="3" t="s">
        <v>90</v>
      </c>
      <c r="E1455" s="3" t="s">
        <v>91</v>
      </c>
      <c r="F1455" s="3" t="s">
        <v>92</v>
      </c>
      <c r="G1455" s="3" t="s">
        <v>41</v>
      </c>
      <c r="H1455" s="3" t="s">
        <v>61</v>
      </c>
      <c r="I1455" s="3" t="s">
        <v>1264</v>
      </c>
      <c r="J1455" s="3" t="s">
        <v>25</v>
      </c>
      <c r="K1455" s="3">
        <v>5</v>
      </c>
      <c r="L1455" s="3">
        <v>2685.35</v>
      </c>
      <c r="M1455" s="3">
        <v>13426.75</v>
      </c>
      <c r="N1455" s="3">
        <v>8328.5499999999993</v>
      </c>
      <c r="O1455" s="3">
        <v>5098.2</v>
      </c>
      <c r="P1455" s="3" t="s">
        <v>34</v>
      </c>
    </row>
    <row r="1456" spans="1:16" x14ac:dyDescent="0.35">
      <c r="A1456" s="3" t="s">
        <v>2670</v>
      </c>
      <c r="B1456" s="3" t="s">
        <v>438</v>
      </c>
      <c r="C1456" s="3" t="s">
        <v>89</v>
      </c>
      <c r="D1456" s="3" t="s">
        <v>90</v>
      </c>
      <c r="E1456" s="3" t="s">
        <v>119</v>
      </c>
      <c r="F1456" s="3" t="s">
        <v>120</v>
      </c>
      <c r="G1456" s="3" t="s">
        <v>22</v>
      </c>
      <c r="H1456" s="3" t="s">
        <v>93</v>
      </c>
      <c r="I1456" s="3" t="s">
        <v>2260</v>
      </c>
      <c r="J1456" s="3" t="s">
        <v>131</v>
      </c>
      <c r="K1456" s="3">
        <v>4</v>
      </c>
      <c r="L1456" s="3">
        <v>6477.82</v>
      </c>
      <c r="M1456" s="3">
        <v>25911.279999999999</v>
      </c>
      <c r="N1456" s="3">
        <v>19708.669999999998</v>
      </c>
      <c r="O1456" s="3">
        <v>6202.61</v>
      </c>
      <c r="P1456" s="3" t="s">
        <v>45</v>
      </c>
    </row>
    <row r="1457" spans="1:16" x14ac:dyDescent="0.35">
      <c r="A1457" s="3" t="s">
        <v>2671</v>
      </c>
      <c r="B1457" s="3" t="s">
        <v>239</v>
      </c>
      <c r="C1457" s="3" t="s">
        <v>72</v>
      </c>
      <c r="D1457" s="3" t="s">
        <v>58</v>
      </c>
      <c r="E1457" s="3" t="s">
        <v>176</v>
      </c>
      <c r="F1457" s="3" t="s">
        <v>177</v>
      </c>
      <c r="G1457" s="3" t="s">
        <v>30</v>
      </c>
      <c r="H1457" s="3" t="s">
        <v>67</v>
      </c>
      <c r="I1457" s="3" t="s">
        <v>1266</v>
      </c>
      <c r="J1457" s="3" t="s">
        <v>25</v>
      </c>
      <c r="K1457" s="3">
        <v>5</v>
      </c>
      <c r="L1457" s="3">
        <v>9891.17</v>
      </c>
      <c r="M1457" s="3">
        <v>49455.85</v>
      </c>
      <c r="N1457" s="3">
        <v>39155.120000000003</v>
      </c>
      <c r="O1457" s="3">
        <v>10300.73</v>
      </c>
      <c r="P1457" s="3" t="s">
        <v>34</v>
      </c>
    </row>
    <row r="1458" spans="1:16" x14ac:dyDescent="0.35">
      <c r="A1458" s="3" t="s">
        <v>2672</v>
      </c>
      <c r="B1458" s="3" t="s">
        <v>559</v>
      </c>
      <c r="C1458" s="3" t="s">
        <v>89</v>
      </c>
      <c r="D1458" s="3" t="s">
        <v>90</v>
      </c>
      <c r="E1458" s="3" t="s">
        <v>91</v>
      </c>
      <c r="F1458" s="3" t="s">
        <v>92</v>
      </c>
      <c r="G1458" s="3" t="s">
        <v>51</v>
      </c>
      <c r="H1458" s="3" t="s">
        <v>145</v>
      </c>
      <c r="I1458" s="3" t="s">
        <v>2673</v>
      </c>
      <c r="J1458" s="3" t="s">
        <v>44</v>
      </c>
      <c r="K1458" s="3">
        <v>3</v>
      </c>
      <c r="L1458" s="3">
        <v>127.75</v>
      </c>
      <c r="M1458" s="3">
        <v>383.25</v>
      </c>
      <c r="N1458" s="3">
        <v>186.06</v>
      </c>
      <c r="O1458" s="3">
        <v>197.19</v>
      </c>
      <c r="P1458" s="3" t="s">
        <v>34</v>
      </c>
    </row>
    <row r="1459" spans="1:16" x14ac:dyDescent="0.35">
      <c r="A1459" s="3" t="s">
        <v>2674</v>
      </c>
      <c r="B1459" s="3" t="s">
        <v>429</v>
      </c>
      <c r="C1459" s="3" t="s">
        <v>137</v>
      </c>
      <c r="D1459" s="3" t="s">
        <v>90</v>
      </c>
      <c r="E1459" s="3" t="s">
        <v>97</v>
      </c>
      <c r="F1459" s="3" t="s">
        <v>98</v>
      </c>
      <c r="G1459" s="3" t="s">
        <v>41</v>
      </c>
      <c r="H1459" s="3" t="s">
        <v>138</v>
      </c>
      <c r="I1459" s="3" t="s">
        <v>1365</v>
      </c>
      <c r="J1459" s="3" t="s">
        <v>25</v>
      </c>
      <c r="K1459" s="3">
        <v>7</v>
      </c>
      <c r="L1459" s="3">
        <v>18016.84</v>
      </c>
      <c r="M1459" s="3">
        <v>126117.88</v>
      </c>
      <c r="N1459" s="3">
        <v>99816.77</v>
      </c>
      <c r="O1459" s="3">
        <v>26301.11</v>
      </c>
      <c r="P1459" s="3" t="s">
        <v>34</v>
      </c>
    </row>
    <row r="1460" spans="1:16" x14ac:dyDescent="0.35">
      <c r="A1460" s="3" t="s">
        <v>2675</v>
      </c>
      <c r="B1460" s="3" t="s">
        <v>547</v>
      </c>
      <c r="C1460" s="3" t="s">
        <v>89</v>
      </c>
      <c r="D1460" s="3" t="s">
        <v>19</v>
      </c>
      <c r="E1460" s="3" t="s">
        <v>49</v>
      </c>
      <c r="F1460" s="3" t="s">
        <v>50</v>
      </c>
      <c r="G1460" s="3" t="s">
        <v>51</v>
      </c>
      <c r="H1460" s="3" t="s">
        <v>77</v>
      </c>
      <c r="I1460" s="3" t="s">
        <v>2417</v>
      </c>
      <c r="J1460" s="3" t="s">
        <v>25</v>
      </c>
      <c r="K1460" s="3">
        <v>4</v>
      </c>
      <c r="L1460" s="3">
        <v>13191.27</v>
      </c>
      <c r="M1460" s="3">
        <v>52765.08</v>
      </c>
      <c r="N1460" s="3">
        <v>35392.050000000003</v>
      </c>
      <c r="O1460" s="3">
        <v>17373.03</v>
      </c>
      <c r="P1460" s="3" t="s">
        <v>86</v>
      </c>
    </row>
    <row r="1461" spans="1:16" x14ac:dyDescent="0.35">
      <c r="A1461" s="3" t="s">
        <v>2676</v>
      </c>
      <c r="B1461" s="3" t="s">
        <v>534</v>
      </c>
      <c r="C1461" s="3" t="s">
        <v>29</v>
      </c>
      <c r="D1461" s="3" t="s">
        <v>90</v>
      </c>
      <c r="E1461" s="3" t="s">
        <v>91</v>
      </c>
      <c r="F1461" s="3" t="s">
        <v>92</v>
      </c>
      <c r="G1461" s="3" t="s">
        <v>41</v>
      </c>
      <c r="H1461" s="3" t="s">
        <v>42</v>
      </c>
      <c r="I1461" s="3" t="s">
        <v>841</v>
      </c>
      <c r="J1461" s="3" t="s">
        <v>100</v>
      </c>
      <c r="K1461" s="3">
        <v>6</v>
      </c>
      <c r="L1461" s="3">
        <v>48913.59</v>
      </c>
      <c r="M1461" s="3">
        <v>293481.53999999998</v>
      </c>
      <c r="N1461" s="3">
        <v>215126.33</v>
      </c>
      <c r="O1461" s="3">
        <v>78355.210000000006</v>
      </c>
      <c r="P1461" s="3" t="s">
        <v>86</v>
      </c>
    </row>
    <row r="1462" spans="1:16" x14ac:dyDescent="0.35">
      <c r="A1462" s="3" t="s">
        <v>2677</v>
      </c>
      <c r="B1462" s="3" t="s">
        <v>624</v>
      </c>
      <c r="C1462" s="3" t="s">
        <v>18</v>
      </c>
      <c r="D1462" s="3" t="s">
        <v>38</v>
      </c>
      <c r="E1462" s="3" t="s">
        <v>39</v>
      </c>
      <c r="F1462" s="3" t="s">
        <v>40</v>
      </c>
      <c r="G1462" s="3" t="s">
        <v>22</v>
      </c>
      <c r="H1462" s="3" t="s">
        <v>83</v>
      </c>
      <c r="I1462" s="3" t="s">
        <v>748</v>
      </c>
      <c r="J1462" s="3" t="s">
        <v>147</v>
      </c>
      <c r="K1462" s="3">
        <v>5</v>
      </c>
      <c r="L1462" s="3">
        <v>23497.47</v>
      </c>
      <c r="M1462" s="3">
        <v>117487.35</v>
      </c>
      <c r="N1462" s="3">
        <v>89065.2</v>
      </c>
      <c r="O1462" s="3">
        <v>28422.15</v>
      </c>
      <c r="P1462" s="3" t="s">
        <v>86</v>
      </c>
    </row>
    <row r="1463" spans="1:16" x14ac:dyDescent="0.35">
      <c r="A1463" s="3" t="s">
        <v>2678</v>
      </c>
      <c r="B1463" s="3" t="s">
        <v>636</v>
      </c>
      <c r="C1463" s="3" t="s">
        <v>57</v>
      </c>
      <c r="D1463" s="3" t="s">
        <v>58</v>
      </c>
      <c r="E1463" s="3" t="s">
        <v>59</v>
      </c>
      <c r="F1463" s="3" t="s">
        <v>60</v>
      </c>
      <c r="G1463" s="3" t="s">
        <v>30</v>
      </c>
      <c r="H1463" s="3" t="s">
        <v>31</v>
      </c>
      <c r="I1463" s="3" t="s">
        <v>2679</v>
      </c>
      <c r="J1463" s="3" t="s">
        <v>85</v>
      </c>
      <c r="K1463" s="3">
        <v>3</v>
      </c>
      <c r="L1463" s="3">
        <v>2700.94</v>
      </c>
      <c r="M1463" s="3">
        <v>8102.82</v>
      </c>
      <c r="N1463" s="3">
        <v>5819.55</v>
      </c>
      <c r="O1463" s="3">
        <v>2283.27</v>
      </c>
      <c r="P1463" s="3" t="s">
        <v>34</v>
      </c>
    </row>
    <row r="1464" spans="1:16" x14ac:dyDescent="0.35">
      <c r="A1464" s="3" t="s">
        <v>2680</v>
      </c>
      <c r="B1464" s="3" t="s">
        <v>2211</v>
      </c>
      <c r="C1464" s="3" t="s">
        <v>72</v>
      </c>
      <c r="D1464" s="3" t="s">
        <v>58</v>
      </c>
      <c r="E1464" s="3" t="s">
        <v>65</v>
      </c>
      <c r="F1464" s="3" t="s">
        <v>66</v>
      </c>
      <c r="G1464" s="3" t="s">
        <v>41</v>
      </c>
      <c r="H1464" s="3" t="s">
        <v>42</v>
      </c>
      <c r="I1464" s="3" t="s">
        <v>2681</v>
      </c>
      <c r="J1464" s="3" t="s">
        <v>100</v>
      </c>
      <c r="K1464" s="3">
        <v>6</v>
      </c>
      <c r="L1464" s="3">
        <v>42419.03</v>
      </c>
      <c r="M1464" s="3">
        <v>254514.18</v>
      </c>
      <c r="N1464" s="3">
        <v>215583.64</v>
      </c>
      <c r="O1464" s="3">
        <v>38930.54</v>
      </c>
      <c r="P1464" s="3" t="s">
        <v>86</v>
      </c>
    </row>
    <row r="1465" spans="1:16" x14ac:dyDescent="0.35">
      <c r="A1465" s="3" t="s">
        <v>2682</v>
      </c>
      <c r="B1465" s="3" t="s">
        <v>852</v>
      </c>
      <c r="C1465" s="3" t="s">
        <v>118</v>
      </c>
      <c r="D1465" s="3" t="s">
        <v>19</v>
      </c>
      <c r="E1465" s="3" t="s">
        <v>199</v>
      </c>
      <c r="F1465" s="3" t="s">
        <v>200</v>
      </c>
      <c r="G1465" s="3" t="s">
        <v>51</v>
      </c>
      <c r="H1465" s="3" t="s">
        <v>77</v>
      </c>
      <c r="I1465" s="3" t="s">
        <v>2315</v>
      </c>
      <c r="J1465" s="3" t="s">
        <v>147</v>
      </c>
      <c r="K1465" s="3">
        <v>4</v>
      </c>
      <c r="L1465" s="3">
        <v>12913.8</v>
      </c>
      <c r="M1465" s="3">
        <v>51655.199999999997</v>
      </c>
      <c r="N1465" s="3">
        <v>36308.550000000003</v>
      </c>
      <c r="O1465" s="3">
        <v>15346.65</v>
      </c>
      <c r="P1465" s="3" t="s">
        <v>26</v>
      </c>
    </row>
    <row r="1466" spans="1:16" x14ac:dyDescent="0.35">
      <c r="A1466" s="3" t="s">
        <v>2683</v>
      </c>
      <c r="B1466" s="3" t="s">
        <v>108</v>
      </c>
      <c r="C1466" s="3" t="s">
        <v>72</v>
      </c>
      <c r="D1466" s="3" t="s">
        <v>19</v>
      </c>
      <c r="E1466" s="3" t="s">
        <v>20</v>
      </c>
      <c r="F1466" s="3" t="s">
        <v>21</v>
      </c>
      <c r="G1466" s="3" t="s">
        <v>22</v>
      </c>
      <c r="H1466" s="3" t="s">
        <v>23</v>
      </c>
      <c r="I1466" s="3" t="s">
        <v>2684</v>
      </c>
      <c r="J1466" s="3" t="s">
        <v>25</v>
      </c>
      <c r="K1466" s="3">
        <v>7</v>
      </c>
      <c r="L1466" s="3">
        <v>3544.39</v>
      </c>
      <c r="M1466" s="3">
        <v>24810.73</v>
      </c>
      <c r="N1466" s="3">
        <v>14722.77</v>
      </c>
      <c r="O1466" s="3">
        <v>10087.959999999999</v>
      </c>
      <c r="P1466" s="3" t="s">
        <v>45</v>
      </c>
    </row>
    <row r="1467" spans="1:16" x14ac:dyDescent="0.35">
      <c r="A1467" s="3" t="s">
        <v>2685</v>
      </c>
      <c r="B1467" s="3" t="s">
        <v>420</v>
      </c>
      <c r="C1467" s="3" t="s">
        <v>89</v>
      </c>
      <c r="D1467" s="3" t="s">
        <v>19</v>
      </c>
      <c r="E1467" s="3" t="s">
        <v>20</v>
      </c>
      <c r="F1467" s="3" t="s">
        <v>21</v>
      </c>
      <c r="G1467" s="3" t="s">
        <v>30</v>
      </c>
      <c r="H1467" s="3" t="s">
        <v>73</v>
      </c>
      <c r="I1467" s="3" t="s">
        <v>2686</v>
      </c>
      <c r="J1467" s="3" t="s">
        <v>154</v>
      </c>
      <c r="K1467" s="3">
        <v>8</v>
      </c>
      <c r="L1467" s="3">
        <v>3482.02</v>
      </c>
      <c r="M1467" s="3">
        <v>27856.16</v>
      </c>
      <c r="N1467" s="3">
        <v>18396.939999999999</v>
      </c>
      <c r="O1467" s="3">
        <v>9459.2199999999993</v>
      </c>
      <c r="P1467" s="3" t="s">
        <v>26</v>
      </c>
    </row>
    <row r="1468" spans="1:16" x14ac:dyDescent="0.35">
      <c r="A1468" s="3" t="s">
        <v>2687</v>
      </c>
      <c r="B1468" s="3" t="s">
        <v>2688</v>
      </c>
      <c r="C1468" s="3" t="s">
        <v>48</v>
      </c>
      <c r="D1468" s="3" t="s">
        <v>90</v>
      </c>
      <c r="E1468" s="3" t="s">
        <v>97</v>
      </c>
      <c r="F1468" s="3" t="s">
        <v>98</v>
      </c>
      <c r="G1468" s="3" t="s">
        <v>51</v>
      </c>
      <c r="H1468" s="3" t="s">
        <v>145</v>
      </c>
      <c r="I1468" s="3" t="s">
        <v>1134</v>
      </c>
      <c r="J1468" s="3" t="s">
        <v>188</v>
      </c>
      <c r="K1468" s="3">
        <v>7</v>
      </c>
      <c r="L1468" s="3">
        <v>130.54</v>
      </c>
      <c r="M1468" s="3">
        <v>913.78</v>
      </c>
      <c r="N1468" s="3">
        <v>405.05</v>
      </c>
      <c r="O1468" s="3">
        <v>508.73</v>
      </c>
      <c r="P1468" s="3" t="s">
        <v>69</v>
      </c>
    </row>
    <row r="1469" spans="1:16" x14ac:dyDescent="0.35">
      <c r="A1469" s="3" t="s">
        <v>2689</v>
      </c>
      <c r="B1469" s="3" t="s">
        <v>113</v>
      </c>
      <c r="C1469" s="3" t="s">
        <v>114</v>
      </c>
      <c r="D1469" s="3" t="s">
        <v>58</v>
      </c>
      <c r="E1469" s="3" t="s">
        <v>59</v>
      </c>
      <c r="F1469" s="3" t="s">
        <v>60</v>
      </c>
      <c r="G1469" s="3" t="s">
        <v>22</v>
      </c>
      <c r="H1469" s="3" t="s">
        <v>83</v>
      </c>
      <c r="I1469" s="3" t="s">
        <v>345</v>
      </c>
      <c r="J1469" s="3" t="s">
        <v>147</v>
      </c>
      <c r="K1469" s="3">
        <v>5</v>
      </c>
      <c r="L1469" s="3">
        <v>22699.35</v>
      </c>
      <c r="M1469" s="3">
        <v>113496.75</v>
      </c>
      <c r="N1469" s="3">
        <v>83422.039999999994</v>
      </c>
      <c r="O1469" s="3">
        <v>30074.71</v>
      </c>
      <c r="P1469" s="3" t="s">
        <v>45</v>
      </c>
    </row>
    <row r="1470" spans="1:16" x14ac:dyDescent="0.35">
      <c r="A1470" s="3" t="s">
        <v>2690</v>
      </c>
      <c r="B1470" s="3" t="s">
        <v>1320</v>
      </c>
      <c r="C1470" s="3" t="s">
        <v>37</v>
      </c>
      <c r="D1470" s="3" t="s">
        <v>90</v>
      </c>
      <c r="E1470" s="3" t="s">
        <v>119</v>
      </c>
      <c r="F1470" s="3" t="s">
        <v>120</v>
      </c>
      <c r="G1470" s="3" t="s">
        <v>22</v>
      </c>
      <c r="H1470" s="3" t="s">
        <v>93</v>
      </c>
      <c r="I1470" s="3" t="s">
        <v>1476</v>
      </c>
      <c r="J1470" s="3" t="s">
        <v>100</v>
      </c>
      <c r="K1470" s="3">
        <v>4</v>
      </c>
      <c r="L1470" s="3">
        <v>7325.93</v>
      </c>
      <c r="M1470" s="3">
        <v>29303.72</v>
      </c>
      <c r="N1470" s="3">
        <v>19375.72</v>
      </c>
      <c r="O1470" s="3">
        <v>9928</v>
      </c>
      <c r="P1470" s="3" t="s">
        <v>86</v>
      </c>
    </row>
    <row r="1471" spans="1:16" x14ac:dyDescent="0.35">
      <c r="A1471" s="3" t="s">
        <v>2691</v>
      </c>
      <c r="B1471" s="3" t="s">
        <v>511</v>
      </c>
      <c r="C1471" s="3" t="s">
        <v>29</v>
      </c>
      <c r="D1471" s="3" t="s">
        <v>90</v>
      </c>
      <c r="E1471" s="3" t="s">
        <v>119</v>
      </c>
      <c r="F1471" s="3" t="s">
        <v>120</v>
      </c>
      <c r="G1471" s="3" t="s">
        <v>51</v>
      </c>
      <c r="H1471" s="3" t="s">
        <v>77</v>
      </c>
      <c r="I1471" s="3" t="s">
        <v>1834</v>
      </c>
      <c r="J1471" s="3" t="s">
        <v>54</v>
      </c>
      <c r="K1471" s="3">
        <v>5</v>
      </c>
      <c r="L1471" s="3">
        <v>13118.22</v>
      </c>
      <c r="M1471" s="3">
        <v>65591.100000000006</v>
      </c>
      <c r="N1471" s="3">
        <v>47147.839999999997</v>
      </c>
      <c r="O1471" s="3">
        <v>18443.259999999998</v>
      </c>
      <c r="P1471" s="3" t="s">
        <v>86</v>
      </c>
    </row>
    <row r="1472" spans="1:16" x14ac:dyDescent="0.35">
      <c r="A1472" s="3" t="s">
        <v>2692</v>
      </c>
      <c r="B1472" s="3" t="s">
        <v>228</v>
      </c>
      <c r="C1472" s="3" t="s">
        <v>114</v>
      </c>
      <c r="D1472" s="3" t="s">
        <v>58</v>
      </c>
      <c r="E1472" s="3" t="s">
        <v>59</v>
      </c>
      <c r="F1472" s="3" t="s">
        <v>60</v>
      </c>
      <c r="G1472" s="3" t="s">
        <v>30</v>
      </c>
      <c r="H1472" s="3" t="s">
        <v>67</v>
      </c>
      <c r="I1472" s="3" t="s">
        <v>2420</v>
      </c>
      <c r="J1472" s="3" t="s">
        <v>44</v>
      </c>
      <c r="K1472" s="3">
        <v>3</v>
      </c>
      <c r="L1472" s="3">
        <v>10193.01</v>
      </c>
      <c r="M1472" s="3">
        <v>30579.03</v>
      </c>
      <c r="N1472" s="3">
        <v>23692.77</v>
      </c>
      <c r="O1472" s="3">
        <v>6886.26</v>
      </c>
      <c r="P1472" s="3" t="s">
        <v>69</v>
      </c>
    </row>
    <row r="1473" spans="1:16" x14ac:dyDescent="0.35">
      <c r="A1473" s="3" t="s">
        <v>2693</v>
      </c>
      <c r="B1473" s="3" t="s">
        <v>2688</v>
      </c>
      <c r="C1473" s="3" t="s">
        <v>48</v>
      </c>
      <c r="D1473" s="3" t="s">
        <v>58</v>
      </c>
      <c r="E1473" s="3" t="s">
        <v>65</v>
      </c>
      <c r="F1473" s="3" t="s">
        <v>66</v>
      </c>
      <c r="G1473" s="3" t="s">
        <v>51</v>
      </c>
      <c r="H1473" s="3" t="s">
        <v>77</v>
      </c>
      <c r="I1473" s="3" t="s">
        <v>2694</v>
      </c>
      <c r="J1473" s="3" t="s">
        <v>217</v>
      </c>
      <c r="K1473" s="3">
        <v>7</v>
      </c>
      <c r="L1473" s="3">
        <v>11959.26</v>
      </c>
      <c r="M1473" s="3">
        <v>83714.820000000007</v>
      </c>
      <c r="N1473" s="3">
        <v>62439.17</v>
      </c>
      <c r="O1473" s="3">
        <v>21275.65</v>
      </c>
      <c r="P1473" s="3" t="s">
        <v>69</v>
      </c>
    </row>
    <row r="1474" spans="1:16" x14ac:dyDescent="0.35">
      <c r="A1474" s="3" t="s">
        <v>2695</v>
      </c>
      <c r="B1474" s="3" t="s">
        <v>195</v>
      </c>
      <c r="C1474" s="3" t="s">
        <v>18</v>
      </c>
      <c r="D1474" s="3" t="s">
        <v>19</v>
      </c>
      <c r="E1474" s="3" t="s">
        <v>199</v>
      </c>
      <c r="F1474" s="3" t="s">
        <v>200</v>
      </c>
      <c r="G1474" s="3" t="s">
        <v>22</v>
      </c>
      <c r="H1474" s="3" t="s">
        <v>23</v>
      </c>
      <c r="I1474" s="3" t="s">
        <v>68</v>
      </c>
      <c r="J1474" s="3" t="s">
        <v>217</v>
      </c>
      <c r="K1474" s="3">
        <v>6</v>
      </c>
      <c r="L1474" s="3">
        <v>3724.15</v>
      </c>
      <c r="M1474" s="3">
        <v>22344.9</v>
      </c>
      <c r="N1474" s="3">
        <v>13821.93</v>
      </c>
      <c r="O1474" s="3">
        <v>8522.9699999999993</v>
      </c>
      <c r="P1474" s="3" t="s">
        <v>69</v>
      </c>
    </row>
    <row r="1475" spans="1:16" x14ac:dyDescent="0.35">
      <c r="A1475" s="3" t="s">
        <v>2696</v>
      </c>
      <c r="B1475" s="3" t="s">
        <v>1166</v>
      </c>
      <c r="C1475" s="3" t="s">
        <v>118</v>
      </c>
      <c r="D1475" s="3" t="s">
        <v>90</v>
      </c>
      <c r="E1475" s="3" t="s">
        <v>91</v>
      </c>
      <c r="F1475" s="3" t="s">
        <v>92</v>
      </c>
      <c r="G1475" s="3" t="s">
        <v>41</v>
      </c>
      <c r="H1475" s="3" t="s">
        <v>138</v>
      </c>
      <c r="I1475" s="3" t="s">
        <v>2697</v>
      </c>
      <c r="J1475" s="3" t="s">
        <v>131</v>
      </c>
      <c r="K1475" s="3">
        <v>5</v>
      </c>
      <c r="L1475" s="3">
        <v>18977.080000000002</v>
      </c>
      <c r="M1475" s="3">
        <v>94885.4</v>
      </c>
      <c r="N1475" s="3">
        <v>69347.86</v>
      </c>
      <c r="O1475" s="3">
        <v>25537.54</v>
      </c>
      <c r="P1475" s="3" t="s">
        <v>26</v>
      </c>
    </row>
    <row r="1476" spans="1:16" x14ac:dyDescent="0.35">
      <c r="A1476" s="3" t="s">
        <v>2698</v>
      </c>
      <c r="B1476" s="3" t="s">
        <v>1205</v>
      </c>
      <c r="C1476" s="3" t="s">
        <v>114</v>
      </c>
      <c r="D1476" s="3" t="s">
        <v>19</v>
      </c>
      <c r="E1476" s="3" t="s">
        <v>49</v>
      </c>
      <c r="F1476" s="3" t="s">
        <v>50</v>
      </c>
      <c r="G1476" s="3" t="s">
        <v>41</v>
      </c>
      <c r="H1476" s="3" t="s">
        <v>42</v>
      </c>
      <c r="I1476" s="3" t="s">
        <v>2699</v>
      </c>
      <c r="J1476" s="3" t="s">
        <v>106</v>
      </c>
      <c r="K1476" s="3">
        <v>2</v>
      </c>
      <c r="L1476" s="3">
        <v>47066.48</v>
      </c>
      <c r="M1476" s="3">
        <v>94132.96</v>
      </c>
      <c r="N1476" s="3">
        <v>71591.149999999994</v>
      </c>
      <c r="O1476" s="3">
        <v>22541.81</v>
      </c>
      <c r="P1476" s="3" t="s">
        <v>34</v>
      </c>
    </row>
    <row r="1477" spans="1:16" x14ac:dyDescent="0.35">
      <c r="A1477" s="3" t="s">
        <v>2700</v>
      </c>
      <c r="B1477" s="3" t="s">
        <v>230</v>
      </c>
      <c r="C1477" s="3" t="s">
        <v>118</v>
      </c>
      <c r="D1477" s="3" t="s">
        <v>19</v>
      </c>
      <c r="E1477" s="3" t="s">
        <v>20</v>
      </c>
      <c r="F1477" s="3" t="s">
        <v>21</v>
      </c>
      <c r="G1477" s="3" t="s">
        <v>30</v>
      </c>
      <c r="H1477" s="3" t="s">
        <v>67</v>
      </c>
      <c r="I1477" s="3" t="s">
        <v>2358</v>
      </c>
      <c r="J1477" s="3" t="s">
        <v>154</v>
      </c>
      <c r="K1477" s="3">
        <v>3</v>
      </c>
      <c r="L1477" s="3">
        <v>10387.790000000001</v>
      </c>
      <c r="M1477" s="3">
        <v>31163.37</v>
      </c>
      <c r="N1477" s="3">
        <v>22419.88</v>
      </c>
      <c r="O1477" s="3">
        <v>8743.49</v>
      </c>
      <c r="P1477" s="3" t="s">
        <v>69</v>
      </c>
    </row>
    <row r="1478" spans="1:16" x14ac:dyDescent="0.35">
      <c r="A1478" s="3" t="s">
        <v>2701</v>
      </c>
      <c r="B1478" s="3" t="s">
        <v>274</v>
      </c>
      <c r="C1478" s="3" t="s">
        <v>57</v>
      </c>
      <c r="D1478" s="3" t="s">
        <v>19</v>
      </c>
      <c r="E1478" s="3" t="s">
        <v>199</v>
      </c>
      <c r="F1478" s="3" t="s">
        <v>200</v>
      </c>
      <c r="G1478" s="3" t="s">
        <v>51</v>
      </c>
      <c r="H1478" s="3" t="s">
        <v>145</v>
      </c>
      <c r="I1478" s="3" t="s">
        <v>1424</v>
      </c>
      <c r="J1478" s="3" t="s">
        <v>161</v>
      </c>
      <c r="K1478" s="3">
        <v>4</v>
      </c>
      <c r="L1478" s="3">
        <v>128.79</v>
      </c>
      <c r="M1478" s="3">
        <v>515.16</v>
      </c>
      <c r="N1478" s="3">
        <v>236.59</v>
      </c>
      <c r="O1478" s="3">
        <v>278.57</v>
      </c>
      <c r="P1478" s="3" t="s">
        <v>45</v>
      </c>
    </row>
    <row r="1479" spans="1:16" x14ac:dyDescent="0.35">
      <c r="A1479" s="3" t="s">
        <v>2702</v>
      </c>
      <c r="B1479" s="3" t="s">
        <v>96</v>
      </c>
      <c r="C1479" s="3" t="s">
        <v>48</v>
      </c>
      <c r="D1479" s="3" t="s">
        <v>38</v>
      </c>
      <c r="E1479" s="3" t="s">
        <v>104</v>
      </c>
      <c r="F1479" s="3" t="s">
        <v>104</v>
      </c>
      <c r="G1479" s="3" t="s">
        <v>22</v>
      </c>
      <c r="H1479" s="3" t="s">
        <v>23</v>
      </c>
      <c r="I1479" s="3" t="s">
        <v>2703</v>
      </c>
      <c r="J1479" s="3" t="s">
        <v>54</v>
      </c>
      <c r="K1479" s="3">
        <v>2</v>
      </c>
      <c r="L1479" s="3">
        <v>3404.22</v>
      </c>
      <c r="M1479" s="3">
        <v>6808.44</v>
      </c>
      <c r="N1479" s="3">
        <v>4336.07</v>
      </c>
      <c r="O1479" s="3">
        <v>2472.37</v>
      </c>
      <c r="P1479" s="3" t="s">
        <v>69</v>
      </c>
    </row>
    <row r="1480" spans="1:16" x14ac:dyDescent="0.35">
      <c r="A1480" s="3" t="s">
        <v>2704</v>
      </c>
      <c r="B1480" s="3" t="s">
        <v>1053</v>
      </c>
      <c r="C1480" s="3" t="s">
        <v>82</v>
      </c>
      <c r="D1480" s="3" t="s">
        <v>19</v>
      </c>
      <c r="E1480" s="3" t="s">
        <v>49</v>
      </c>
      <c r="F1480" s="3" t="s">
        <v>50</v>
      </c>
      <c r="G1480" s="3" t="s">
        <v>22</v>
      </c>
      <c r="H1480" s="3" t="s">
        <v>83</v>
      </c>
      <c r="I1480" s="3" t="s">
        <v>226</v>
      </c>
      <c r="J1480" s="3" t="s">
        <v>217</v>
      </c>
      <c r="K1480" s="3">
        <v>6</v>
      </c>
      <c r="L1480" s="3">
        <v>21753.040000000001</v>
      </c>
      <c r="M1480" s="3">
        <v>130518.24</v>
      </c>
      <c r="N1480" s="3">
        <v>104721.66</v>
      </c>
      <c r="O1480" s="3">
        <v>25796.58</v>
      </c>
      <c r="P1480" s="3" t="s">
        <v>69</v>
      </c>
    </row>
    <row r="1481" spans="1:16" x14ac:dyDescent="0.35">
      <c r="A1481" s="3" t="s">
        <v>2705</v>
      </c>
      <c r="B1481" s="3" t="s">
        <v>1202</v>
      </c>
      <c r="C1481" s="3" t="s">
        <v>118</v>
      </c>
      <c r="D1481" s="3" t="s">
        <v>19</v>
      </c>
      <c r="E1481" s="3" t="s">
        <v>199</v>
      </c>
      <c r="F1481" s="3" t="s">
        <v>200</v>
      </c>
      <c r="G1481" s="3" t="s">
        <v>41</v>
      </c>
      <c r="H1481" s="3" t="s">
        <v>42</v>
      </c>
      <c r="I1481" s="3" t="s">
        <v>2056</v>
      </c>
      <c r="J1481" s="3" t="s">
        <v>106</v>
      </c>
      <c r="K1481" s="3">
        <v>1</v>
      </c>
      <c r="L1481" s="3">
        <v>48545.37</v>
      </c>
      <c r="M1481" s="3">
        <v>48545.37</v>
      </c>
      <c r="N1481" s="3">
        <v>35105.870000000003</v>
      </c>
      <c r="O1481" s="3">
        <v>13439.5</v>
      </c>
      <c r="P1481" s="3" t="s">
        <v>45</v>
      </c>
    </row>
    <row r="1482" spans="1:16" x14ac:dyDescent="0.35">
      <c r="A1482" s="3" t="s">
        <v>2706</v>
      </c>
      <c r="B1482" s="3" t="s">
        <v>225</v>
      </c>
      <c r="C1482" s="3" t="s">
        <v>89</v>
      </c>
      <c r="D1482" s="3" t="s">
        <v>90</v>
      </c>
      <c r="E1482" s="3" t="s">
        <v>119</v>
      </c>
      <c r="F1482" s="3" t="s">
        <v>120</v>
      </c>
      <c r="G1482" s="3" t="s">
        <v>41</v>
      </c>
      <c r="H1482" s="3" t="s">
        <v>42</v>
      </c>
      <c r="I1482" s="3" t="s">
        <v>1070</v>
      </c>
      <c r="J1482" s="3" t="s">
        <v>106</v>
      </c>
      <c r="K1482" s="3">
        <v>2</v>
      </c>
      <c r="L1482" s="3">
        <v>42613</v>
      </c>
      <c r="M1482" s="3">
        <v>85226</v>
      </c>
      <c r="N1482" s="3">
        <v>66567.53</v>
      </c>
      <c r="O1482" s="3">
        <v>18658.47</v>
      </c>
      <c r="P1482" s="3" t="s">
        <v>26</v>
      </c>
    </row>
    <row r="1483" spans="1:16" x14ac:dyDescent="0.35">
      <c r="A1483" s="3" t="s">
        <v>2707</v>
      </c>
      <c r="B1483" s="3" t="s">
        <v>2028</v>
      </c>
      <c r="C1483" s="3" t="s">
        <v>137</v>
      </c>
      <c r="D1483" s="3" t="s">
        <v>38</v>
      </c>
      <c r="E1483" s="3" t="s">
        <v>39</v>
      </c>
      <c r="F1483" s="3" t="s">
        <v>40</v>
      </c>
      <c r="G1483" s="3" t="s">
        <v>22</v>
      </c>
      <c r="H1483" s="3" t="s">
        <v>93</v>
      </c>
      <c r="I1483" s="3" t="s">
        <v>950</v>
      </c>
      <c r="J1483" s="3" t="s">
        <v>54</v>
      </c>
      <c r="K1483" s="3">
        <v>6</v>
      </c>
      <c r="L1483" s="3">
        <v>7094.82</v>
      </c>
      <c r="M1483" s="3">
        <v>42568.92</v>
      </c>
      <c r="N1483" s="3">
        <v>30900.639999999999</v>
      </c>
      <c r="O1483" s="3">
        <v>11668.28</v>
      </c>
      <c r="P1483" s="3" t="s">
        <v>26</v>
      </c>
    </row>
    <row r="1484" spans="1:16" x14ac:dyDescent="0.35">
      <c r="A1484" s="3" t="s">
        <v>2708</v>
      </c>
      <c r="B1484" s="3" t="s">
        <v>765</v>
      </c>
      <c r="C1484" s="3" t="s">
        <v>57</v>
      </c>
      <c r="D1484" s="3" t="s">
        <v>90</v>
      </c>
      <c r="E1484" s="3" t="s">
        <v>91</v>
      </c>
      <c r="F1484" s="3" t="s">
        <v>92</v>
      </c>
      <c r="G1484" s="3" t="s">
        <v>30</v>
      </c>
      <c r="H1484" s="3" t="s">
        <v>73</v>
      </c>
      <c r="I1484" s="3" t="s">
        <v>1116</v>
      </c>
      <c r="J1484" s="3" t="s">
        <v>171</v>
      </c>
      <c r="K1484" s="3">
        <v>1</v>
      </c>
      <c r="L1484" s="3">
        <v>2997.67</v>
      </c>
      <c r="M1484" s="3">
        <v>2997.67</v>
      </c>
      <c r="N1484" s="3">
        <v>2496.23</v>
      </c>
      <c r="O1484" s="3">
        <v>501.44</v>
      </c>
      <c r="P1484" s="3" t="s">
        <v>26</v>
      </c>
    </row>
    <row r="1485" spans="1:16" x14ac:dyDescent="0.35">
      <c r="A1485" s="3" t="s">
        <v>2709</v>
      </c>
      <c r="B1485" s="3" t="s">
        <v>1997</v>
      </c>
      <c r="C1485" s="3" t="s">
        <v>114</v>
      </c>
      <c r="D1485" s="3" t="s">
        <v>58</v>
      </c>
      <c r="E1485" s="3" t="s">
        <v>176</v>
      </c>
      <c r="F1485" s="3" t="s">
        <v>177</v>
      </c>
      <c r="G1485" s="3" t="s">
        <v>41</v>
      </c>
      <c r="H1485" s="3" t="s">
        <v>61</v>
      </c>
      <c r="I1485" s="3" t="s">
        <v>578</v>
      </c>
      <c r="J1485" s="3" t="s">
        <v>161</v>
      </c>
      <c r="K1485" s="3">
        <v>3</v>
      </c>
      <c r="L1485" s="3">
        <v>2597.4699999999998</v>
      </c>
      <c r="M1485" s="3">
        <v>7792.41</v>
      </c>
      <c r="N1485" s="3">
        <v>4842.83</v>
      </c>
      <c r="O1485" s="3">
        <v>2949.58</v>
      </c>
      <c r="P1485" s="3" t="s">
        <v>34</v>
      </c>
    </row>
    <row r="1486" spans="1:16" x14ac:dyDescent="0.35">
      <c r="A1486" s="3" t="s">
        <v>2710</v>
      </c>
      <c r="B1486" s="3" t="s">
        <v>767</v>
      </c>
      <c r="C1486" s="3" t="s">
        <v>82</v>
      </c>
      <c r="D1486" s="3" t="s">
        <v>90</v>
      </c>
      <c r="E1486" s="3" t="s">
        <v>119</v>
      </c>
      <c r="F1486" s="3" t="s">
        <v>120</v>
      </c>
      <c r="G1486" s="3" t="s">
        <v>30</v>
      </c>
      <c r="H1486" s="3" t="s">
        <v>31</v>
      </c>
      <c r="I1486" s="3" t="s">
        <v>805</v>
      </c>
      <c r="J1486" s="3" t="s">
        <v>44</v>
      </c>
      <c r="K1486" s="3">
        <v>5</v>
      </c>
      <c r="L1486" s="3">
        <v>2825.94</v>
      </c>
      <c r="M1486" s="3">
        <v>14129.7</v>
      </c>
      <c r="N1486" s="3">
        <v>9972.69</v>
      </c>
      <c r="O1486" s="3">
        <v>4157.01</v>
      </c>
      <c r="P1486" s="3" t="s">
        <v>34</v>
      </c>
    </row>
    <row r="1487" spans="1:16" x14ac:dyDescent="0.35">
      <c r="A1487" s="3" t="s">
        <v>2711</v>
      </c>
      <c r="B1487" s="3" t="s">
        <v>547</v>
      </c>
      <c r="C1487" s="3" t="s">
        <v>89</v>
      </c>
      <c r="D1487" s="3" t="s">
        <v>38</v>
      </c>
      <c r="E1487" s="3" t="s">
        <v>39</v>
      </c>
      <c r="F1487" s="3" t="s">
        <v>40</v>
      </c>
      <c r="G1487" s="3" t="s">
        <v>41</v>
      </c>
      <c r="H1487" s="3" t="s">
        <v>138</v>
      </c>
      <c r="I1487" s="3" t="s">
        <v>587</v>
      </c>
      <c r="J1487" s="3" t="s">
        <v>131</v>
      </c>
      <c r="K1487" s="3">
        <v>7</v>
      </c>
      <c r="L1487" s="3">
        <v>19456.86</v>
      </c>
      <c r="M1487" s="3">
        <v>136198.01999999999</v>
      </c>
      <c r="N1487" s="3">
        <v>101406.53</v>
      </c>
      <c r="O1487" s="3">
        <v>34791.49</v>
      </c>
      <c r="P1487" s="3" t="s">
        <v>69</v>
      </c>
    </row>
    <row r="1488" spans="1:16" x14ac:dyDescent="0.35">
      <c r="A1488" s="3" t="s">
        <v>2712</v>
      </c>
      <c r="B1488" s="3" t="s">
        <v>203</v>
      </c>
      <c r="C1488" s="3" t="s">
        <v>48</v>
      </c>
      <c r="D1488" s="3" t="s">
        <v>58</v>
      </c>
      <c r="E1488" s="3" t="s">
        <v>176</v>
      </c>
      <c r="F1488" s="3" t="s">
        <v>177</v>
      </c>
      <c r="G1488" s="3" t="s">
        <v>51</v>
      </c>
      <c r="H1488" s="3" t="s">
        <v>52</v>
      </c>
      <c r="I1488" s="3" t="s">
        <v>2043</v>
      </c>
      <c r="J1488" s="3" t="s">
        <v>33</v>
      </c>
      <c r="K1488" s="3">
        <v>3</v>
      </c>
      <c r="L1488" s="3">
        <v>23.77</v>
      </c>
      <c r="M1488" s="3">
        <v>71.31</v>
      </c>
      <c r="N1488" s="3">
        <v>30.93</v>
      </c>
      <c r="O1488" s="3">
        <v>40.380000000000003</v>
      </c>
      <c r="P1488" s="3" t="s">
        <v>86</v>
      </c>
    </row>
    <row r="1489" spans="1:16" x14ac:dyDescent="0.35">
      <c r="A1489" s="3" t="s">
        <v>2713</v>
      </c>
      <c r="B1489" s="3" t="s">
        <v>852</v>
      </c>
      <c r="C1489" s="3" t="s">
        <v>118</v>
      </c>
      <c r="D1489" s="3" t="s">
        <v>90</v>
      </c>
      <c r="E1489" s="3" t="s">
        <v>97</v>
      </c>
      <c r="F1489" s="3" t="s">
        <v>98</v>
      </c>
      <c r="G1489" s="3" t="s">
        <v>41</v>
      </c>
      <c r="H1489" s="3" t="s">
        <v>138</v>
      </c>
      <c r="I1489" s="3" t="s">
        <v>1866</v>
      </c>
      <c r="J1489" s="3" t="s">
        <v>161</v>
      </c>
      <c r="K1489" s="3">
        <v>3</v>
      </c>
      <c r="L1489" s="3">
        <v>17164.07</v>
      </c>
      <c r="M1489" s="3">
        <v>51492.21</v>
      </c>
      <c r="N1489" s="3">
        <v>42665.98</v>
      </c>
      <c r="O1489" s="3">
        <v>8826.23</v>
      </c>
      <c r="P1489" s="3" t="s">
        <v>34</v>
      </c>
    </row>
    <row r="1490" spans="1:16" x14ac:dyDescent="0.35">
      <c r="A1490" s="3" t="s">
        <v>2714</v>
      </c>
      <c r="B1490" s="3" t="s">
        <v>452</v>
      </c>
      <c r="C1490" s="3" t="s">
        <v>114</v>
      </c>
      <c r="D1490" s="3" t="s">
        <v>58</v>
      </c>
      <c r="E1490" s="3" t="s">
        <v>59</v>
      </c>
      <c r="F1490" s="3" t="s">
        <v>60</v>
      </c>
      <c r="G1490" s="3" t="s">
        <v>30</v>
      </c>
      <c r="H1490" s="3" t="s">
        <v>73</v>
      </c>
      <c r="I1490" s="3" t="s">
        <v>289</v>
      </c>
      <c r="J1490" s="3" t="s">
        <v>44</v>
      </c>
      <c r="K1490" s="3">
        <v>4</v>
      </c>
      <c r="L1490" s="3">
        <v>3249.73</v>
      </c>
      <c r="M1490" s="3">
        <v>12998.92</v>
      </c>
      <c r="N1490" s="3">
        <v>9762.93</v>
      </c>
      <c r="O1490" s="3">
        <v>3235.99</v>
      </c>
      <c r="P1490" s="3" t="s">
        <v>45</v>
      </c>
    </row>
    <row r="1491" spans="1:16" x14ac:dyDescent="0.35">
      <c r="A1491" s="3" t="s">
        <v>2715</v>
      </c>
      <c r="B1491" s="3" t="s">
        <v>2211</v>
      </c>
      <c r="C1491" s="3" t="s">
        <v>72</v>
      </c>
      <c r="D1491" s="3" t="s">
        <v>38</v>
      </c>
      <c r="E1491" s="3" t="s">
        <v>104</v>
      </c>
      <c r="F1491" s="3" t="s">
        <v>104</v>
      </c>
      <c r="G1491" s="3" t="s">
        <v>30</v>
      </c>
      <c r="H1491" s="3" t="s">
        <v>73</v>
      </c>
      <c r="I1491" s="3" t="s">
        <v>450</v>
      </c>
      <c r="J1491" s="3" t="s">
        <v>85</v>
      </c>
      <c r="K1491" s="3">
        <v>5</v>
      </c>
      <c r="L1491" s="3">
        <v>3511.69</v>
      </c>
      <c r="M1491" s="3">
        <v>17558.45</v>
      </c>
      <c r="N1491" s="3">
        <v>11723.3</v>
      </c>
      <c r="O1491" s="3">
        <v>5835.15</v>
      </c>
      <c r="P1491" s="3" t="s">
        <v>86</v>
      </c>
    </row>
    <row r="1492" spans="1:16" x14ac:dyDescent="0.35">
      <c r="A1492" s="3" t="s">
        <v>2716</v>
      </c>
      <c r="B1492" s="3" t="s">
        <v>762</v>
      </c>
      <c r="C1492" s="3" t="s">
        <v>137</v>
      </c>
      <c r="D1492" s="3" t="s">
        <v>58</v>
      </c>
      <c r="E1492" s="3" t="s">
        <v>59</v>
      </c>
      <c r="F1492" s="3" t="s">
        <v>60</v>
      </c>
      <c r="G1492" s="3" t="s">
        <v>51</v>
      </c>
      <c r="H1492" s="3" t="s">
        <v>52</v>
      </c>
      <c r="I1492" s="3" t="s">
        <v>2158</v>
      </c>
      <c r="J1492" s="3" t="s">
        <v>33</v>
      </c>
      <c r="K1492" s="3">
        <v>4</v>
      </c>
      <c r="L1492" s="3">
        <v>24.78</v>
      </c>
      <c r="M1492" s="3">
        <v>99.12</v>
      </c>
      <c r="N1492" s="3">
        <v>39.340000000000003</v>
      </c>
      <c r="O1492" s="3">
        <v>59.78</v>
      </c>
      <c r="P1492" s="3" t="s">
        <v>69</v>
      </c>
    </row>
    <row r="1493" spans="1:16" x14ac:dyDescent="0.35">
      <c r="A1493" s="3" t="s">
        <v>2717</v>
      </c>
      <c r="B1493" s="3" t="s">
        <v>230</v>
      </c>
      <c r="C1493" s="3" t="s">
        <v>118</v>
      </c>
      <c r="D1493" s="3" t="s">
        <v>38</v>
      </c>
      <c r="E1493" s="3" t="s">
        <v>109</v>
      </c>
      <c r="F1493" s="3" t="s">
        <v>110</v>
      </c>
      <c r="G1493" s="3" t="s">
        <v>30</v>
      </c>
      <c r="H1493" s="3" t="s">
        <v>31</v>
      </c>
      <c r="I1493" s="3" t="s">
        <v>2649</v>
      </c>
      <c r="J1493" s="3" t="s">
        <v>44</v>
      </c>
      <c r="K1493" s="3">
        <v>5</v>
      </c>
      <c r="L1493" s="3">
        <v>3059.89</v>
      </c>
      <c r="M1493" s="3">
        <v>15299.45</v>
      </c>
      <c r="N1493" s="3">
        <v>9070.8700000000008</v>
      </c>
      <c r="O1493" s="3">
        <v>6228.58</v>
      </c>
      <c r="P1493" s="3" t="s">
        <v>69</v>
      </c>
    </row>
    <row r="1494" spans="1:16" x14ac:dyDescent="0.35">
      <c r="A1494" s="3" t="s">
        <v>2718</v>
      </c>
      <c r="B1494" s="3" t="s">
        <v>927</v>
      </c>
      <c r="C1494" s="3" t="s">
        <v>57</v>
      </c>
      <c r="D1494" s="3" t="s">
        <v>90</v>
      </c>
      <c r="E1494" s="3" t="s">
        <v>91</v>
      </c>
      <c r="F1494" s="3" t="s">
        <v>92</v>
      </c>
      <c r="G1494" s="3" t="s">
        <v>30</v>
      </c>
      <c r="H1494" s="3" t="s">
        <v>67</v>
      </c>
      <c r="I1494" s="3" t="s">
        <v>325</v>
      </c>
      <c r="J1494" s="3" t="s">
        <v>79</v>
      </c>
      <c r="K1494" s="3">
        <v>5</v>
      </c>
      <c r="L1494" s="3">
        <v>9513.57</v>
      </c>
      <c r="M1494" s="3">
        <v>47567.85</v>
      </c>
      <c r="N1494" s="3">
        <v>36509.54</v>
      </c>
      <c r="O1494" s="3">
        <v>11058.31</v>
      </c>
      <c r="P1494" s="3" t="s">
        <v>45</v>
      </c>
    </row>
    <row r="1495" spans="1:16" x14ac:dyDescent="0.35">
      <c r="A1495" s="3" t="s">
        <v>2719</v>
      </c>
      <c r="B1495" s="3" t="s">
        <v>1308</v>
      </c>
      <c r="C1495" s="3" t="s">
        <v>48</v>
      </c>
      <c r="D1495" s="3" t="s">
        <v>38</v>
      </c>
      <c r="E1495" s="3" t="s">
        <v>109</v>
      </c>
      <c r="F1495" s="3" t="s">
        <v>110</v>
      </c>
      <c r="G1495" s="3" t="s">
        <v>41</v>
      </c>
      <c r="H1495" s="3" t="s">
        <v>42</v>
      </c>
      <c r="I1495" s="3" t="s">
        <v>433</v>
      </c>
      <c r="J1495" s="3" t="s">
        <v>131</v>
      </c>
      <c r="K1495" s="3">
        <v>2</v>
      </c>
      <c r="L1495" s="3">
        <v>42359.56</v>
      </c>
      <c r="M1495" s="3">
        <v>84719.12</v>
      </c>
      <c r="N1495" s="3">
        <v>68765.08</v>
      </c>
      <c r="O1495" s="3">
        <v>15954.04</v>
      </c>
      <c r="P1495" s="3" t="s">
        <v>26</v>
      </c>
    </row>
    <row r="1496" spans="1:16" x14ac:dyDescent="0.35">
      <c r="A1496" s="3" t="s">
        <v>2720</v>
      </c>
      <c r="B1496" s="3" t="s">
        <v>324</v>
      </c>
      <c r="C1496" s="3" t="s">
        <v>29</v>
      </c>
      <c r="D1496" s="3" t="s">
        <v>90</v>
      </c>
      <c r="E1496" s="3" t="s">
        <v>119</v>
      </c>
      <c r="F1496" s="3" t="s">
        <v>120</v>
      </c>
      <c r="G1496" s="3" t="s">
        <v>22</v>
      </c>
      <c r="H1496" s="3" t="s">
        <v>83</v>
      </c>
      <c r="I1496" s="3" t="s">
        <v>2721</v>
      </c>
      <c r="J1496" s="3" t="s">
        <v>161</v>
      </c>
      <c r="K1496" s="3">
        <v>3</v>
      </c>
      <c r="L1496" s="3">
        <v>20130.849999999999</v>
      </c>
      <c r="M1496" s="3">
        <v>60392.55</v>
      </c>
      <c r="N1496" s="3">
        <v>52192.72</v>
      </c>
      <c r="O1496" s="3">
        <v>8199.83</v>
      </c>
      <c r="P1496" s="3" t="s">
        <v>45</v>
      </c>
    </row>
    <row r="1497" spans="1:16" x14ac:dyDescent="0.35">
      <c r="A1497" s="3" t="s">
        <v>2722</v>
      </c>
      <c r="B1497" s="3" t="s">
        <v>994</v>
      </c>
      <c r="C1497" s="3" t="s">
        <v>29</v>
      </c>
      <c r="D1497" s="3" t="s">
        <v>38</v>
      </c>
      <c r="E1497" s="3" t="s">
        <v>39</v>
      </c>
      <c r="F1497" s="3" t="s">
        <v>40</v>
      </c>
      <c r="G1497" s="3" t="s">
        <v>51</v>
      </c>
      <c r="H1497" s="3" t="s">
        <v>145</v>
      </c>
      <c r="I1497" s="3" t="s">
        <v>2723</v>
      </c>
      <c r="J1497" s="3" t="s">
        <v>85</v>
      </c>
      <c r="K1497" s="3">
        <v>4</v>
      </c>
      <c r="L1497" s="3">
        <v>131.59</v>
      </c>
      <c r="M1497" s="3">
        <v>526.36</v>
      </c>
      <c r="N1497" s="3">
        <v>235.67</v>
      </c>
      <c r="O1497" s="3">
        <v>290.69</v>
      </c>
      <c r="P1497" s="3" t="s">
        <v>69</v>
      </c>
    </row>
    <row r="1498" spans="1:16" x14ac:dyDescent="0.35">
      <c r="A1498" s="3" t="s">
        <v>2724</v>
      </c>
      <c r="B1498" s="3" t="s">
        <v>1348</v>
      </c>
      <c r="C1498" s="3" t="s">
        <v>57</v>
      </c>
      <c r="D1498" s="3" t="s">
        <v>19</v>
      </c>
      <c r="E1498" s="3" t="s">
        <v>20</v>
      </c>
      <c r="F1498" s="3" t="s">
        <v>21</v>
      </c>
      <c r="G1498" s="3" t="s">
        <v>30</v>
      </c>
      <c r="H1498" s="3" t="s">
        <v>31</v>
      </c>
      <c r="I1498" s="3" t="s">
        <v>399</v>
      </c>
      <c r="J1498" s="3" t="s">
        <v>106</v>
      </c>
      <c r="K1498" s="3">
        <v>6</v>
      </c>
      <c r="L1498" s="3">
        <v>3054.3</v>
      </c>
      <c r="M1498" s="3">
        <v>18325.8</v>
      </c>
      <c r="N1498" s="3">
        <v>11947.24</v>
      </c>
      <c r="O1498" s="3">
        <v>6378.56</v>
      </c>
      <c r="P1498" s="3" t="s">
        <v>86</v>
      </c>
    </row>
    <row r="1499" spans="1:16" x14ac:dyDescent="0.35">
      <c r="A1499" s="3" t="s">
        <v>2725</v>
      </c>
      <c r="B1499" s="3" t="s">
        <v>260</v>
      </c>
      <c r="C1499" s="3" t="s">
        <v>37</v>
      </c>
      <c r="D1499" s="3" t="s">
        <v>38</v>
      </c>
      <c r="E1499" s="3" t="s">
        <v>104</v>
      </c>
      <c r="F1499" s="3" t="s">
        <v>104</v>
      </c>
      <c r="G1499" s="3" t="s">
        <v>22</v>
      </c>
      <c r="H1499" s="3" t="s">
        <v>83</v>
      </c>
      <c r="I1499" s="3" t="s">
        <v>316</v>
      </c>
      <c r="J1499" s="3" t="s">
        <v>100</v>
      </c>
      <c r="K1499" s="3">
        <v>3</v>
      </c>
      <c r="L1499" s="3">
        <v>23239.38</v>
      </c>
      <c r="M1499" s="3">
        <v>69718.14</v>
      </c>
      <c r="N1499" s="3">
        <v>52293.27</v>
      </c>
      <c r="O1499" s="3">
        <v>17424.87</v>
      </c>
      <c r="P1499" s="3" t="s">
        <v>45</v>
      </c>
    </row>
    <row r="1500" spans="1:16" x14ac:dyDescent="0.35">
      <c r="A1500" s="3" t="s">
        <v>2726</v>
      </c>
      <c r="B1500" s="3" t="s">
        <v>336</v>
      </c>
      <c r="C1500" s="3" t="s">
        <v>29</v>
      </c>
      <c r="D1500" s="3" t="s">
        <v>90</v>
      </c>
      <c r="E1500" s="3" t="s">
        <v>119</v>
      </c>
      <c r="F1500" s="3" t="s">
        <v>120</v>
      </c>
      <c r="G1500" s="3" t="s">
        <v>51</v>
      </c>
      <c r="H1500" s="3" t="s">
        <v>77</v>
      </c>
      <c r="I1500" s="3" t="s">
        <v>1258</v>
      </c>
      <c r="J1500" s="3" t="s">
        <v>33</v>
      </c>
      <c r="K1500" s="3">
        <v>7</v>
      </c>
      <c r="L1500" s="3">
        <v>12379.06</v>
      </c>
      <c r="M1500" s="3">
        <v>86653.42</v>
      </c>
      <c r="N1500" s="3">
        <v>60055.9</v>
      </c>
      <c r="O1500" s="3">
        <v>26597.52</v>
      </c>
      <c r="P1500" s="3" t="s">
        <v>34</v>
      </c>
    </row>
    <row r="1501" spans="1:16" x14ac:dyDescent="0.35">
      <c r="A1501" s="3" t="s">
        <v>2727</v>
      </c>
      <c r="B1501" s="3" t="s">
        <v>994</v>
      </c>
      <c r="C1501" s="3" t="s">
        <v>29</v>
      </c>
      <c r="D1501" s="3" t="s">
        <v>90</v>
      </c>
      <c r="E1501" s="3" t="s">
        <v>91</v>
      </c>
      <c r="F1501" s="3" t="s">
        <v>92</v>
      </c>
      <c r="G1501" s="3" t="s">
        <v>51</v>
      </c>
      <c r="H1501" s="3" t="s">
        <v>145</v>
      </c>
      <c r="I1501" s="3" t="s">
        <v>2728</v>
      </c>
      <c r="J1501" s="3" t="s">
        <v>85</v>
      </c>
      <c r="K1501" s="3">
        <v>5</v>
      </c>
      <c r="L1501" s="3">
        <v>109.66</v>
      </c>
      <c r="M1501" s="3">
        <v>548.29999999999995</v>
      </c>
      <c r="N1501" s="3">
        <v>291.47000000000003</v>
      </c>
      <c r="O1501" s="3">
        <v>256.83</v>
      </c>
      <c r="P1501" s="3" t="s">
        <v>26</v>
      </c>
    </row>
    <row r="1502" spans="1:16" x14ac:dyDescent="0.35">
      <c r="A1502" s="3" t="s">
        <v>2729</v>
      </c>
      <c r="B1502" s="3" t="s">
        <v>254</v>
      </c>
      <c r="C1502" s="3" t="s">
        <v>82</v>
      </c>
      <c r="D1502" s="3" t="s">
        <v>38</v>
      </c>
      <c r="E1502" s="3" t="s">
        <v>104</v>
      </c>
      <c r="F1502" s="3" t="s">
        <v>104</v>
      </c>
      <c r="G1502" s="3" t="s">
        <v>41</v>
      </c>
      <c r="H1502" s="3" t="s">
        <v>42</v>
      </c>
      <c r="I1502" s="3" t="s">
        <v>917</v>
      </c>
      <c r="J1502" s="3" t="s">
        <v>217</v>
      </c>
      <c r="K1502" s="3">
        <v>8</v>
      </c>
      <c r="L1502" s="3">
        <v>45466.75</v>
      </c>
      <c r="M1502" s="3">
        <v>363734</v>
      </c>
      <c r="N1502" s="3">
        <v>280045.95</v>
      </c>
      <c r="O1502" s="3">
        <v>83688.05</v>
      </c>
      <c r="P1502" s="3" t="s">
        <v>34</v>
      </c>
    </row>
    <row r="1503" spans="1:16" x14ac:dyDescent="0.35">
      <c r="A1503" s="3" t="s">
        <v>2730</v>
      </c>
      <c r="B1503" s="3" t="s">
        <v>1858</v>
      </c>
      <c r="C1503" s="3" t="s">
        <v>89</v>
      </c>
      <c r="D1503" s="3" t="s">
        <v>90</v>
      </c>
      <c r="E1503" s="3" t="s">
        <v>119</v>
      </c>
      <c r="F1503" s="3" t="s">
        <v>120</v>
      </c>
      <c r="G1503" s="3" t="s">
        <v>51</v>
      </c>
      <c r="H1503" s="3" t="s">
        <v>52</v>
      </c>
      <c r="I1503" s="3" t="s">
        <v>263</v>
      </c>
      <c r="J1503" s="3" t="s">
        <v>54</v>
      </c>
      <c r="K1503" s="3">
        <v>5</v>
      </c>
      <c r="L1503" s="3">
        <v>27.49</v>
      </c>
      <c r="M1503" s="3">
        <v>137.44999999999999</v>
      </c>
      <c r="N1503" s="3">
        <v>49.18</v>
      </c>
      <c r="O1503" s="3">
        <v>88.27</v>
      </c>
      <c r="P1503" s="3" t="s">
        <v>86</v>
      </c>
    </row>
    <row r="1504" spans="1:16" x14ac:dyDescent="0.35">
      <c r="A1504" s="3" t="s">
        <v>2731</v>
      </c>
      <c r="B1504" s="3" t="s">
        <v>56</v>
      </c>
      <c r="C1504" s="3" t="s">
        <v>57</v>
      </c>
      <c r="D1504" s="3" t="s">
        <v>90</v>
      </c>
      <c r="E1504" s="3" t="s">
        <v>119</v>
      </c>
      <c r="F1504" s="3" t="s">
        <v>120</v>
      </c>
      <c r="G1504" s="3" t="s">
        <v>41</v>
      </c>
      <c r="H1504" s="3" t="s">
        <v>42</v>
      </c>
      <c r="I1504" s="3" t="s">
        <v>2732</v>
      </c>
      <c r="J1504" s="3" t="s">
        <v>44</v>
      </c>
      <c r="K1504" s="3">
        <v>7</v>
      </c>
      <c r="L1504" s="3">
        <v>42732.35</v>
      </c>
      <c r="M1504" s="3">
        <v>299126.45</v>
      </c>
      <c r="N1504" s="3">
        <v>256470.32</v>
      </c>
      <c r="O1504" s="3">
        <v>42656.13</v>
      </c>
      <c r="P1504" s="3" t="s">
        <v>69</v>
      </c>
    </row>
    <row r="1505" spans="1:16" x14ac:dyDescent="0.35">
      <c r="A1505" s="3" t="s">
        <v>2733</v>
      </c>
      <c r="B1505" s="3" t="s">
        <v>2197</v>
      </c>
      <c r="C1505" s="3" t="s">
        <v>18</v>
      </c>
      <c r="D1505" s="3" t="s">
        <v>90</v>
      </c>
      <c r="E1505" s="3" t="s">
        <v>119</v>
      </c>
      <c r="F1505" s="3" t="s">
        <v>120</v>
      </c>
      <c r="G1505" s="3" t="s">
        <v>51</v>
      </c>
      <c r="H1505" s="3" t="s">
        <v>145</v>
      </c>
      <c r="I1505" s="3" t="s">
        <v>662</v>
      </c>
      <c r="J1505" s="3" t="s">
        <v>25</v>
      </c>
      <c r="K1505" s="3">
        <v>7</v>
      </c>
      <c r="L1505" s="3">
        <v>128.24</v>
      </c>
      <c r="M1505" s="3">
        <v>897.68</v>
      </c>
      <c r="N1505" s="3">
        <v>412.26</v>
      </c>
      <c r="O1505" s="3">
        <v>485.42</v>
      </c>
      <c r="P1505" s="3" t="s">
        <v>69</v>
      </c>
    </row>
    <row r="1506" spans="1:16" x14ac:dyDescent="0.35">
      <c r="A1506" s="3" t="s">
        <v>2734</v>
      </c>
      <c r="B1506" s="3" t="s">
        <v>415</v>
      </c>
      <c r="C1506" s="3" t="s">
        <v>18</v>
      </c>
      <c r="D1506" s="3" t="s">
        <v>19</v>
      </c>
      <c r="E1506" s="3" t="s">
        <v>199</v>
      </c>
      <c r="F1506" s="3" t="s">
        <v>200</v>
      </c>
      <c r="G1506" s="3" t="s">
        <v>22</v>
      </c>
      <c r="H1506" s="3" t="s">
        <v>23</v>
      </c>
      <c r="I1506" s="3" t="s">
        <v>2735</v>
      </c>
      <c r="J1506" s="3" t="s">
        <v>79</v>
      </c>
      <c r="K1506" s="3">
        <v>4</v>
      </c>
      <c r="L1506" s="3">
        <v>3405.99</v>
      </c>
      <c r="M1506" s="3">
        <v>13623.96</v>
      </c>
      <c r="N1506" s="3">
        <v>8963.7800000000007</v>
      </c>
      <c r="O1506" s="3">
        <v>4660.18</v>
      </c>
      <c r="P1506" s="3" t="s">
        <v>69</v>
      </c>
    </row>
    <row r="1507" spans="1:16" x14ac:dyDescent="0.35">
      <c r="A1507" s="3" t="s">
        <v>2736</v>
      </c>
      <c r="B1507" s="3" t="s">
        <v>302</v>
      </c>
      <c r="C1507" s="3" t="s">
        <v>103</v>
      </c>
      <c r="D1507" s="3" t="s">
        <v>19</v>
      </c>
      <c r="E1507" s="3" t="s">
        <v>49</v>
      </c>
      <c r="F1507" s="3" t="s">
        <v>50</v>
      </c>
      <c r="G1507" s="3" t="s">
        <v>30</v>
      </c>
      <c r="H1507" s="3" t="s">
        <v>73</v>
      </c>
      <c r="I1507" s="3" t="s">
        <v>2331</v>
      </c>
      <c r="J1507" s="3" t="s">
        <v>131</v>
      </c>
      <c r="K1507" s="3">
        <v>2</v>
      </c>
      <c r="L1507" s="3">
        <v>2883.81</v>
      </c>
      <c r="M1507" s="3">
        <v>5767.62</v>
      </c>
      <c r="N1507" s="3">
        <v>4938.01</v>
      </c>
      <c r="O1507" s="3">
        <v>829.61</v>
      </c>
      <c r="P1507" s="3" t="s">
        <v>34</v>
      </c>
    </row>
    <row r="1508" spans="1:16" x14ac:dyDescent="0.35">
      <c r="A1508" s="3" t="s">
        <v>2737</v>
      </c>
      <c r="B1508" s="3" t="s">
        <v>1053</v>
      </c>
      <c r="C1508" s="3" t="s">
        <v>82</v>
      </c>
      <c r="D1508" s="3" t="s">
        <v>38</v>
      </c>
      <c r="E1508" s="3" t="s">
        <v>109</v>
      </c>
      <c r="F1508" s="3" t="s">
        <v>110</v>
      </c>
      <c r="G1508" s="3" t="s">
        <v>41</v>
      </c>
      <c r="H1508" s="3" t="s">
        <v>138</v>
      </c>
      <c r="I1508" s="3" t="s">
        <v>111</v>
      </c>
      <c r="J1508" s="3" t="s">
        <v>188</v>
      </c>
      <c r="K1508" s="3">
        <v>4</v>
      </c>
      <c r="L1508" s="3">
        <v>18656.43</v>
      </c>
      <c r="M1508" s="3">
        <v>74625.72</v>
      </c>
      <c r="N1508" s="3">
        <v>53257.72</v>
      </c>
      <c r="O1508" s="3">
        <v>21368</v>
      </c>
      <c r="P1508" s="3" t="s">
        <v>26</v>
      </c>
    </row>
    <row r="1509" spans="1:16" x14ac:dyDescent="0.35">
      <c r="A1509" s="3" t="s">
        <v>2738</v>
      </c>
      <c r="B1509" s="3" t="s">
        <v>1872</v>
      </c>
      <c r="C1509" s="3" t="s">
        <v>82</v>
      </c>
      <c r="D1509" s="3" t="s">
        <v>19</v>
      </c>
      <c r="E1509" s="3" t="s">
        <v>20</v>
      </c>
      <c r="F1509" s="3" t="s">
        <v>21</v>
      </c>
      <c r="G1509" s="3" t="s">
        <v>41</v>
      </c>
      <c r="H1509" s="3" t="s">
        <v>138</v>
      </c>
      <c r="I1509" s="3" t="s">
        <v>1343</v>
      </c>
      <c r="J1509" s="3" t="s">
        <v>217</v>
      </c>
      <c r="K1509" s="3">
        <v>5</v>
      </c>
      <c r="L1509" s="3">
        <v>17119.419999999998</v>
      </c>
      <c r="M1509" s="3">
        <v>85597.1</v>
      </c>
      <c r="N1509" s="3">
        <v>67662.28</v>
      </c>
      <c r="O1509" s="3">
        <v>17934.82</v>
      </c>
      <c r="P1509" s="3" t="s">
        <v>34</v>
      </c>
    </row>
    <row r="1510" spans="1:16" x14ac:dyDescent="0.35">
      <c r="A1510" s="3" t="s">
        <v>2739</v>
      </c>
      <c r="B1510" s="3" t="s">
        <v>765</v>
      </c>
      <c r="C1510" s="3" t="s">
        <v>57</v>
      </c>
      <c r="D1510" s="3" t="s">
        <v>58</v>
      </c>
      <c r="E1510" s="3" t="s">
        <v>65</v>
      </c>
      <c r="F1510" s="3" t="s">
        <v>66</v>
      </c>
      <c r="G1510" s="3" t="s">
        <v>41</v>
      </c>
      <c r="H1510" s="3" t="s">
        <v>42</v>
      </c>
      <c r="I1510" s="3" t="s">
        <v>2740</v>
      </c>
      <c r="J1510" s="3" t="s">
        <v>171</v>
      </c>
      <c r="K1510" s="3">
        <v>4</v>
      </c>
      <c r="L1510" s="3">
        <v>47343.51</v>
      </c>
      <c r="M1510" s="3">
        <v>189374.04</v>
      </c>
      <c r="N1510" s="3">
        <v>133100.73000000001</v>
      </c>
      <c r="O1510" s="3">
        <v>56273.31</v>
      </c>
      <c r="P1510" s="3" t="s">
        <v>69</v>
      </c>
    </row>
    <row r="1511" spans="1:16" x14ac:dyDescent="0.35">
      <c r="A1511" s="3" t="s">
        <v>2741</v>
      </c>
      <c r="B1511" s="3" t="s">
        <v>547</v>
      </c>
      <c r="C1511" s="3" t="s">
        <v>89</v>
      </c>
      <c r="D1511" s="3" t="s">
        <v>19</v>
      </c>
      <c r="E1511" s="3" t="s">
        <v>199</v>
      </c>
      <c r="F1511" s="3" t="s">
        <v>200</v>
      </c>
      <c r="G1511" s="3" t="s">
        <v>30</v>
      </c>
      <c r="H1511" s="3" t="s">
        <v>67</v>
      </c>
      <c r="I1511" s="3" t="s">
        <v>1584</v>
      </c>
      <c r="J1511" s="3" t="s">
        <v>25</v>
      </c>
      <c r="K1511" s="3">
        <v>7</v>
      </c>
      <c r="L1511" s="3">
        <v>9074.06</v>
      </c>
      <c r="M1511" s="3">
        <v>63518.42</v>
      </c>
      <c r="N1511" s="3">
        <v>53219.24</v>
      </c>
      <c r="O1511" s="3">
        <v>10299.18</v>
      </c>
      <c r="P1511" s="3" t="s">
        <v>45</v>
      </c>
    </row>
    <row r="1512" spans="1:16" x14ac:dyDescent="0.35">
      <c r="A1512" s="3" t="s">
        <v>2742</v>
      </c>
      <c r="B1512" s="3" t="s">
        <v>1772</v>
      </c>
      <c r="C1512" s="3" t="s">
        <v>114</v>
      </c>
      <c r="D1512" s="3" t="s">
        <v>90</v>
      </c>
      <c r="E1512" s="3" t="s">
        <v>97</v>
      </c>
      <c r="F1512" s="3" t="s">
        <v>98</v>
      </c>
      <c r="G1512" s="3" t="s">
        <v>22</v>
      </c>
      <c r="H1512" s="3" t="s">
        <v>83</v>
      </c>
      <c r="I1512" s="3" t="s">
        <v>2743</v>
      </c>
      <c r="J1512" s="3" t="s">
        <v>33</v>
      </c>
      <c r="K1512" s="3">
        <v>6</v>
      </c>
      <c r="L1512" s="3">
        <v>22995.52</v>
      </c>
      <c r="M1512" s="3">
        <v>137973.12</v>
      </c>
      <c r="N1512" s="3">
        <v>105811.96</v>
      </c>
      <c r="O1512" s="3">
        <v>32161.16</v>
      </c>
      <c r="P1512" s="3" t="s">
        <v>34</v>
      </c>
    </row>
    <row r="1513" spans="1:16" x14ac:dyDescent="0.35">
      <c r="A1513" s="3" t="s">
        <v>2744</v>
      </c>
      <c r="B1513" s="3" t="s">
        <v>1294</v>
      </c>
      <c r="C1513" s="3" t="s">
        <v>118</v>
      </c>
      <c r="D1513" s="3" t="s">
        <v>38</v>
      </c>
      <c r="E1513" s="3" t="s">
        <v>39</v>
      </c>
      <c r="F1513" s="3" t="s">
        <v>40</v>
      </c>
      <c r="G1513" s="3" t="s">
        <v>22</v>
      </c>
      <c r="H1513" s="3" t="s">
        <v>93</v>
      </c>
      <c r="I1513" s="3" t="s">
        <v>1002</v>
      </c>
      <c r="J1513" s="3" t="s">
        <v>79</v>
      </c>
      <c r="K1513" s="3">
        <v>4</v>
      </c>
      <c r="L1513" s="3">
        <v>6606.84</v>
      </c>
      <c r="M1513" s="3">
        <v>26427.360000000001</v>
      </c>
      <c r="N1513" s="3">
        <v>20637.48</v>
      </c>
      <c r="O1513" s="3">
        <v>5789.88</v>
      </c>
      <c r="P1513" s="3" t="s">
        <v>45</v>
      </c>
    </row>
    <row r="1514" spans="1:16" x14ac:dyDescent="0.35">
      <c r="A1514" s="3" t="s">
        <v>2745</v>
      </c>
      <c r="B1514" s="3" t="s">
        <v>989</v>
      </c>
      <c r="C1514" s="3" t="s">
        <v>29</v>
      </c>
      <c r="D1514" s="3" t="s">
        <v>58</v>
      </c>
      <c r="E1514" s="3" t="s">
        <v>65</v>
      </c>
      <c r="F1514" s="3" t="s">
        <v>66</v>
      </c>
      <c r="G1514" s="3" t="s">
        <v>41</v>
      </c>
      <c r="H1514" s="3" t="s">
        <v>42</v>
      </c>
      <c r="I1514" s="3" t="s">
        <v>1948</v>
      </c>
      <c r="J1514" s="3" t="s">
        <v>44</v>
      </c>
      <c r="K1514" s="3">
        <v>6</v>
      </c>
      <c r="L1514" s="3">
        <v>41648.660000000003</v>
      </c>
      <c r="M1514" s="3">
        <v>249891.96</v>
      </c>
      <c r="N1514" s="3">
        <v>199569.41</v>
      </c>
      <c r="O1514" s="3">
        <v>50322.55</v>
      </c>
      <c r="P1514" s="3" t="s">
        <v>45</v>
      </c>
    </row>
    <row r="1515" spans="1:16" x14ac:dyDescent="0.35">
      <c r="A1515" s="3" t="s">
        <v>2746</v>
      </c>
      <c r="B1515" s="3" t="s">
        <v>452</v>
      </c>
      <c r="C1515" s="3" t="s">
        <v>114</v>
      </c>
      <c r="D1515" s="3" t="s">
        <v>38</v>
      </c>
      <c r="E1515" s="3" t="s">
        <v>104</v>
      </c>
      <c r="F1515" s="3" t="s">
        <v>104</v>
      </c>
      <c r="G1515" s="3" t="s">
        <v>41</v>
      </c>
      <c r="H1515" s="3" t="s">
        <v>42</v>
      </c>
      <c r="I1515" s="3" t="s">
        <v>587</v>
      </c>
      <c r="J1515" s="3" t="s">
        <v>54</v>
      </c>
      <c r="K1515" s="3">
        <v>4</v>
      </c>
      <c r="L1515" s="3">
        <v>45857.7</v>
      </c>
      <c r="M1515" s="3">
        <v>183430.8</v>
      </c>
      <c r="N1515" s="3">
        <v>145118.21</v>
      </c>
      <c r="O1515" s="3">
        <v>38312.589999999997</v>
      </c>
      <c r="P1515" s="3" t="s">
        <v>86</v>
      </c>
    </row>
    <row r="1516" spans="1:16" x14ac:dyDescent="0.35">
      <c r="A1516" s="3" t="s">
        <v>2747</v>
      </c>
      <c r="B1516" s="3" t="s">
        <v>212</v>
      </c>
      <c r="C1516" s="3" t="s">
        <v>37</v>
      </c>
      <c r="D1516" s="3" t="s">
        <v>90</v>
      </c>
      <c r="E1516" s="3" t="s">
        <v>119</v>
      </c>
      <c r="F1516" s="3" t="s">
        <v>120</v>
      </c>
      <c r="G1516" s="3" t="s">
        <v>51</v>
      </c>
      <c r="H1516" s="3" t="s">
        <v>77</v>
      </c>
      <c r="I1516" s="3" t="s">
        <v>193</v>
      </c>
      <c r="J1516" s="3" t="s">
        <v>147</v>
      </c>
      <c r="K1516" s="3">
        <v>4</v>
      </c>
      <c r="L1516" s="3">
        <v>13145.09</v>
      </c>
      <c r="M1516" s="3">
        <v>52580.36</v>
      </c>
      <c r="N1516" s="3">
        <v>35875.53</v>
      </c>
      <c r="O1516" s="3">
        <v>16704.830000000002</v>
      </c>
      <c r="P1516" s="3" t="s">
        <v>34</v>
      </c>
    </row>
    <row r="1517" spans="1:16" x14ac:dyDescent="0.35">
      <c r="A1517" s="3" t="s">
        <v>2748</v>
      </c>
      <c r="B1517" s="3" t="s">
        <v>1910</v>
      </c>
      <c r="C1517" s="3" t="s">
        <v>29</v>
      </c>
      <c r="D1517" s="3" t="s">
        <v>38</v>
      </c>
      <c r="E1517" s="3" t="s">
        <v>39</v>
      </c>
      <c r="F1517" s="3" t="s">
        <v>40</v>
      </c>
      <c r="G1517" s="3" t="s">
        <v>41</v>
      </c>
      <c r="H1517" s="3" t="s">
        <v>61</v>
      </c>
      <c r="I1517" s="3" t="s">
        <v>226</v>
      </c>
      <c r="J1517" s="3" t="s">
        <v>106</v>
      </c>
      <c r="K1517" s="3">
        <v>7</v>
      </c>
      <c r="L1517" s="3">
        <v>2468.21</v>
      </c>
      <c r="M1517" s="3">
        <v>17277.47</v>
      </c>
      <c r="N1517" s="3">
        <v>10791.93</v>
      </c>
      <c r="O1517" s="3">
        <v>6485.54</v>
      </c>
      <c r="P1517" s="3" t="s">
        <v>69</v>
      </c>
    </row>
    <row r="1518" spans="1:16" x14ac:dyDescent="0.35">
      <c r="A1518" s="3" t="s">
        <v>2749</v>
      </c>
      <c r="B1518" s="3" t="s">
        <v>949</v>
      </c>
      <c r="C1518" s="3" t="s">
        <v>18</v>
      </c>
      <c r="D1518" s="3" t="s">
        <v>19</v>
      </c>
      <c r="E1518" s="3" t="s">
        <v>199</v>
      </c>
      <c r="F1518" s="3" t="s">
        <v>200</v>
      </c>
      <c r="G1518" s="3" t="s">
        <v>30</v>
      </c>
      <c r="H1518" s="3" t="s">
        <v>73</v>
      </c>
      <c r="I1518" s="3" t="s">
        <v>1246</v>
      </c>
      <c r="J1518" s="3" t="s">
        <v>54</v>
      </c>
      <c r="K1518" s="3">
        <v>3</v>
      </c>
      <c r="L1518" s="3">
        <v>3131.12</v>
      </c>
      <c r="M1518" s="3">
        <v>9393.36</v>
      </c>
      <c r="N1518" s="3">
        <v>7312.11</v>
      </c>
      <c r="O1518" s="3">
        <v>2081.25</v>
      </c>
      <c r="P1518" s="3" t="s">
        <v>86</v>
      </c>
    </row>
    <row r="1519" spans="1:16" x14ac:dyDescent="0.35">
      <c r="A1519" s="3" t="s">
        <v>2750</v>
      </c>
      <c r="B1519" s="3" t="s">
        <v>840</v>
      </c>
      <c r="C1519" s="3" t="s">
        <v>57</v>
      </c>
      <c r="D1519" s="3" t="s">
        <v>19</v>
      </c>
      <c r="E1519" s="3" t="s">
        <v>199</v>
      </c>
      <c r="F1519" s="3" t="s">
        <v>200</v>
      </c>
      <c r="G1519" s="3" t="s">
        <v>41</v>
      </c>
      <c r="H1519" s="3" t="s">
        <v>138</v>
      </c>
      <c r="I1519" s="3" t="s">
        <v>2415</v>
      </c>
      <c r="J1519" s="3" t="s">
        <v>54</v>
      </c>
      <c r="K1519" s="3">
        <v>5</v>
      </c>
      <c r="L1519" s="3">
        <v>19612.830000000002</v>
      </c>
      <c r="M1519" s="3">
        <v>98064.15</v>
      </c>
      <c r="N1519" s="3">
        <v>67658.77</v>
      </c>
      <c r="O1519" s="3">
        <v>30405.38</v>
      </c>
      <c r="P1519" s="3" t="s">
        <v>69</v>
      </c>
    </row>
    <row r="1520" spans="1:16" x14ac:dyDescent="0.35">
      <c r="A1520" s="3" t="s">
        <v>2751</v>
      </c>
      <c r="B1520" s="3" t="s">
        <v>767</v>
      </c>
      <c r="C1520" s="3" t="s">
        <v>82</v>
      </c>
      <c r="D1520" s="3" t="s">
        <v>38</v>
      </c>
      <c r="E1520" s="3" t="s">
        <v>109</v>
      </c>
      <c r="F1520" s="3" t="s">
        <v>110</v>
      </c>
      <c r="G1520" s="3" t="s">
        <v>30</v>
      </c>
      <c r="H1520" s="3" t="s">
        <v>73</v>
      </c>
      <c r="I1520" s="3" t="s">
        <v>2752</v>
      </c>
      <c r="J1520" s="3" t="s">
        <v>217</v>
      </c>
      <c r="K1520" s="3">
        <v>1</v>
      </c>
      <c r="L1520" s="3">
        <v>3511.94</v>
      </c>
      <c r="M1520" s="3">
        <v>3511.94</v>
      </c>
      <c r="N1520" s="3">
        <v>2369.67</v>
      </c>
      <c r="O1520" s="3">
        <v>1142.27</v>
      </c>
      <c r="P1520" s="3" t="s">
        <v>34</v>
      </c>
    </row>
    <row r="1521" spans="1:16" x14ac:dyDescent="0.35">
      <c r="A1521" s="3" t="s">
        <v>2753</v>
      </c>
      <c r="B1521" s="3" t="s">
        <v>921</v>
      </c>
      <c r="C1521" s="3" t="s">
        <v>103</v>
      </c>
      <c r="D1521" s="3" t="s">
        <v>90</v>
      </c>
      <c r="E1521" s="3" t="s">
        <v>119</v>
      </c>
      <c r="F1521" s="3" t="s">
        <v>120</v>
      </c>
      <c r="G1521" s="3" t="s">
        <v>22</v>
      </c>
      <c r="H1521" s="3" t="s">
        <v>93</v>
      </c>
      <c r="I1521" s="3" t="s">
        <v>1099</v>
      </c>
      <c r="J1521" s="3" t="s">
        <v>54</v>
      </c>
      <c r="K1521" s="3">
        <v>1</v>
      </c>
      <c r="L1521" s="3">
        <v>6478</v>
      </c>
      <c r="M1521" s="3">
        <v>6478</v>
      </c>
      <c r="N1521" s="3">
        <v>4804.3</v>
      </c>
      <c r="O1521" s="3">
        <v>1673.7</v>
      </c>
      <c r="P1521" s="3" t="s">
        <v>86</v>
      </c>
    </row>
    <row r="1522" spans="1:16" x14ac:dyDescent="0.35">
      <c r="A1522" s="3" t="s">
        <v>2754</v>
      </c>
      <c r="B1522" s="3" t="s">
        <v>2041</v>
      </c>
      <c r="C1522" s="3" t="s">
        <v>89</v>
      </c>
      <c r="D1522" s="3" t="s">
        <v>90</v>
      </c>
      <c r="E1522" s="3" t="s">
        <v>91</v>
      </c>
      <c r="F1522" s="3" t="s">
        <v>92</v>
      </c>
      <c r="G1522" s="3" t="s">
        <v>30</v>
      </c>
      <c r="H1522" s="3" t="s">
        <v>31</v>
      </c>
      <c r="I1522" s="3" t="s">
        <v>2755</v>
      </c>
      <c r="J1522" s="3" t="s">
        <v>217</v>
      </c>
      <c r="K1522" s="3">
        <v>7</v>
      </c>
      <c r="L1522" s="3">
        <v>2889.1</v>
      </c>
      <c r="M1522" s="3">
        <v>20223.7</v>
      </c>
      <c r="N1522" s="3">
        <v>13234.11</v>
      </c>
      <c r="O1522" s="3">
        <v>6989.59</v>
      </c>
      <c r="P1522" s="3" t="s">
        <v>86</v>
      </c>
    </row>
    <row r="1523" spans="1:16" x14ac:dyDescent="0.35">
      <c r="A1523" s="3" t="s">
        <v>2756</v>
      </c>
      <c r="B1523" s="3" t="s">
        <v>1999</v>
      </c>
      <c r="C1523" s="3" t="s">
        <v>114</v>
      </c>
      <c r="D1523" s="3" t="s">
        <v>90</v>
      </c>
      <c r="E1523" s="3" t="s">
        <v>91</v>
      </c>
      <c r="F1523" s="3" t="s">
        <v>92</v>
      </c>
      <c r="G1523" s="3" t="s">
        <v>41</v>
      </c>
      <c r="H1523" s="3" t="s">
        <v>42</v>
      </c>
      <c r="I1523" s="3" t="s">
        <v>980</v>
      </c>
      <c r="J1523" s="3" t="s">
        <v>154</v>
      </c>
      <c r="K1523" s="3">
        <v>2</v>
      </c>
      <c r="L1523" s="3">
        <v>43795.19</v>
      </c>
      <c r="M1523" s="3">
        <v>87590.38</v>
      </c>
      <c r="N1523" s="3">
        <v>70547.31</v>
      </c>
      <c r="O1523" s="3">
        <v>17043.07</v>
      </c>
      <c r="P1523" s="3" t="s">
        <v>86</v>
      </c>
    </row>
    <row r="1524" spans="1:16" x14ac:dyDescent="0.35">
      <c r="A1524" s="3" t="s">
        <v>2757</v>
      </c>
      <c r="B1524" s="3" t="s">
        <v>347</v>
      </c>
      <c r="C1524" s="3" t="s">
        <v>57</v>
      </c>
      <c r="D1524" s="3" t="s">
        <v>90</v>
      </c>
      <c r="E1524" s="3" t="s">
        <v>119</v>
      </c>
      <c r="F1524" s="3" t="s">
        <v>120</v>
      </c>
      <c r="G1524" s="3" t="s">
        <v>41</v>
      </c>
      <c r="H1524" s="3" t="s">
        <v>61</v>
      </c>
      <c r="I1524" s="3" t="s">
        <v>2758</v>
      </c>
      <c r="J1524" s="3" t="s">
        <v>44</v>
      </c>
      <c r="K1524" s="3">
        <v>4</v>
      </c>
      <c r="L1524" s="3">
        <v>2385.33</v>
      </c>
      <c r="M1524" s="3">
        <v>9541.32</v>
      </c>
      <c r="N1524" s="3">
        <v>6311.45</v>
      </c>
      <c r="O1524" s="3">
        <v>3229.87</v>
      </c>
      <c r="P1524" s="3" t="s">
        <v>69</v>
      </c>
    </row>
    <row r="1525" spans="1:16" x14ac:dyDescent="0.35">
      <c r="A1525" s="3" t="s">
        <v>2759</v>
      </c>
      <c r="B1525" s="3" t="s">
        <v>265</v>
      </c>
      <c r="C1525" s="3" t="s">
        <v>37</v>
      </c>
      <c r="D1525" s="3" t="s">
        <v>38</v>
      </c>
      <c r="E1525" s="3" t="s">
        <v>39</v>
      </c>
      <c r="F1525" s="3" t="s">
        <v>40</v>
      </c>
      <c r="G1525" s="3" t="s">
        <v>22</v>
      </c>
      <c r="H1525" s="3" t="s">
        <v>83</v>
      </c>
      <c r="I1525" s="3" t="s">
        <v>1896</v>
      </c>
      <c r="J1525" s="3" t="s">
        <v>217</v>
      </c>
      <c r="K1525" s="3">
        <v>2</v>
      </c>
      <c r="L1525" s="3">
        <v>24075.439999999999</v>
      </c>
      <c r="M1525" s="3">
        <v>48150.879999999997</v>
      </c>
      <c r="N1525" s="3">
        <v>34452.67</v>
      </c>
      <c r="O1525" s="3">
        <v>13698.21</v>
      </c>
      <c r="P1525" s="3" t="s">
        <v>69</v>
      </c>
    </row>
    <row r="1526" spans="1:16" x14ac:dyDescent="0.35">
      <c r="A1526" s="3" t="s">
        <v>2760</v>
      </c>
      <c r="B1526" s="3" t="s">
        <v>324</v>
      </c>
      <c r="C1526" s="3" t="s">
        <v>29</v>
      </c>
      <c r="D1526" s="3" t="s">
        <v>58</v>
      </c>
      <c r="E1526" s="3" t="s">
        <v>65</v>
      </c>
      <c r="F1526" s="3" t="s">
        <v>66</v>
      </c>
      <c r="G1526" s="3" t="s">
        <v>51</v>
      </c>
      <c r="H1526" s="3" t="s">
        <v>52</v>
      </c>
      <c r="I1526" s="3" t="s">
        <v>2398</v>
      </c>
      <c r="J1526" s="3" t="s">
        <v>131</v>
      </c>
      <c r="K1526" s="3">
        <v>3</v>
      </c>
      <c r="L1526" s="3">
        <v>26.52</v>
      </c>
      <c r="M1526" s="3">
        <v>79.56</v>
      </c>
      <c r="N1526" s="3">
        <v>29.32</v>
      </c>
      <c r="O1526" s="3">
        <v>50.24</v>
      </c>
      <c r="P1526" s="3" t="s">
        <v>69</v>
      </c>
    </row>
    <row r="1527" spans="1:16" x14ac:dyDescent="0.35">
      <c r="A1527" s="3" t="s">
        <v>2761</v>
      </c>
      <c r="B1527" s="3" t="s">
        <v>819</v>
      </c>
      <c r="C1527" s="3" t="s">
        <v>89</v>
      </c>
      <c r="D1527" s="3" t="s">
        <v>58</v>
      </c>
      <c r="E1527" s="3" t="s">
        <v>176</v>
      </c>
      <c r="F1527" s="3" t="s">
        <v>177</v>
      </c>
      <c r="G1527" s="3" t="s">
        <v>30</v>
      </c>
      <c r="H1527" s="3" t="s">
        <v>67</v>
      </c>
      <c r="I1527" s="3" t="s">
        <v>1916</v>
      </c>
      <c r="J1527" s="3" t="s">
        <v>25</v>
      </c>
      <c r="K1527" s="3">
        <v>2</v>
      </c>
      <c r="L1527" s="3">
        <v>9652.44</v>
      </c>
      <c r="M1527" s="3">
        <v>19304.88</v>
      </c>
      <c r="N1527" s="3">
        <v>14745.28</v>
      </c>
      <c r="O1527" s="3">
        <v>4559.6000000000004</v>
      </c>
      <c r="P1527" s="3" t="s">
        <v>34</v>
      </c>
    </row>
    <row r="1528" spans="1:16" x14ac:dyDescent="0.35">
      <c r="A1528" s="3" t="s">
        <v>2762</v>
      </c>
      <c r="B1528" s="3" t="s">
        <v>777</v>
      </c>
      <c r="C1528" s="3" t="s">
        <v>72</v>
      </c>
      <c r="D1528" s="3" t="s">
        <v>19</v>
      </c>
      <c r="E1528" s="3" t="s">
        <v>49</v>
      </c>
      <c r="F1528" s="3" t="s">
        <v>50</v>
      </c>
      <c r="G1528" s="3" t="s">
        <v>30</v>
      </c>
      <c r="H1528" s="3" t="s">
        <v>67</v>
      </c>
      <c r="I1528" s="3" t="s">
        <v>2763</v>
      </c>
      <c r="J1528" s="3" t="s">
        <v>44</v>
      </c>
      <c r="K1528" s="3">
        <v>4</v>
      </c>
      <c r="L1528" s="3">
        <v>9544.77</v>
      </c>
      <c r="M1528" s="3">
        <v>38179.08</v>
      </c>
      <c r="N1528" s="3">
        <v>30681.29</v>
      </c>
      <c r="O1528" s="3">
        <v>7497.79</v>
      </c>
      <c r="P1528" s="3" t="s">
        <v>86</v>
      </c>
    </row>
    <row r="1529" spans="1:16" x14ac:dyDescent="0.35">
      <c r="A1529" s="3" t="s">
        <v>2764</v>
      </c>
      <c r="B1529" s="3" t="s">
        <v>1872</v>
      </c>
      <c r="C1529" s="3" t="s">
        <v>82</v>
      </c>
      <c r="D1529" s="3" t="s">
        <v>58</v>
      </c>
      <c r="E1529" s="3" t="s">
        <v>65</v>
      </c>
      <c r="F1529" s="3" t="s">
        <v>66</v>
      </c>
      <c r="G1529" s="3" t="s">
        <v>30</v>
      </c>
      <c r="H1529" s="3" t="s">
        <v>31</v>
      </c>
      <c r="I1529" s="3" t="s">
        <v>2765</v>
      </c>
      <c r="J1529" s="3" t="s">
        <v>154</v>
      </c>
      <c r="K1529" s="3">
        <v>1</v>
      </c>
      <c r="L1529" s="3">
        <v>2541.63</v>
      </c>
      <c r="M1529" s="3">
        <v>2541.63</v>
      </c>
      <c r="N1529" s="3">
        <v>1909.44</v>
      </c>
      <c r="O1529" s="3">
        <v>632.19000000000005</v>
      </c>
      <c r="P1529" s="3" t="s">
        <v>45</v>
      </c>
    </row>
    <row r="1530" spans="1:16" x14ac:dyDescent="0.35">
      <c r="A1530" s="3" t="s">
        <v>2766</v>
      </c>
      <c r="B1530" s="3" t="s">
        <v>702</v>
      </c>
      <c r="C1530" s="3" t="s">
        <v>57</v>
      </c>
      <c r="D1530" s="3" t="s">
        <v>90</v>
      </c>
      <c r="E1530" s="3" t="s">
        <v>91</v>
      </c>
      <c r="F1530" s="3" t="s">
        <v>92</v>
      </c>
      <c r="G1530" s="3" t="s">
        <v>51</v>
      </c>
      <c r="H1530" s="3" t="s">
        <v>52</v>
      </c>
      <c r="I1530" s="3" t="s">
        <v>2767</v>
      </c>
      <c r="J1530" s="3" t="s">
        <v>33</v>
      </c>
      <c r="K1530" s="3">
        <v>7</v>
      </c>
      <c r="L1530" s="3">
        <v>27.16</v>
      </c>
      <c r="M1530" s="3">
        <v>190.12</v>
      </c>
      <c r="N1530" s="3">
        <v>72.36</v>
      </c>
      <c r="O1530" s="3">
        <v>117.76</v>
      </c>
      <c r="P1530" s="3" t="s">
        <v>69</v>
      </c>
    </row>
    <row r="1531" spans="1:16" x14ac:dyDescent="0.35">
      <c r="A1531" s="3" t="s">
        <v>2768</v>
      </c>
      <c r="B1531" s="3" t="s">
        <v>198</v>
      </c>
      <c r="C1531" s="3" t="s">
        <v>29</v>
      </c>
      <c r="D1531" s="3" t="s">
        <v>58</v>
      </c>
      <c r="E1531" s="3" t="s">
        <v>176</v>
      </c>
      <c r="F1531" s="3" t="s">
        <v>177</v>
      </c>
      <c r="G1531" s="3" t="s">
        <v>22</v>
      </c>
      <c r="H1531" s="3" t="s">
        <v>83</v>
      </c>
      <c r="I1531" s="3" t="s">
        <v>2769</v>
      </c>
      <c r="J1531" s="3" t="s">
        <v>147</v>
      </c>
      <c r="K1531" s="3">
        <v>5</v>
      </c>
      <c r="L1531" s="3">
        <v>20728.009999999998</v>
      </c>
      <c r="M1531" s="3">
        <v>103640.05</v>
      </c>
      <c r="N1531" s="3">
        <v>88498.85</v>
      </c>
      <c r="O1531" s="3">
        <v>15141.2</v>
      </c>
      <c r="P1531" s="3" t="s">
        <v>26</v>
      </c>
    </row>
    <row r="1532" spans="1:16" x14ac:dyDescent="0.35">
      <c r="A1532" s="3" t="s">
        <v>2770</v>
      </c>
      <c r="B1532" s="3" t="s">
        <v>675</v>
      </c>
      <c r="C1532" s="3" t="s">
        <v>82</v>
      </c>
      <c r="D1532" s="3" t="s">
        <v>38</v>
      </c>
      <c r="E1532" s="3" t="s">
        <v>39</v>
      </c>
      <c r="F1532" s="3" t="s">
        <v>40</v>
      </c>
      <c r="G1532" s="3" t="s">
        <v>30</v>
      </c>
      <c r="H1532" s="3" t="s">
        <v>67</v>
      </c>
      <c r="I1532" s="3" t="s">
        <v>439</v>
      </c>
      <c r="J1532" s="3" t="s">
        <v>188</v>
      </c>
      <c r="K1532" s="3">
        <v>8</v>
      </c>
      <c r="L1532" s="3">
        <v>9198.57</v>
      </c>
      <c r="M1532" s="3">
        <v>73588.56</v>
      </c>
      <c r="N1532" s="3">
        <v>59910.96</v>
      </c>
      <c r="O1532" s="3">
        <v>13677.6</v>
      </c>
      <c r="P1532" s="3" t="s">
        <v>26</v>
      </c>
    </row>
    <row r="1533" spans="1:16" x14ac:dyDescent="0.35">
      <c r="A1533" s="3" t="s">
        <v>2771</v>
      </c>
      <c r="B1533" s="3" t="s">
        <v>575</v>
      </c>
      <c r="C1533" s="3" t="s">
        <v>137</v>
      </c>
      <c r="D1533" s="3" t="s">
        <v>58</v>
      </c>
      <c r="E1533" s="3" t="s">
        <v>59</v>
      </c>
      <c r="F1533" s="3" t="s">
        <v>60</v>
      </c>
      <c r="G1533" s="3" t="s">
        <v>22</v>
      </c>
      <c r="H1533" s="3" t="s">
        <v>83</v>
      </c>
      <c r="I1533" s="3" t="s">
        <v>1157</v>
      </c>
      <c r="J1533" s="3" t="s">
        <v>154</v>
      </c>
      <c r="K1533" s="3">
        <v>2</v>
      </c>
      <c r="L1533" s="3">
        <v>20788.82</v>
      </c>
      <c r="M1533" s="3">
        <v>41577.64</v>
      </c>
      <c r="N1533" s="3">
        <v>34825.86</v>
      </c>
      <c r="O1533" s="3">
        <v>6751.78</v>
      </c>
      <c r="P1533" s="3" t="s">
        <v>45</v>
      </c>
    </row>
    <row r="1534" spans="1:16" x14ac:dyDescent="0.35">
      <c r="A1534" s="3" t="s">
        <v>2772</v>
      </c>
      <c r="B1534" s="3" t="s">
        <v>1578</v>
      </c>
      <c r="C1534" s="3" t="s">
        <v>137</v>
      </c>
      <c r="D1534" s="3" t="s">
        <v>58</v>
      </c>
      <c r="E1534" s="3" t="s">
        <v>176</v>
      </c>
      <c r="F1534" s="3" t="s">
        <v>177</v>
      </c>
      <c r="G1534" s="3" t="s">
        <v>22</v>
      </c>
      <c r="H1534" s="3" t="s">
        <v>23</v>
      </c>
      <c r="I1534" s="3" t="s">
        <v>2422</v>
      </c>
      <c r="J1534" s="3" t="s">
        <v>161</v>
      </c>
      <c r="K1534" s="3">
        <v>6</v>
      </c>
      <c r="L1534" s="3">
        <v>3623.36</v>
      </c>
      <c r="M1534" s="3">
        <v>21740.16</v>
      </c>
      <c r="N1534" s="3">
        <v>13004.37</v>
      </c>
      <c r="O1534" s="3">
        <v>8735.7900000000009</v>
      </c>
      <c r="P1534" s="3" t="s">
        <v>69</v>
      </c>
    </row>
    <row r="1535" spans="1:16" x14ac:dyDescent="0.35">
      <c r="A1535" s="3" t="s">
        <v>2773</v>
      </c>
      <c r="B1535" s="3" t="s">
        <v>856</v>
      </c>
      <c r="C1535" s="3" t="s">
        <v>103</v>
      </c>
      <c r="D1535" s="3" t="s">
        <v>58</v>
      </c>
      <c r="E1535" s="3" t="s">
        <v>59</v>
      </c>
      <c r="F1535" s="3" t="s">
        <v>60</v>
      </c>
      <c r="G1535" s="3" t="s">
        <v>30</v>
      </c>
      <c r="H1535" s="3" t="s">
        <v>67</v>
      </c>
      <c r="I1535" s="3" t="s">
        <v>2358</v>
      </c>
      <c r="J1535" s="3" t="s">
        <v>188</v>
      </c>
      <c r="K1535" s="3">
        <v>8</v>
      </c>
      <c r="L1535" s="3">
        <v>9375.77</v>
      </c>
      <c r="M1535" s="3">
        <v>75006.16</v>
      </c>
      <c r="N1535" s="3">
        <v>60704.78</v>
      </c>
      <c r="O1535" s="3">
        <v>14301.38</v>
      </c>
      <c r="P1535" s="3" t="s">
        <v>45</v>
      </c>
    </row>
    <row r="1536" spans="1:16" x14ac:dyDescent="0.35">
      <c r="A1536" s="3" t="s">
        <v>2774</v>
      </c>
      <c r="B1536" s="3" t="s">
        <v>1504</v>
      </c>
      <c r="C1536" s="3" t="s">
        <v>48</v>
      </c>
      <c r="D1536" s="3" t="s">
        <v>19</v>
      </c>
      <c r="E1536" s="3" t="s">
        <v>199</v>
      </c>
      <c r="F1536" s="3" t="s">
        <v>200</v>
      </c>
      <c r="G1536" s="3" t="s">
        <v>30</v>
      </c>
      <c r="H1536" s="3" t="s">
        <v>31</v>
      </c>
      <c r="I1536" s="3" t="s">
        <v>2239</v>
      </c>
      <c r="J1536" s="3" t="s">
        <v>171</v>
      </c>
      <c r="K1536" s="3">
        <v>2</v>
      </c>
      <c r="L1536" s="3">
        <v>2542.3200000000002</v>
      </c>
      <c r="M1536" s="3">
        <v>5084.6400000000003</v>
      </c>
      <c r="N1536" s="3">
        <v>3768.97</v>
      </c>
      <c r="O1536" s="3">
        <v>1315.67</v>
      </c>
      <c r="P1536" s="3" t="s">
        <v>86</v>
      </c>
    </row>
    <row r="1537" spans="1:16" x14ac:dyDescent="0.35">
      <c r="A1537" s="3" t="s">
        <v>2775</v>
      </c>
      <c r="B1537" s="3" t="s">
        <v>958</v>
      </c>
      <c r="C1537" s="3" t="s">
        <v>118</v>
      </c>
      <c r="D1537" s="3" t="s">
        <v>90</v>
      </c>
      <c r="E1537" s="3" t="s">
        <v>97</v>
      </c>
      <c r="F1537" s="3" t="s">
        <v>98</v>
      </c>
      <c r="G1537" s="3" t="s">
        <v>22</v>
      </c>
      <c r="H1537" s="3" t="s">
        <v>83</v>
      </c>
      <c r="I1537" s="3" t="s">
        <v>2530</v>
      </c>
      <c r="J1537" s="3" t="s">
        <v>85</v>
      </c>
      <c r="K1537" s="3">
        <v>4</v>
      </c>
      <c r="L1537" s="3">
        <v>20425.77</v>
      </c>
      <c r="M1537" s="3">
        <v>81703.08</v>
      </c>
      <c r="N1537" s="3">
        <v>64953.67</v>
      </c>
      <c r="O1537" s="3">
        <v>16749.41</v>
      </c>
      <c r="P1537" s="3" t="s">
        <v>26</v>
      </c>
    </row>
    <row r="1538" spans="1:16" x14ac:dyDescent="0.35">
      <c r="A1538" s="3" t="s">
        <v>2776</v>
      </c>
      <c r="B1538" s="3" t="s">
        <v>1687</v>
      </c>
      <c r="C1538" s="3" t="s">
        <v>18</v>
      </c>
      <c r="D1538" s="3" t="s">
        <v>38</v>
      </c>
      <c r="E1538" s="3" t="s">
        <v>109</v>
      </c>
      <c r="F1538" s="3" t="s">
        <v>110</v>
      </c>
      <c r="G1538" s="3" t="s">
        <v>30</v>
      </c>
      <c r="H1538" s="3" t="s">
        <v>67</v>
      </c>
      <c r="I1538" s="3" t="s">
        <v>2777</v>
      </c>
      <c r="J1538" s="3" t="s">
        <v>44</v>
      </c>
      <c r="K1538" s="3">
        <v>6</v>
      </c>
      <c r="L1538" s="3">
        <v>9095.6200000000008</v>
      </c>
      <c r="M1538" s="3">
        <v>54573.72</v>
      </c>
      <c r="N1538" s="3">
        <v>47502.89</v>
      </c>
      <c r="O1538" s="3">
        <v>7070.83</v>
      </c>
      <c r="P1538" s="3" t="s">
        <v>69</v>
      </c>
    </row>
    <row r="1539" spans="1:16" x14ac:dyDescent="0.35">
      <c r="A1539" s="3" t="s">
        <v>2778</v>
      </c>
      <c r="B1539" s="3" t="s">
        <v>586</v>
      </c>
      <c r="C1539" s="3" t="s">
        <v>57</v>
      </c>
      <c r="D1539" s="3" t="s">
        <v>58</v>
      </c>
      <c r="E1539" s="3" t="s">
        <v>65</v>
      </c>
      <c r="F1539" s="3" t="s">
        <v>66</v>
      </c>
      <c r="G1539" s="3" t="s">
        <v>51</v>
      </c>
      <c r="H1539" s="3" t="s">
        <v>145</v>
      </c>
      <c r="I1539" s="3" t="s">
        <v>1270</v>
      </c>
      <c r="J1539" s="3" t="s">
        <v>131</v>
      </c>
      <c r="K1539" s="3">
        <v>7</v>
      </c>
      <c r="L1539" s="3">
        <v>127.95</v>
      </c>
      <c r="M1539" s="3">
        <v>895.65</v>
      </c>
      <c r="N1539" s="3">
        <v>412.87</v>
      </c>
      <c r="O1539" s="3">
        <v>482.78</v>
      </c>
      <c r="P1539" s="3" t="s">
        <v>86</v>
      </c>
    </row>
    <row r="1540" spans="1:16" x14ac:dyDescent="0.35">
      <c r="A1540" s="3" t="s">
        <v>2779</v>
      </c>
      <c r="B1540" s="3" t="s">
        <v>1122</v>
      </c>
      <c r="C1540" s="3" t="s">
        <v>118</v>
      </c>
      <c r="D1540" s="3" t="s">
        <v>58</v>
      </c>
      <c r="E1540" s="3" t="s">
        <v>65</v>
      </c>
      <c r="F1540" s="3" t="s">
        <v>66</v>
      </c>
      <c r="G1540" s="3" t="s">
        <v>22</v>
      </c>
      <c r="H1540" s="3" t="s">
        <v>83</v>
      </c>
      <c r="I1540" s="3" t="s">
        <v>1349</v>
      </c>
      <c r="J1540" s="3" t="s">
        <v>44</v>
      </c>
      <c r="K1540" s="3">
        <v>2</v>
      </c>
      <c r="L1540" s="3">
        <v>21928.42</v>
      </c>
      <c r="M1540" s="3">
        <v>43856.84</v>
      </c>
      <c r="N1540" s="3">
        <v>35185.89</v>
      </c>
      <c r="O1540" s="3">
        <v>8670.9500000000007</v>
      </c>
      <c r="P1540" s="3" t="s">
        <v>69</v>
      </c>
    </row>
    <row r="1541" spans="1:16" x14ac:dyDescent="0.35">
      <c r="A1541" s="3" t="s">
        <v>2780</v>
      </c>
      <c r="B1541" s="3" t="s">
        <v>936</v>
      </c>
      <c r="C1541" s="3" t="s">
        <v>89</v>
      </c>
      <c r="D1541" s="3" t="s">
        <v>58</v>
      </c>
      <c r="E1541" s="3" t="s">
        <v>59</v>
      </c>
      <c r="F1541" s="3" t="s">
        <v>60</v>
      </c>
      <c r="G1541" s="3" t="s">
        <v>41</v>
      </c>
      <c r="H1541" s="3" t="s">
        <v>138</v>
      </c>
      <c r="I1541" s="3" t="s">
        <v>2439</v>
      </c>
      <c r="J1541" s="3" t="s">
        <v>44</v>
      </c>
      <c r="K1541" s="3">
        <v>6</v>
      </c>
      <c r="L1541" s="3">
        <v>19125.98</v>
      </c>
      <c r="M1541" s="3">
        <v>114755.88</v>
      </c>
      <c r="N1541" s="3">
        <v>86235.95</v>
      </c>
      <c r="O1541" s="3">
        <v>28519.93</v>
      </c>
      <c r="P1541" s="3" t="s">
        <v>45</v>
      </c>
    </row>
    <row r="1542" spans="1:16" x14ac:dyDescent="0.35">
      <c r="A1542" s="3" t="s">
        <v>2781</v>
      </c>
      <c r="B1542" s="3" t="s">
        <v>324</v>
      </c>
      <c r="C1542" s="3" t="s">
        <v>29</v>
      </c>
      <c r="D1542" s="3" t="s">
        <v>58</v>
      </c>
      <c r="E1542" s="3" t="s">
        <v>176</v>
      </c>
      <c r="F1542" s="3" t="s">
        <v>177</v>
      </c>
      <c r="G1542" s="3" t="s">
        <v>51</v>
      </c>
      <c r="H1542" s="3" t="s">
        <v>52</v>
      </c>
      <c r="I1542" s="3" t="s">
        <v>2782</v>
      </c>
      <c r="J1542" s="3" t="s">
        <v>33</v>
      </c>
      <c r="K1542" s="3">
        <v>5</v>
      </c>
      <c r="L1542" s="3">
        <v>25.12</v>
      </c>
      <c r="M1542" s="3">
        <v>125.6</v>
      </c>
      <c r="N1542" s="3">
        <v>47.74</v>
      </c>
      <c r="O1542" s="3">
        <v>77.86</v>
      </c>
      <c r="P1542" s="3" t="s">
        <v>86</v>
      </c>
    </row>
    <row r="1543" spans="1:16" x14ac:dyDescent="0.35">
      <c r="A1543" s="3" t="s">
        <v>2783</v>
      </c>
      <c r="B1543" s="3" t="s">
        <v>675</v>
      </c>
      <c r="C1543" s="3" t="s">
        <v>82</v>
      </c>
      <c r="D1543" s="3" t="s">
        <v>19</v>
      </c>
      <c r="E1543" s="3" t="s">
        <v>20</v>
      </c>
      <c r="F1543" s="3" t="s">
        <v>21</v>
      </c>
      <c r="G1543" s="3" t="s">
        <v>30</v>
      </c>
      <c r="H1543" s="3" t="s">
        <v>67</v>
      </c>
      <c r="I1543" s="3" t="s">
        <v>62</v>
      </c>
      <c r="J1543" s="3" t="s">
        <v>79</v>
      </c>
      <c r="K1543" s="3">
        <v>6</v>
      </c>
      <c r="L1543" s="3">
        <v>9146.84</v>
      </c>
      <c r="M1543" s="3">
        <v>54881.04</v>
      </c>
      <c r="N1543" s="3">
        <v>46606.12</v>
      </c>
      <c r="O1543" s="3">
        <v>8274.92</v>
      </c>
      <c r="P1543" s="3" t="s">
        <v>34</v>
      </c>
    </row>
    <row r="1544" spans="1:16" x14ac:dyDescent="0.35">
      <c r="A1544" s="3" t="s">
        <v>2784</v>
      </c>
      <c r="B1544" s="3" t="s">
        <v>424</v>
      </c>
      <c r="C1544" s="3" t="s">
        <v>72</v>
      </c>
      <c r="D1544" s="3" t="s">
        <v>19</v>
      </c>
      <c r="E1544" s="3" t="s">
        <v>20</v>
      </c>
      <c r="F1544" s="3" t="s">
        <v>21</v>
      </c>
      <c r="G1544" s="3" t="s">
        <v>22</v>
      </c>
      <c r="H1544" s="3" t="s">
        <v>23</v>
      </c>
      <c r="I1544" s="3" t="s">
        <v>640</v>
      </c>
      <c r="J1544" s="3" t="s">
        <v>79</v>
      </c>
      <c r="K1544" s="3">
        <v>2</v>
      </c>
      <c r="L1544" s="3">
        <v>3473.76</v>
      </c>
      <c r="M1544" s="3">
        <v>6947.52</v>
      </c>
      <c r="N1544" s="3">
        <v>4207.24</v>
      </c>
      <c r="O1544" s="3">
        <v>2740.28</v>
      </c>
      <c r="P1544" s="3" t="s">
        <v>86</v>
      </c>
    </row>
    <row r="1545" spans="1:16" x14ac:dyDescent="0.35">
      <c r="A1545" s="3" t="s">
        <v>2785</v>
      </c>
      <c r="B1545" s="3" t="s">
        <v>877</v>
      </c>
      <c r="C1545" s="3" t="s">
        <v>114</v>
      </c>
      <c r="D1545" s="3" t="s">
        <v>19</v>
      </c>
      <c r="E1545" s="3" t="s">
        <v>49</v>
      </c>
      <c r="F1545" s="3" t="s">
        <v>50</v>
      </c>
      <c r="G1545" s="3" t="s">
        <v>41</v>
      </c>
      <c r="H1545" s="3" t="s">
        <v>61</v>
      </c>
      <c r="I1545" s="3" t="s">
        <v>2460</v>
      </c>
      <c r="J1545" s="3" t="s">
        <v>79</v>
      </c>
      <c r="K1545" s="3">
        <v>2</v>
      </c>
      <c r="L1545" s="3">
        <v>2629.22</v>
      </c>
      <c r="M1545" s="3">
        <v>5258.44</v>
      </c>
      <c r="N1545" s="3">
        <v>3241.1</v>
      </c>
      <c r="O1545" s="3">
        <v>2017.34</v>
      </c>
      <c r="P1545" s="3" t="s">
        <v>69</v>
      </c>
    </row>
    <row r="1546" spans="1:16" x14ac:dyDescent="0.35">
      <c r="A1546" s="3" t="s">
        <v>2786</v>
      </c>
      <c r="B1546" s="3" t="s">
        <v>782</v>
      </c>
      <c r="C1546" s="3" t="s">
        <v>114</v>
      </c>
      <c r="D1546" s="3" t="s">
        <v>38</v>
      </c>
      <c r="E1546" s="3" t="s">
        <v>109</v>
      </c>
      <c r="F1546" s="3" t="s">
        <v>110</v>
      </c>
      <c r="G1546" s="3" t="s">
        <v>30</v>
      </c>
      <c r="H1546" s="3" t="s">
        <v>73</v>
      </c>
      <c r="I1546" s="3" t="s">
        <v>2787</v>
      </c>
      <c r="J1546" s="3" t="s">
        <v>25</v>
      </c>
      <c r="K1546" s="3">
        <v>1</v>
      </c>
      <c r="L1546" s="3">
        <v>2945.78</v>
      </c>
      <c r="M1546" s="3">
        <v>2945.78</v>
      </c>
      <c r="N1546" s="3">
        <v>2344.8000000000002</v>
      </c>
      <c r="O1546" s="3">
        <v>600.98</v>
      </c>
      <c r="P1546" s="3" t="s">
        <v>34</v>
      </c>
    </row>
    <row r="1547" spans="1:16" x14ac:dyDescent="0.35">
      <c r="A1547" s="3" t="s">
        <v>2788</v>
      </c>
      <c r="B1547" s="3" t="s">
        <v>2580</v>
      </c>
      <c r="C1547" s="3" t="s">
        <v>37</v>
      </c>
      <c r="D1547" s="3" t="s">
        <v>90</v>
      </c>
      <c r="E1547" s="3" t="s">
        <v>119</v>
      </c>
      <c r="F1547" s="3" t="s">
        <v>120</v>
      </c>
      <c r="G1547" s="3" t="s">
        <v>30</v>
      </c>
      <c r="H1547" s="3" t="s">
        <v>67</v>
      </c>
      <c r="I1547" s="3" t="s">
        <v>1222</v>
      </c>
      <c r="J1547" s="3" t="s">
        <v>154</v>
      </c>
      <c r="K1547" s="3">
        <v>3</v>
      </c>
      <c r="L1547" s="3">
        <v>9077.16</v>
      </c>
      <c r="M1547" s="3">
        <v>27231.48</v>
      </c>
      <c r="N1547" s="3">
        <v>23220.86</v>
      </c>
      <c r="O1547" s="3">
        <v>4010.62</v>
      </c>
      <c r="P1547" s="3" t="s">
        <v>69</v>
      </c>
    </row>
    <row r="1548" spans="1:16" x14ac:dyDescent="0.35">
      <c r="A1548" s="3" t="s">
        <v>2789</v>
      </c>
      <c r="B1548" s="3" t="s">
        <v>639</v>
      </c>
      <c r="C1548" s="3" t="s">
        <v>72</v>
      </c>
      <c r="D1548" s="3" t="s">
        <v>38</v>
      </c>
      <c r="E1548" s="3" t="s">
        <v>109</v>
      </c>
      <c r="F1548" s="3" t="s">
        <v>110</v>
      </c>
      <c r="G1548" s="3" t="s">
        <v>51</v>
      </c>
      <c r="H1548" s="3" t="s">
        <v>52</v>
      </c>
      <c r="I1548" s="3" t="s">
        <v>2472</v>
      </c>
      <c r="J1548" s="3" t="s">
        <v>154</v>
      </c>
      <c r="K1548" s="3">
        <v>3</v>
      </c>
      <c r="L1548" s="3">
        <v>22.56</v>
      </c>
      <c r="M1548" s="3">
        <v>67.680000000000007</v>
      </c>
      <c r="N1548" s="3">
        <v>29.13</v>
      </c>
      <c r="O1548" s="3">
        <v>38.549999999999997</v>
      </c>
      <c r="P1548" s="3" t="s">
        <v>34</v>
      </c>
    </row>
    <row r="1549" spans="1:16" x14ac:dyDescent="0.35">
      <c r="A1549" s="3" t="s">
        <v>2790</v>
      </c>
      <c r="B1549" s="3" t="s">
        <v>877</v>
      </c>
      <c r="C1549" s="3" t="s">
        <v>114</v>
      </c>
      <c r="D1549" s="3" t="s">
        <v>38</v>
      </c>
      <c r="E1549" s="3" t="s">
        <v>104</v>
      </c>
      <c r="F1549" s="3" t="s">
        <v>104</v>
      </c>
      <c r="G1549" s="3" t="s">
        <v>22</v>
      </c>
      <c r="H1549" s="3" t="s">
        <v>83</v>
      </c>
      <c r="I1549" s="3" t="s">
        <v>2791</v>
      </c>
      <c r="J1549" s="3" t="s">
        <v>106</v>
      </c>
      <c r="K1549" s="3">
        <v>6</v>
      </c>
      <c r="L1549" s="3">
        <v>20939.2</v>
      </c>
      <c r="M1549" s="3">
        <v>125635.2</v>
      </c>
      <c r="N1549" s="3">
        <v>99507.55</v>
      </c>
      <c r="O1549" s="3">
        <v>26127.65</v>
      </c>
      <c r="P1549" s="3" t="s">
        <v>26</v>
      </c>
    </row>
    <row r="1550" spans="1:16" x14ac:dyDescent="0.35">
      <c r="A1550" s="3" t="s">
        <v>2792</v>
      </c>
      <c r="B1550" s="3" t="s">
        <v>412</v>
      </c>
      <c r="C1550" s="3" t="s">
        <v>48</v>
      </c>
      <c r="D1550" s="3" t="s">
        <v>19</v>
      </c>
      <c r="E1550" s="3" t="s">
        <v>20</v>
      </c>
      <c r="F1550" s="3" t="s">
        <v>21</v>
      </c>
      <c r="G1550" s="3" t="s">
        <v>30</v>
      </c>
      <c r="H1550" s="3" t="s">
        <v>67</v>
      </c>
      <c r="I1550" s="3" t="s">
        <v>418</v>
      </c>
      <c r="J1550" s="3" t="s">
        <v>171</v>
      </c>
      <c r="K1550" s="3">
        <v>5</v>
      </c>
      <c r="L1550" s="3">
        <v>8824.64</v>
      </c>
      <c r="M1550" s="3">
        <v>44123.199999999997</v>
      </c>
      <c r="N1550" s="3">
        <v>37947.129999999997</v>
      </c>
      <c r="O1550" s="3">
        <v>6176.07</v>
      </c>
      <c r="P1550" s="3" t="s">
        <v>45</v>
      </c>
    </row>
    <row r="1551" spans="1:16" x14ac:dyDescent="0.35">
      <c r="A1551" s="3" t="s">
        <v>2793</v>
      </c>
      <c r="B1551" s="3" t="s">
        <v>656</v>
      </c>
      <c r="C1551" s="3" t="s">
        <v>89</v>
      </c>
      <c r="D1551" s="3" t="s">
        <v>58</v>
      </c>
      <c r="E1551" s="3" t="s">
        <v>59</v>
      </c>
      <c r="F1551" s="3" t="s">
        <v>60</v>
      </c>
      <c r="G1551" s="3" t="s">
        <v>51</v>
      </c>
      <c r="H1551" s="3" t="s">
        <v>77</v>
      </c>
      <c r="I1551" s="3" t="s">
        <v>872</v>
      </c>
      <c r="J1551" s="3" t="s">
        <v>188</v>
      </c>
      <c r="K1551" s="3">
        <v>3</v>
      </c>
      <c r="L1551" s="3">
        <v>12952.29</v>
      </c>
      <c r="M1551" s="3">
        <v>38856.870000000003</v>
      </c>
      <c r="N1551" s="3">
        <v>26917.01</v>
      </c>
      <c r="O1551" s="3">
        <v>11939.86</v>
      </c>
      <c r="P1551" s="3" t="s">
        <v>34</v>
      </c>
    </row>
    <row r="1552" spans="1:16" x14ac:dyDescent="0.35">
      <c r="A1552" s="3" t="s">
        <v>2794</v>
      </c>
      <c r="B1552" s="3" t="s">
        <v>1205</v>
      </c>
      <c r="C1552" s="3" t="s">
        <v>114</v>
      </c>
      <c r="D1552" s="3" t="s">
        <v>38</v>
      </c>
      <c r="E1552" s="3" t="s">
        <v>109</v>
      </c>
      <c r="F1552" s="3" t="s">
        <v>110</v>
      </c>
      <c r="G1552" s="3" t="s">
        <v>51</v>
      </c>
      <c r="H1552" s="3" t="s">
        <v>145</v>
      </c>
      <c r="I1552" s="3" t="s">
        <v>614</v>
      </c>
      <c r="J1552" s="3" t="s">
        <v>171</v>
      </c>
      <c r="K1552" s="3">
        <v>8</v>
      </c>
      <c r="L1552" s="3">
        <v>119.21</v>
      </c>
      <c r="M1552" s="3">
        <v>953.68</v>
      </c>
      <c r="N1552" s="3">
        <v>457.51</v>
      </c>
      <c r="O1552" s="3">
        <v>496.17</v>
      </c>
      <c r="P1552" s="3" t="s">
        <v>86</v>
      </c>
    </row>
    <row r="1553" spans="1:16" x14ac:dyDescent="0.35">
      <c r="A1553" s="3" t="s">
        <v>2795</v>
      </c>
      <c r="B1553" s="3" t="s">
        <v>1997</v>
      </c>
      <c r="C1553" s="3" t="s">
        <v>114</v>
      </c>
      <c r="D1553" s="3" t="s">
        <v>19</v>
      </c>
      <c r="E1553" s="3" t="s">
        <v>199</v>
      </c>
      <c r="F1553" s="3" t="s">
        <v>200</v>
      </c>
      <c r="G1553" s="3" t="s">
        <v>22</v>
      </c>
      <c r="H1553" s="3" t="s">
        <v>23</v>
      </c>
      <c r="I1553" s="3" t="s">
        <v>1959</v>
      </c>
      <c r="J1553" s="3" t="s">
        <v>171</v>
      </c>
      <c r="K1553" s="3">
        <v>3</v>
      </c>
      <c r="L1553" s="3">
        <v>3345.07</v>
      </c>
      <c r="M1553" s="3">
        <v>10035.209999999999</v>
      </c>
      <c r="N1553" s="3">
        <v>6457.81</v>
      </c>
      <c r="O1553" s="3">
        <v>3577.4</v>
      </c>
      <c r="P1553" s="3" t="s">
        <v>45</v>
      </c>
    </row>
    <row r="1554" spans="1:16" x14ac:dyDescent="0.35">
      <c r="A1554" s="3" t="s">
        <v>2796</v>
      </c>
      <c r="B1554" s="3" t="s">
        <v>717</v>
      </c>
      <c r="C1554" s="3" t="s">
        <v>114</v>
      </c>
      <c r="D1554" s="3" t="s">
        <v>90</v>
      </c>
      <c r="E1554" s="3" t="s">
        <v>97</v>
      </c>
      <c r="F1554" s="3" t="s">
        <v>98</v>
      </c>
      <c r="G1554" s="3" t="s">
        <v>41</v>
      </c>
      <c r="H1554" s="3" t="s">
        <v>138</v>
      </c>
      <c r="I1554" s="3" t="s">
        <v>2797</v>
      </c>
      <c r="J1554" s="3" t="s">
        <v>100</v>
      </c>
      <c r="K1554" s="3">
        <v>5</v>
      </c>
      <c r="L1554" s="3">
        <v>17788</v>
      </c>
      <c r="M1554" s="3">
        <v>88940</v>
      </c>
      <c r="N1554" s="3">
        <v>68214.52</v>
      </c>
      <c r="O1554" s="3">
        <v>20725.48</v>
      </c>
      <c r="P1554" s="3" t="s">
        <v>45</v>
      </c>
    </row>
    <row r="1555" spans="1:16" x14ac:dyDescent="0.35">
      <c r="A1555" s="3" t="s">
        <v>2798</v>
      </c>
      <c r="B1555" s="3" t="s">
        <v>580</v>
      </c>
      <c r="C1555" s="3" t="s">
        <v>57</v>
      </c>
      <c r="D1555" s="3" t="s">
        <v>58</v>
      </c>
      <c r="E1555" s="3" t="s">
        <v>59</v>
      </c>
      <c r="F1555" s="3" t="s">
        <v>60</v>
      </c>
      <c r="G1555" s="3" t="s">
        <v>41</v>
      </c>
      <c r="H1555" s="3" t="s">
        <v>42</v>
      </c>
      <c r="I1555" s="3" t="s">
        <v>2799</v>
      </c>
      <c r="J1555" s="3" t="s">
        <v>44</v>
      </c>
      <c r="K1555" s="3">
        <v>4</v>
      </c>
      <c r="L1555" s="3">
        <v>45383.44</v>
      </c>
      <c r="M1555" s="3">
        <v>181533.76</v>
      </c>
      <c r="N1555" s="3">
        <v>143521.23000000001</v>
      </c>
      <c r="O1555" s="3">
        <v>38012.53</v>
      </c>
      <c r="P1555" s="3" t="s">
        <v>86</v>
      </c>
    </row>
    <row r="1556" spans="1:16" x14ac:dyDescent="0.35">
      <c r="A1556" s="3" t="s">
        <v>2800</v>
      </c>
      <c r="B1556" s="3" t="s">
        <v>2801</v>
      </c>
      <c r="C1556" s="3" t="s">
        <v>29</v>
      </c>
      <c r="D1556" s="3" t="s">
        <v>38</v>
      </c>
      <c r="E1556" s="3" t="s">
        <v>39</v>
      </c>
      <c r="F1556" s="3" t="s">
        <v>40</v>
      </c>
      <c r="G1556" s="3" t="s">
        <v>41</v>
      </c>
      <c r="H1556" s="3" t="s">
        <v>42</v>
      </c>
      <c r="I1556" s="3" t="s">
        <v>2260</v>
      </c>
      <c r="J1556" s="3" t="s">
        <v>33</v>
      </c>
      <c r="K1556" s="3">
        <v>3</v>
      </c>
      <c r="L1556" s="3">
        <v>43666.49</v>
      </c>
      <c r="M1556" s="3">
        <v>130999.47</v>
      </c>
      <c r="N1556" s="3">
        <v>101480.46</v>
      </c>
      <c r="O1556" s="3">
        <v>29519.01</v>
      </c>
      <c r="P1556" s="3" t="s">
        <v>69</v>
      </c>
    </row>
    <row r="1557" spans="1:16" x14ac:dyDescent="0.35">
      <c r="A1557" s="3" t="s">
        <v>2802</v>
      </c>
      <c r="B1557" s="3" t="s">
        <v>198</v>
      </c>
      <c r="C1557" s="3" t="s">
        <v>29</v>
      </c>
      <c r="D1557" s="3" t="s">
        <v>19</v>
      </c>
      <c r="E1557" s="3" t="s">
        <v>199</v>
      </c>
      <c r="F1557" s="3" t="s">
        <v>200</v>
      </c>
      <c r="G1557" s="3" t="s">
        <v>41</v>
      </c>
      <c r="H1557" s="3" t="s">
        <v>61</v>
      </c>
      <c r="I1557" s="3" t="s">
        <v>1573</v>
      </c>
      <c r="J1557" s="3" t="s">
        <v>79</v>
      </c>
      <c r="K1557" s="3">
        <v>8</v>
      </c>
      <c r="L1557" s="3">
        <v>2707.6</v>
      </c>
      <c r="M1557" s="3">
        <v>21660.799999999999</v>
      </c>
      <c r="N1557" s="3">
        <v>12423.6</v>
      </c>
      <c r="O1557" s="3">
        <v>9237.2000000000007</v>
      </c>
      <c r="P1557" s="3" t="s">
        <v>69</v>
      </c>
    </row>
    <row r="1558" spans="1:16" x14ac:dyDescent="0.35">
      <c r="A1558" s="3" t="s">
        <v>2803</v>
      </c>
      <c r="B1558" s="3" t="s">
        <v>639</v>
      </c>
      <c r="C1558" s="3" t="s">
        <v>72</v>
      </c>
      <c r="D1558" s="3" t="s">
        <v>58</v>
      </c>
      <c r="E1558" s="3" t="s">
        <v>176</v>
      </c>
      <c r="F1558" s="3" t="s">
        <v>177</v>
      </c>
      <c r="G1558" s="3" t="s">
        <v>22</v>
      </c>
      <c r="H1558" s="3" t="s">
        <v>23</v>
      </c>
      <c r="I1558" s="3" t="s">
        <v>2804</v>
      </c>
      <c r="J1558" s="3" t="s">
        <v>33</v>
      </c>
      <c r="K1558" s="3">
        <v>8</v>
      </c>
      <c r="L1558" s="3">
        <v>3430.93</v>
      </c>
      <c r="M1558" s="3">
        <v>27447.439999999999</v>
      </c>
      <c r="N1558" s="3">
        <v>17312.78</v>
      </c>
      <c r="O1558" s="3">
        <v>10134.66</v>
      </c>
      <c r="P1558" s="3" t="s">
        <v>26</v>
      </c>
    </row>
    <row r="1559" spans="1:16" x14ac:dyDescent="0.35">
      <c r="A1559" s="3" t="s">
        <v>2805</v>
      </c>
      <c r="B1559" s="3" t="s">
        <v>908</v>
      </c>
      <c r="C1559" s="3" t="s">
        <v>72</v>
      </c>
      <c r="D1559" s="3" t="s">
        <v>90</v>
      </c>
      <c r="E1559" s="3" t="s">
        <v>91</v>
      </c>
      <c r="F1559" s="3" t="s">
        <v>92</v>
      </c>
      <c r="G1559" s="3" t="s">
        <v>51</v>
      </c>
      <c r="H1559" s="3" t="s">
        <v>52</v>
      </c>
      <c r="I1559" s="3" t="s">
        <v>1961</v>
      </c>
      <c r="J1559" s="3" t="s">
        <v>171</v>
      </c>
      <c r="K1559" s="3">
        <v>5</v>
      </c>
      <c r="L1559" s="3">
        <v>24.67</v>
      </c>
      <c r="M1559" s="3">
        <v>123.35</v>
      </c>
      <c r="N1559" s="3">
        <v>48.1</v>
      </c>
      <c r="O1559" s="3">
        <v>75.25</v>
      </c>
      <c r="P1559" s="3" t="s">
        <v>45</v>
      </c>
    </row>
    <row r="1560" spans="1:16" x14ac:dyDescent="0.35">
      <c r="A1560" s="3" t="s">
        <v>2806</v>
      </c>
      <c r="B1560" s="3" t="s">
        <v>349</v>
      </c>
      <c r="C1560" s="3" t="s">
        <v>72</v>
      </c>
      <c r="D1560" s="3" t="s">
        <v>90</v>
      </c>
      <c r="E1560" s="3" t="s">
        <v>97</v>
      </c>
      <c r="F1560" s="3" t="s">
        <v>98</v>
      </c>
      <c r="G1560" s="3" t="s">
        <v>30</v>
      </c>
      <c r="H1560" s="3" t="s">
        <v>67</v>
      </c>
      <c r="I1560" s="3" t="s">
        <v>157</v>
      </c>
      <c r="J1560" s="3" t="s">
        <v>154</v>
      </c>
      <c r="K1560" s="3">
        <v>8</v>
      </c>
      <c r="L1560" s="3">
        <v>8733.11</v>
      </c>
      <c r="M1560" s="3">
        <v>69864.88</v>
      </c>
      <c r="N1560" s="3">
        <v>59260.11</v>
      </c>
      <c r="O1560" s="3">
        <v>10604.77</v>
      </c>
      <c r="P1560" s="3" t="s">
        <v>86</v>
      </c>
    </row>
    <row r="1561" spans="1:16" x14ac:dyDescent="0.35">
      <c r="A1561" s="3" t="s">
        <v>2807</v>
      </c>
      <c r="B1561" s="3" t="s">
        <v>1125</v>
      </c>
      <c r="C1561" s="3" t="s">
        <v>57</v>
      </c>
      <c r="D1561" s="3" t="s">
        <v>19</v>
      </c>
      <c r="E1561" s="3" t="s">
        <v>199</v>
      </c>
      <c r="F1561" s="3" t="s">
        <v>200</v>
      </c>
      <c r="G1561" s="3" t="s">
        <v>22</v>
      </c>
      <c r="H1561" s="3" t="s">
        <v>23</v>
      </c>
      <c r="I1561" s="3" t="s">
        <v>74</v>
      </c>
      <c r="J1561" s="3" t="s">
        <v>106</v>
      </c>
      <c r="K1561" s="3">
        <v>3</v>
      </c>
      <c r="L1561" s="3">
        <v>3509.05</v>
      </c>
      <c r="M1561" s="3">
        <v>10527.15</v>
      </c>
      <c r="N1561" s="3">
        <v>6773.14</v>
      </c>
      <c r="O1561" s="3">
        <v>3754.01</v>
      </c>
      <c r="P1561" s="3" t="s">
        <v>45</v>
      </c>
    </row>
    <row r="1562" spans="1:16" x14ac:dyDescent="0.35">
      <c r="A1562" s="3" t="s">
        <v>2808</v>
      </c>
      <c r="B1562" s="3" t="s">
        <v>420</v>
      </c>
      <c r="C1562" s="3" t="s">
        <v>89</v>
      </c>
      <c r="D1562" s="3" t="s">
        <v>38</v>
      </c>
      <c r="E1562" s="3" t="s">
        <v>39</v>
      </c>
      <c r="F1562" s="3" t="s">
        <v>40</v>
      </c>
      <c r="G1562" s="3" t="s">
        <v>30</v>
      </c>
      <c r="H1562" s="3" t="s">
        <v>73</v>
      </c>
      <c r="I1562" s="3" t="s">
        <v>2658</v>
      </c>
      <c r="J1562" s="3" t="s">
        <v>33</v>
      </c>
      <c r="K1562" s="3">
        <v>1</v>
      </c>
      <c r="L1562" s="3">
        <v>3219.67</v>
      </c>
      <c r="M1562" s="3">
        <v>3219.67</v>
      </c>
      <c r="N1562" s="3">
        <v>2452.2600000000002</v>
      </c>
      <c r="O1562" s="3">
        <v>767.41</v>
      </c>
      <c r="P1562" s="3" t="s">
        <v>34</v>
      </c>
    </row>
    <row r="1563" spans="1:16" x14ac:dyDescent="0.35">
      <c r="A1563" s="3" t="s">
        <v>2809</v>
      </c>
      <c r="B1563" s="3" t="s">
        <v>1823</v>
      </c>
      <c r="C1563" s="3" t="s">
        <v>118</v>
      </c>
      <c r="D1563" s="3" t="s">
        <v>58</v>
      </c>
      <c r="E1563" s="3" t="s">
        <v>59</v>
      </c>
      <c r="F1563" s="3" t="s">
        <v>60</v>
      </c>
      <c r="G1563" s="3" t="s">
        <v>51</v>
      </c>
      <c r="H1563" s="3" t="s">
        <v>77</v>
      </c>
      <c r="I1563" s="3" t="s">
        <v>2076</v>
      </c>
      <c r="J1563" s="3" t="s">
        <v>25</v>
      </c>
      <c r="K1563" s="3">
        <v>3</v>
      </c>
      <c r="L1563" s="3">
        <v>12808.2</v>
      </c>
      <c r="M1563" s="3">
        <v>38424.6</v>
      </c>
      <c r="N1563" s="3">
        <v>27420.81</v>
      </c>
      <c r="O1563" s="3">
        <v>11003.79</v>
      </c>
      <c r="P1563" s="3" t="s">
        <v>26</v>
      </c>
    </row>
    <row r="1564" spans="1:16" x14ac:dyDescent="0.35">
      <c r="A1564" s="3" t="s">
        <v>2810</v>
      </c>
      <c r="B1564" s="3" t="s">
        <v>642</v>
      </c>
      <c r="C1564" s="3" t="s">
        <v>18</v>
      </c>
      <c r="D1564" s="3" t="s">
        <v>90</v>
      </c>
      <c r="E1564" s="3" t="s">
        <v>97</v>
      </c>
      <c r="F1564" s="3" t="s">
        <v>98</v>
      </c>
      <c r="G1564" s="3" t="s">
        <v>51</v>
      </c>
      <c r="H1564" s="3" t="s">
        <v>77</v>
      </c>
      <c r="I1564" s="3" t="s">
        <v>758</v>
      </c>
      <c r="J1564" s="3" t="s">
        <v>85</v>
      </c>
      <c r="K1564" s="3">
        <v>2</v>
      </c>
      <c r="L1564" s="3">
        <v>13153.68</v>
      </c>
      <c r="M1564" s="3">
        <v>26307.360000000001</v>
      </c>
      <c r="N1564" s="3">
        <v>17970.32</v>
      </c>
      <c r="O1564" s="3">
        <v>8337.0400000000009</v>
      </c>
      <c r="P1564" s="3" t="s">
        <v>34</v>
      </c>
    </row>
    <row r="1565" spans="1:16" x14ac:dyDescent="0.35">
      <c r="A1565" s="3" t="s">
        <v>2811</v>
      </c>
      <c r="B1565" s="3" t="s">
        <v>979</v>
      </c>
      <c r="C1565" s="3" t="s">
        <v>103</v>
      </c>
      <c r="D1565" s="3" t="s">
        <v>58</v>
      </c>
      <c r="E1565" s="3" t="s">
        <v>65</v>
      </c>
      <c r="F1565" s="3" t="s">
        <v>66</v>
      </c>
      <c r="G1565" s="3" t="s">
        <v>22</v>
      </c>
      <c r="H1565" s="3" t="s">
        <v>83</v>
      </c>
      <c r="I1565" s="3" t="s">
        <v>2070</v>
      </c>
      <c r="J1565" s="3" t="s">
        <v>100</v>
      </c>
      <c r="K1565" s="3">
        <v>2</v>
      </c>
      <c r="L1565" s="3">
        <v>21392.06</v>
      </c>
      <c r="M1565" s="3">
        <v>42784.12</v>
      </c>
      <c r="N1565" s="3">
        <v>34252.54</v>
      </c>
      <c r="O1565" s="3">
        <v>8531.58</v>
      </c>
      <c r="P1565" s="3" t="s">
        <v>26</v>
      </c>
    </row>
    <row r="1566" spans="1:16" x14ac:dyDescent="0.35">
      <c r="A1566" s="3" t="s">
        <v>2812</v>
      </c>
      <c r="B1566" s="3" t="s">
        <v>880</v>
      </c>
      <c r="C1566" s="3" t="s">
        <v>114</v>
      </c>
      <c r="D1566" s="3" t="s">
        <v>19</v>
      </c>
      <c r="E1566" s="3" t="s">
        <v>20</v>
      </c>
      <c r="F1566" s="3" t="s">
        <v>21</v>
      </c>
      <c r="G1566" s="3" t="s">
        <v>30</v>
      </c>
      <c r="H1566" s="3" t="s">
        <v>67</v>
      </c>
      <c r="I1566" s="3" t="s">
        <v>2344</v>
      </c>
      <c r="J1566" s="3" t="s">
        <v>154</v>
      </c>
      <c r="K1566" s="3">
        <v>5</v>
      </c>
      <c r="L1566" s="3">
        <v>9508.51</v>
      </c>
      <c r="M1566" s="3">
        <v>47542.55</v>
      </c>
      <c r="N1566" s="3">
        <v>38221.17</v>
      </c>
      <c r="O1566" s="3">
        <v>9321.3799999999992</v>
      </c>
      <c r="P1566" s="3" t="s">
        <v>34</v>
      </c>
    </row>
    <row r="1567" spans="1:16" x14ac:dyDescent="0.35">
      <c r="A1567" s="3" t="s">
        <v>2813</v>
      </c>
      <c r="B1567" s="3" t="s">
        <v>527</v>
      </c>
      <c r="C1567" s="3" t="s">
        <v>82</v>
      </c>
      <c r="D1567" s="3" t="s">
        <v>58</v>
      </c>
      <c r="E1567" s="3" t="s">
        <v>59</v>
      </c>
      <c r="F1567" s="3" t="s">
        <v>60</v>
      </c>
      <c r="G1567" s="3" t="s">
        <v>30</v>
      </c>
      <c r="H1567" s="3" t="s">
        <v>67</v>
      </c>
      <c r="I1567" s="3" t="s">
        <v>1621</v>
      </c>
      <c r="J1567" s="3" t="s">
        <v>85</v>
      </c>
      <c r="K1567" s="3">
        <v>3</v>
      </c>
      <c r="L1567" s="3">
        <v>9784.4</v>
      </c>
      <c r="M1567" s="3">
        <v>29353.200000000001</v>
      </c>
      <c r="N1567" s="3">
        <v>23256.61</v>
      </c>
      <c r="O1567" s="3">
        <v>6096.59</v>
      </c>
      <c r="P1567" s="3" t="s">
        <v>26</v>
      </c>
    </row>
    <row r="1568" spans="1:16" x14ac:dyDescent="0.35">
      <c r="A1568" s="3" t="s">
        <v>2814</v>
      </c>
      <c r="B1568" s="3" t="s">
        <v>407</v>
      </c>
      <c r="C1568" s="3" t="s">
        <v>48</v>
      </c>
      <c r="D1568" s="3" t="s">
        <v>90</v>
      </c>
      <c r="E1568" s="3" t="s">
        <v>97</v>
      </c>
      <c r="F1568" s="3" t="s">
        <v>98</v>
      </c>
      <c r="G1568" s="3" t="s">
        <v>51</v>
      </c>
      <c r="H1568" s="3" t="s">
        <v>145</v>
      </c>
      <c r="I1568" s="3" t="s">
        <v>683</v>
      </c>
      <c r="J1568" s="3" t="s">
        <v>161</v>
      </c>
      <c r="K1568" s="3">
        <v>7</v>
      </c>
      <c r="L1568" s="3">
        <v>130.78</v>
      </c>
      <c r="M1568" s="3">
        <v>915.46</v>
      </c>
      <c r="N1568" s="3">
        <v>421.03</v>
      </c>
      <c r="O1568" s="3">
        <v>494.43</v>
      </c>
      <c r="P1568" s="3" t="s">
        <v>86</v>
      </c>
    </row>
    <row r="1569" spans="1:16" x14ac:dyDescent="0.35">
      <c r="A1569" s="3" t="s">
        <v>2815</v>
      </c>
      <c r="B1569" s="3" t="s">
        <v>1435</v>
      </c>
      <c r="C1569" s="3" t="s">
        <v>137</v>
      </c>
      <c r="D1569" s="3" t="s">
        <v>90</v>
      </c>
      <c r="E1569" s="3" t="s">
        <v>119</v>
      </c>
      <c r="F1569" s="3" t="s">
        <v>120</v>
      </c>
      <c r="G1569" s="3" t="s">
        <v>22</v>
      </c>
      <c r="H1569" s="3" t="s">
        <v>23</v>
      </c>
      <c r="I1569" s="3" t="s">
        <v>1266</v>
      </c>
      <c r="J1569" s="3" t="s">
        <v>33</v>
      </c>
      <c r="K1569" s="3">
        <v>4</v>
      </c>
      <c r="L1569" s="3">
        <v>3819.69</v>
      </c>
      <c r="M1569" s="3">
        <v>15278.76</v>
      </c>
      <c r="N1569" s="3">
        <v>8899.61</v>
      </c>
      <c r="O1569" s="3">
        <v>6379.15</v>
      </c>
      <c r="P1569" s="3" t="s">
        <v>69</v>
      </c>
    </row>
    <row r="1570" spans="1:16" x14ac:dyDescent="0.35">
      <c r="A1570" s="3" t="s">
        <v>2816</v>
      </c>
      <c r="B1570" s="3" t="s">
        <v>634</v>
      </c>
      <c r="C1570" s="3" t="s">
        <v>29</v>
      </c>
      <c r="D1570" s="3" t="s">
        <v>58</v>
      </c>
      <c r="E1570" s="3" t="s">
        <v>176</v>
      </c>
      <c r="F1570" s="3" t="s">
        <v>177</v>
      </c>
      <c r="G1570" s="3" t="s">
        <v>30</v>
      </c>
      <c r="H1570" s="3" t="s">
        <v>31</v>
      </c>
      <c r="I1570" s="3" t="s">
        <v>2106</v>
      </c>
      <c r="J1570" s="3" t="s">
        <v>85</v>
      </c>
      <c r="K1570" s="3">
        <v>7</v>
      </c>
      <c r="L1570" s="3">
        <v>3038.61</v>
      </c>
      <c r="M1570" s="3">
        <v>21270.27</v>
      </c>
      <c r="N1570" s="3">
        <v>13110.73</v>
      </c>
      <c r="O1570" s="3">
        <v>8159.54</v>
      </c>
      <c r="P1570" s="3" t="s">
        <v>69</v>
      </c>
    </row>
    <row r="1571" spans="1:16" x14ac:dyDescent="0.35">
      <c r="A1571" s="3" t="s">
        <v>2817</v>
      </c>
      <c r="B1571" s="3" t="s">
        <v>712</v>
      </c>
      <c r="C1571" s="3" t="s">
        <v>37</v>
      </c>
      <c r="D1571" s="3" t="s">
        <v>90</v>
      </c>
      <c r="E1571" s="3" t="s">
        <v>97</v>
      </c>
      <c r="F1571" s="3" t="s">
        <v>98</v>
      </c>
      <c r="G1571" s="3" t="s">
        <v>51</v>
      </c>
      <c r="H1571" s="3" t="s">
        <v>52</v>
      </c>
      <c r="I1571" s="3" t="s">
        <v>433</v>
      </c>
      <c r="J1571" s="3" t="s">
        <v>25</v>
      </c>
      <c r="K1571" s="3">
        <v>3</v>
      </c>
      <c r="L1571" s="3">
        <v>27.41</v>
      </c>
      <c r="M1571" s="3">
        <v>82.23</v>
      </c>
      <c r="N1571" s="3">
        <v>30.58</v>
      </c>
      <c r="O1571" s="3">
        <v>51.65</v>
      </c>
      <c r="P1571" s="3" t="s">
        <v>86</v>
      </c>
    </row>
    <row r="1572" spans="1:16" x14ac:dyDescent="0.35">
      <c r="A1572" s="3" t="s">
        <v>2818</v>
      </c>
      <c r="B1572" s="3" t="s">
        <v>1935</v>
      </c>
      <c r="C1572" s="3" t="s">
        <v>72</v>
      </c>
      <c r="D1572" s="3" t="s">
        <v>19</v>
      </c>
      <c r="E1572" s="3" t="s">
        <v>20</v>
      </c>
      <c r="F1572" s="3" t="s">
        <v>21</v>
      </c>
      <c r="G1572" s="3" t="s">
        <v>51</v>
      </c>
      <c r="H1572" s="3" t="s">
        <v>145</v>
      </c>
      <c r="I1572" s="3" t="s">
        <v>1445</v>
      </c>
      <c r="J1572" s="3" t="s">
        <v>33</v>
      </c>
      <c r="K1572" s="3">
        <v>2</v>
      </c>
      <c r="L1572" s="3">
        <v>130.36000000000001</v>
      </c>
      <c r="M1572" s="3">
        <v>260.72000000000003</v>
      </c>
      <c r="N1572" s="3">
        <v>120.69</v>
      </c>
      <c r="O1572" s="3">
        <v>140.03</v>
      </c>
      <c r="P1572" s="3" t="s">
        <v>26</v>
      </c>
    </row>
    <row r="1573" spans="1:16" x14ac:dyDescent="0.35">
      <c r="A1573" s="3" t="s">
        <v>2819</v>
      </c>
      <c r="B1573" s="3" t="s">
        <v>203</v>
      </c>
      <c r="C1573" s="3" t="s">
        <v>48</v>
      </c>
      <c r="D1573" s="3" t="s">
        <v>58</v>
      </c>
      <c r="E1573" s="3" t="s">
        <v>59</v>
      </c>
      <c r="F1573" s="3" t="s">
        <v>60</v>
      </c>
      <c r="G1573" s="3" t="s">
        <v>22</v>
      </c>
      <c r="H1573" s="3" t="s">
        <v>83</v>
      </c>
      <c r="I1573" s="3" t="s">
        <v>1965</v>
      </c>
      <c r="J1573" s="3" t="s">
        <v>188</v>
      </c>
      <c r="K1573" s="3">
        <v>6</v>
      </c>
      <c r="L1573" s="3">
        <v>24121.63</v>
      </c>
      <c r="M1573" s="3">
        <v>144729.78</v>
      </c>
      <c r="N1573" s="3">
        <v>106621.51</v>
      </c>
      <c r="O1573" s="3">
        <v>38108.269999999997</v>
      </c>
      <c r="P1573" s="3" t="s">
        <v>34</v>
      </c>
    </row>
    <row r="1574" spans="1:16" x14ac:dyDescent="0.35">
      <c r="A1574" s="3" t="s">
        <v>2820</v>
      </c>
      <c r="B1574" s="3" t="s">
        <v>816</v>
      </c>
      <c r="C1574" s="3" t="s">
        <v>57</v>
      </c>
      <c r="D1574" s="3" t="s">
        <v>90</v>
      </c>
      <c r="E1574" s="3" t="s">
        <v>119</v>
      </c>
      <c r="F1574" s="3" t="s">
        <v>120</v>
      </c>
      <c r="G1574" s="3" t="s">
        <v>30</v>
      </c>
      <c r="H1574" s="3" t="s">
        <v>67</v>
      </c>
      <c r="I1574" s="3" t="s">
        <v>2821</v>
      </c>
      <c r="J1574" s="3" t="s">
        <v>54</v>
      </c>
      <c r="K1574" s="3">
        <v>6</v>
      </c>
      <c r="L1574" s="3">
        <v>8870.15</v>
      </c>
      <c r="M1574" s="3">
        <v>53220.9</v>
      </c>
      <c r="N1574" s="3">
        <v>46445.5</v>
      </c>
      <c r="O1574" s="3">
        <v>6775.4</v>
      </c>
      <c r="P1574" s="3" t="s">
        <v>86</v>
      </c>
    </row>
    <row r="1575" spans="1:16" x14ac:dyDescent="0.35">
      <c r="A1575" s="3" t="s">
        <v>2822</v>
      </c>
      <c r="B1575" s="3" t="s">
        <v>398</v>
      </c>
      <c r="C1575" s="3" t="s">
        <v>57</v>
      </c>
      <c r="D1575" s="3" t="s">
        <v>58</v>
      </c>
      <c r="E1575" s="3" t="s">
        <v>176</v>
      </c>
      <c r="F1575" s="3" t="s">
        <v>177</v>
      </c>
      <c r="G1575" s="3" t="s">
        <v>41</v>
      </c>
      <c r="H1575" s="3" t="s">
        <v>42</v>
      </c>
      <c r="I1575" s="3" t="s">
        <v>724</v>
      </c>
      <c r="J1575" s="3" t="s">
        <v>100</v>
      </c>
      <c r="K1575" s="3">
        <v>2</v>
      </c>
      <c r="L1575" s="3">
        <v>44914.23</v>
      </c>
      <c r="M1575" s="3">
        <v>89828.46</v>
      </c>
      <c r="N1575" s="3">
        <v>69085.89</v>
      </c>
      <c r="O1575" s="3">
        <v>20742.57</v>
      </c>
      <c r="P1575" s="3" t="s">
        <v>26</v>
      </c>
    </row>
    <row r="1576" spans="1:16" x14ac:dyDescent="0.35">
      <c r="A1576" s="3" t="s">
        <v>2823</v>
      </c>
      <c r="B1576" s="3" t="s">
        <v>351</v>
      </c>
      <c r="C1576" s="3" t="s">
        <v>114</v>
      </c>
      <c r="D1576" s="3" t="s">
        <v>90</v>
      </c>
      <c r="E1576" s="3" t="s">
        <v>119</v>
      </c>
      <c r="F1576" s="3" t="s">
        <v>120</v>
      </c>
      <c r="G1576" s="3" t="s">
        <v>51</v>
      </c>
      <c r="H1576" s="3" t="s">
        <v>145</v>
      </c>
      <c r="I1576" s="3" t="s">
        <v>2824</v>
      </c>
      <c r="J1576" s="3" t="s">
        <v>85</v>
      </c>
      <c r="K1576" s="3">
        <v>1</v>
      </c>
      <c r="L1576" s="3">
        <v>126.09</v>
      </c>
      <c r="M1576" s="3">
        <v>126.09</v>
      </c>
      <c r="N1576" s="3">
        <v>57.88</v>
      </c>
      <c r="O1576" s="3">
        <v>68.209999999999994</v>
      </c>
      <c r="P1576" s="3" t="s">
        <v>26</v>
      </c>
    </row>
    <row r="1577" spans="1:16" x14ac:dyDescent="0.35">
      <c r="A1577" s="3" t="s">
        <v>2825</v>
      </c>
      <c r="B1577" s="3" t="s">
        <v>420</v>
      </c>
      <c r="C1577" s="3" t="s">
        <v>89</v>
      </c>
      <c r="D1577" s="3" t="s">
        <v>58</v>
      </c>
      <c r="E1577" s="3" t="s">
        <v>176</v>
      </c>
      <c r="F1577" s="3" t="s">
        <v>177</v>
      </c>
      <c r="G1577" s="3" t="s">
        <v>41</v>
      </c>
      <c r="H1577" s="3" t="s">
        <v>61</v>
      </c>
      <c r="I1577" s="3" t="s">
        <v>1099</v>
      </c>
      <c r="J1577" s="3" t="s">
        <v>106</v>
      </c>
      <c r="K1577" s="3">
        <v>4</v>
      </c>
      <c r="L1577" s="3">
        <v>2618.6799999999998</v>
      </c>
      <c r="M1577" s="3">
        <v>10474.719999999999</v>
      </c>
      <c r="N1577" s="3">
        <v>6137.25</v>
      </c>
      <c r="O1577" s="3">
        <v>4337.47</v>
      </c>
      <c r="P1577" s="3" t="s">
        <v>86</v>
      </c>
    </row>
    <row r="1578" spans="1:16" x14ac:dyDescent="0.35">
      <c r="A1578" s="3" t="s">
        <v>2826</v>
      </c>
      <c r="B1578" s="3" t="s">
        <v>1594</v>
      </c>
      <c r="C1578" s="3" t="s">
        <v>48</v>
      </c>
      <c r="D1578" s="3" t="s">
        <v>58</v>
      </c>
      <c r="E1578" s="3" t="s">
        <v>59</v>
      </c>
      <c r="F1578" s="3" t="s">
        <v>60</v>
      </c>
      <c r="G1578" s="3" t="s">
        <v>51</v>
      </c>
      <c r="H1578" s="3" t="s">
        <v>77</v>
      </c>
      <c r="I1578" s="3" t="s">
        <v>1356</v>
      </c>
      <c r="J1578" s="3" t="s">
        <v>100</v>
      </c>
      <c r="K1578" s="3">
        <v>2</v>
      </c>
      <c r="L1578" s="3">
        <v>13113.23</v>
      </c>
      <c r="M1578" s="3">
        <v>26226.46</v>
      </c>
      <c r="N1578" s="3">
        <v>17924</v>
      </c>
      <c r="O1578" s="3">
        <v>8302.4599999999991</v>
      </c>
      <c r="P1578" s="3" t="s">
        <v>34</v>
      </c>
    </row>
    <row r="1579" spans="1:16" x14ac:dyDescent="0.35">
      <c r="A1579" s="3" t="s">
        <v>2827</v>
      </c>
      <c r="B1579" s="3" t="s">
        <v>446</v>
      </c>
      <c r="C1579" s="3" t="s">
        <v>29</v>
      </c>
      <c r="D1579" s="3" t="s">
        <v>19</v>
      </c>
      <c r="E1579" s="3" t="s">
        <v>20</v>
      </c>
      <c r="F1579" s="3" t="s">
        <v>21</v>
      </c>
      <c r="G1579" s="3" t="s">
        <v>51</v>
      </c>
      <c r="H1579" s="3" t="s">
        <v>77</v>
      </c>
      <c r="I1579" s="3" t="s">
        <v>1189</v>
      </c>
      <c r="J1579" s="3" t="s">
        <v>44</v>
      </c>
      <c r="K1579" s="3">
        <v>4</v>
      </c>
      <c r="L1579" s="3">
        <v>12994.29</v>
      </c>
      <c r="M1579" s="3">
        <v>51977.16</v>
      </c>
      <c r="N1579" s="3">
        <v>36527.300000000003</v>
      </c>
      <c r="O1579" s="3">
        <v>15449.86</v>
      </c>
      <c r="P1579" s="3" t="s">
        <v>34</v>
      </c>
    </row>
    <row r="1580" spans="1:16" x14ac:dyDescent="0.35">
      <c r="A1580" s="3" t="s">
        <v>2828</v>
      </c>
      <c r="B1580" s="3" t="s">
        <v>880</v>
      </c>
      <c r="C1580" s="3" t="s">
        <v>114</v>
      </c>
      <c r="D1580" s="3" t="s">
        <v>38</v>
      </c>
      <c r="E1580" s="3" t="s">
        <v>104</v>
      </c>
      <c r="F1580" s="3" t="s">
        <v>104</v>
      </c>
      <c r="G1580" s="3" t="s">
        <v>41</v>
      </c>
      <c r="H1580" s="3" t="s">
        <v>42</v>
      </c>
      <c r="I1580" s="3" t="s">
        <v>2829</v>
      </c>
      <c r="J1580" s="3" t="s">
        <v>161</v>
      </c>
      <c r="K1580" s="3">
        <v>8</v>
      </c>
      <c r="L1580" s="3">
        <v>44417.61</v>
      </c>
      <c r="M1580" s="3">
        <v>355340.88</v>
      </c>
      <c r="N1580" s="3">
        <v>292905.73</v>
      </c>
      <c r="O1580" s="3">
        <v>62435.15</v>
      </c>
      <c r="P1580" s="3" t="s">
        <v>69</v>
      </c>
    </row>
    <row r="1581" spans="1:16" x14ac:dyDescent="0.35">
      <c r="A1581" s="3" t="s">
        <v>2830</v>
      </c>
      <c r="B1581" s="3" t="s">
        <v>1235</v>
      </c>
      <c r="C1581" s="3" t="s">
        <v>18</v>
      </c>
      <c r="D1581" s="3" t="s">
        <v>19</v>
      </c>
      <c r="E1581" s="3" t="s">
        <v>199</v>
      </c>
      <c r="F1581" s="3" t="s">
        <v>200</v>
      </c>
      <c r="G1581" s="3" t="s">
        <v>51</v>
      </c>
      <c r="H1581" s="3" t="s">
        <v>77</v>
      </c>
      <c r="I1581" s="3" t="s">
        <v>410</v>
      </c>
      <c r="J1581" s="3" t="s">
        <v>217</v>
      </c>
      <c r="K1581" s="3">
        <v>6</v>
      </c>
      <c r="L1581" s="3">
        <v>11504.92</v>
      </c>
      <c r="M1581" s="3">
        <v>69029.52</v>
      </c>
      <c r="N1581" s="3">
        <v>56089.06</v>
      </c>
      <c r="O1581" s="3">
        <v>12940.46</v>
      </c>
      <c r="P1581" s="3" t="s">
        <v>26</v>
      </c>
    </row>
    <row r="1582" spans="1:16" x14ac:dyDescent="0.35">
      <c r="A1582" s="3" t="s">
        <v>2831</v>
      </c>
      <c r="B1582" s="3" t="s">
        <v>206</v>
      </c>
      <c r="C1582" s="3" t="s">
        <v>137</v>
      </c>
      <c r="D1582" s="3" t="s">
        <v>90</v>
      </c>
      <c r="E1582" s="3" t="s">
        <v>91</v>
      </c>
      <c r="F1582" s="3" t="s">
        <v>92</v>
      </c>
      <c r="G1582" s="3" t="s">
        <v>41</v>
      </c>
      <c r="H1582" s="3" t="s">
        <v>42</v>
      </c>
      <c r="I1582" s="3" t="s">
        <v>1791</v>
      </c>
      <c r="J1582" s="3" t="s">
        <v>161</v>
      </c>
      <c r="K1582" s="3">
        <v>3</v>
      </c>
      <c r="L1582" s="3">
        <v>47477.99</v>
      </c>
      <c r="M1582" s="3">
        <v>142433.97</v>
      </c>
      <c r="N1582" s="3">
        <v>110040.66</v>
      </c>
      <c r="O1582" s="3">
        <v>32393.31</v>
      </c>
      <c r="P1582" s="3" t="s">
        <v>26</v>
      </c>
    </row>
    <row r="1583" spans="1:16" x14ac:dyDescent="0.35">
      <c r="A1583" s="3" t="s">
        <v>2832</v>
      </c>
      <c r="B1583" s="3" t="s">
        <v>1687</v>
      </c>
      <c r="C1583" s="3" t="s">
        <v>18</v>
      </c>
      <c r="D1583" s="3" t="s">
        <v>58</v>
      </c>
      <c r="E1583" s="3" t="s">
        <v>59</v>
      </c>
      <c r="F1583" s="3" t="s">
        <v>60</v>
      </c>
      <c r="G1583" s="3" t="s">
        <v>22</v>
      </c>
      <c r="H1583" s="3" t="s">
        <v>83</v>
      </c>
      <c r="I1583" s="3" t="s">
        <v>2833</v>
      </c>
      <c r="J1583" s="3" t="s">
        <v>79</v>
      </c>
      <c r="K1583" s="3">
        <v>7</v>
      </c>
      <c r="L1583" s="3">
        <v>20139.560000000001</v>
      </c>
      <c r="M1583" s="3">
        <v>140976.92000000001</v>
      </c>
      <c r="N1583" s="3">
        <v>118713.27</v>
      </c>
      <c r="O1583" s="3">
        <v>22263.65</v>
      </c>
      <c r="P1583" s="3" t="s">
        <v>26</v>
      </c>
    </row>
    <row r="1584" spans="1:16" x14ac:dyDescent="0.35">
      <c r="A1584" s="3" t="s">
        <v>2834</v>
      </c>
      <c r="B1584" s="3" t="s">
        <v>1527</v>
      </c>
      <c r="C1584" s="3" t="s">
        <v>114</v>
      </c>
      <c r="D1584" s="3" t="s">
        <v>90</v>
      </c>
      <c r="E1584" s="3" t="s">
        <v>119</v>
      </c>
      <c r="F1584" s="3" t="s">
        <v>120</v>
      </c>
      <c r="G1584" s="3" t="s">
        <v>51</v>
      </c>
      <c r="H1584" s="3" t="s">
        <v>77</v>
      </c>
      <c r="I1584" s="3" t="s">
        <v>548</v>
      </c>
      <c r="J1584" s="3" t="s">
        <v>131</v>
      </c>
      <c r="K1584" s="3">
        <v>1</v>
      </c>
      <c r="L1584" s="3">
        <v>12503.9</v>
      </c>
      <c r="M1584" s="3">
        <v>12503.9</v>
      </c>
      <c r="N1584" s="3">
        <v>8706.23</v>
      </c>
      <c r="O1584" s="3">
        <v>3797.67</v>
      </c>
      <c r="P1584" s="3" t="s">
        <v>69</v>
      </c>
    </row>
    <row r="1585" spans="1:16" x14ac:dyDescent="0.35">
      <c r="A1585" s="3" t="s">
        <v>2835</v>
      </c>
      <c r="B1585" s="3" t="s">
        <v>163</v>
      </c>
      <c r="C1585" s="3" t="s">
        <v>137</v>
      </c>
      <c r="D1585" s="3" t="s">
        <v>58</v>
      </c>
      <c r="E1585" s="3" t="s">
        <v>65</v>
      </c>
      <c r="F1585" s="3" t="s">
        <v>66</v>
      </c>
      <c r="G1585" s="3" t="s">
        <v>30</v>
      </c>
      <c r="H1585" s="3" t="s">
        <v>31</v>
      </c>
      <c r="I1585" s="3" t="s">
        <v>481</v>
      </c>
      <c r="J1585" s="3" t="s">
        <v>131</v>
      </c>
      <c r="K1585" s="3">
        <v>5</v>
      </c>
      <c r="L1585" s="3">
        <v>2823.18</v>
      </c>
      <c r="M1585" s="3">
        <v>14115.9</v>
      </c>
      <c r="N1585" s="3">
        <v>9247.5</v>
      </c>
      <c r="O1585" s="3">
        <v>4868.3999999999996</v>
      </c>
      <c r="P1585" s="3" t="s">
        <v>86</v>
      </c>
    </row>
    <row r="1586" spans="1:16" x14ac:dyDescent="0.35">
      <c r="A1586" s="3" t="s">
        <v>2836</v>
      </c>
      <c r="B1586" s="3" t="s">
        <v>2197</v>
      </c>
      <c r="C1586" s="3" t="s">
        <v>18</v>
      </c>
      <c r="D1586" s="3" t="s">
        <v>38</v>
      </c>
      <c r="E1586" s="3" t="s">
        <v>109</v>
      </c>
      <c r="F1586" s="3" t="s">
        <v>110</v>
      </c>
      <c r="G1586" s="3" t="s">
        <v>30</v>
      </c>
      <c r="H1586" s="3" t="s">
        <v>73</v>
      </c>
      <c r="I1586" s="3" t="s">
        <v>657</v>
      </c>
      <c r="J1586" s="3" t="s">
        <v>54</v>
      </c>
      <c r="K1586" s="3">
        <v>4</v>
      </c>
      <c r="L1586" s="3">
        <v>3273.63</v>
      </c>
      <c r="M1586" s="3">
        <v>13094.52</v>
      </c>
      <c r="N1586" s="3">
        <v>9808.5499999999993</v>
      </c>
      <c r="O1586" s="3">
        <v>3285.97</v>
      </c>
      <c r="P1586" s="3" t="s">
        <v>86</v>
      </c>
    </row>
    <row r="1587" spans="1:16" x14ac:dyDescent="0.35">
      <c r="A1587" s="3" t="s">
        <v>2837</v>
      </c>
      <c r="B1587" s="3" t="s">
        <v>488</v>
      </c>
      <c r="C1587" s="3" t="s">
        <v>29</v>
      </c>
      <c r="D1587" s="3" t="s">
        <v>58</v>
      </c>
      <c r="E1587" s="3" t="s">
        <v>59</v>
      </c>
      <c r="F1587" s="3" t="s">
        <v>60</v>
      </c>
      <c r="G1587" s="3" t="s">
        <v>22</v>
      </c>
      <c r="H1587" s="3" t="s">
        <v>23</v>
      </c>
      <c r="I1587" s="3" t="s">
        <v>2106</v>
      </c>
      <c r="J1587" s="3" t="s">
        <v>188</v>
      </c>
      <c r="K1587" s="3">
        <v>1</v>
      </c>
      <c r="L1587" s="3">
        <v>3629.68</v>
      </c>
      <c r="M1587" s="3">
        <v>3629.68</v>
      </c>
      <c r="N1587" s="3">
        <v>2137.0100000000002</v>
      </c>
      <c r="O1587" s="3">
        <v>1492.67</v>
      </c>
      <c r="P1587" s="3" t="s">
        <v>34</v>
      </c>
    </row>
    <row r="1588" spans="1:16" x14ac:dyDescent="0.35">
      <c r="A1588" s="3" t="s">
        <v>2838</v>
      </c>
      <c r="B1588" s="3" t="s">
        <v>861</v>
      </c>
      <c r="C1588" s="3" t="s">
        <v>137</v>
      </c>
      <c r="D1588" s="3" t="s">
        <v>38</v>
      </c>
      <c r="E1588" s="3" t="s">
        <v>104</v>
      </c>
      <c r="F1588" s="3" t="s">
        <v>104</v>
      </c>
      <c r="G1588" s="3" t="s">
        <v>22</v>
      </c>
      <c r="H1588" s="3" t="s">
        <v>83</v>
      </c>
      <c r="I1588" s="3" t="s">
        <v>505</v>
      </c>
      <c r="J1588" s="3" t="s">
        <v>171</v>
      </c>
      <c r="K1588" s="3">
        <v>8</v>
      </c>
      <c r="L1588" s="3">
        <v>20461.150000000001</v>
      </c>
      <c r="M1588" s="3">
        <v>163689.20000000001</v>
      </c>
      <c r="N1588" s="3">
        <v>140245.04</v>
      </c>
      <c r="O1588" s="3">
        <v>23444.16</v>
      </c>
      <c r="P1588" s="3" t="s">
        <v>86</v>
      </c>
    </row>
    <row r="1589" spans="1:16" x14ac:dyDescent="0.35">
      <c r="A1589" s="3" t="s">
        <v>2839</v>
      </c>
      <c r="B1589" s="3" t="s">
        <v>675</v>
      </c>
      <c r="C1589" s="3" t="s">
        <v>82</v>
      </c>
      <c r="D1589" s="3" t="s">
        <v>90</v>
      </c>
      <c r="E1589" s="3" t="s">
        <v>119</v>
      </c>
      <c r="F1589" s="3" t="s">
        <v>120</v>
      </c>
      <c r="G1589" s="3" t="s">
        <v>41</v>
      </c>
      <c r="H1589" s="3" t="s">
        <v>138</v>
      </c>
      <c r="I1589" s="3" t="s">
        <v>1642</v>
      </c>
      <c r="J1589" s="3" t="s">
        <v>100</v>
      </c>
      <c r="K1589" s="3">
        <v>1</v>
      </c>
      <c r="L1589" s="3">
        <v>18321.52</v>
      </c>
      <c r="M1589" s="3">
        <v>18321.52</v>
      </c>
      <c r="N1589" s="3">
        <v>14035.71</v>
      </c>
      <c r="O1589" s="3">
        <v>4285.8100000000004</v>
      </c>
      <c r="P1589" s="3" t="s">
        <v>69</v>
      </c>
    </row>
    <row r="1590" spans="1:16" x14ac:dyDescent="0.35">
      <c r="A1590" s="3" t="s">
        <v>2840</v>
      </c>
      <c r="B1590" s="3" t="s">
        <v>398</v>
      </c>
      <c r="C1590" s="3" t="s">
        <v>57</v>
      </c>
      <c r="D1590" s="3" t="s">
        <v>19</v>
      </c>
      <c r="E1590" s="3" t="s">
        <v>49</v>
      </c>
      <c r="F1590" s="3" t="s">
        <v>50</v>
      </c>
      <c r="G1590" s="3" t="s">
        <v>41</v>
      </c>
      <c r="H1590" s="3" t="s">
        <v>61</v>
      </c>
      <c r="I1590" s="3" t="s">
        <v>522</v>
      </c>
      <c r="J1590" s="3" t="s">
        <v>33</v>
      </c>
      <c r="K1590" s="3">
        <v>5</v>
      </c>
      <c r="L1590" s="3">
        <v>2528.25</v>
      </c>
      <c r="M1590" s="3">
        <v>12641.25</v>
      </c>
      <c r="N1590" s="3">
        <v>8152.43</v>
      </c>
      <c r="O1590" s="3">
        <v>4488.82</v>
      </c>
      <c r="P1590" s="3" t="s">
        <v>69</v>
      </c>
    </row>
    <row r="1591" spans="1:16" x14ac:dyDescent="0.35">
      <c r="A1591" s="3" t="s">
        <v>2841</v>
      </c>
      <c r="B1591" s="3" t="s">
        <v>458</v>
      </c>
      <c r="C1591" s="3" t="s">
        <v>18</v>
      </c>
      <c r="D1591" s="3" t="s">
        <v>90</v>
      </c>
      <c r="E1591" s="3" t="s">
        <v>91</v>
      </c>
      <c r="F1591" s="3" t="s">
        <v>92</v>
      </c>
      <c r="G1591" s="3" t="s">
        <v>51</v>
      </c>
      <c r="H1591" s="3" t="s">
        <v>52</v>
      </c>
      <c r="I1591" s="3" t="s">
        <v>475</v>
      </c>
      <c r="J1591" s="3" t="s">
        <v>79</v>
      </c>
      <c r="K1591" s="3">
        <v>6</v>
      </c>
      <c r="L1591" s="3">
        <v>25.2</v>
      </c>
      <c r="M1591" s="3">
        <v>151.19999999999999</v>
      </c>
      <c r="N1591" s="3">
        <v>59.5</v>
      </c>
      <c r="O1591" s="3">
        <v>91.7</v>
      </c>
      <c r="P1591" s="3" t="s">
        <v>86</v>
      </c>
    </row>
    <row r="1592" spans="1:16" x14ac:dyDescent="0.35">
      <c r="A1592" s="3" t="s">
        <v>2842</v>
      </c>
      <c r="B1592" s="3" t="s">
        <v>156</v>
      </c>
      <c r="C1592" s="3" t="s">
        <v>103</v>
      </c>
      <c r="D1592" s="3" t="s">
        <v>90</v>
      </c>
      <c r="E1592" s="3" t="s">
        <v>91</v>
      </c>
      <c r="F1592" s="3" t="s">
        <v>92</v>
      </c>
      <c r="G1592" s="3" t="s">
        <v>30</v>
      </c>
      <c r="H1592" s="3" t="s">
        <v>73</v>
      </c>
      <c r="I1592" s="3" t="s">
        <v>2843</v>
      </c>
      <c r="J1592" s="3" t="s">
        <v>188</v>
      </c>
      <c r="K1592" s="3">
        <v>3</v>
      </c>
      <c r="L1592" s="3">
        <v>3334</v>
      </c>
      <c r="M1592" s="3">
        <v>10002</v>
      </c>
      <c r="N1592" s="3">
        <v>7004.21</v>
      </c>
      <c r="O1592" s="3">
        <v>2997.79</v>
      </c>
      <c r="P1592" s="3" t="s">
        <v>34</v>
      </c>
    </row>
    <row r="1593" spans="1:16" x14ac:dyDescent="0.35">
      <c r="A1593" s="3" t="s">
        <v>2844</v>
      </c>
      <c r="B1593" s="3" t="s">
        <v>2211</v>
      </c>
      <c r="C1593" s="3" t="s">
        <v>72</v>
      </c>
      <c r="D1593" s="3" t="s">
        <v>58</v>
      </c>
      <c r="E1593" s="3" t="s">
        <v>176</v>
      </c>
      <c r="F1593" s="3" t="s">
        <v>177</v>
      </c>
      <c r="G1593" s="3" t="s">
        <v>30</v>
      </c>
      <c r="H1593" s="3" t="s">
        <v>31</v>
      </c>
      <c r="I1593" s="3" t="s">
        <v>887</v>
      </c>
      <c r="J1593" s="3" t="s">
        <v>85</v>
      </c>
      <c r="K1593" s="3">
        <v>2</v>
      </c>
      <c r="L1593" s="3">
        <v>2743.88</v>
      </c>
      <c r="M1593" s="3">
        <v>5487.76</v>
      </c>
      <c r="N1593" s="3">
        <v>3730.09</v>
      </c>
      <c r="O1593" s="3">
        <v>1757.67</v>
      </c>
      <c r="P1593" s="3" t="s">
        <v>34</v>
      </c>
    </row>
    <row r="1594" spans="1:16" x14ac:dyDescent="0.35">
      <c r="A1594" s="3" t="s">
        <v>2845</v>
      </c>
      <c r="B1594" s="3" t="s">
        <v>274</v>
      </c>
      <c r="C1594" s="3" t="s">
        <v>57</v>
      </c>
      <c r="D1594" s="3" t="s">
        <v>90</v>
      </c>
      <c r="E1594" s="3" t="s">
        <v>119</v>
      </c>
      <c r="F1594" s="3" t="s">
        <v>120</v>
      </c>
      <c r="G1594" s="3" t="s">
        <v>41</v>
      </c>
      <c r="H1594" s="3" t="s">
        <v>42</v>
      </c>
      <c r="I1594" s="3" t="s">
        <v>741</v>
      </c>
      <c r="J1594" s="3" t="s">
        <v>217</v>
      </c>
      <c r="K1594" s="3">
        <v>1</v>
      </c>
      <c r="L1594" s="3">
        <v>45575.02</v>
      </c>
      <c r="M1594" s="3">
        <v>45575.02</v>
      </c>
      <c r="N1594" s="3">
        <v>33713.300000000003</v>
      </c>
      <c r="O1594" s="3">
        <v>11861.72</v>
      </c>
      <c r="P1594" s="3" t="s">
        <v>34</v>
      </c>
    </row>
    <row r="1595" spans="1:16" x14ac:dyDescent="0.35">
      <c r="A1595" s="3" t="s">
        <v>2846</v>
      </c>
      <c r="B1595" s="3" t="s">
        <v>1910</v>
      </c>
      <c r="C1595" s="3" t="s">
        <v>29</v>
      </c>
      <c r="D1595" s="3" t="s">
        <v>58</v>
      </c>
      <c r="E1595" s="3" t="s">
        <v>59</v>
      </c>
      <c r="F1595" s="3" t="s">
        <v>60</v>
      </c>
      <c r="G1595" s="3" t="s">
        <v>22</v>
      </c>
      <c r="H1595" s="3" t="s">
        <v>83</v>
      </c>
      <c r="I1595" s="3" t="s">
        <v>652</v>
      </c>
      <c r="J1595" s="3" t="s">
        <v>85</v>
      </c>
      <c r="K1595" s="3">
        <v>3</v>
      </c>
      <c r="L1595" s="3">
        <v>23466.1</v>
      </c>
      <c r="M1595" s="3">
        <v>70398.3</v>
      </c>
      <c r="N1595" s="3">
        <v>50410.93</v>
      </c>
      <c r="O1595" s="3">
        <v>19987.37</v>
      </c>
      <c r="P1595" s="3" t="s">
        <v>34</v>
      </c>
    </row>
    <row r="1596" spans="1:16" x14ac:dyDescent="0.35">
      <c r="A1596" s="3" t="s">
        <v>2847</v>
      </c>
      <c r="B1596" s="3" t="s">
        <v>814</v>
      </c>
      <c r="C1596" s="3" t="s">
        <v>103</v>
      </c>
      <c r="D1596" s="3" t="s">
        <v>38</v>
      </c>
      <c r="E1596" s="3" t="s">
        <v>39</v>
      </c>
      <c r="F1596" s="3" t="s">
        <v>40</v>
      </c>
      <c r="G1596" s="3" t="s">
        <v>30</v>
      </c>
      <c r="H1596" s="3" t="s">
        <v>31</v>
      </c>
      <c r="I1596" s="3" t="s">
        <v>475</v>
      </c>
      <c r="J1596" s="3" t="s">
        <v>79</v>
      </c>
      <c r="K1596" s="3">
        <v>6</v>
      </c>
      <c r="L1596" s="3">
        <v>2894.63</v>
      </c>
      <c r="M1596" s="3">
        <v>17367.78</v>
      </c>
      <c r="N1596" s="3">
        <v>10833.65</v>
      </c>
      <c r="O1596" s="3">
        <v>6534.13</v>
      </c>
      <c r="P1596" s="3" t="s">
        <v>34</v>
      </c>
    </row>
    <row r="1597" spans="1:16" x14ac:dyDescent="0.35">
      <c r="A1597" s="3" t="s">
        <v>2848</v>
      </c>
      <c r="B1597" s="3" t="s">
        <v>502</v>
      </c>
      <c r="C1597" s="3" t="s">
        <v>48</v>
      </c>
      <c r="D1597" s="3" t="s">
        <v>58</v>
      </c>
      <c r="E1597" s="3" t="s">
        <v>176</v>
      </c>
      <c r="F1597" s="3" t="s">
        <v>177</v>
      </c>
      <c r="G1597" s="3" t="s">
        <v>41</v>
      </c>
      <c r="H1597" s="3" t="s">
        <v>42</v>
      </c>
      <c r="I1597" s="3" t="s">
        <v>808</v>
      </c>
      <c r="J1597" s="3" t="s">
        <v>100</v>
      </c>
      <c r="K1597" s="3">
        <v>5</v>
      </c>
      <c r="L1597" s="3">
        <v>41153.379999999997</v>
      </c>
      <c r="M1597" s="3">
        <v>205766.9</v>
      </c>
      <c r="N1597" s="3">
        <v>171164.68</v>
      </c>
      <c r="O1597" s="3">
        <v>34602.22</v>
      </c>
      <c r="P1597" s="3" t="s">
        <v>69</v>
      </c>
    </row>
    <row r="1598" spans="1:16" x14ac:dyDescent="0.35">
      <c r="A1598" s="3" t="s">
        <v>2849</v>
      </c>
      <c r="B1598" s="3" t="s">
        <v>575</v>
      </c>
      <c r="C1598" s="3" t="s">
        <v>137</v>
      </c>
      <c r="D1598" s="3" t="s">
        <v>58</v>
      </c>
      <c r="E1598" s="3" t="s">
        <v>65</v>
      </c>
      <c r="F1598" s="3" t="s">
        <v>66</v>
      </c>
      <c r="G1598" s="3" t="s">
        <v>30</v>
      </c>
      <c r="H1598" s="3" t="s">
        <v>67</v>
      </c>
      <c r="I1598" s="3" t="s">
        <v>1637</v>
      </c>
      <c r="J1598" s="3" t="s">
        <v>154</v>
      </c>
      <c r="K1598" s="3">
        <v>5</v>
      </c>
      <c r="L1598" s="3">
        <v>9756.42</v>
      </c>
      <c r="M1598" s="3">
        <v>48782.1</v>
      </c>
      <c r="N1598" s="3">
        <v>38386.25</v>
      </c>
      <c r="O1598" s="3">
        <v>10395.85</v>
      </c>
      <c r="P1598" s="3" t="s">
        <v>34</v>
      </c>
    </row>
    <row r="1599" spans="1:16" x14ac:dyDescent="0.35">
      <c r="A1599" s="3" t="s">
        <v>2850</v>
      </c>
      <c r="B1599" s="3" t="s">
        <v>1205</v>
      </c>
      <c r="C1599" s="3" t="s">
        <v>114</v>
      </c>
      <c r="D1599" s="3" t="s">
        <v>38</v>
      </c>
      <c r="E1599" s="3" t="s">
        <v>39</v>
      </c>
      <c r="F1599" s="3" t="s">
        <v>40</v>
      </c>
      <c r="G1599" s="3" t="s">
        <v>22</v>
      </c>
      <c r="H1599" s="3" t="s">
        <v>23</v>
      </c>
      <c r="I1599" s="3" t="s">
        <v>584</v>
      </c>
      <c r="J1599" s="3" t="s">
        <v>106</v>
      </c>
      <c r="K1599" s="3">
        <v>3</v>
      </c>
      <c r="L1599" s="3">
        <v>3322.89</v>
      </c>
      <c r="M1599" s="3">
        <v>9968.67</v>
      </c>
      <c r="N1599" s="3">
        <v>6524.29</v>
      </c>
      <c r="O1599" s="3">
        <v>3444.38</v>
      </c>
      <c r="P1599" s="3" t="s">
        <v>45</v>
      </c>
    </row>
    <row r="1600" spans="1:16" x14ac:dyDescent="0.35">
      <c r="A1600" s="3" t="s">
        <v>2851</v>
      </c>
      <c r="B1600" s="3" t="s">
        <v>2227</v>
      </c>
      <c r="C1600" s="3" t="s">
        <v>72</v>
      </c>
      <c r="D1600" s="3" t="s">
        <v>19</v>
      </c>
      <c r="E1600" s="3" t="s">
        <v>199</v>
      </c>
      <c r="F1600" s="3" t="s">
        <v>200</v>
      </c>
      <c r="G1600" s="3" t="s">
        <v>51</v>
      </c>
      <c r="H1600" s="3" t="s">
        <v>52</v>
      </c>
      <c r="I1600" s="3" t="s">
        <v>1977</v>
      </c>
      <c r="J1600" s="3" t="s">
        <v>147</v>
      </c>
      <c r="K1600" s="3">
        <v>7</v>
      </c>
      <c r="L1600" s="3">
        <v>24.97</v>
      </c>
      <c r="M1600" s="3">
        <v>174.79</v>
      </c>
      <c r="N1600" s="3">
        <v>71.31</v>
      </c>
      <c r="O1600" s="3">
        <v>103.48</v>
      </c>
      <c r="P1600" s="3" t="s">
        <v>45</v>
      </c>
    </row>
    <row r="1601" spans="1:16" x14ac:dyDescent="0.35">
      <c r="A1601" s="3" t="s">
        <v>2852</v>
      </c>
      <c r="B1601" s="3" t="s">
        <v>682</v>
      </c>
      <c r="C1601" s="3" t="s">
        <v>114</v>
      </c>
      <c r="D1601" s="3" t="s">
        <v>58</v>
      </c>
      <c r="E1601" s="3" t="s">
        <v>65</v>
      </c>
      <c r="F1601" s="3" t="s">
        <v>66</v>
      </c>
      <c r="G1601" s="3" t="s">
        <v>30</v>
      </c>
      <c r="H1601" s="3" t="s">
        <v>73</v>
      </c>
      <c r="I1601" s="3" t="s">
        <v>1571</v>
      </c>
      <c r="J1601" s="3" t="s">
        <v>161</v>
      </c>
      <c r="K1601" s="3">
        <v>8</v>
      </c>
      <c r="L1601" s="3">
        <v>3281.52</v>
      </c>
      <c r="M1601" s="3">
        <v>26252.16</v>
      </c>
      <c r="N1601" s="3">
        <v>19533.53</v>
      </c>
      <c r="O1601" s="3">
        <v>6718.63</v>
      </c>
      <c r="P1601" s="3" t="s">
        <v>69</v>
      </c>
    </row>
    <row r="1602" spans="1:16" x14ac:dyDescent="0.35">
      <c r="A1602" s="3" t="s">
        <v>2853</v>
      </c>
      <c r="B1602" s="3" t="s">
        <v>361</v>
      </c>
      <c r="C1602" s="3" t="s">
        <v>137</v>
      </c>
      <c r="D1602" s="3" t="s">
        <v>90</v>
      </c>
      <c r="E1602" s="3" t="s">
        <v>119</v>
      </c>
      <c r="F1602" s="3" t="s">
        <v>120</v>
      </c>
      <c r="G1602" s="3" t="s">
        <v>51</v>
      </c>
      <c r="H1602" s="3" t="s">
        <v>77</v>
      </c>
      <c r="I1602" s="3" t="s">
        <v>1587</v>
      </c>
      <c r="J1602" s="3" t="s">
        <v>147</v>
      </c>
      <c r="K1602" s="3">
        <v>3</v>
      </c>
      <c r="L1602" s="3">
        <v>11698.81</v>
      </c>
      <c r="M1602" s="3">
        <v>35096.43</v>
      </c>
      <c r="N1602" s="3">
        <v>28232.13</v>
      </c>
      <c r="O1602" s="3">
        <v>6864.3</v>
      </c>
      <c r="P1602" s="3" t="s">
        <v>26</v>
      </c>
    </row>
    <row r="1603" spans="1:16" x14ac:dyDescent="0.35">
      <c r="A1603" s="3" t="s">
        <v>2854</v>
      </c>
      <c r="B1603" s="3" t="s">
        <v>1525</v>
      </c>
      <c r="C1603" s="3" t="s">
        <v>57</v>
      </c>
      <c r="D1603" s="3" t="s">
        <v>38</v>
      </c>
      <c r="E1603" s="3" t="s">
        <v>109</v>
      </c>
      <c r="F1603" s="3" t="s">
        <v>110</v>
      </c>
      <c r="G1603" s="3" t="s">
        <v>22</v>
      </c>
      <c r="H1603" s="3" t="s">
        <v>83</v>
      </c>
      <c r="I1603" s="3" t="s">
        <v>231</v>
      </c>
      <c r="J1603" s="3" t="s">
        <v>188</v>
      </c>
      <c r="K1603" s="3">
        <v>3</v>
      </c>
      <c r="L1603" s="3">
        <v>20868.54</v>
      </c>
      <c r="M1603" s="3">
        <v>62605.62</v>
      </c>
      <c r="N1603" s="3">
        <v>48954.03</v>
      </c>
      <c r="O1603" s="3">
        <v>13651.59</v>
      </c>
      <c r="P1603" s="3" t="s">
        <v>26</v>
      </c>
    </row>
    <row r="1604" spans="1:16" x14ac:dyDescent="0.35">
      <c r="A1604" s="3" t="s">
        <v>2855</v>
      </c>
      <c r="B1604" s="3" t="s">
        <v>886</v>
      </c>
      <c r="C1604" s="3" t="s">
        <v>48</v>
      </c>
      <c r="D1604" s="3" t="s">
        <v>38</v>
      </c>
      <c r="E1604" s="3" t="s">
        <v>39</v>
      </c>
      <c r="F1604" s="3" t="s">
        <v>40</v>
      </c>
      <c r="G1604" s="3" t="s">
        <v>30</v>
      </c>
      <c r="H1604" s="3" t="s">
        <v>67</v>
      </c>
      <c r="I1604" s="3" t="s">
        <v>385</v>
      </c>
      <c r="J1604" s="3" t="s">
        <v>85</v>
      </c>
      <c r="K1604" s="3">
        <v>1</v>
      </c>
      <c r="L1604" s="3">
        <v>9145.2199999999993</v>
      </c>
      <c r="M1604" s="3">
        <v>9145.2199999999993</v>
      </c>
      <c r="N1604" s="3">
        <v>7831.49</v>
      </c>
      <c r="O1604" s="3">
        <v>1313.73</v>
      </c>
      <c r="P1604" s="3" t="s">
        <v>34</v>
      </c>
    </row>
    <row r="1605" spans="1:16" x14ac:dyDescent="0.35">
      <c r="A1605" s="3" t="s">
        <v>2856</v>
      </c>
      <c r="B1605" s="3" t="s">
        <v>1964</v>
      </c>
      <c r="C1605" s="3" t="s">
        <v>57</v>
      </c>
      <c r="D1605" s="3" t="s">
        <v>38</v>
      </c>
      <c r="E1605" s="3" t="s">
        <v>109</v>
      </c>
      <c r="F1605" s="3" t="s">
        <v>110</v>
      </c>
      <c r="G1605" s="3" t="s">
        <v>30</v>
      </c>
      <c r="H1605" s="3" t="s">
        <v>31</v>
      </c>
      <c r="I1605" s="3" t="s">
        <v>731</v>
      </c>
      <c r="J1605" s="3" t="s">
        <v>106</v>
      </c>
      <c r="K1605" s="3">
        <v>6</v>
      </c>
      <c r="L1605" s="3">
        <v>2681.55</v>
      </c>
      <c r="M1605" s="3">
        <v>16089.3</v>
      </c>
      <c r="N1605" s="3">
        <v>10958.7</v>
      </c>
      <c r="O1605" s="3">
        <v>5130.6000000000004</v>
      </c>
      <c r="P1605" s="3" t="s">
        <v>69</v>
      </c>
    </row>
    <row r="1606" spans="1:16" x14ac:dyDescent="0.35">
      <c r="A1606" s="3" t="s">
        <v>2857</v>
      </c>
      <c r="B1606" s="3" t="s">
        <v>2127</v>
      </c>
      <c r="C1606" s="3" t="s">
        <v>48</v>
      </c>
      <c r="D1606" s="3" t="s">
        <v>90</v>
      </c>
      <c r="E1606" s="3" t="s">
        <v>119</v>
      </c>
      <c r="F1606" s="3" t="s">
        <v>120</v>
      </c>
      <c r="G1606" s="3" t="s">
        <v>51</v>
      </c>
      <c r="H1606" s="3" t="s">
        <v>52</v>
      </c>
      <c r="I1606" s="3" t="s">
        <v>925</v>
      </c>
      <c r="J1606" s="3" t="s">
        <v>161</v>
      </c>
      <c r="K1606" s="3">
        <v>5</v>
      </c>
      <c r="L1606" s="3">
        <v>23.09</v>
      </c>
      <c r="M1606" s="3">
        <v>115.45</v>
      </c>
      <c r="N1606" s="3">
        <v>50.47</v>
      </c>
      <c r="O1606" s="3">
        <v>64.98</v>
      </c>
      <c r="P1606" s="3" t="s">
        <v>26</v>
      </c>
    </row>
    <row r="1607" spans="1:16" x14ac:dyDescent="0.35">
      <c r="A1607" s="3" t="s">
        <v>2858</v>
      </c>
      <c r="B1607" s="3" t="s">
        <v>1461</v>
      </c>
      <c r="C1607" s="3" t="s">
        <v>72</v>
      </c>
      <c r="D1607" s="3" t="s">
        <v>90</v>
      </c>
      <c r="E1607" s="3" t="s">
        <v>97</v>
      </c>
      <c r="F1607" s="3" t="s">
        <v>98</v>
      </c>
      <c r="G1607" s="3" t="s">
        <v>30</v>
      </c>
      <c r="H1607" s="3" t="s">
        <v>67</v>
      </c>
      <c r="I1607" s="3" t="s">
        <v>1134</v>
      </c>
      <c r="J1607" s="3" t="s">
        <v>217</v>
      </c>
      <c r="K1607" s="3">
        <v>8</v>
      </c>
      <c r="L1607" s="3">
        <v>9988.36</v>
      </c>
      <c r="M1607" s="3">
        <v>79906.880000000005</v>
      </c>
      <c r="N1607" s="3">
        <v>57999.22</v>
      </c>
      <c r="O1607" s="3">
        <v>21907.66</v>
      </c>
      <c r="P1607" s="3" t="s">
        <v>69</v>
      </c>
    </row>
    <row r="1608" spans="1:16" x14ac:dyDescent="0.35">
      <c r="A1608" s="3" t="s">
        <v>2859</v>
      </c>
      <c r="B1608" s="3" t="s">
        <v>575</v>
      </c>
      <c r="C1608" s="3" t="s">
        <v>137</v>
      </c>
      <c r="D1608" s="3" t="s">
        <v>38</v>
      </c>
      <c r="E1608" s="3" t="s">
        <v>39</v>
      </c>
      <c r="F1608" s="3" t="s">
        <v>40</v>
      </c>
      <c r="G1608" s="3" t="s">
        <v>30</v>
      </c>
      <c r="H1608" s="3" t="s">
        <v>73</v>
      </c>
      <c r="I1608" s="3" t="s">
        <v>1881</v>
      </c>
      <c r="J1608" s="3" t="s">
        <v>161</v>
      </c>
      <c r="K1608" s="3">
        <v>6</v>
      </c>
      <c r="L1608" s="3">
        <v>3199.75</v>
      </c>
      <c r="M1608" s="3">
        <v>19198.5</v>
      </c>
      <c r="N1608" s="3">
        <v>14398.32</v>
      </c>
      <c r="O1608" s="3">
        <v>4800.18</v>
      </c>
      <c r="P1608" s="3" t="s">
        <v>34</v>
      </c>
    </row>
    <row r="1609" spans="1:16" x14ac:dyDescent="0.35">
      <c r="A1609" s="3" t="s">
        <v>2860</v>
      </c>
      <c r="B1609" s="3" t="s">
        <v>552</v>
      </c>
      <c r="C1609" s="3" t="s">
        <v>89</v>
      </c>
      <c r="D1609" s="3" t="s">
        <v>19</v>
      </c>
      <c r="E1609" s="3" t="s">
        <v>20</v>
      </c>
      <c r="F1609" s="3" t="s">
        <v>21</v>
      </c>
      <c r="G1609" s="3" t="s">
        <v>41</v>
      </c>
      <c r="H1609" s="3" t="s">
        <v>61</v>
      </c>
      <c r="I1609" s="3" t="s">
        <v>2861</v>
      </c>
      <c r="J1609" s="3" t="s">
        <v>85</v>
      </c>
      <c r="K1609" s="3">
        <v>5</v>
      </c>
      <c r="L1609" s="3">
        <v>2578.12</v>
      </c>
      <c r="M1609" s="3">
        <v>12890.6</v>
      </c>
      <c r="N1609" s="3">
        <v>7689.27</v>
      </c>
      <c r="O1609" s="3">
        <v>5201.33</v>
      </c>
      <c r="P1609" s="3" t="s">
        <v>86</v>
      </c>
    </row>
    <row r="1610" spans="1:16" x14ac:dyDescent="0.35">
      <c r="A1610" s="3" t="s">
        <v>2862</v>
      </c>
      <c r="B1610" s="3" t="s">
        <v>1667</v>
      </c>
      <c r="C1610" s="3" t="s">
        <v>48</v>
      </c>
      <c r="D1610" s="3" t="s">
        <v>90</v>
      </c>
      <c r="E1610" s="3" t="s">
        <v>119</v>
      </c>
      <c r="F1610" s="3" t="s">
        <v>120</v>
      </c>
      <c r="G1610" s="3" t="s">
        <v>51</v>
      </c>
      <c r="H1610" s="3" t="s">
        <v>145</v>
      </c>
      <c r="I1610" s="3" t="s">
        <v>2863</v>
      </c>
      <c r="J1610" s="3" t="s">
        <v>131</v>
      </c>
      <c r="K1610" s="3">
        <v>6</v>
      </c>
      <c r="L1610" s="3">
        <v>124.66</v>
      </c>
      <c r="M1610" s="3">
        <v>747.96</v>
      </c>
      <c r="N1610" s="3">
        <v>364.48</v>
      </c>
      <c r="O1610" s="3">
        <v>383.48</v>
      </c>
      <c r="P1610" s="3" t="s">
        <v>86</v>
      </c>
    </row>
    <row r="1611" spans="1:16" x14ac:dyDescent="0.35">
      <c r="A1611" s="3" t="s">
        <v>2864</v>
      </c>
      <c r="B1611" s="3" t="s">
        <v>1140</v>
      </c>
      <c r="C1611" s="3" t="s">
        <v>48</v>
      </c>
      <c r="D1611" s="3" t="s">
        <v>19</v>
      </c>
      <c r="E1611" s="3" t="s">
        <v>20</v>
      </c>
      <c r="F1611" s="3" t="s">
        <v>21</v>
      </c>
      <c r="G1611" s="3" t="s">
        <v>30</v>
      </c>
      <c r="H1611" s="3" t="s">
        <v>73</v>
      </c>
      <c r="I1611" s="3" t="s">
        <v>1096</v>
      </c>
      <c r="J1611" s="3" t="s">
        <v>171</v>
      </c>
      <c r="K1611" s="3">
        <v>4</v>
      </c>
      <c r="L1611" s="3">
        <v>3266.74</v>
      </c>
      <c r="M1611" s="3">
        <v>13066.96</v>
      </c>
      <c r="N1611" s="3">
        <v>9372.0400000000009</v>
      </c>
      <c r="O1611" s="3">
        <v>3694.92</v>
      </c>
      <c r="P1611" s="3" t="s">
        <v>26</v>
      </c>
    </row>
    <row r="1612" spans="1:16" x14ac:dyDescent="0.35">
      <c r="A1612" s="3" t="s">
        <v>2865</v>
      </c>
      <c r="B1612" s="3" t="s">
        <v>1292</v>
      </c>
      <c r="C1612" s="3" t="s">
        <v>57</v>
      </c>
      <c r="D1612" s="3" t="s">
        <v>19</v>
      </c>
      <c r="E1612" s="3" t="s">
        <v>199</v>
      </c>
      <c r="F1612" s="3" t="s">
        <v>200</v>
      </c>
      <c r="G1612" s="3" t="s">
        <v>22</v>
      </c>
      <c r="H1612" s="3" t="s">
        <v>83</v>
      </c>
      <c r="I1612" s="3" t="s">
        <v>2487</v>
      </c>
      <c r="J1612" s="3" t="s">
        <v>100</v>
      </c>
      <c r="K1612" s="3">
        <v>6</v>
      </c>
      <c r="L1612" s="3">
        <v>21106.33</v>
      </c>
      <c r="M1612" s="3">
        <v>126637.98</v>
      </c>
      <c r="N1612" s="3">
        <v>99433.95</v>
      </c>
      <c r="O1612" s="3">
        <v>27204.03</v>
      </c>
      <c r="P1612" s="3" t="s">
        <v>86</v>
      </c>
    </row>
    <row r="1613" spans="1:16" x14ac:dyDescent="0.35">
      <c r="A1613" s="3" t="s">
        <v>2866</v>
      </c>
      <c r="B1613" s="3" t="s">
        <v>672</v>
      </c>
      <c r="C1613" s="3" t="s">
        <v>118</v>
      </c>
      <c r="D1613" s="3" t="s">
        <v>38</v>
      </c>
      <c r="E1613" s="3" t="s">
        <v>104</v>
      </c>
      <c r="F1613" s="3" t="s">
        <v>104</v>
      </c>
      <c r="G1613" s="3" t="s">
        <v>30</v>
      </c>
      <c r="H1613" s="3" t="s">
        <v>31</v>
      </c>
      <c r="I1613" s="3" t="s">
        <v>614</v>
      </c>
      <c r="J1613" s="3" t="s">
        <v>54</v>
      </c>
      <c r="K1613" s="3">
        <v>8</v>
      </c>
      <c r="L1613" s="3">
        <v>2829.42</v>
      </c>
      <c r="M1613" s="3">
        <v>22635.360000000001</v>
      </c>
      <c r="N1613" s="3">
        <v>15048.33</v>
      </c>
      <c r="O1613" s="3">
        <v>7587.03</v>
      </c>
      <c r="P1613" s="3" t="s">
        <v>69</v>
      </c>
    </row>
    <row r="1614" spans="1:16" x14ac:dyDescent="0.35">
      <c r="A1614" s="3" t="s">
        <v>2867</v>
      </c>
      <c r="B1614" s="3" t="s">
        <v>859</v>
      </c>
      <c r="C1614" s="3" t="s">
        <v>48</v>
      </c>
      <c r="D1614" s="3" t="s">
        <v>38</v>
      </c>
      <c r="E1614" s="3" t="s">
        <v>39</v>
      </c>
      <c r="F1614" s="3" t="s">
        <v>40</v>
      </c>
      <c r="G1614" s="3" t="s">
        <v>41</v>
      </c>
      <c r="H1614" s="3" t="s">
        <v>42</v>
      </c>
      <c r="I1614" s="3" t="s">
        <v>1147</v>
      </c>
      <c r="J1614" s="3" t="s">
        <v>154</v>
      </c>
      <c r="K1614" s="3">
        <v>7</v>
      </c>
      <c r="L1614" s="3">
        <v>41438.58</v>
      </c>
      <c r="M1614" s="3">
        <v>290070.06</v>
      </c>
      <c r="N1614" s="3">
        <v>255707.31</v>
      </c>
      <c r="O1614" s="3">
        <v>34362.75</v>
      </c>
      <c r="P1614" s="3" t="s">
        <v>34</v>
      </c>
    </row>
    <row r="1615" spans="1:16" x14ac:dyDescent="0.35">
      <c r="A1615" s="3" t="s">
        <v>2868</v>
      </c>
      <c r="B1615" s="3" t="s">
        <v>678</v>
      </c>
      <c r="C1615" s="3" t="s">
        <v>137</v>
      </c>
      <c r="D1615" s="3" t="s">
        <v>19</v>
      </c>
      <c r="E1615" s="3" t="s">
        <v>49</v>
      </c>
      <c r="F1615" s="3" t="s">
        <v>50</v>
      </c>
      <c r="G1615" s="3" t="s">
        <v>30</v>
      </c>
      <c r="H1615" s="3" t="s">
        <v>67</v>
      </c>
      <c r="I1615" s="3" t="s">
        <v>1739</v>
      </c>
      <c r="J1615" s="3" t="s">
        <v>54</v>
      </c>
      <c r="K1615" s="3">
        <v>5</v>
      </c>
      <c r="L1615" s="3">
        <v>8569.83</v>
      </c>
      <c r="M1615" s="3">
        <v>42849.15</v>
      </c>
      <c r="N1615" s="3">
        <v>38698.78</v>
      </c>
      <c r="O1615" s="3">
        <v>4150.37</v>
      </c>
      <c r="P1615" s="3" t="s">
        <v>45</v>
      </c>
    </row>
    <row r="1616" spans="1:16" x14ac:dyDescent="0.35">
      <c r="A1616" s="3" t="s">
        <v>2869</v>
      </c>
      <c r="B1616" s="3" t="s">
        <v>2870</v>
      </c>
      <c r="C1616" s="3" t="s">
        <v>118</v>
      </c>
      <c r="D1616" s="3" t="s">
        <v>19</v>
      </c>
      <c r="E1616" s="3" t="s">
        <v>199</v>
      </c>
      <c r="F1616" s="3" t="s">
        <v>200</v>
      </c>
      <c r="G1616" s="3" t="s">
        <v>51</v>
      </c>
      <c r="H1616" s="3" t="s">
        <v>77</v>
      </c>
      <c r="I1616" s="3" t="s">
        <v>1913</v>
      </c>
      <c r="J1616" s="3" t="s">
        <v>171</v>
      </c>
      <c r="K1616" s="3">
        <v>5</v>
      </c>
      <c r="L1616" s="3">
        <v>13179.12</v>
      </c>
      <c r="M1616" s="3">
        <v>65895.600000000006</v>
      </c>
      <c r="N1616" s="3">
        <v>45016.47</v>
      </c>
      <c r="O1616" s="3">
        <v>20879.13</v>
      </c>
      <c r="P1616" s="3" t="s">
        <v>86</v>
      </c>
    </row>
    <row r="1617" spans="1:16" x14ac:dyDescent="0.35">
      <c r="A1617" s="3" t="s">
        <v>2871</v>
      </c>
      <c r="B1617" s="3" t="s">
        <v>358</v>
      </c>
      <c r="C1617" s="3" t="s">
        <v>72</v>
      </c>
      <c r="D1617" s="3" t="s">
        <v>19</v>
      </c>
      <c r="E1617" s="3" t="s">
        <v>49</v>
      </c>
      <c r="F1617" s="3" t="s">
        <v>50</v>
      </c>
      <c r="G1617" s="3" t="s">
        <v>30</v>
      </c>
      <c r="H1617" s="3" t="s">
        <v>67</v>
      </c>
      <c r="I1617" s="3" t="s">
        <v>2178</v>
      </c>
      <c r="J1617" s="3" t="s">
        <v>188</v>
      </c>
      <c r="K1617" s="3">
        <v>7</v>
      </c>
      <c r="L1617" s="3">
        <v>8905.43</v>
      </c>
      <c r="M1617" s="3">
        <v>62338.01</v>
      </c>
      <c r="N1617" s="3">
        <v>50972.66</v>
      </c>
      <c r="O1617" s="3">
        <v>11365.35</v>
      </c>
      <c r="P1617" s="3" t="s">
        <v>45</v>
      </c>
    </row>
    <row r="1618" spans="1:16" x14ac:dyDescent="0.35">
      <c r="A1618" s="3" t="s">
        <v>2872</v>
      </c>
      <c r="B1618" s="3" t="s">
        <v>159</v>
      </c>
      <c r="C1618" s="3" t="s">
        <v>118</v>
      </c>
      <c r="D1618" s="3" t="s">
        <v>19</v>
      </c>
      <c r="E1618" s="3" t="s">
        <v>199</v>
      </c>
      <c r="F1618" s="3" t="s">
        <v>200</v>
      </c>
      <c r="G1618" s="3" t="s">
        <v>41</v>
      </c>
      <c r="H1618" s="3" t="s">
        <v>42</v>
      </c>
      <c r="I1618" s="3" t="s">
        <v>1284</v>
      </c>
      <c r="J1618" s="3" t="s">
        <v>161</v>
      </c>
      <c r="K1618" s="3">
        <v>2</v>
      </c>
      <c r="L1618" s="3">
        <v>46374.84</v>
      </c>
      <c r="M1618" s="3">
        <v>92749.68</v>
      </c>
      <c r="N1618" s="3">
        <v>69496.800000000003</v>
      </c>
      <c r="O1618" s="3">
        <v>23252.880000000001</v>
      </c>
      <c r="P1618" s="3" t="s">
        <v>26</v>
      </c>
    </row>
    <row r="1619" spans="1:16" x14ac:dyDescent="0.35">
      <c r="A1619" s="3" t="s">
        <v>2873</v>
      </c>
      <c r="B1619" s="3" t="s">
        <v>96</v>
      </c>
      <c r="C1619" s="3" t="s">
        <v>48</v>
      </c>
      <c r="D1619" s="3" t="s">
        <v>38</v>
      </c>
      <c r="E1619" s="3" t="s">
        <v>109</v>
      </c>
      <c r="F1619" s="3" t="s">
        <v>110</v>
      </c>
      <c r="G1619" s="3" t="s">
        <v>30</v>
      </c>
      <c r="H1619" s="3" t="s">
        <v>67</v>
      </c>
      <c r="I1619" s="3" t="s">
        <v>1645</v>
      </c>
      <c r="J1619" s="3" t="s">
        <v>100</v>
      </c>
      <c r="K1619" s="3">
        <v>7</v>
      </c>
      <c r="L1619" s="3">
        <v>10170.950000000001</v>
      </c>
      <c r="M1619" s="3">
        <v>71196.649999999994</v>
      </c>
      <c r="N1619" s="3">
        <v>55663.01</v>
      </c>
      <c r="O1619" s="3">
        <v>15533.64</v>
      </c>
      <c r="P1619" s="3" t="s">
        <v>26</v>
      </c>
    </row>
    <row r="1620" spans="1:16" x14ac:dyDescent="0.35">
      <c r="A1620" s="3" t="s">
        <v>2874</v>
      </c>
      <c r="B1620" s="3" t="s">
        <v>271</v>
      </c>
      <c r="C1620" s="3" t="s">
        <v>82</v>
      </c>
      <c r="D1620" s="3" t="s">
        <v>58</v>
      </c>
      <c r="E1620" s="3" t="s">
        <v>59</v>
      </c>
      <c r="F1620" s="3" t="s">
        <v>60</v>
      </c>
      <c r="G1620" s="3" t="s">
        <v>22</v>
      </c>
      <c r="H1620" s="3" t="s">
        <v>23</v>
      </c>
      <c r="I1620" s="3" t="s">
        <v>2875</v>
      </c>
      <c r="J1620" s="3" t="s">
        <v>171</v>
      </c>
      <c r="K1620" s="3">
        <v>1</v>
      </c>
      <c r="L1620" s="3">
        <v>3599.09</v>
      </c>
      <c r="M1620" s="3">
        <v>3599.09</v>
      </c>
      <c r="N1620" s="3">
        <v>2250.98</v>
      </c>
      <c r="O1620" s="3">
        <v>1348.11</v>
      </c>
      <c r="P1620" s="3" t="s">
        <v>45</v>
      </c>
    </row>
    <row r="1621" spans="1:16" x14ac:dyDescent="0.35">
      <c r="A1621" s="3" t="s">
        <v>2876</v>
      </c>
      <c r="B1621" s="3" t="s">
        <v>1122</v>
      </c>
      <c r="C1621" s="3" t="s">
        <v>118</v>
      </c>
      <c r="D1621" s="3" t="s">
        <v>90</v>
      </c>
      <c r="E1621" s="3" t="s">
        <v>97</v>
      </c>
      <c r="F1621" s="3" t="s">
        <v>98</v>
      </c>
      <c r="G1621" s="3" t="s">
        <v>51</v>
      </c>
      <c r="H1621" s="3" t="s">
        <v>77</v>
      </c>
      <c r="I1621" s="3" t="s">
        <v>753</v>
      </c>
      <c r="J1621" s="3" t="s">
        <v>147</v>
      </c>
      <c r="K1621" s="3">
        <v>6</v>
      </c>
      <c r="L1621" s="3">
        <v>11155</v>
      </c>
      <c r="M1621" s="3">
        <v>66930</v>
      </c>
      <c r="N1621" s="3">
        <v>52282.39</v>
      </c>
      <c r="O1621" s="3">
        <v>14647.61</v>
      </c>
      <c r="P1621" s="3" t="s">
        <v>69</v>
      </c>
    </row>
    <row r="1622" spans="1:16" x14ac:dyDescent="0.35">
      <c r="A1622" s="3" t="s">
        <v>2877</v>
      </c>
      <c r="B1622" s="3" t="s">
        <v>911</v>
      </c>
      <c r="C1622" s="3" t="s">
        <v>72</v>
      </c>
      <c r="D1622" s="3" t="s">
        <v>58</v>
      </c>
      <c r="E1622" s="3" t="s">
        <v>59</v>
      </c>
      <c r="F1622" s="3" t="s">
        <v>60</v>
      </c>
      <c r="G1622" s="3" t="s">
        <v>41</v>
      </c>
      <c r="H1622" s="3" t="s">
        <v>138</v>
      </c>
      <c r="I1622" s="3" t="s">
        <v>286</v>
      </c>
      <c r="J1622" s="3" t="s">
        <v>106</v>
      </c>
      <c r="K1622" s="3">
        <v>4</v>
      </c>
      <c r="L1622" s="3">
        <v>16848.27</v>
      </c>
      <c r="M1622" s="3">
        <v>67393.08</v>
      </c>
      <c r="N1622" s="3">
        <v>54504.74</v>
      </c>
      <c r="O1622" s="3">
        <v>12888.34</v>
      </c>
      <c r="P1622" s="3" t="s">
        <v>86</v>
      </c>
    </row>
    <row r="1623" spans="1:16" x14ac:dyDescent="0.35">
      <c r="A1623" s="3" t="s">
        <v>2878</v>
      </c>
      <c r="B1623" s="3" t="s">
        <v>852</v>
      </c>
      <c r="C1623" s="3" t="s">
        <v>118</v>
      </c>
      <c r="D1623" s="3" t="s">
        <v>90</v>
      </c>
      <c r="E1623" s="3" t="s">
        <v>119</v>
      </c>
      <c r="F1623" s="3" t="s">
        <v>120</v>
      </c>
      <c r="G1623" s="3" t="s">
        <v>22</v>
      </c>
      <c r="H1623" s="3" t="s">
        <v>23</v>
      </c>
      <c r="I1623" s="3" t="s">
        <v>1705</v>
      </c>
      <c r="J1623" s="3" t="s">
        <v>154</v>
      </c>
      <c r="K1623" s="3">
        <v>2</v>
      </c>
      <c r="L1623" s="3">
        <v>3198.12</v>
      </c>
      <c r="M1623" s="3">
        <v>6396.24</v>
      </c>
      <c r="N1623" s="3">
        <v>4382.82</v>
      </c>
      <c r="O1623" s="3">
        <v>2013.42</v>
      </c>
      <c r="P1623" s="3" t="s">
        <v>34</v>
      </c>
    </row>
    <row r="1624" spans="1:16" x14ac:dyDescent="0.35">
      <c r="A1624" s="3" t="s">
        <v>2879</v>
      </c>
      <c r="B1624" s="3" t="s">
        <v>395</v>
      </c>
      <c r="C1624" s="3" t="s">
        <v>29</v>
      </c>
      <c r="D1624" s="3" t="s">
        <v>90</v>
      </c>
      <c r="E1624" s="3" t="s">
        <v>91</v>
      </c>
      <c r="F1624" s="3" t="s">
        <v>92</v>
      </c>
      <c r="G1624" s="3" t="s">
        <v>41</v>
      </c>
      <c r="H1624" s="3" t="s">
        <v>138</v>
      </c>
      <c r="I1624" s="3" t="s">
        <v>2230</v>
      </c>
      <c r="J1624" s="3" t="s">
        <v>25</v>
      </c>
      <c r="K1624" s="3">
        <v>2</v>
      </c>
      <c r="L1624" s="3">
        <v>19251.16</v>
      </c>
      <c r="M1624" s="3">
        <v>38502.32</v>
      </c>
      <c r="N1624" s="3">
        <v>27725.74</v>
      </c>
      <c r="O1624" s="3">
        <v>10776.58</v>
      </c>
      <c r="P1624" s="3" t="s">
        <v>34</v>
      </c>
    </row>
    <row r="1625" spans="1:16" x14ac:dyDescent="0.35">
      <c r="A1625" s="3" t="s">
        <v>2880</v>
      </c>
      <c r="B1625" s="3" t="s">
        <v>1910</v>
      </c>
      <c r="C1625" s="3" t="s">
        <v>29</v>
      </c>
      <c r="D1625" s="3" t="s">
        <v>19</v>
      </c>
      <c r="E1625" s="3" t="s">
        <v>20</v>
      </c>
      <c r="F1625" s="3" t="s">
        <v>21</v>
      </c>
      <c r="G1625" s="3" t="s">
        <v>22</v>
      </c>
      <c r="H1625" s="3" t="s">
        <v>23</v>
      </c>
      <c r="I1625" s="3" t="s">
        <v>1330</v>
      </c>
      <c r="J1625" s="3" t="s">
        <v>79</v>
      </c>
      <c r="K1625" s="3">
        <v>4</v>
      </c>
      <c r="L1625" s="3">
        <v>3520.94</v>
      </c>
      <c r="M1625" s="3">
        <v>14083.76</v>
      </c>
      <c r="N1625" s="3">
        <v>8931</v>
      </c>
      <c r="O1625" s="3">
        <v>5152.76</v>
      </c>
      <c r="P1625" s="3" t="s">
        <v>86</v>
      </c>
    </row>
    <row r="1626" spans="1:16" x14ac:dyDescent="0.35">
      <c r="A1626" s="3" t="s">
        <v>2881</v>
      </c>
      <c r="B1626" s="3" t="s">
        <v>1255</v>
      </c>
      <c r="C1626" s="3" t="s">
        <v>72</v>
      </c>
      <c r="D1626" s="3" t="s">
        <v>19</v>
      </c>
      <c r="E1626" s="3" t="s">
        <v>20</v>
      </c>
      <c r="F1626" s="3" t="s">
        <v>21</v>
      </c>
      <c r="G1626" s="3" t="s">
        <v>30</v>
      </c>
      <c r="H1626" s="3" t="s">
        <v>67</v>
      </c>
      <c r="I1626" s="3" t="s">
        <v>2882</v>
      </c>
      <c r="J1626" s="3" t="s">
        <v>85</v>
      </c>
      <c r="K1626" s="3">
        <v>6</v>
      </c>
      <c r="L1626" s="3">
        <v>10214.75</v>
      </c>
      <c r="M1626" s="3">
        <v>61288.5</v>
      </c>
      <c r="N1626" s="3">
        <v>46513.279999999999</v>
      </c>
      <c r="O1626" s="3">
        <v>14775.22</v>
      </c>
      <c r="P1626" s="3" t="s">
        <v>86</v>
      </c>
    </row>
    <row r="1627" spans="1:16" x14ac:dyDescent="0.35">
      <c r="A1627" s="3" t="s">
        <v>2883</v>
      </c>
      <c r="B1627" s="3" t="s">
        <v>1429</v>
      </c>
      <c r="C1627" s="3" t="s">
        <v>89</v>
      </c>
      <c r="D1627" s="3" t="s">
        <v>38</v>
      </c>
      <c r="E1627" s="3" t="s">
        <v>39</v>
      </c>
      <c r="F1627" s="3" t="s">
        <v>40</v>
      </c>
      <c r="G1627" s="3" t="s">
        <v>41</v>
      </c>
      <c r="H1627" s="3" t="s">
        <v>42</v>
      </c>
      <c r="I1627" s="3" t="s">
        <v>1200</v>
      </c>
      <c r="J1627" s="3" t="s">
        <v>33</v>
      </c>
      <c r="K1627" s="3">
        <v>2</v>
      </c>
      <c r="L1627" s="3">
        <v>45883.33</v>
      </c>
      <c r="M1627" s="3">
        <v>91766.66</v>
      </c>
      <c r="N1627" s="3">
        <v>73429.64</v>
      </c>
      <c r="O1627" s="3">
        <v>18337.02</v>
      </c>
      <c r="P1627" s="3" t="s">
        <v>45</v>
      </c>
    </row>
    <row r="1628" spans="1:16" x14ac:dyDescent="0.35">
      <c r="A1628" s="3" t="s">
        <v>2884</v>
      </c>
      <c r="B1628" s="3" t="s">
        <v>856</v>
      </c>
      <c r="C1628" s="3" t="s">
        <v>103</v>
      </c>
      <c r="D1628" s="3" t="s">
        <v>38</v>
      </c>
      <c r="E1628" s="3" t="s">
        <v>109</v>
      </c>
      <c r="F1628" s="3" t="s">
        <v>110</v>
      </c>
      <c r="G1628" s="3" t="s">
        <v>41</v>
      </c>
      <c r="H1628" s="3" t="s">
        <v>42</v>
      </c>
      <c r="I1628" s="3" t="s">
        <v>2885</v>
      </c>
      <c r="J1628" s="3" t="s">
        <v>188</v>
      </c>
      <c r="K1628" s="3">
        <v>4</v>
      </c>
      <c r="L1628" s="3">
        <v>44330.65</v>
      </c>
      <c r="M1628" s="3">
        <v>177322.6</v>
      </c>
      <c r="N1628" s="3">
        <v>133813.66</v>
      </c>
      <c r="O1628" s="3">
        <v>43508.94</v>
      </c>
      <c r="P1628" s="3" t="s">
        <v>26</v>
      </c>
    </row>
    <row r="1629" spans="1:16" x14ac:dyDescent="0.35">
      <c r="A1629" s="3" t="s">
        <v>2886</v>
      </c>
      <c r="B1629" s="3" t="s">
        <v>511</v>
      </c>
      <c r="C1629" s="3" t="s">
        <v>29</v>
      </c>
      <c r="D1629" s="3" t="s">
        <v>19</v>
      </c>
      <c r="E1629" s="3" t="s">
        <v>20</v>
      </c>
      <c r="F1629" s="3" t="s">
        <v>21</v>
      </c>
      <c r="G1629" s="3" t="s">
        <v>51</v>
      </c>
      <c r="H1629" s="3" t="s">
        <v>52</v>
      </c>
      <c r="I1629" s="3" t="s">
        <v>2076</v>
      </c>
      <c r="J1629" s="3" t="s">
        <v>106</v>
      </c>
      <c r="K1629" s="3">
        <v>6</v>
      </c>
      <c r="L1629" s="3">
        <v>23.5</v>
      </c>
      <c r="M1629" s="3">
        <v>141</v>
      </c>
      <c r="N1629" s="3">
        <v>60.93</v>
      </c>
      <c r="O1629" s="3">
        <v>80.069999999999993</v>
      </c>
      <c r="P1629" s="3" t="s">
        <v>86</v>
      </c>
    </row>
    <row r="1630" spans="1:16" x14ac:dyDescent="0.35">
      <c r="A1630" s="3" t="s">
        <v>2887</v>
      </c>
      <c r="B1630" s="3" t="s">
        <v>539</v>
      </c>
      <c r="C1630" s="3" t="s">
        <v>89</v>
      </c>
      <c r="D1630" s="3" t="s">
        <v>19</v>
      </c>
      <c r="E1630" s="3" t="s">
        <v>49</v>
      </c>
      <c r="F1630" s="3" t="s">
        <v>50</v>
      </c>
      <c r="G1630" s="3" t="s">
        <v>51</v>
      </c>
      <c r="H1630" s="3" t="s">
        <v>52</v>
      </c>
      <c r="I1630" s="3" t="s">
        <v>2888</v>
      </c>
      <c r="J1630" s="3" t="s">
        <v>106</v>
      </c>
      <c r="K1630" s="3">
        <v>6</v>
      </c>
      <c r="L1630" s="3">
        <v>26.76</v>
      </c>
      <c r="M1630" s="3">
        <v>160.56</v>
      </c>
      <c r="N1630" s="3">
        <v>61.72</v>
      </c>
      <c r="O1630" s="3">
        <v>98.84</v>
      </c>
      <c r="P1630" s="3" t="s">
        <v>69</v>
      </c>
    </row>
    <row r="1631" spans="1:16" x14ac:dyDescent="0.35">
      <c r="A1631" s="3" t="s">
        <v>2889</v>
      </c>
      <c r="B1631" s="3" t="s">
        <v>373</v>
      </c>
      <c r="C1631" s="3" t="s">
        <v>137</v>
      </c>
      <c r="D1631" s="3" t="s">
        <v>38</v>
      </c>
      <c r="E1631" s="3" t="s">
        <v>109</v>
      </c>
      <c r="F1631" s="3" t="s">
        <v>110</v>
      </c>
      <c r="G1631" s="3" t="s">
        <v>30</v>
      </c>
      <c r="H1631" s="3" t="s">
        <v>67</v>
      </c>
      <c r="I1631" s="3" t="s">
        <v>193</v>
      </c>
      <c r="J1631" s="3" t="s">
        <v>100</v>
      </c>
      <c r="K1631" s="3">
        <v>8</v>
      </c>
      <c r="L1631" s="3">
        <v>9624.1200000000008</v>
      </c>
      <c r="M1631" s="3">
        <v>76992.960000000006</v>
      </c>
      <c r="N1631" s="3">
        <v>59563.56</v>
      </c>
      <c r="O1631" s="3">
        <v>17429.400000000001</v>
      </c>
      <c r="P1631" s="3" t="s">
        <v>26</v>
      </c>
    </row>
    <row r="1632" spans="1:16" x14ac:dyDescent="0.35">
      <c r="A1632" s="3" t="s">
        <v>2890</v>
      </c>
      <c r="B1632" s="3" t="s">
        <v>562</v>
      </c>
      <c r="C1632" s="3" t="s">
        <v>82</v>
      </c>
      <c r="D1632" s="3" t="s">
        <v>58</v>
      </c>
      <c r="E1632" s="3" t="s">
        <v>176</v>
      </c>
      <c r="F1632" s="3" t="s">
        <v>177</v>
      </c>
      <c r="G1632" s="3" t="s">
        <v>41</v>
      </c>
      <c r="H1632" s="3" t="s">
        <v>42</v>
      </c>
      <c r="I1632" s="3" t="s">
        <v>2891</v>
      </c>
      <c r="J1632" s="3" t="s">
        <v>217</v>
      </c>
      <c r="K1632" s="3">
        <v>8</v>
      </c>
      <c r="L1632" s="3">
        <v>46720.03</v>
      </c>
      <c r="M1632" s="3">
        <v>373760.24</v>
      </c>
      <c r="N1632" s="3">
        <v>292125.42</v>
      </c>
      <c r="O1632" s="3">
        <v>81634.820000000007</v>
      </c>
      <c r="P1632" s="3" t="s">
        <v>34</v>
      </c>
    </row>
    <row r="1633" spans="1:16" x14ac:dyDescent="0.35">
      <c r="A1633" s="3" t="s">
        <v>2892</v>
      </c>
      <c r="B1633" s="3" t="s">
        <v>583</v>
      </c>
      <c r="C1633" s="3" t="s">
        <v>89</v>
      </c>
      <c r="D1633" s="3" t="s">
        <v>58</v>
      </c>
      <c r="E1633" s="3" t="s">
        <v>176</v>
      </c>
      <c r="F1633" s="3" t="s">
        <v>177</v>
      </c>
      <c r="G1633" s="3" t="s">
        <v>22</v>
      </c>
      <c r="H1633" s="3" t="s">
        <v>23</v>
      </c>
      <c r="I1633" s="3" t="s">
        <v>2893</v>
      </c>
      <c r="J1633" s="3" t="s">
        <v>44</v>
      </c>
      <c r="K1633" s="3">
        <v>7</v>
      </c>
      <c r="L1633" s="3">
        <v>3389.46</v>
      </c>
      <c r="M1633" s="3">
        <v>23726.22</v>
      </c>
      <c r="N1633" s="3">
        <v>15215.08</v>
      </c>
      <c r="O1633" s="3">
        <v>8511.14</v>
      </c>
      <c r="P1633" s="3" t="s">
        <v>26</v>
      </c>
    </row>
    <row r="1634" spans="1:16" x14ac:dyDescent="0.35">
      <c r="A1634" s="3" t="s">
        <v>2894</v>
      </c>
      <c r="B1634" s="3" t="s">
        <v>36</v>
      </c>
      <c r="C1634" s="3" t="s">
        <v>37</v>
      </c>
      <c r="D1634" s="3" t="s">
        <v>38</v>
      </c>
      <c r="E1634" s="3" t="s">
        <v>104</v>
      </c>
      <c r="F1634" s="3" t="s">
        <v>104</v>
      </c>
      <c r="G1634" s="3" t="s">
        <v>41</v>
      </c>
      <c r="H1634" s="3" t="s">
        <v>42</v>
      </c>
      <c r="I1634" s="3" t="s">
        <v>884</v>
      </c>
      <c r="J1634" s="3" t="s">
        <v>79</v>
      </c>
      <c r="K1634" s="3">
        <v>8</v>
      </c>
      <c r="L1634" s="3">
        <v>40703.58</v>
      </c>
      <c r="M1634" s="3">
        <v>325628.64</v>
      </c>
      <c r="N1634" s="3">
        <v>283306.34000000003</v>
      </c>
      <c r="O1634" s="3">
        <v>42322.3</v>
      </c>
      <c r="P1634" s="3" t="s">
        <v>45</v>
      </c>
    </row>
    <row r="1635" spans="1:16" x14ac:dyDescent="0.35">
      <c r="A1635" s="3" t="s">
        <v>2895</v>
      </c>
      <c r="B1635" s="3" t="s">
        <v>136</v>
      </c>
      <c r="C1635" s="3" t="s">
        <v>137</v>
      </c>
      <c r="D1635" s="3" t="s">
        <v>90</v>
      </c>
      <c r="E1635" s="3" t="s">
        <v>119</v>
      </c>
      <c r="F1635" s="3" t="s">
        <v>120</v>
      </c>
      <c r="G1635" s="3" t="s">
        <v>22</v>
      </c>
      <c r="H1635" s="3" t="s">
        <v>83</v>
      </c>
      <c r="I1635" s="3" t="s">
        <v>2300</v>
      </c>
      <c r="J1635" s="3" t="s">
        <v>131</v>
      </c>
      <c r="K1635" s="3">
        <v>5</v>
      </c>
      <c r="L1635" s="3">
        <v>23897.42</v>
      </c>
      <c r="M1635" s="3">
        <v>119487.1</v>
      </c>
      <c r="N1635" s="3">
        <v>86716.93</v>
      </c>
      <c r="O1635" s="3">
        <v>32770.17</v>
      </c>
      <c r="P1635" s="3" t="s">
        <v>34</v>
      </c>
    </row>
    <row r="1636" spans="1:16" x14ac:dyDescent="0.35">
      <c r="A1636" s="3" t="s">
        <v>2896</v>
      </c>
      <c r="B1636" s="3" t="s">
        <v>889</v>
      </c>
      <c r="C1636" s="3" t="s">
        <v>82</v>
      </c>
      <c r="D1636" s="3" t="s">
        <v>90</v>
      </c>
      <c r="E1636" s="3" t="s">
        <v>91</v>
      </c>
      <c r="F1636" s="3" t="s">
        <v>92</v>
      </c>
      <c r="G1636" s="3" t="s">
        <v>30</v>
      </c>
      <c r="H1636" s="3" t="s">
        <v>73</v>
      </c>
      <c r="I1636" s="3" t="s">
        <v>713</v>
      </c>
      <c r="J1636" s="3" t="s">
        <v>100</v>
      </c>
      <c r="K1636" s="3">
        <v>2</v>
      </c>
      <c r="L1636" s="3">
        <v>3108.92</v>
      </c>
      <c r="M1636" s="3">
        <v>6217.84</v>
      </c>
      <c r="N1636" s="3">
        <v>4958.4399999999996</v>
      </c>
      <c r="O1636" s="3">
        <v>1259.4000000000001</v>
      </c>
      <c r="P1636" s="3" t="s">
        <v>26</v>
      </c>
    </row>
    <row r="1637" spans="1:16" x14ac:dyDescent="0.35">
      <c r="A1637" s="3" t="s">
        <v>2897</v>
      </c>
      <c r="B1637" s="3" t="s">
        <v>219</v>
      </c>
      <c r="C1637" s="3" t="s">
        <v>72</v>
      </c>
      <c r="D1637" s="3" t="s">
        <v>38</v>
      </c>
      <c r="E1637" s="3" t="s">
        <v>104</v>
      </c>
      <c r="F1637" s="3" t="s">
        <v>104</v>
      </c>
      <c r="G1637" s="3" t="s">
        <v>30</v>
      </c>
      <c r="H1637" s="3" t="s">
        <v>67</v>
      </c>
      <c r="I1637" s="3" t="s">
        <v>1977</v>
      </c>
      <c r="J1637" s="3" t="s">
        <v>217</v>
      </c>
      <c r="K1637" s="3">
        <v>4</v>
      </c>
      <c r="L1637" s="3">
        <v>8961.23</v>
      </c>
      <c r="M1637" s="3">
        <v>35844.92</v>
      </c>
      <c r="N1637" s="3">
        <v>29758.25</v>
      </c>
      <c r="O1637" s="3">
        <v>6086.67</v>
      </c>
      <c r="P1637" s="3" t="s">
        <v>69</v>
      </c>
    </row>
    <row r="1638" spans="1:16" x14ac:dyDescent="0.35">
      <c r="A1638" s="3" t="s">
        <v>2898</v>
      </c>
      <c r="B1638" s="3" t="s">
        <v>1018</v>
      </c>
      <c r="C1638" s="3" t="s">
        <v>37</v>
      </c>
      <c r="D1638" s="3" t="s">
        <v>58</v>
      </c>
      <c r="E1638" s="3" t="s">
        <v>65</v>
      </c>
      <c r="F1638" s="3" t="s">
        <v>66</v>
      </c>
      <c r="G1638" s="3" t="s">
        <v>41</v>
      </c>
      <c r="H1638" s="3" t="s">
        <v>138</v>
      </c>
      <c r="I1638" s="3" t="s">
        <v>1728</v>
      </c>
      <c r="J1638" s="3" t="s">
        <v>54</v>
      </c>
      <c r="K1638" s="3">
        <v>3</v>
      </c>
      <c r="L1638" s="3">
        <v>16362.89</v>
      </c>
      <c r="M1638" s="3">
        <v>49088.67</v>
      </c>
      <c r="N1638" s="3">
        <v>43350.45</v>
      </c>
      <c r="O1638" s="3">
        <v>5738.22</v>
      </c>
      <c r="P1638" s="3" t="s">
        <v>69</v>
      </c>
    </row>
    <row r="1639" spans="1:16" x14ac:dyDescent="0.35">
      <c r="A1639" s="3" t="s">
        <v>2899</v>
      </c>
      <c r="B1639" s="3" t="s">
        <v>527</v>
      </c>
      <c r="C1639" s="3" t="s">
        <v>82</v>
      </c>
      <c r="D1639" s="3" t="s">
        <v>90</v>
      </c>
      <c r="E1639" s="3" t="s">
        <v>91</v>
      </c>
      <c r="F1639" s="3" t="s">
        <v>92</v>
      </c>
      <c r="G1639" s="3" t="s">
        <v>51</v>
      </c>
      <c r="H1639" s="3" t="s">
        <v>77</v>
      </c>
      <c r="I1639" s="3" t="s">
        <v>1458</v>
      </c>
      <c r="J1639" s="3" t="s">
        <v>161</v>
      </c>
      <c r="K1639" s="3">
        <v>5</v>
      </c>
      <c r="L1639" s="3">
        <v>11568.7</v>
      </c>
      <c r="M1639" s="3">
        <v>57843.5</v>
      </c>
      <c r="N1639" s="3">
        <v>46423.96</v>
      </c>
      <c r="O1639" s="3">
        <v>11419.54</v>
      </c>
      <c r="P1639" s="3" t="s">
        <v>45</v>
      </c>
    </row>
    <row r="1640" spans="1:16" x14ac:dyDescent="0.35">
      <c r="A1640" s="3" t="s">
        <v>2900</v>
      </c>
      <c r="B1640" s="3" t="s">
        <v>1292</v>
      </c>
      <c r="C1640" s="3" t="s">
        <v>57</v>
      </c>
      <c r="D1640" s="3" t="s">
        <v>90</v>
      </c>
      <c r="E1640" s="3" t="s">
        <v>119</v>
      </c>
      <c r="F1640" s="3" t="s">
        <v>120</v>
      </c>
      <c r="G1640" s="3" t="s">
        <v>30</v>
      </c>
      <c r="H1640" s="3" t="s">
        <v>73</v>
      </c>
      <c r="I1640" s="3" t="s">
        <v>2901</v>
      </c>
      <c r="J1640" s="3" t="s">
        <v>171</v>
      </c>
      <c r="K1640" s="3">
        <v>7</v>
      </c>
      <c r="L1640" s="3">
        <v>3464.56</v>
      </c>
      <c r="M1640" s="3">
        <v>24251.919999999998</v>
      </c>
      <c r="N1640" s="3">
        <v>16960.37</v>
      </c>
      <c r="O1640" s="3">
        <v>7291.55</v>
      </c>
      <c r="P1640" s="3" t="s">
        <v>86</v>
      </c>
    </row>
    <row r="1641" spans="1:16" x14ac:dyDescent="0.35">
      <c r="A1641" s="3" t="s">
        <v>2902</v>
      </c>
      <c r="B1641" s="3" t="s">
        <v>1772</v>
      </c>
      <c r="C1641" s="3" t="s">
        <v>114</v>
      </c>
      <c r="D1641" s="3" t="s">
        <v>58</v>
      </c>
      <c r="E1641" s="3" t="s">
        <v>176</v>
      </c>
      <c r="F1641" s="3" t="s">
        <v>177</v>
      </c>
      <c r="G1641" s="3" t="s">
        <v>41</v>
      </c>
      <c r="H1641" s="3" t="s">
        <v>42</v>
      </c>
      <c r="I1641" s="3" t="s">
        <v>2115</v>
      </c>
      <c r="J1641" s="3" t="s">
        <v>171</v>
      </c>
      <c r="K1641" s="3">
        <v>6</v>
      </c>
      <c r="L1641" s="3">
        <v>45299.35</v>
      </c>
      <c r="M1641" s="3">
        <v>271796.09999999998</v>
      </c>
      <c r="N1641" s="3">
        <v>207280.88</v>
      </c>
      <c r="O1641" s="3">
        <v>64515.22</v>
      </c>
      <c r="P1641" s="3" t="s">
        <v>34</v>
      </c>
    </row>
    <row r="1642" spans="1:16" x14ac:dyDescent="0.35">
      <c r="A1642" s="3" t="s">
        <v>2903</v>
      </c>
      <c r="B1642" s="3" t="s">
        <v>601</v>
      </c>
      <c r="C1642" s="3" t="s">
        <v>82</v>
      </c>
      <c r="D1642" s="3" t="s">
        <v>19</v>
      </c>
      <c r="E1642" s="3" t="s">
        <v>20</v>
      </c>
      <c r="F1642" s="3" t="s">
        <v>21</v>
      </c>
      <c r="G1642" s="3" t="s">
        <v>41</v>
      </c>
      <c r="H1642" s="3" t="s">
        <v>138</v>
      </c>
      <c r="I1642" s="3" t="s">
        <v>164</v>
      </c>
      <c r="J1642" s="3" t="s">
        <v>131</v>
      </c>
      <c r="K1642" s="3">
        <v>1</v>
      </c>
      <c r="L1642" s="3">
        <v>16797.04</v>
      </c>
      <c r="M1642" s="3">
        <v>16797.04</v>
      </c>
      <c r="N1642" s="3">
        <v>14137.06</v>
      </c>
      <c r="O1642" s="3">
        <v>2659.98</v>
      </c>
      <c r="P1642" s="3" t="s">
        <v>86</v>
      </c>
    </row>
    <row r="1643" spans="1:16" x14ac:dyDescent="0.35">
      <c r="A1643" s="3" t="s">
        <v>2904</v>
      </c>
      <c r="B1643" s="3" t="s">
        <v>539</v>
      </c>
      <c r="C1643" s="3" t="s">
        <v>89</v>
      </c>
      <c r="D1643" s="3" t="s">
        <v>38</v>
      </c>
      <c r="E1643" s="3" t="s">
        <v>104</v>
      </c>
      <c r="F1643" s="3" t="s">
        <v>104</v>
      </c>
      <c r="G1643" s="3" t="s">
        <v>51</v>
      </c>
      <c r="H1643" s="3" t="s">
        <v>52</v>
      </c>
      <c r="I1643" s="3" t="s">
        <v>2413</v>
      </c>
      <c r="J1643" s="3" t="s">
        <v>217</v>
      </c>
      <c r="K1643" s="3">
        <v>6</v>
      </c>
      <c r="L1643" s="3">
        <v>27.13</v>
      </c>
      <c r="M1643" s="3">
        <v>162.78</v>
      </c>
      <c r="N1643" s="3">
        <v>62.15</v>
      </c>
      <c r="O1643" s="3">
        <v>100.63</v>
      </c>
      <c r="P1643" s="3" t="s">
        <v>34</v>
      </c>
    </row>
    <row r="1644" spans="1:16" x14ac:dyDescent="0.35">
      <c r="A1644" s="3" t="s">
        <v>2905</v>
      </c>
      <c r="B1644" s="3" t="s">
        <v>88</v>
      </c>
      <c r="C1644" s="3" t="s">
        <v>89</v>
      </c>
      <c r="D1644" s="3" t="s">
        <v>90</v>
      </c>
      <c r="E1644" s="3" t="s">
        <v>97</v>
      </c>
      <c r="F1644" s="3" t="s">
        <v>98</v>
      </c>
      <c r="G1644" s="3" t="s">
        <v>30</v>
      </c>
      <c r="H1644" s="3" t="s">
        <v>67</v>
      </c>
      <c r="I1644" s="3" t="s">
        <v>1153</v>
      </c>
      <c r="J1644" s="3" t="s">
        <v>147</v>
      </c>
      <c r="K1644" s="3">
        <v>2</v>
      </c>
      <c r="L1644" s="3">
        <v>9758.75</v>
      </c>
      <c r="M1644" s="3">
        <v>19517.5</v>
      </c>
      <c r="N1644" s="3">
        <v>15842.75</v>
      </c>
      <c r="O1644" s="3">
        <v>3674.75</v>
      </c>
      <c r="P1644" s="3" t="s">
        <v>86</v>
      </c>
    </row>
    <row r="1645" spans="1:16" x14ac:dyDescent="0.35">
      <c r="A1645" s="3" t="s">
        <v>2906</v>
      </c>
      <c r="B1645" s="3" t="s">
        <v>572</v>
      </c>
      <c r="C1645" s="3" t="s">
        <v>72</v>
      </c>
      <c r="D1645" s="3" t="s">
        <v>58</v>
      </c>
      <c r="E1645" s="3" t="s">
        <v>65</v>
      </c>
      <c r="F1645" s="3" t="s">
        <v>66</v>
      </c>
      <c r="G1645" s="3" t="s">
        <v>51</v>
      </c>
      <c r="H1645" s="3" t="s">
        <v>145</v>
      </c>
      <c r="I1645" s="3" t="s">
        <v>950</v>
      </c>
      <c r="J1645" s="3" t="s">
        <v>147</v>
      </c>
      <c r="K1645" s="3">
        <v>5</v>
      </c>
      <c r="L1645" s="3">
        <v>123.32</v>
      </c>
      <c r="M1645" s="3">
        <v>616.6</v>
      </c>
      <c r="N1645" s="3">
        <v>305.29000000000002</v>
      </c>
      <c r="O1645" s="3">
        <v>311.31</v>
      </c>
      <c r="P1645" s="3" t="s">
        <v>69</v>
      </c>
    </row>
    <row r="1646" spans="1:16" x14ac:dyDescent="0.35">
      <c r="A1646" s="3" t="s">
        <v>2907</v>
      </c>
      <c r="B1646" s="3" t="s">
        <v>1423</v>
      </c>
      <c r="C1646" s="3" t="s">
        <v>37</v>
      </c>
      <c r="D1646" s="3" t="s">
        <v>58</v>
      </c>
      <c r="E1646" s="3" t="s">
        <v>59</v>
      </c>
      <c r="F1646" s="3" t="s">
        <v>60</v>
      </c>
      <c r="G1646" s="3" t="s">
        <v>51</v>
      </c>
      <c r="H1646" s="3" t="s">
        <v>77</v>
      </c>
      <c r="I1646" s="3" t="s">
        <v>2661</v>
      </c>
      <c r="J1646" s="3" t="s">
        <v>54</v>
      </c>
      <c r="K1646" s="3">
        <v>6</v>
      </c>
      <c r="L1646" s="3">
        <v>12252.4</v>
      </c>
      <c r="M1646" s="3">
        <v>73514.399999999994</v>
      </c>
      <c r="N1646" s="3">
        <v>54527.42</v>
      </c>
      <c r="O1646" s="3">
        <v>18986.98</v>
      </c>
      <c r="P1646" s="3" t="s">
        <v>69</v>
      </c>
    </row>
    <row r="1647" spans="1:16" x14ac:dyDescent="0.35">
      <c r="A1647" s="3" t="s">
        <v>2908</v>
      </c>
      <c r="B1647" s="3" t="s">
        <v>318</v>
      </c>
      <c r="C1647" s="3" t="s">
        <v>37</v>
      </c>
      <c r="D1647" s="3" t="s">
        <v>19</v>
      </c>
      <c r="E1647" s="3" t="s">
        <v>199</v>
      </c>
      <c r="F1647" s="3" t="s">
        <v>200</v>
      </c>
      <c r="G1647" s="3" t="s">
        <v>22</v>
      </c>
      <c r="H1647" s="3" t="s">
        <v>93</v>
      </c>
      <c r="I1647" s="3" t="s">
        <v>914</v>
      </c>
      <c r="J1647" s="3" t="s">
        <v>154</v>
      </c>
      <c r="K1647" s="3">
        <v>5</v>
      </c>
      <c r="L1647" s="3">
        <v>6360.11</v>
      </c>
      <c r="M1647" s="3">
        <v>31800.55</v>
      </c>
      <c r="N1647" s="3">
        <v>23974.22</v>
      </c>
      <c r="O1647" s="3">
        <v>7826.33</v>
      </c>
      <c r="P1647" s="3" t="s">
        <v>86</v>
      </c>
    </row>
    <row r="1648" spans="1:16" x14ac:dyDescent="0.35">
      <c r="A1648" s="3" t="s">
        <v>2909</v>
      </c>
      <c r="B1648" s="3" t="s">
        <v>180</v>
      </c>
      <c r="C1648" s="3" t="s">
        <v>48</v>
      </c>
      <c r="D1648" s="3" t="s">
        <v>19</v>
      </c>
      <c r="E1648" s="3" t="s">
        <v>199</v>
      </c>
      <c r="F1648" s="3" t="s">
        <v>200</v>
      </c>
      <c r="G1648" s="3" t="s">
        <v>22</v>
      </c>
      <c r="H1648" s="3" t="s">
        <v>93</v>
      </c>
      <c r="I1648" s="3" t="s">
        <v>729</v>
      </c>
      <c r="J1648" s="3" t="s">
        <v>44</v>
      </c>
      <c r="K1648" s="3">
        <v>4</v>
      </c>
      <c r="L1648" s="3">
        <v>6837.32</v>
      </c>
      <c r="M1648" s="3">
        <v>27349.279999999999</v>
      </c>
      <c r="N1648" s="3">
        <v>19728.259999999998</v>
      </c>
      <c r="O1648" s="3">
        <v>7621.02</v>
      </c>
      <c r="P1648" s="3" t="s">
        <v>86</v>
      </c>
    </row>
    <row r="1649" spans="1:16" x14ac:dyDescent="0.35">
      <c r="A1649" s="3" t="s">
        <v>2910</v>
      </c>
      <c r="B1649" s="3" t="s">
        <v>702</v>
      </c>
      <c r="C1649" s="3" t="s">
        <v>57</v>
      </c>
      <c r="D1649" s="3" t="s">
        <v>90</v>
      </c>
      <c r="E1649" s="3" t="s">
        <v>91</v>
      </c>
      <c r="F1649" s="3" t="s">
        <v>92</v>
      </c>
      <c r="G1649" s="3" t="s">
        <v>51</v>
      </c>
      <c r="H1649" s="3" t="s">
        <v>77</v>
      </c>
      <c r="I1649" s="3" t="s">
        <v>1111</v>
      </c>
      <c r="J1649" s="3" t="s">
        <v>188</v>
      </c>
      <c r="K1649" s="3">
        <v>2</v>
      </c>
      <c r="L1649" s="3">
        <v>12393.99</v>
      </c>
      <c r="M1649" s="3">
        <v>24787.98</v>
      </c>
      <c r="N1649" s="3">
        <v>18896.53</v>
      </c>
      <c r="O1649" s="3">
        <v>5891.45</v>
      </c>
      <c r="P1649" s="3" t="s">
        <v>69</v>
      </c>
    </row>
    <row r="1650" spans="1:16" x14ac:dyDescent="0.35">
      <c r="A1650" s="3" t="s">
        <v>2911</v>
      </c>
      <c r="B1650" s="3" t="s">
        <v>351</v>
      </c>
      <c r="C1650" s="3" t="s">
        <v>114</v>
      </c>
      <c r="D1650" s="3" t="s">
        <v>19</v>
      </c>
      <c r="E1650" s="3" t="s">
        <v>20</v>
      </c>
      <c r="F1650" s="3" t="s">
        <v>21</v>
      </c>
      <c r="G1650" s="3" t="s">
        <v>22</v>
      </c>
      <c r="H1650" s="3" t="s">
        <v>23</v>
      </c>
      <c r="I1650" s="3" t="s">
        <v>662</v>
      </c>
      <c r="J1650" s="3" t="s">
        <v>100</v>
      </c>
      <c r="K1650" s="3">
        <v>8</v>
      </c>
      <c r="L1650" s="3">
        <v>3695.04</v>
      </c>
      <c r="M1650" s="3">
        <v>29560.32</v>
      </c>
      <c r="N1650" s="3">
        <v>16913.84</v>
      </c>
      <c r="O1650" s="3">
        <v>12646.48</v>
      </c>
      <c r="P1650" s="3" t="s">
        <v>34</v>
      </c>
    </row>
    <row r="1651" spans="1:16" x14ac:dyDescent="0.35">
      <c r="A1651" s="3" t="s">
        <v>2912</v>
      </c>
      <c r="B1651" s="3" t="s">
        <v>173</v>
      </c>
      <c r="C1651" s="3" t="s">
        <v>118</v>
      </c>
      <c r="D1651" s="3" t="s">
        <v>58</v>
      </c>
      <c r="E1651" s="3" t="s">
        <v>176</v>
      </c>
      <c r="F1651" s="3" t="s">
        <v>177</v>
      </c>
      <c r="G1651" s="3" t="s">
        <v>22</v>
      </c>
      <c r="H1651" s="3" t="s">
        <v>83</v>
      </c>
      <c r="I1651" s="3" t="s">
        <v>1965</v>
      </c>
      <c r="J1651" s="3" t="s">
        <v>147</v>
      </c>
      <c r="K1651" s="3">
        <v>3</v>
      </c>
      <c r="L1651" s="3">
        <v>22884.73</v>
      </c>
      <c r="M1651" s="3">
        <v>68654.19</v>
      </c>
      <c r="N1651" s="3">
        <v>49830.19</v>
      </c>
      <c r="O1651" s="3">
        <v>18824</v>
      </c>
      <c r="P1651" s="3" t="s">
        <v>26</v>
      </c>
    </row>
    <row r="1652" spans="1:16" x14ac:dyDescent="0.35">
      <c r="A1652" s="3" t="s">
        <v>2913</v>
      </c>
      <c r="B1652" s="3" t="s">
        <v>570</v>
      </c>
      <c r="C1652" s="3" t="s">
        <v>18</v>
      </c>
      <c r="D1652" s="3" t="s">
        <v>38</v>
      </c>
      <c r="E1652" s="3" t="s">
        <v>104</v>
      </c>
      <c r="F1652" s="3" t="s">
        <v>104</v>
      </c>
      <c r="G1652" s="3" t="s">
        <v>41</v>
      </c>
      <c r="H1652" s="3" t="s">
        <v>138</v>
      </c>
      <c r="I1652" s="3" t="s">
        <v>345</v>
      </c>
      <c r="J1652" s="3" t="s">
        <v>54</v>
      </c>
      <c r="K1652" s="3">
        <v>7</v>
      </c>
      <c r="L1652" s="3">
        <v>16852.009999999998</v>
      </c>
      <c r="M1652" s="3">
        <v>117964.07</v>
      </c>
      <c r="N1652" s="3">
        <v>95822.86</v>
      </c>
      <c r="O1652" s="3">
        <v>22141.21</v>
      </c>
      <c r="P1652" s="3" t="s">
        <v>34</v>
      </c>
    </row>
    <row r="1653" spans="1:16" x14ac:dyDescent="0.35">
      <c r="A1653" s="3" t="s">
        <v>2914</v>
      </c>
      <c r="B1653" s="3" t="s">
        <v>908</v>
      </c>
      <c r="C1653" s="3" t="s">
        <v>72</v>
      </c>
      <c r="D1653" s="3" t="s">
        <v>19</v>
      </c>
      <c r="E1653" s="3" t="s">
        <v>49</v>
      </c>
      <c r="F1653" s="3" t="s">
        <v>50</v>
      </c>
      <c r="G1653" s="3" t="s">
        <v>51</v>
      </c>
      <c r="H1653" s="3" t="s">
        <v>145</v>
      </c>
      <c r="I1653" s="3" t="s">
        <v>2230</v>
      </c>
      <c r="J1653" s="3" t="s">
        <v>217</v>
      </c>
      <c r="K1653" s="3">
        <v>3</v>
      </c>
      <c r="L1653" s="3">
        <v>119.64</v>
      </c>
      <c r="M1653" s="3">
        <v>358.92</v>
      </c>
      <c r="N1653" s="3">
        <v>171.95</v>
      </c>
      <c r="O1653" s="3">
        <v>186.97</v>
      </c>
      <c r="P1653" s="3" t="s">
        <v>45</v>
      </c>
    </row>
    <row r="1654" spans="1:16" x14ac:dyDescent="0.35">
      <c r="A1654" s="3" t="s">
        <v>2915</v>
      </c>
      <c r="B1654" s="3" t="s">
        <v>979</v>
      </c>
      <c r="C1654" s="3" t="s">
        <v>103</v>
      </c>
      <c r="D1654" s="3" t="s">
        <v>19</v>
      </c>
      <c r="E1654" s="3" t="s">
        <v>199</v>
      </c>
      <c r="F1654" s="3" t="s">
        <v>200</v>
      </c>
      <c r="G1654" s="3" t="s">
        <v>41</v>
      </c>
      <c r="H1654" s="3" t="s">
        <v>42</v>
      </c>
      <c r="I1654" s="3" t="s">
        <v>662</v>
      </c>
      <c r="J1654" s="3" t="s">
        <v>79</v>
      </c>
      <c r="K1654" s="3">
        <v>8</v>
      </c>
      <c r="L1654" s="3">
        <v>48069.74</v>
      </c>
      <c r="M1654" s="3">
        <v>384557.92</v>
      </c>
      <c r="N1654" s="3">
        <v>293866.03000000003</v>
      </c>
      <c r="O1654" s="3">
        <v>90691.89</v>
      </c>
      <c r="P1654" s="3" t="s">
        <v>45</v>
      </c>
    </row>
    <row r="1655" spans="1:16" x14ac:dyDescent="0.35">
      <c r="A1655" s="3" t="s">
        <v>2916</v>
      </c>
      <c r="B1655" s="3" t="s">
        <v>601</v>
      </c>
      <c r="C1655" s="3" t="s">
        <v>82</v>
      </c>
      <c r="D1655" s="3" t="s">
        <v>38</v>
      </c>
      <c r="E1655" s="3" t="s">
        <v>104</v>
      </c>
      <c r="F1655" s="3" t="s">
        <v>104</v>
      </c>
      <c r="G1655" s="3" t="s">
        <v>22</v>
      </c>
      <c r="H1655" s="3" t="s">
        <v>93</v>
      </c>
      <c r="I1655" s="3" t="s">
        <v>1029</v>
      </c>
      <c r="J1655" s="3" t="s">
        <v>154</v>
      </c>
      <c r="K1655" s="3">
        <v>3</v>
      </c>
      <c r="L1655" s="3">
        <v>7309.96</v>
      </c>
      <c r="M1655" s="3">
        <v>21929.88</v>
      </c>
      <c r="N1655" s="3">
        <v>14300.65</v>
      </c>
      <c r="O1655" s="3">
        <v>7629.23</v>
      </c>
      <c r="P1655" s="3" t="s">
        <v>45</v>
      </c>
    </row>
    <row r="1656" spans="1:16" x14ac:dyDescent="0.35">
      <c r="A1656" s="3" t="s">
        <v>2917</v>
      </c>
      <c r="B1656" s="3" t="s">
        <v>2089</v>
      </c>
      <c r="C1656" s="3" t="s">
        <v>29</v>
      </c>
      <c r="D1656" s="3" t="s">
        <v>38</v>
      </c>
      <c r="E1656" s="3" t="s">
        <v>109</v>
      </c>
      <c r="F1656" s="3" t="s">
        <v>110</v>
      </c>
      <c r="G1656" s="3" t="s">
        <v>30</v>
      </c>
      <c r="H1656" s="3" t="s">
        <v>73</v>
      </c>
      <c r="I1656" s="3" t="s">
        <v>2882</v>
      </c>
      <c r="J1656" s="3" t="s">
        <v>154</v>
      </c>
      <c r="K1656" s="3">
        <v>1</v>
      </c>
      <c r="L1656" s="3">
        <v>3192.99</v>
      </c>
      <c r="M1656" s="3">
        <v>3192.99</v>
      </c>
      <c r="N1656" s="3">
        <v>2511.1</v>
      </c>
      <c r="O1656" s="3">
        <v>681.89</v>
      </c>
      <c r="P1656" s="3" t="s">
        <v>26</v>
      </c>
    </row>
    <row r="1657" spans="1:16" x14ac:dyDescent="0.35">
      <c r="A1657" s="3" t="s">
        <v>2918</v>
      </c>
      <c r="B1657" s="3" t="s">
        <v>639</v>
      </c>
      <c r="C1657" s="3" t="s">
        <v>72</v>
      </c>
      <c r="D1657" s="3" t="s">
        <v>38</v>
      </c>
      <c r="E1657" s="3" t="s">
        <v>104</v>
      </c>
      <c r="F1657" s="3" t="s">
        <v>104</v>
      </c>
      <c r="G1657" s="3" t="s">
        <v>41</v>
      </c>
      <c r="H1657" s="3" t="s">
        <v>61</v>
      </c>
      <c r="I1657" s="3" t="s">
        <v>2176</v>
      </c>
      <c r="J1657" s="3" t="s">
        <v>147</v>
      </c>
      <c r="K1657" s="3">
        <v>6</v>
      </c>
      <c r="L1657" s="3">
        <v>2325.12</v>
      </c>
      <c r="M1657" s="3">
        <v>13950.72</v>
      </c>
      <c r="N1657" s="3">
        <v>9578.6200000000008</v>
      </c>
      <c r="O1657" s="3">
        <v>4372.1000000000004</v>
      </c>
      <c r="P1657" s="3" t="s">
        <v>34</v>
      </c>
    </row>
    <row r="1658" spans="1:16" x14ac:dyDescent="0.35">
      <c r="A1658" s="3" t="s">
        <v>2919</v>
      </c>
      <c r="B1658" s="3" t="s">
        <v>192</v>
      </c>
      <c r="C1658" s="3" t="s">
        <v>103</v>
      </c>
      <c r="D1658" s="3" t="s">
        <v>38</v>
      </c>
      <c r="E1658" s="3" t="s">
        <v>109</v>
      </c>
      <c r="F1658" s="3" t="s">
        <v>110</v>
      </c>
      <c r="G1658" s="3" t="s">
        <v>30</v>
      </c>
      <c r="H1658" s="3" t="s">
        <v>31</v>
      </c>
      <c r="I1658" s="3" t="s">
        <v>2893</v>
      </c>
      <c r="J1658" s="3" t="s">
        <v>161</v>
      </c>
      <c r="K1658" s="3">
        <v>1</v>
      </c>
      <c r="L1658" s="3">
        <v>2649.5</v>
      </c>
      <c r="M1658" s="3">
        <v>2649.5</v>
      </c>
      <c r="N1658" s="3">
        <v>1890.01</v>
      </c>
      <c r="O1658" s="3">
        <v>759.49</v>
      </c>
      <c r="P1658" s="3" t="s">
        <v>69</v>
      </c>
    </row>
    <row r="1659" spans="1:16" x14ac:dyDescent="0.35">
      <c r="A1659" s="3" t="s">
        <v>2920</v>
      </c>
      <c r="B1659" s="3" t="s">
        <v>656</v>
      </c>
      <c r="C1659" s="3" t="s">
        <v>89</v>
      </c>
      <c r="D1659" s="3" t="s">
        <v>19</v>
      </c>
      <c r="E1659" s="3" t="s">
        <v>199</v>
      </c>
      <c r="F1659" s="3" t="s">
        <v>200</v>
      </c>
      <c r="G1659" s="3" t="s">
        <v>51</v>
      </c>
      <c r="H1659" s="3" t="s">
        <v>77</v>
      </c>
      <c r="I1659" s="3" t="s">
        <v>2921</v>
      </c>
      <c r="J1659" s="3" t="s">
        <v>100</v>
      </c>
      <c r="K1659" s="3">
        <v>1</v>
      </c>
      <c r="L1659" s="3">
        <v>11070.61</v>
      </c>
      <c r="M1659" s="3">
        <v>11070.61</v>
      </c>
      <c r="N1659" s="3">
        <v>9152.39</v>
      </c>
      <c r="O1659" s="3">
        <v>1918.22</v>
      </c>
      <c r="P1659" s="3" t="s">
        <v>86</v>
      </c>
    </row>
    <row r="1660" spans="1:16" x14ac:dyDescent="0.35">
      <c r="A1660" s="3" t="s">
        <v>2922</v>
      </c>
      <c r="B1660" s="3" t="s">
        <v>1255</v>
      </c>
      <c r="C1660" s="3" t="s">
        <v>72</v>
      </c>
      <c r="D1660" s="3" t="s">
        <v>19</v>
      </c>
      <c r="E1660" s="3" t="s">
        <v>199</v>
      </c>
      <c r="F1660" s="3" t="s">
        <v>200</v>
      </c>
      <c r="G1660" s="3" t="s">
        <v>51</v>
      </c>
      <c r="H1660" s="3" t="s">
        <v>52</v>
      </c>
      <c r="I1660" s="3" t="s">
        <v>1916</v>
      </c>
      <c r="J1660" s="3" t="s">
        <v>44</v>
      </c>
      <c r="K1660" s="3">
        <v>1</v>
      </c>
      <c r="L1660" s="3">
        <v>24.47</v>
      </c>
      <c r="M1660" s="3">
        <v>24.47</v>
      </c>
      <c r="N1660" s="3">
        <v>9.99</v>
      </c>
      <c r="O1660" s="3">
        <v>14.48</v>
      </c>
      <c r="P1660" s="3" t="s">
        <v>26</v>
      </c>
    </row>
    <row r="1661" spans="1:16" x14ac:dyDescent="0.35">
      <c r="A1661" s="3" t="s">
        <v>2923</v>
      </c>
      <c r="B1661" s="3" t="s">
        <v>260</v>
      </c>
      <c r="C1661" s="3" t="s">
        <v>37</v>
      </c>
      <c r="D1661" s="3" t="s">
        <v>38</v>
      </c>
      <c r="E1661" s="3" t="s">
        <v>104</v>
      </c>
      <c r="F1661" s="3" t="s">
        <v>104</v>
      </c>
      <c r="G1661" s="3" t="s">
        <v>41</v>
      </c>
      <c r="H1661" s="3" t="s">
        <v>61</v>
      </c>
      <c r="I1661" s="3" t="s">
        <v>925</v>
      </c>
      <c r="J1661" s="3" t="s">
        <v>188</v>
      </c>
      <c r="K1661" s="3">
        <v>5</v>
      </c>
      <c r="L1661" s="3">
        <v>2534.75</v>
      </c>
      <c r="M1661" s="3">
        <v>12673.75</v>
      </c>
      <c r="N1661" s="3">
        <v>7660.58</v>
      </c>
      <c r="O1661" s="3">
        <v>5013.17</v>
      </c>
      <c r="P1661" s="3" t="s">
        <v>34</v>
      </c>
    </row>
    <row r="1662" spans="1:16" x14ac:dyDescent="0.35">
      <c r="A1662" s="3" t="s">
        <v>2924</v>
      </c>
      <c r="B1662" s="3" t="s">
        <v>930</v>
      </c>
      <c r="C1662" s="3" t="s">
        <v>103</v>
      </c>
      <c r="D1662" s="3" t="s">
        <v>19</v>
      </c>
      <c r="E1662" s="3" t="s">
        <v>20</v>
      </c>
      <c r="F1662" s="3" t="s">
        <v>21</v>
      </c>
      <c r="G1662" s="3" t="s">
        <v>51</v>
      </c>
      <c r="H1662" s="3" t="s">
        <v>145</v>
      </c>
      <c r="I1662" s="3" t="s">
        <v>2925</v>
      </c>
      <c r="J1662" s="3" t="s">
        <v>44</v>
      </c>
      <c r="K1662" s="3">
        <v>3</v>
      </c>
      <c r="L1662" s="3">
        <v>116.26</v>
      </c>
      <c r="M1662" s="3">
        <v>348.78</v>
      </c>
      <c r="N1662" s="3">
        <v>187.84</v>
      </c>
      <c r="O1662" s="3">
        <v>160.94</v>
      </c>
      <c r="P1662" s="3" t="s">
        <v>34</v>
      </c>
    </row>
    <row r="1663" spans="1:16" x14ac:dyDescent="0.35">
      <c r="A1663" s="3" t="s">
        <v>2926</v>
      </c>
      <c r="B1663" s="3" t="s">
        <v>429</v>
      </c>
      <c r="C1663" s="3" t="s">
        <v>137</v>
      </c>
      <c r="D1663" s="3" t="s">
        <v>90</v>
      </c>
      <c r="E1663" s="3" t="s">
        <v>119</v>
      </c>
      <c r="F1663" s="3" t="s">
        <v>120</v>
      </c>
      <c r="G1663" s="3" t="s">
        <v>51</v>
      </c>
      <c r="H1663" s="3" t="s">
        <v>52</v>
      </c>
      <c r="I1663" s="3" t="s">
        <v>1595</v>
      </c>
      <c r="J1663" s="3" t="s">
        <v>100</v>
      </c>
      <c r="K1663" s="3">
        <v>8</v>
      </c>
      <c r="L1663" s="3">
        <v>22.92</v>
      </c>
      <c r="M1663" s="3">
        <v>183.36</v>
      </c>
      <c r="N1663" s="3">
        <v>83.43</v>
      </c>
      <c r="O1663" s="3">
        <v>99.93</v>
      </c>
      <c r="P1663" s="3" t="s">
        <v>86</v>
      </c>
    </row>
    <row r="1664" spans="1:16" x14ac:dyDescent="0.35">
      <c r="A1664" s="3" t="s">
        <v>2927</v>
      </c>
      <c r="B1664" s="3" t="s">
        <v>17</v>
      </c>
      <c r="C1664" s="3" t="s">
        <v>18</v>
      </c>
      <c r="D1664" s="3" t="s">
        <v>19</v>
      </c>
      <c r="E1664" s="3" t="s">
        <v>199</v>
      </c>
      <c r="F1664" s="3" t="s">
        <v>200</v>
      </c>
      <c r="G1664" s="3" t="s">
        <v>51</v>
      </c>
      <c r="H1664" s="3" t="s">
        <v>77</v>
      </c>
      <c r="I1664" s="3" t="s">
        <v>1837</v>
      </c>
      <c r="J1664" s="3" t="s">
        <v>25</v>
      </c>
      <c r="K1664" s="3">
        <v>2</v>
      </c>
      <c r="L1664" s="3">
        <v>11993.13</v>
      </c>
      <c r="M1664" s="3">
        <v>23986.26</v>
      </c>
      <c r="N1664" s="3">
        <v>18591.150000000001</v>
      </c>
      <c r="O1664" s="3">
        <v>5395.11</v>
      </c>
      <c r="P1664" s="3" t="s">
        <v>69</v>
      </c>
    </row>
    <row r="1665" spans="1:16" x14ac:dyDescent="0.35">
      <c r="A1665" s="3" t="s">
        <v>2928</v>
      </c>
      <c r="B1665" s="3" t="s">
        <v>133</v>
      </c>
      <c r="C1665" s="3" t="s">
        <v>18</v>
      </c>
      <c r="D1665" s="3" t="s">
        <v>38</v>
      </c>
      <c r="E1665" s="3" t="s">
        <v>39</v>
      </c>
      <c r="F1665" s="3" t="s">
        <v>40</v>
      </c>
      <c r="G1665" s="3" t="s">
        <v>22</v>
      </c>
      <c r="H1665" s="3" t="s">
        <v>23</v>
      </c>
      <c r="I1665" s="3" t="s">
        <v>204</v>
      </c>
      <c r="J1665" s="3" t="s">
        <v>188</v>
      </c>
      <c r="K1665" s="3">
        <v>3</v>
      </c>
      <c r="L1665" s="3">
        <v>3594.99</v>
      </c>
      <c r="M1665" s="3">
        <v>10784.97</v>
      </c>
      <c r="N1665" s="3">
        <v>6620.36</v>
      </c>
      <c r="O1665" s="3">
        <v>4164.6099999999997</v>
      </c>
      <c r="P1665" s="3" t="s">
        <v>26</v>
      </c>
    </row>
    <row r="1666" spans="1:16" x14ac:dyDescent="0.35">
      <c r="A1666" s="3" t="s">
        <v>2929</v>
      </c>
      <c r="B1666" s="3" t="s">
        <v>819</v>
      </c>
      <c r="C1666" s="3" t="s">
        <v>89</v>
      </c>
      <c r="D1666" s="3" t="s">
        <v>38</v>
      </c>
      <c r="E1666" s="3" t="s">
        <v>109</v>
      </c>
      <c r="F1666" s="3" t="s">
        <v>110</v>
      </c>
      <c r="G1666" s="3" t="s">
        <v>51</v>
      </c>
      <c r="H1666" s="3" t="s">
        <v>77</v>
      </c>
      <c r="I1666" s="3" t="s">
        <v>1340</v>
      </c>
      <c r="J1666" s="3" t="s">
        <v>147</v>
      </c>
      <c r="K1666" s="3">
        <v>8</v>
      </c>
      <c r="L1666" s="3">
        <v>12448.57</v>
      </c>
      <c r="M1666" s="3">
        <v>99588.56</v>
      </c>
      <c r="N1666" s="3">
        <v>71422.84</v>
      </c>
      <c r="O1666" s="3">
        <v>28165.72</v>
      </c>
      <c r="P1666" s="3" t="s">
        <v>26</v>
      </c>
    </row>
    <row r="1667" spans="1:16" x14ac:dyDescent="0.35">
      <c r="A1667" s="3" t="s">
        <v>2930</v>
      </c>
      <c r="B1667" s="3" t="s">
        <v>629</v>
      </c>
      <c r="C1667" s="3" t="s">
        <v>29</v>
      </c>
      <c r="D1667" s="3" t="s">
        <v>58</v>
      </c>
      <c r="E1667" s="3" t="s">
        <v>59</v>
      </c>
      <c r="F1667" s="3" t="s">
        <v>60</v>
      </c>
      <c r="G1667" s="3" t="s">
        <v>22</v>
      </c>
      <c r="H1667" s="3" t="s">
        <v>93</v>
      </c>
      <c r="I1667" s="3" t="s">
        <v>1905</v>
      </c>
      <c r="J1667" s="3" t="s">
        <v>171</v>
      </c>
      <c r="K1667" s="3">
        <v>3</v>
      </c>
      <c r="L1667" s="3">
        <v>7025.31</v>
      </c>
      <c r="M1667" s="3">
        <v>21075.93</v>
      </c>
      <c r="N1667" s="3">
        <v>14829.88</v>
      </c>
      <c r="O1667" s="3">
        <v>6246.05</v>
      </c>
      <c r="P1667" s="3" t="s">
        <v>69</v>
      </c>
    </row>
    <row r="1668" spans="1:16" x14ac:dyDescent="0.35">
      <c r="A1668" s="3" t="s">
        <v>2931</v>
      </c>
      <c r="B1668" s="3" t="s">
        <v>364</v>
      </c>
      <c r="C1668" s="3" t="s">
        <v>137</v>
      </c>
      <c r="D1668" s="3" t="s">
        <v>90</v>
      </c>
      <c r="E1668" s="3" t="s">
        <v>119</v>
      </c>
      <c r="F1668" s="3" t="s">
        <v>120</v>
      </c>
      <c r="G1668" s="3" t="s">
        <v>22</v>
      </c>
      <c r="H1668" s="3" t="s">
        <v>93</v>
      </c>
      <c r="I1668" s="3" t="s">
        <v>1379</v>
      </c>
      <c r="J1668" s="3" t="s">
        <v>54</v>
      </c>
      <c r="K1668" s="3">
        <v>2</v>
      </c>
      <c r="L1668" s="3">
        <v>6940.93</v>
      </c>
      <c r="M1668" s="3">
        <v>13881.86</v>
      </c>
      <c r="N1668" s="3">
        <v>9704.08</v>
      </c>
      <c r="O1668" s="3">
        <v>4177.78</v>
      </c>
      <c r="P1668" s="3" t="s">
        <v>69</v>
      </c>
    </row>
    <row r="1669" spans="1:16" x14ac:dyDescent="0.35">
      <c r="A1669" s="3" t="s">
        <v>2932</v>
      </c>
      <c r="B1669" s="3" t="s">
        <v>271</v>
      </c>
      <c r="C1669" s="3" t="s">
        <v>82</v>
      </c>
      <c r="D1669" s="3" t="s">
        <v>58</v>
      </c>
      <c r="E1669" s="3" t="s">
        <v>59</v>
      </c>
      <c r="F1669" s="3" t="s">
        <v>60</v>
      </c>
      <c r="G1669" s="3" t="s">
        <v>51</v>
      </c>
      <c r="H1669" s="3" t="s">
        <v>145</v>
      </c>
      <c r="I1669" s="3" t="s">
        <v>1837</v>
      </c>
      <c r="J1669" s="3" t="s">
        <v>44</v>
      </c>
      <c r="K1669" s="3">
        <v>7</v>
      </c>
      <c r="L1669" s="3">
        <v>131.41999999999999</v>
      </c>
      <c r="M1669" s="3">
        <v>919.94</v>
      </c>
      <c r="N1669" s="3">
        <v>424.41</v>
      </c>
      <c r="O1669" s="3">
        <v>495.53</v>
      </c>
      <c r="P1669" s="3" t="s">
        <v>26</v>
      </c>
    </row>
    <row r="1670" spans="1:16" x14ac:dyDescent="0.35">
      <c r="A1670" s="3" t="s">
        <v>2933</v>
      </c>
      <c r="B1670" s="3" t="s">
        <v>1644</v>
      </c>
      <c r="C1670" s="3" t="s">
        <v>118</v>
      </c>
      <c r="D1670" s="3" t="s">
        <v>58</v>
      </c>
      <c r="E1670" s="3" t="s">
        <v>65</v>
      </c>
      <c r="F1670" s="3" t="s">
        <v>66</v>
      </c>
      <c r="G1670" s="3" t="s">
        <v>30</v>
      </c>
      <c r="H1670" s="3" t="s">
        <v>31</v>
      </c>
      <c r="I1670" s="3" t="s">
        <v>1099</v>
      </c>
      <c r="J1670" s="3" t="s">
        <v>100</v>
      </c>
      <c r="K1670" s="3">
        <v>2</v>
      </c>
      <c r="L1670" s="3">
        <v>3048.81</v>
      </c>
      <c r="M1670" s="3">
        <v>6097.62</v>
      </c>
      <c r="N1670" s="3">
        <v>3964.79</v>
      </c>
      <c r="O1670" s="3">
        <v>2132.83</v>
      </c>
      <c r="P1670" s="3" t="s">
        <v>26</v>
      </c>
    </row>
    <row r="1671" spans="1:16" x14ac:dyDescent="0.35">
      <c r="A1671" s="3" t="s">
        <v>2934</v>
      </c>
      <c r="B1671" s="3" t="s">
        <v>2028</v>
      </c>
      <c r="C1671" s="3" t="s">
        <v>137</v>
      </c>
      <c r="D1671" s="3" t="s">
        <v>19</v>
      </c>
      <c r="E1671" s="3" t="s">
        <v>199</v>
      </c>
      <c r="F1671" s="3" t="s">
        <v>200</v>
      </c>
      <c r="G1671" s="3" t="s">
        <v>22</v>
      </c>
      <c r="H1671" s="3" t="s">
        <v>23</v>
      </c>
      <c r="I1671" s="3" t="s">
        <v>1767</v>
      </c>
      <c r="J1671" s="3" t="s">
        <v>106</v>
      </c>
      <c r="K1671" s="3">
        <v>2</v>
      </c>
      <c r="L1671" s="3">
        <v>3512.97</v>
      </c>
      <c r="M1671" s="3">
        <v>7025.94</v>
      </c>
      <c r="N1671" s="3">
        <v>4473.71</v>
      </c>
      <c r="O1671" s="3">
        <v>2552.23</v>
      </c>
      <c r="P1671" s="3" t="s">
        <v>34</v>
      </c>
    </row>
    <row r="1672" spans="1:16" x14ac:dyDescent="0.35">
      <c r="A1672" s="3" t="s">
        <v>2935</v>
      </c>
      <c r="B1672" s="3" t="s">
        <v>163</v>
      </c>
      <c r="C1672" s="3" t="s">
        <v>137</v>
      </c>
      <c r="D1672" s="3" t="s">
        <v>38</v>
      </c>
      <c r="E1672" s="3" t="s">
        <v>39</v>
      </c>
      <c r="F1672" s="3" t="s">
        <v>40</v>
      </c>
      <c r="G1672" s="3" t="s">
        <v>51</v>
      </c>
      <c r="H1672" s="3" t="s">
        <v>77</v>
      </c>
      <c r="I1672" s="3" t="s">
        <v>2936</v>
      </c>
      <c r="J1672" s="3" t="s">
        <v>106</v>
      </c>
      <c r="K1672" s="3">
        <v>2</v>
      </c>
      <c r="L1672" s="3">
        <v>11345.14</v>
      </c>
      <c r="M1672" s="3">
        <v>22690.28</v>
      </c>
      <c r="N1672" s="3">
        <v>18325.330000000002</v>
      </c>
      <c r="O1672" s="3">
        <v>4364.95</v>
      </c>
      <c r="P1672" s="3" t="s">
        <v>86</v>
      </c>
    </row>
    <row r="1673" spans="1:16" x14ac:dyDescent="0.35">
      <c r="A1673" s="3" t="s">
        <v>2937</v>
      </c>
      <c r="B1673" s="3" t="s">
        <v>792</v>
      </c>
      <c r="C1673" s="3" t="s">
        <v>72</v>
      </c>
      <c r="D1673" s="3" t="s">
        <v>38</v>
      </c>
      <c r="E1673" s="3" t="s">
        <v>104</v>
      </c>
      <c r="F1673" s="3" t="s">
        <v>104</v>
      </c>
      <c r="G1673" s="3" t="s">
        <v>30</v>
      </c>
      <c r="H1673" s="3" t="s">
        <v>67</v>
      </c>
      <c r="I1673" s="3" t="s">
        <v>2938</v>
      </c>
      <c r="J1673" s="3" t="s">
        <v>54</v>
      </c>
      <c r="K1673" s="3">
        <v>4</v>
      </c>
      <c r="L1673" s="3">
        <v>9706.9500000000007</v>
      </c>
      <c r="M1673" s="3">
        <v>38827.800000000003</v>
      </c>
      <c r="N1673" s="3">
        <v>30984.13</v>
      </c>
      <c r="O1673" s="3">
        <v>7843.67</v>
      </c>
      <c r="P1673" s="3" t="s">
        <v>69</v>
      </c>
    </row>
    <row r="1674" spans="1:16" x14ac:dyDescent="0.35">
      <c r="A1674" s="3" t="s">
        <v>2939</v>
      </c>
      <c r="B1674" s="3" t="s">
        <v>336</v>
      </c>
      <c r="C1674" s="3" t="s">
        <v>29</v>
      </c>
      <c r="D1674" s="3" t="s">
        <v>38</v>
      </c>
      <c r="E1674" s="3" t="s">
        <v>104</v>
      </c>
      <c r="F1674" s="3" t="s">
        <v>104</v>
      </c>
      <c r="G1674" s="3" t="s">
        <v>22</v>
      </c>
      <c r="H1674" s="3" t="s">
        <v>23</v>
      </c>
      <c r="I1674" s="3" t="s">
        <v>2358</v>
      </c>
      <c r="J1674" s="3" t="s">
        <v>217</v>
      </c>
      <c r="K1674" s="3">
        <v>4</v>
      </c>
      <c r="L1674" s="3">
        <v>3567.21</v>
      </c>
      <c r="M1674" s="3">
        <v>14268.84</v>
      </c>
      <c r="N1674" s="3">
        <v>8614.85</v>
      </c>
      <c r="O1674" s="3">
        <v>5653.99</v>
      </c>
      <c r="P1674" s="3" t="s">
        <v>45</v>
      </c>
    </row>
    <row r="1675" spans="1:16" x14ac:dyDescent="0.35">
      <c r="A1675" s="3" t="s">
        <v>2940</v>
      </c>
      <c r="B1675" s="3" t="s">
        <v>2227</v>
      </c>
      <c r="C1675" s="3" t="s">
        <v>72</v>
      </c>
      <c r="D1675" s="3" t="s">
        <v>90</v>
      </c>
      <c r="E1675" s="3" t="s">
        <v>119</v>
      </c>
      <c r="F1675" s="3" t="s">
        <v>120</v>
      </c>
      <c r="G1675" s="3" t="s">
        <v>22</v>
      </c>
      <c r="H1675" s="3" t="s">
        <v>83</v>
      </c>
      <c r="I1675" s="3" t="s">
        <v>1120</v>
      </c>
      <c r="J1675" s="3" t="s">
        <v>25</v>
      </c>
      <c r="K1675" s="3">
        <v>7</v>
      </c>
      <c r="L1675" s="3">
        <v>22463.45</v>
      </c>
      <c r="M1675" s="3">
        <v>157244.15</v>
      </c>
      <c r="N1675" s="3">
        <v>124765.85</v>
      </c>
      <c r="O1675" s="3">
        <v>32478.3</v>
      </c>
      <c r="P1675" s="3" t="s">
        <v>69</v>
      </c>
    </row>
    <row r="1676" spans="1:16" x14ac:dyDescent="0.35">
      <c r="A1676" s="3" t="s">
        <v>2941</v>
      </c>
      <c r="B1676" s="3" t="s">
        <v>1823</v>
      </c>
      <c r="C1676" s="3" t="s">
        <v>118</v>
      </c>
      <c r="D1676" s="3" t="s">
        <v>90</v>
      </c>
      <c r="E1676" s="3" t="s">
        <v>119</v>
      </c>
      <c r="F1676" s="3" t="s">
        <v>120</v>
      </c>
      <c r="G1676" s="3" t="s">
        <v>41</v>
      </c>
      <c r="H1676" s="3" t="s">
        <v>138</v>
      </c>
      <c r="I1676" s="3" t="s">
        <v>2325</v>
      </c>
      <c r="J1676" s="3" t="s">
        <v>154</v>
      </c>
      <c r="K1676" s="3">
        <v>2</v>
      </c>
      <c r="L1676" s="3">
        <v>17750.060000000001</v>
      </c>
      <c r="M1676" s="3">
        <v>35500.120000000003</v>
      </c>
      <c r="N1676" s="3">
        <v>27692.54</v>
      </c>
      <c r="O1676" s="3">
        <v>7807.58</v>
      </c>
      <c r="P1676" s="3" t="s">
        <v>26</v>
      </c>
    </row>
    <row r="1677" spans="1:16" x14ac:dyDescent="0.35">
      <c r="A1677" s="3" t="s">
        <v>2942</v>
      </c>
      <c r="B1677" s="3" t="s">
        <v>738</v>
      </c>
      <c r="C1677" s="3" t="s">
        <v>114</v>
      </c>
      <c r="D1677" s="3" t="s">
        <v>38</v>
      </c>
      <c r="E1677" s="3" t="s">
        <v>109</v>
      </c>
      <c r="F1677" s="3" t="s">
        <v>110</v>
      </c>
      <c r="G1677" s="3" t="s">
        <v>22</v>
      </c>
      <c r="H1677" s="3" t="s">
        <v>83</v>
      </c>
      <c r="I1677" s="3" t="s">
        <v>1295</v>
      </c>
      <c r="J1677" s="3" t="s">
        <v>154</v>
      </c>
      <c r="K1677" s="3">
        <v>8</v>
      </c>
      <c r="L1677" s="3">
        <v>23006.04</v>
      </c>
      <c r="M1677" s="3">
        <v>184048.32</v>
      </c>
      <c r="N1677" s="3">
        <v>139704.41</v>
      </c>
      <c r="O1677" s="3">
        <v>44343.91</v>
      </c>
      <c r="P1677" s="3" t="s">
        <v>26</v>
      </c>
    </row>
    <row r="1678" spans="1:16" x14ac:dyDescent="0.35">
      <c r="A1678" s="3" t="s">
        <v>2943</v>
      </c>
      <c r="B1678" s="3" t="s">
        <v>779</v>
      </c>
      <c r="C1678" s="3" t="s">
        <v>114</v>
      </c>
      <c r="D1678" s="3" t="s">
        <v>58</v>
      </c>
      <c r="E1678" s="3" t="s">
        <v>59</v>
      </c>
      <c r="F1678" s="3" t="s">
        <v>60</v>
      </c>
      <c r="G1678" s="3" t="s">
        <v>30</v>
      </c>
      <c r="H1678" s="3" t="s">
        <v>31</v>
      </c>
      <c r="I1678" s="3" t="s">
        <v>2477</v>
      </c>
      <c r="J1678" s="3" t="s">
        <v>106</v>
      </c>
      <c r="K1678" s="3">
        <v>1</v>
      </c>
      <c r="L1678" s="3">
        <v>2940.18</v>
      </c>
      <c r="M1678" s="3">
        <v>2940.18</v>
      </c>
      <c r="N1678" s="3">
        <v>1957.25</v>
      </c>
      <c r="O1678" s="3">
        <v>982.93</v>
      </c>
      <c r="P1678" s="3" t="s">
        <v>45</v>
      </c>
    </row>
    <row r="1679" spans="1:16" x14ac:dyDescent="0.35">
      <c r="A1679" s="3" t="s">
        <v>2944</v>
      </c>
      <c r="B1679" s="3" t="s">
        <v>589</v>
      </c>
      <c r="C1679" s="3" t="s">
        <v>137</v>
      </c>
      <c r="D1679" s="3" t="s">
        <v>90</v>
      </c>
      <c r="E1679" s="3" t="s">
        <v>119</v>
      </c>
      <c r="F1679" s="3" t="s">
        <v>120</v>
      </c>
      <c r="G1679" s="3" t="s">
        <v>41</v>
      </c>
      <c r="H1679" s="3" t="s">
        <v>42</v>
      </c>
      <c r="I1679" s="3" t="s">
        <v>2945</v>
      </c>
      <c r="J1679" s="3" t="s">
        <v>106</v>
      </c>
      <c r="K1679" s="3">
        <v>7</v>
      </c>
      <c r="L1679" s="3">
        <v>42757.32</v>
      </c>
      <c r="M1679" s="3">
        <v>299301.24</v>
      </c>
      <c r="N1679" s="3">
        <v>234552.5</v>
      </c>
      <c r="O1679" s="3">
        <v>64748.74</v>
      </c>
      <c r="P1679" s="3" t="s">
        <v>45</v>
      </c>
    </row>
    <row r="1680" spans="1:16" x14ac:dyDescent="0.35">
      <c r="A1680" s="3" t="s">
        <v>2946</v>
      </c>
      <c r="B1680" s="3" t="s">
        <v>133</v>
      </c>
      <c r="C1680" s="3" t="s">
        <v>18</v>
      </c>
      <c r="D1680" s="3" t="s">
        <v>38</v>
      </c>
      <c r="E1680" s="3" t="s">
        <v>104</v>
      </c>
      <c r="F1680" s="3" t="s">
        <v>104</v>
      </c>
      <c r="G1680" s="3" t="s">
        <v>22</v>
      </c>
      <c r="H1680" s="3" t="s">
        <v>23</v>
      </c>
      <c r="I1680" s="3" t="s">
        <v>2947</v>
      </c>
      <c r="J1680" s="3" t="s">
        <v>33</v>
      </c>
      <c r="K1680" s="3">
        <v>4</v>
      </c>
      <c r="L1680" s="3">
        <v>3173.87</v>
      </c>
      <c r="M1680" s="3">
        <v>12695.48</v>
      </c>
      <c r="N1680" s="3">
        <v>8747.3700000000008</v>
      </c>
      <c r="O1680" s="3">
        <v>3948.11</v>
      </c>
      <c r="P1680" s="3" t="s">
        <v>26</v>
      </c>
    </row>
    <row r="1681" spans="1:16" x14ac:dyDescent="0.35">
      <c r="A1681" s="3" t="s">
        <v>2948</v>
      </c>
      <c r="B1681" s="3" t="s">
        <v>1216</v>
      </c>
      <c r="C1681" s="3" t="s">
        <v>114</v>
      </c>
      <c r="D1681" s="3" t="s">
        <v>38</v>
      </c>
      <c r="E1681" s="3" t="s">
        <v>39</v>
      </c>
      <c r="F1681" s="3" t="s">
        <v>40</v>
      </c>
      <c r="G1681" s="3" t="s">
        <v>30</v>
      </c>
      <c r="H1681" s="3" t="s">
        <v>67</v>
      </c>
      <c r="I1681" s="3" t="s">
        <v>826</v>
      </c>
      <c r="J1681" s="3" t="s">
        <v>85</v>
      </c>
      <c r="K1681" s="3">
        <v>1</v>
      </c>
      <c r="L1681" s="3">
        <v>8669.93</v>
      </c>
      <c r="M1681" s="3">
        <v>8669.93</v>
      </c>
      <c r="N1681" s="3">
        <v>7462.04</v>
      </c>
      <c r="O1681" s="3">
        <v>1207.8900000000001</v>
      </c>
      <c r="P1681" s="3" t="s">
        <v>45</v>
      </c>
    </row>
    <row r="1682" spans="1:16" x14ac:dyDescent="0.35">
      <c r="A1682" s="3" t="s">
        <v>2949</v>
      </c>
      <c r="B1682" s="3" t="s">
        <v>2365</v>
      </c>
      <c r="C1682" s="3" t="s">
        <v>57</v>
      </c>
      <c r="D1682" s="3" t="s">
        <v>38</v>
      </c>
      <c r="E1682" s="3" t="s">
        <v>109</v>
      </c>
      <c r="F1682" s="3" t="s">
        <v>110</v>
      </c>
      <c r="G1682" s="3" t="s">
        <v>30</v>
      </c>
      <c r="H1682" s="3" t="s">
        <v>73</v>
      </c>
      <c r="I1682" s="3" t="s">
        <v>744</v>
      </c>
      <c r="J1682" s="3" t="s">
        <v>147</v>
      </c>
      <c r="K1682" s="3">
        <v>2</v>
      </c>
      <c r="L1682" s="3">
        <v>2917.98</v>
      </c>
      <c r="M1682" s="3">
        <v>5835.96</v>
      </c>
      <c r="N1682" s="3">
        <v>4802.41</v>
      </c>
      <c r="O1682" s="3">
        <v>1033.55</v>
      </c>
      <c r="P1682" s="3" t="s">
        <v>45</v>
      </c>
    </row>
    <row r="1683" spans="1:16" x14ac:dyDescent="0.35">
      <c r="A1683" s="3" t="s">
        <v>2950</v>
      </c>
      <c r="B1683" s="3" t="s">
        <v>1872</v>
      </c>
      <c r="C1683" s="3" t="s">
        <v>82</v>
      </c>
      <c r="D1683" s="3" t="s">
        <v>38</v>
      </c>
      <c r="E1683" s="3" t="s">
        <v>104</v>
      </c>
      <c r="F1683" s="3" t="s">
        <v>104</v>
      </c>
      <c r="G1683" s="3" t="s">
        <v>22</v>
      </c>
      <c r="H1683" s="3" t="s">
        <v>23</v>
      </c>
      <c r="I1683" s="3" t="s">
        <v>919</v>
      </c>
      <c r="J1683" s="3" t="s">
        <v>154</v>
      </c>
      <c r="K1683" s="3">
        <v>2</v>
      </c>
      <c r="L1683" s="3">
        <v>3558.03</v>
      </c>
      <c r="M1683" s="3">
        <v>7116.06</v>
      </c>
      <c r="N1683" s="3">
        <v>4470.72</v>
      </c>
      <c r="O1683" s="3">
        <v>2645.34</v>
      </c>
      <c r="P1683" s="3" t="s">
        <v>45</v>
      </c>
    </row>
    <row r="1684" spans="1:16" x14ac:dyDescent="0.35">
      <c r="A1684" s="3" t="s">
        <v>2951</v>
      </c>
      <c r="B1684" s="3" t="s">
        <v>56</v>
      </c>
      <c r="C1684" s="3" t="s">
        <v>57</v>
      </c>
      <c r="D1684" s="3" t="s">
        <v>19</v>
      </c>
      <c r="E1684" s="3" t="s">
        <v>20</v>
      </c>
      <c r="F1684" s="3" t="s">
        <v>21</v>
      </c>
      <c r="G1684" s="3" t="s">
        <v>22</v>
      </c>
      <c r="H1684" s="3" t="s">
        <v>23</v>
      </c>
      <c r="I1684" s="3" t="s">
        <v>313</v>
      </c>
      <c r="J1684" s="3" t="s">
        <v>44</v>
      </c>
      <c r="K1684" s="3">
        <v>6</v>
      </c>
      <c r="L1684" s="3">
        <v>3489.2</v>
      </c>
      <c r="M1684" s="3">
        <v>20935.2</v>
      </c>
      <c r="N1684" s="3">
        <v>13043.37</v>
      </c>
      <c r="O1684" s="3">
        <v>7891.83</v>
      </c>
      <c r="P1684" s="3" t="s">
        <v>45</v>
      </c>
    </row>
    <row r="1685" spans="1:16" x14ac:dyDescent="0.35">
      <c r="A1685" s="3" t="s">
        <v>2952</v>
      </c>
      <c r="B1685" s="3" t="s">
        <v>649</v>
      </c>
      <c r="C1685" s="3" t="s">
        <v>29</v>
      </c>
      <c r="D1685" s="3" t="s">
        <v>38</v>
      </c>
      <c r="E1685" s="3" t="s">
        <v>39</v>
      </c>
      <c r="F1685" s="3" t="s">
        <v>40</v>
      </c>
      <c r="G1685" s="3" t="s">
        <v>41</v>
      </c>
      <c r="H1685" s="3" t="s">
        <v>61</v>
      </c>
      <c r="I1685" s="3" t="s">
        <v>581</v>
      </c>
      <c r="J1685" s="3" t="s">
        <v>171</v>
      </c>
      <c r="K1685" s="3">
        <v>6</v>
      </c>
      <c r="L1685" s="3">
        <v>2389.11</v>
      </c>
      <c r="M1685" s="3">
        <v>14334.66</v>
      </c>
      <c r="N1685" s="3">
        <v>9192.8700000000008</v>
      </c>
      <c r="O1685" s="3">
        <v>5141.79</v>
      </c>
      <c r="P1685" s="3" t="s">
        <v>69</v>
      </c>
    </row>
    <row r="1686" spans="1:16" x14ac:dyDescent="0.35">
      <c r="A1686" s="3" t="s">
        <v>2953</v>
      </c>
      <c r="B1686" s="3" t="s">
        <v>2801</v>
      </c>
      <c r="C1686" s="3" t="s">
        <v>29</v>
      </c>
      <c r="D1686" s="3" t="s">
        <v>90</v>
      </c>
      <c r="E1686" s="3" t="s">
        <v>91</v>
      </c>
      <c r="F1686" s="3" t="s">
        <v>92</v>
      </c>
      <c r="G1686" s="3" t="s">
        <v>30</v>
      </c>
      <c r="H1686" s="3" t="s">
        <v>67</v>
      </c>
      <c r="I1686" s="3" t="s">
        <v>2954</v>
      </c>
      <c r="J1686" s="3" t="s">
        <v>154</v>
      </c>
      <c r="K1686" s="3">
        <v>3</v>
      </c>
      <c r="L1686" s="3">
        <v>8738.6299999999992</v>
      </c>
      <c r="M1686" s="3">
        <v>26215.89</v>
      </c>
      <c r="N1686" s="3">
        <v>22462.26</v>
      </c>
      <c r="O1686" s="3">
        <v>3753.63</v>
      </c>
      <c r="P1686" s="3" t="s">
        <v>26</v>
      </c>
    </row>
    <row r="1687" spans="1:16" x14ac:dyDescent="0.35">
      <c r="A1687" s="3" t="s">
        <v>2955</v>
      </c>
      <c r="B1687" s="3" t="s">
        <v>1021</v>
      </c>
      <c r="C1687" s="3" t="s">
        <v>82</v>
      </c>
      <c r="D1687" s="3" t="s">
        <v>90</v>
      </c>
      <c r="E1687" s="3" t="s">
        <v>97</v>
      </c>
      <c r="F1687" s="3" t="s">
        <v>98</v>
      </c>
      <c r="G1687" s="3" t="s">
        <v>22</v>
      </c>
      <c r="H1687" s="3" t="s">
        <v>93</v>
      </c>
      <c r="I1687" s="3" t="s">
        <v>2436</v>
      </c>
      <c r="J1687" s="3" t="s">
        <v>171</v>
      </c>
      <c r="K1687" s="3">
        <v>7</v>
      </c>
      <c r="L1687" s="3">
        <v>7165.37</v>
      </c>
      <c r="M1687" s="3">
        <v>50157.59</v>
      </c>
      <c r="N1687" s="3">
        <v>36685.370000000003</v>
      </c>
      <c r="O1687" s="3">
        <v>13472.22</v>
      </c>
      <c r="P1687" s="3" t="s">
        <v>86</v>
      </c>
    </row>
    <row r="1688" spans="1:16" x14ac:dyDescent="0.35">
      <c r="A1688" s="3" t="s">
        <v>2956</v>
      </c>
      <c r="B1688" s="3" t="s">
        <v>1429</v>
      </c>
      <c r="C1688" s="3" t="s">
        <v>89</v>
      </c>
      <c r="D1688" s="3" t="s">
        <v>58</v>
      </c>
      <c r="E1688" s="3" t="s">
        <v>176</v>
      </c>
      <c r="F1688" s="3" t="s">
        <v>177</v>
      </c>
      <c r="G1688" s="3" t="s">
        <v>51</v>
      </c>
      <c r="H1688" s="3" t="s">
        <v>52</v>
      </c>
      <c r="I1688" s="3" t="s">
        <v>1035</v>
      </c>
      <c r="J1688" s="3" t="s">
        <v>79</v>
      </c>
      <c r="K1688" s="3">
        <v>3</v>
      </c>
      <c r="L1688" s="3">
        <v>24.78</v>
      </c>
      <c r="M1688" s="3">
        <v>74.34</v>
      </c>
      <c r="N1688" s="3">
        <v>30.83</v>
      </c>
      <c r="O1688" s="3">
        <v>43.51</v>
      </c>
      <c r="P1688" s="3" t="s">
        <v>86</v>
      </c>
    </row>
    <row r="1689" spans="1:16" x14ac:dyDescent="0.35">
      <c r="A1689" s="3" t="s">
        <v>2957</v>
      </c>
      <c r="B1689" s="3" t="s">
        <v>318</v>
      </c>
      <c r="C1689" s="3" t="s">
        <v>37</v>
      </c>
      <c r="D1689" s="3" t="s">
        <v>19</v>
      </c>
      <c r="E1689" s="3" t="s">
        <v>49</v>
      </c>
      <c r="F1689" s="3" t="s">
        <v>50</v>
      </c>
      <c r="G1689" s="3" t="s">
        <v>30</v>
      </c>
      <c r="H1689" s="3" t="s">
        <v>31</v>
      </c>
      <c r="I1689" s="3" t="s">
        <v>1603</v>
      </c>
      <c r="J1689" s="3" t="s">
        <v>25</v>
      </c>
      <c r="K1689" s="3">
        <v>6</v>
      </c>
      <c r="L1689" s="3">
        <v>2782.76</v>
      </c>
      <c r="M1689" s="3">
        <v>16696.560000000001</v>
      </c>
      <c r="N1689" s="3">
        <v>11450.54</v>
      </c>
      <c r="O1689" s="3">
        <v>5246.02</v>
      </c>
      <c r="P1689" s="3" t="s">
        <v>86</v>
      </c>
    </row>
    <row r="1690" spans="1:16" x14ac:dyDescent="0.35">
      <c r="A1690" s="3" t="s">
        <v>2958</v>
      </c>
      <c r="B1690" s="3" t="s">
        <v>1499</v>
      </c>
      <c r="C1690" s="3" t="s">
        <v>103</v>
      </c>
      <c r="D1690" s="3" t="s">
        <v>38</v>
      </c>
      <c r="E1690" s="3" t="s">
        <v>109</v>
      </c>
      <c r="F1690" s="3" t="s">
        <v>110</v>
      </c>
      <c r="G1690" s="3" t="s">
        <v>41</v>
      </c>
      <c r="H1690" s="3" t="s">
        <v>61</v>
      </c>
      <c r="I1690" s="3" t="s">
        <v>2699</v>
      </c>
      <c r="J1690" s="3" t="s">
        <v>100</v>
      </c>
      <c r="K1690" s="3">
        <v>5</v>
      </c>
      <c r="L1690" s="3">
        <v>2401.79</v>
      </c>
      <c r="M1690" s="3">
        <v>12008.95</v>
      </c>
      <c r="N1690" s="3">
        <v>8146.04</v>
      </c>
      <c r="O1690" s="3">
        <v>3862.91</v>
      </c>
      <c r="P1690" s="3" t="s">
        <v>26</v>
      </c>
    </row>
    <row r="1691" spans="1:16" x14ac:dyDescent="0.35">
      <c r="A1691" s="3" t="s">
        <v>2959</v>
      </c>
      <c r="B1691" s="3" t="s">
        <v>507</v>
      </c>
      <c r="C1691" s="3" t="s">
        <v>118</v>
      </c>
      <c r="D1691" s="3" t="s">
        <v>19</v>
      </c>
      <c r="E1691" s="3" t="s">
        <v>20</v>
      </c>
      <c r="F1691" s="3" t="s">
        <v>21</v>
      </c>
      <c r="G1691" s="3" t="s">
        <v>41</v>
      </c>
      <c r="H1691" s="3" t="s">
        <v>138</v>
      </c>
      <c r="I1691" s="3" t="s">
        <v>2960</v>
      </c>
      <c r="J1691" s="3" t="s">
        <v>106</v>
      </c>
      <c r="K1691" s="3">
        <v>6</v>
      </c>
      <c r="L1691" s="3">
        <v>18955.45</v>
      </c>
      <c r="M1691" s="3">
        <v>113732.7</v>
      </c>
      <c r="N1691" s="3">
        <v>86587.17</v>
      </c>
      <c r="O1691" s="3">
        <v>27145.53</v>
      </c>
      <c r="P1691" s="3" t="s">
        <v>45</v>
      </c>
    </row>
    <row r="1692" spans="1:16" x14ac:dyDescent="0.35">
      <c r="A1692" s="3" t="s">
        <v>2961</v>
      </c>
      <c r="B1692" s="3" t="s">
        <v>565</v>
      </c>
      <c r="C1692" s="3" t="s">
        <v>137</v>
      </c>
      <c r="D1692" s="3" t="s">
        <v>90</v>
      </c>
      <c r="E1692" s="3" t="s">
        <v>119</v>
      </c>
      <c r="F1692" s="3" t="s">
        <v>120</v>
      </c>
      <c r="G1692" s="3" t="s">
        <v>22</v>
      </c>
      <c r="H1692" s="3" t="s">
        <v>23</v>
      </c>
      <c r="I1692" s="3" t="s">
        <v>249</v>
      </c>
      <c r="J1692" s="3" t="s">
        <v>100</v>
      </c>
      <c r="K1692" s="3">
        <v>7</v>
      </c>
      <c r="L1692" s="3">
        <v>3696.53</v>
      </c>
      <c r="M1692" s="3">
        <v>25875.71</v>
      </c>
      <c r="N1692" s="3">
        <v>14854.22</v>
      </c>
      <c r="O1692" s="3">
        <v>11021.49</v>
      </c>
      <c r="P1692" s="3" t="s">
        <v>86</v>
      </c>
    </row>
    <row r="1693" spans="1:16" x14ac:dyDescent="0.35">
      <c r="A1693" s="3" t="s">
        <v>2962</v>
      </c>
      <c r="B1693" s="3" t="s">
        <v>488</v>
      </c>
      <c r="C1693" s="3" t="s">
        <v>29</v>
      </c>
      <c r="D1693" s="3" t="s">
        <v>90</v>
      </c>
      <c r="E1693" s="3" t="s">
        <v>119</v>
      </c>
      <c r="F1693" s="3" t="s">
        <v>120</v>
      </c>
      <c r="G1693" s="3" t="s">
        <v>41</v>
      </c>
      <c r="H1693" s="3" t="s">
        <v>61</v>
      </c>
      <c r="I1693" s="3" t="s">
        <v>1576</v>
      </c>
      <c r="J1693" s="3" t="s">
        <v>131</v>
      </c>
      <c r="K1693" s="3">
        <v>3</v>
      </c>
      <c r="L1693" s="3">
        <v>2678.87</v>
      </c>
      <c r="M1693" s="3">
        <v>8036.61</v>
      </c>
      <c r="N1693" s="3">
        <v>4815.6400000000003</v>
      </c>
      <c r="O1693" s="3">
        <v>3220.97</v>
      </c>
      <c r="P1693" s="3" t="s">
        <v>26</v>
      </c>
    </row>
    <row r="1694" spans="1:16" x14ac:dyDescent="0.35">
      <c r="A1694" s="3" t="s">
        <v>2963</v>
      </c>
      <c r="B1694" s="3" t="s">
        <v>886</v>
      </c>
      <c r="C1694" s="3" t="s">
        <v>48</v>
      </c>
      <c r="D1694" s="3" t="s">
        <v>90</v>
      </c>
      <c r="E1694" s="3" t="s">
        <v>119</v>
      </c>
      <c r="F1694" s="3" t="s">
        <v>120</v>
      </c>
      <c r="G1694" s="3" t="s">
        <v>22</v>
      </c>
      <c r="H1694" s="3" t="s">
        <v>93</v>
      </c>
      <c r="I1694" s="3" t="s">
        <v>2964</v>
      </c>
      <c r="J1694" s="3" t="s">
        <v>100</v>
      </c>
      <c r="K1694" s="3">
        <v>3</v>
      </c>
      <c r="L1694" s="3">
        <v>6679.34</v>
      </c>
      <c r="M1694" s="3">
        <v>20038.02</v>
      </c>
      <c r="N1694" s="3">
        <v>15684.01</v>
      </c>
      <c r="O1694" s="3">
        <v>4354.01</v>
      </c>
      <c r="P1694" s="3" t="s">
        <v>86</v>
      </c>
    </row>
    <row r="1695" spans="1:16" x14ac:dyDescent="0.35">
      <c r="A1695" s="3" t="s">
        <v>2965</v>
      </c>
      <c r="B1695" s="3" t="s">
        <v>592</v>
      </c>
      <c r="C1695" s="3" t="s">
        <v>103</v>
      </c>
      <c r="D1695" s="3" t="s">
        <v>38</v>
      </c>
      <c r="E1695" s="3" t="s">
        <v>109</v>
      </c>
      <c r="F1695" s="3" t="s">
        <v>110</v>
      </c>
      <c r="G1695" s="3" t="s">
        <v>22</v>
      </c>
      <c r="H1695" s="3" t="s">
        <v>83</v>
      </c>
      <c r="I1695" s="3" t="s">
        <v>2128</v>
      </c>
      <c r="J1695" s="3" t="s">
        <v>100</v>
      </c>
      <c r="K1695" s="3">
        <v>3</v>
      </c>
      <c r="L1695" s="3">
        <v>22803.24</v>
      </c>
      <c r="M1695" s="3">
        <v>68409.72</v>
      </c>
      <c r="N1695" s="3">
        <v>52277.14</v>
      </c>
      <c r="O1695" s="3">
        <v>16132.58</v>
      </c>
      <c r="P1695" s="3" t="s">
        <v>69</v>
      </c>
    </row>
    <row r="1696" spans="1:16" x14ac:dyDescent="0.35">
      <c r="A1696" s="3" t="s">
        <v>2966</v>
      </c>
      <c r="B1696" s="3" t="s">
        <v>1385</v>
      </c>
      <c r="C1696" s="3" t="s">
        <v>29</v>
      </c>
      <c r="D1696" s="3" t="s">
        <v>90</v>
      </c>
      <c r="E1696" s="3" t="s">
        <v>91</v>
      </c>
      <c r="F1696" s="3" t="s">
        <v>92</v>
      </c>
      <c r="G1696" s="3" t="s">
        <v>51</v>
      </c>
      <c r="H1696" s="3" t="s">
        <v>77</v>
      </c>
      <c r="I1696" s="3" t="s">
        <v>2967</v>
      </c>
      <c r="J1696" s="3" t="s">
        <v>25</v>
      </c>
      <c r="K1696" s="3">
        <v>4</v>
      </c>
      <c r="L1696" s="3">
        <v>10804.75</v>
      </c>
      <c r="M1696" s="3">
        <v>43219</v>
      </c>
      <c r="N1696" s="3">
        <v>37146.14</v>
      </c>
      <c r="O1696" s="3">
        <v>6072.86</v>
      </c>
      <c r="P1696" s="3" t="s">
        <v>34</v>
      </c>
    </row>
    <row r="1697" spans="1:16" x14ac:dyDescent="0.35">
      <c r="A1697" s="3" t="s">
        <v>2968</v>
      </c>
      <c r="B1697" s="3" t="s">
        <v>2969</v>
      </c>
      <c r="C1697" s="3" t="s">
        <v>137</v>
      </c>
      <c r="D1697" s="3" t="s">
        <v>19</v>
      </c>
      <c r="E1697" s="3" t="s">
        <v>49</v>
      </c>
      <c r="F1697" s="3" t="s">
        <v>50</v>
      </c>
      <c r="G1697" s="3" t="s">
        <v>22</v>
      </c>
      <c r="H1697" s="3" t="s">
        <v>23</v>
      </c>
      <c r="I1697" s="3" t="s">
        <v>1961</v>
      </c>
      <c r="J1697" s="3" t="s">
        <v>154</v>
      </c>
      <c r="K1697" s="3">
        <v>7</v>
      </c>
      <c r="L1697" s="3">
        <v>3170.99</v>
      </c>
      <c r="M1697" s="3">
        <v>22196.93</v>
      </c>
      <c r="N1697" s="3">
        <v>15364.42</v>
      </c>
      <c r="O1697" s="3">
        <v>6832.51</v>
      </c>
      <c r="P1697" s="3" t="s">
        <v>86</v>
      </c>
    </row>
    <row r="1698" spans="1:16" x14ac:dyDescent="0.35">
      <c r="A1698" s="3" t="s">
        <v>2970</v>
      </c>
      <c r="B1698" s="3" t="s">
        <v>654</v>
      </c>
      <c r="C1698" s="3" t="s">
        <v>103</v>
      </c>
      <c r="D1698" s="3" t="s">
        <v>90</v>
      </c>
      <c r="E1698" s="3" t="s">
        <v>119</v>
      </c>
      <c r="F1698" s="3" t="s">
        <v>120</v>
      </c>
      <c r="G1698" s="3" t="s">
        <v>51</v>
      </c>
      <c r="H1698" s="3" t="s">
        <v>145</v>
      </c>
      <c r="I1698" s="3" t="s">
        <v>1926</v>
      </c>
      <c r="J1698" s="3" t="s">
        <v>25</v>
      </c>
      <c r="K1698" s="3">
        <v>6</v>
      </c>
      <c r="L1698" s="3">
        <v>118.87</v>
      </c>
      <c r="M1698" s="3">
        <v>713.22</v>
      </c>
      <c r="N1698" s="3">
        <v>360.03</v>
      </c>
      <c r="O1698" s="3">
        <v>353.19</v>
      </c>
      <c r="P1698" s="3" t="s">
        <v>86</v>
      </c>
    </row>
    <row r="1699" spans="1:16" x14ac:dyDescent="0.35">
      <c r="A1699" s="3" t="s">
        <v>2971</v>
      </c>
      <c r="B1699" s="3" t="s">
        <v>767</v>
      </c>
      <c r="C1699" s="3" t="s">
        <v>82</v>
      </c>
      <c r="D1699" s="3" t="s">
        <v>58</v>
      </c>
      <c r="E1699" s="3" t="s">
        <v>176</v>
      </c>
      <c r="F1699" s="3" t="s">
        <v>177</v>
      </c>
      <c r="G1699" s="3" t="s">
        <v>41</v>
      </c>
      <c r="H1699" s="3" t="s">
        <v>61</v>
      </c>
      <c r="I1699" s="3" t="s">
        <v>1270</v>
      </c>
      <c r="J1699" s="3" t="s">
        <v>217</v>
      </c>
      <c r="K1699" s="3">
        <v>1</v>
      </c>
      <c r="L1699" s="3">
        <v>2524.5100000000002</v>
      </c>
      <c r="M1699" s="3">
        <v>2524.5100000000002</v>
      </c>
      <c r="N1699" s="3">
        <v>1604.13</v>
      </c>
      <c r="O1699" s="3">
        <v>920.38</v>
      </c>
      <c r="P1699" s="3" t="s">
        <v>34</v>
      </c>
    </row>
    <row r="1700" spans="1:16" x14ac:dyDescent="0.35">
      <c r="A1700" s="3" t="s">
        <v>2972</v>
      </c>
      <c r="B1700" s="3" t="s">
        <v>930</v>
      </c>
      <c r="C1700" s="3" t="s">
        <v>103</v>
      </c>
      <c r="D1700" s="3" t="s">
        <v>58</v>
      </c>
      <c r="E1700" s="3" t="s">
        <v>176</v>
      </c>
      <c r="F1700" s="3" t="s">
        <v>177</v>
      </c>
      <c r="G1700" s="3" t="s">
        <v>41</v>
      </c>
      <c r="H1700" s="3" t="s">
        <v>138</v>
      </c>
      <c r="I1700" s="3" t="s">
        <v>2973</v>
      </c>
      <c r="J1700" s="3" t="s">
        <v>44</v>
      </c>
      <c r="K1700" s="3">
        <v>8</v>
      </c>
      <c r="L1700" s="3">
        <v>19033.32</v>
      </c>
      <c r="M1700" s="3">
        <v>152266.56</v>
      </c>
      <c r="N1700" s="3">
        <v>116055.66</v>
      </c>
      <c r="O1700" s="3">
        <v>36210.9</v>
      </c>
      <c r="P1700" s="3" t="s">
        <v>69</v>
      </c>
    </row>
    <row r="1701" spans="1:16" x14ac:dyDescent="0.35">
      <c r="A1701" s="3" t="s">
        <v>2974</v>
      </c>
      <c r="B1701" s="3" t="s">
        <v>675</v>
      </c>
      <c r="C1701" s="3" t="s">
        <v>82</v>
      </c>
      <c r="D1701" s="3" t="s">
        <v>38</v>
      </c>
      <c r="E1701" s="3" t="s">
        <v>104</v>
      </c>
      <c r="F1701" s="3" t="s">
        <v>104</v>
      </c>
      <c r="G1701" s="3" t="s">
        <v>41</v>
      </c>
      <c r="H1701" s="3" t="s">
        <v>138</v>
      </c>
      <c r="I1701" s="3" t="s">
        <v>652</v>
      </c>
      <c r="J1701" s="3" t="s">
        <v>131</v>
      </c>
      <c r="K1701" s="3">
        <v>1</v>
      </c>
      <c r="L1701" s="3">
        <v>18756.150000000001</v>
      </c>
      <c r="M1701" s="3">
        <v>18756.150000000001</v>
      </c>
      <c r="N1701" s="3">
        <v>13837.07</v>
      </c>
      <c r="O1701" s="3">
        <v>4919.08</v>
      </c>
      <c r="P1701" s="3" t="s">
        <v>86</v>
      </c>
    </row>
    <row r="1702" spans="1:16" x14ac:dyDescent="0.35">
      <c r="A1702" s="3" t="s">
        <v>2975</v>
      </c>
      <c r="B1702" s="3" t="s">
        <v>1031</v>
      </c>
      <c r="C1702" s="3" t="s">
        <v>82</v>
      </c>
      <c r="D1702" s="3" t="s">
        <v>90</v>
      </c>
      <c r="E1702" s="3" t="s">
        <v>119</v>
      </c>
      <c r="F1702" s="3" t="s">
        <v>120</v>
      </c>
      <c r="G1702" s="3" t="s">
        <v>41</v>
      </c>
      <c r="H1702" s="3" t="s">
        <v>138</v>
      </c>
      <c r="I1702" s="3" t="s">
        <v>1521</v>
      </c>
      <c r="J1702" s="3" t="s">
        <v>54</v>
      </c>
      <c r="K1702" s="3">
        <v>8</v>
      </c>
      <c r="L1702" s="3">
        <v>16720.439999999999</v>
      </c>
      <c r="M1702" s="3">
        <v>133763.51999999999</v>
      </c>
      <c r="N1702" s="3">
        <v>111595.6</v>
      </c>
      <c r="O1702" s="3">
        <v>22167.919999999998</v>
      </c>
      <c r="P1702" s="3" t="s">
        <v>26</v>
      </c>
    </row>
    <row r="1703" spans="1:16" x14ac:dyDescent="0.35">
      <c r="A1703" s="3" t="s">
        <v>2976</v>
      </c>
      <c r="B1703" s="3" t="s">
        <v>108</v>
      </c>
      <c r="C1703" s="3" t="s">
        <v>72</v>
      </c>
      <c r="D1703" s="3" t="s">
        <v>19</v>
      </c>
      <c r="E1703" s="3" t="s">
        <v>20</v>
      </c>
      <c r="F1703" s="3" t="s">
        <v>21</v>
      </c>
      <c r="G1703" s="3" t="s">
        <v>22</v>
      </c>
      <c r="H1703" s="3" t="s">
        <v>23</v>
      </c>
      <c r="I1703" s="3" t="s">
        <v>1134</v>
      </c>
      <c r="J1703" s="3" t="s">
        <v>44</v>
      </c>
      <c r="K1703" s="3">
        <v>8</v>
      </c>
      <c r="L1703" s="3">
        <v>3788.93</v>
      </c>
      <c r="M1703" s="3">
        <v>30311.439999999999</v>
      </c>
      <c r="N1703" s="3">
        <v>16997.03</v>
      </c>
      <c r="O1703" s="3">
        <v>13314.41</v>
      </c>
      <c r="P1703" s="3" t="s">
        <v>26</v>
      </c>
    </row>
    <row r="1704" spans="1:16" x14ac:dyDescent="0.35">
      <c r="A1704" s="3" t="s">
        <v>2977</v>
      </c>
      <c r="B1704" s="3" t="s">
        <v>1136</v>
      </c>
      <c r="C1704" s="3" t="s">
        <v>118</v>
      </c>
      <c r="D1704" s="3" t="s">
        <v>90</v>
      </c>
      <c r="E1704" s="3" t="s">
        <v>97</v>
      </c>
      <c r="F1704" s="3" t="s">
        <v>98</v>
      </c>
      <c r="G1704" s="3" t="s">
        <v>22</v>
      </c>
      <c r="H1704" s="3" t="s">
        <v>93</v>
      </c>
      <c r="I1704" s="3" t="s">
        <v>2954</v>
      </c>
      <c r="J1704" s="3" t="s">
        <v>106</v>
      </c>
      <c r="K1704" s="3">
        <v>6</v>
      </c>
      <c r="L1704" s="3">
        <v>7519.97</v>
      </c>
      <c r="M1704" s="3">
        <v>45119.82</v>
      </c>
      <c r="N1704" s="3">
        <v>28607.08</v>
      </c>
      <c r="O1704" s="3">
        <v>16512.740000000002</v>
      </c>
      <c r="P1704" s="3" t="s">
        <v>86</v>
      </c>
    </row>
    <row r="1705" spans="1:16" x14ac:dyDescent="0.35">
      <c r="A1705" s="3" t="s">
        <v>2978</v>
      </c>
      <c r="B1705" s="3" t="s">
        <v>847</v>
      </c>
      <c r="C1705" s="3" t="s">
        <v>89</v>
      </c>
      <c r="D1705" s="3" t="s">
        <v>58</v>
      </c>
      <c r="E1705" s="3" t="s">
        <v>59</v>
      </c>
      <c r="F1705" s="3" t="s">
        <v>60</v>
      </c>
      <c r="G1705" s="3" t="s">
        <v>30</v>
      </c>
      <c r="H1705" s="3" t="s">
        <v>73</v>
      </c>
      <c r="I1705" s="3" t="s">
        <v>878</v>
      </c>
      <c r="J1705" s="3" t="s">
        <v>171</v>
      </c>
      <c r="K1705" s="3">
        <v>2</v>
      </c>
      <c r="L1705" s="3">
        <v>2903.6</v>
      </c>
      <c r="M1705" s="3">
        <v>5807.2</v>
      </c>
      <c r="N1705" s="3">
        <v>4565.24</v>
      </c>
      <c r="O1705" s="3">
        <v>1241.96</v>
      </c>
      <c r="P1705" s="3" t="s">
        <v>69</v>
      </c>
    </row>
    <row r="1706" spans="1:16" x14ac:dyDescent="0.35">
      <c r="A1706" s="3" t="s">
        <v>2979</v>
      </c>
      <c r="B1706" s="3" t="s">
        <v>347</v>
      </c>
      <c r="C1706" s="3" t="s">
        <v>57</v>
      </c>
      <c r="D1706" s="3" t="s">
        <v>90</v>
      </c>
      <c r="E1706" s="3" t="s">
        <v>91</v>
      </c>
      <c r="F1706" s="3" t="s">
        <v>92</v>
      </c>
      <c r="G1706" s="3" t="s">
        <v>51</v>
      </c>
      <c r="H1706" s="3" t="s">
        <v>77</v>
      </c>
      <c r="I1706" s="3" t="s">
        <v>2090</v>
      </c>
      <c r="J1706" s="3" t="s">
        <v>106</v>
      </c>
      <c r="K1706" s="3">
        <v>5</v>
      </c>
      <c r="L1706" s="3">
        <v>11692.62</v>
      </c>
      <c r="M1706" s="3">
        <v>58463.1</v>
      </c>
      <c r="N1706" s="3">
        <v>43070.73</v>
      </c>
      <c r="O1706" s="3">
        <v>15392.37</v>
      </c>
      <c r="P1706" s="3" t="s">
        <v>26</v>
      </c>
    </row>
    <row r="1707" spans="1:16" x14ac:dyDescent="0.35">
      <c r="A1707" s="3" t="s">
        <v>2980</v>
      </c>
      <c r="B1707" s="3" t="s">
        <v>798</v>
      </c>
      <c r="C1707" s="3" t="s">
        <v>18</v>
      </c>
      <c r="D1707" s="3" t="s">
        <v>90</v>
      </c>
      <c r="E1707" s="3" t="s">
        <v>91</v>
      </c>
      <c r="F1707" s="3" t="s">
        <v>92</v>
      </c>
      <c r="G1707" s="3" t="s">
        <v>41</v>
      </c>
      <c r="H1707" s="3" t="s">
        <v>138</v>
      </c>
      <c r="I1707" s="3" t="s">
        <v>1111</v>
      </c>
      <c r="J1707" s="3" t="s">
        <v>188</v>
      </c>
      <c r="K1707" s="3">
        <v>2</v>
      </c>
      <c r="L1707" s="3">
        <v>19714.37</v>
      </c>
      <c r="M1707" s="3">
        <v>39428.74</v>
      </c>
      <c r="N1707" s="3">
        <v>29250.86</v>
      </c>
      <c r="O1707" s="3">
        <v>10177.879999999999</v>
      </c>
      <c r="P1707" s="3" t="s">
        <v>69</v>
      </c>
    </row>
    <row r="1708" spans="1:16" x14ac:dyDescent="0.35">
      <c r="A1708" s="3" t="s">
        <v>2981</v>
      </c>
      <c r="B1708" s="3" t="s">
        <v>299</v>
      </c>
      <c r="C1708" s="3" t="s">
        <v>89</v>
      </c>
      <c r="D1708" s="3" t="s">
        <v>58</v>
      </c>
      <c r="E1708" s="3" t="s">
        <v>59</v>
      </c>
      <c r="F1708" s="3" t="s">
        <v>60</v>
      </c>
      <c r="G1708" s="3" t="s">
        <v>30</v>
      </c>
      <c r="H1708" s="3" t="s">
        <v>73</v>
      </c>
      <c r="I1708" s="3" t="s">
        <v>975</v>
      </c>
      <c r="J1708" s="3" t="s">
        <v>147</v>
      </c>
      <c r="K1708" s="3">
        <v>4</v>
      </c>
      <c r="L1708" s="3">
        <v>3279.27</v>
      </c>
      <c r="M1708" s="3">
        <v>13117.08</v>
      </c>
      <c r="N1708" s="3">
        <v>9794.91</v>
      </c>
      <c r="O1708" s="3">
        <v>3322.17</v>
      </c>
      <c r="P1708" s="3" t="s">
        <v>34</v>
      </c>
    </row>
    <row r="1709" spans="1:16" x14ac:dyDescent="0.35">
      <c r="A1709" s="3" t="s">
        <v>2982</v>
      </c>
      <c r="B1709" s="3" t="s">
        <v>412</v>
      </c>
      <c r="C1709" s="3" t="s">
        <v>48</v>
      </c>
      <c r="D1709" s="3" t="s">
        <v>58</v>
      </c>
      <c r="E1709" s="3" t="s">
        <v>176</v>
      </c>
      <c r="F1709" s="3" t="s">
        <v>177</v>
      </c>
      <c r="G1709" s="3" t="s">
        <v>51</v>
      </c>
      <c r="H1709" s="3" t="s">
        <v>145</v>
      </c>
      <c r="I1709" s="3" t="s">
        <v>503</v>
      </c>
      <c r="J1709" s="3" t="s">
        <v>85</v>
      </c>
      <c r="K1709" s="3">
        <v>3</v>
      </c>
      <c r="L1709" s="3">
        <v>119.14</v>
      </c>
      <c r="M1709" s="3">
        <v>357.42</v>
      </c>
      <c r="N1709" s="3">
        <v>173.06</v>
      </c>
      <c r="O1709" s="3">
        <v>184.36</v>
      </c>
      <c r="P1709" s="3" t="s">
        <v>34</v>
      </c>
    </row>
    <row r="1710" spans="1:16" x14ac:dyDescent="0.35">
      <c r="A1710" s="3" t="s">
        <v>2983</v>
      </c>
      <c r="B1710" s="3" t="s">
        <v>1724</v>
      </c>
      <c r="C1710" s="3" t="s">
        <v>48</v>
      </c>
      <c r="D1710" s="3" t="s">
        <v>58</v>
      </c>
      <c r="E1710" s="3" t="s">
        <v>59</v>
      </c>
      <c r="F1710" s="3" t="s">
        <v>60</v>
      </c>
      <c r="G1710" s="3" t="s">
        <v>51</v>
      </c>
      <c r="H1710" s="3" t="s">
        <v>52</v>
      </c>
      <c r="I1710" s="3" t="s">
        <v>464</v>
      </c>
      <c r="J1710" s="3" t="s">
        <v>217</v>
      </c>
      <c r="K1710" s="3">
        <v>6</v>
      </c>
      <c r="L1710" s="3">
        <v>22.92</v>
      </c>
      <c r="M1710" s="3">
        <v>137.52000000000001</v>
      </c>
      <c r="N1710" s="3">
        <v>62.4</v>
      </c>
      <c r="O1710" s="3">
        <v>75.12</v>
      </c>
      <c r="P1710" s="3" t="s">
        <v>69</v>
      </c>
    </row>
    <row r="1711" spans="1:16" x14ac:dyDescent="0.35">
      <c r="A1711" s="3" t="s">
        <v>2984</v>
      </c>
      <c r="B1711" s="3" t="s">
        <v>531</v>
      </c>
      <c r="C1711" s="3" t="s">
        <v>137</v>
      </c>
      <c r="D1711" s="3" t="s">
        <v>58</v>
      </c>
      <c r="E1711" s="3" t="s">
        <v>65</v>
      </c>
      <c r="F1711" s="3" t="s">
        <v>66</v>
      </c>
      <c r="G1711" s="3" t="s">
        <v>51</v>
      </c>
      <c r="H1711" s="3" t="s">
        <v>52</v>
      </c>
      <c r="I1711" s="3" t="s">
        <v>905</v>
      </c>
      <c r="J1711" s="3" t="s">
        <v>217</v>
      </c>
      <c r="K1711" s="3">
        <v>2</v>
      </c>
      <c r="L1711" s="3">
        <v>24.86</v>
      </c>
      <c r="M1711" s="3">
        <v>49.72</v>
      </c>
      <c r="N1711" s="3">
        <v>19.02</v>
      </c>
      <c r="O1711" s="3">
        <v>30.7</v>
      </c>
      <c r="P1711" s="3" t="s">
        <v>45</v>
      </c>
    </row>
    <row r="1712" spans="1:16" x14ac:dyDescent="0.35">
      <c r="A1712" s="3" t="s">
        <v>2985</v>
      </c>
      <c r="B1712" s="3" t="s">
        <v>1089</v>
      </c>
      <c r="C1712" s="3" t="s">
        <v>48</v>
      </c>
      <c r="D1712" s="3" t="s">
        <v>90</v>
      </c>
      <c r="E1712" s="3" t="s">
        <v>91</v>
      </c>
      <c r="F1712" s="3" t="s">
        <v>92</v>
      </c>
      <c r="G1712" s="3" t="s">
        <v>51</v>
      </c>
      <c r="H1712" s="3" t="s">
        <v>52</v>
      </c>
      <c r="I1712" s="3" t="s">
        <v>160</v>
      </c>
      <c r="J1712" s="3" t="s">
        <v>100</v>
      </c>
      <c r="K1712" s="3">
        <v>8</v>
      </c>
      <c r="L1712" s="3">
        <v>25.96</v>
      </c>
      <c r="M1712" s="3">
        <v>207.68</v>
      </c>
      <c r="N1712" s="3">
        <v>78.14</v>
      </c>
      <c r="O1712" s="3">
        <v>129.54</v>
      </c>
      <c r="P1712" s="3" t="s">
        <v>34</v>
      </c>
    </row>
    <row r="1713" spans="1:16" x14ac:dyDescent="0.35">
      <c r="A1713" s="3" t="s">
        <v>2986</v>
      </c>
      <c r="B1713" s="3" t="s">
        <v>690</v>
      </c>
      <c r="C1713" s="3" t="s">
        <v>82</v>
      </c>
      <c r="D1713" s="3" t="s">
        <v>90</v>
      </c>
      <c r="E1713" s="3" t="s">
        <v>91</v>
      </c>
      <c r="F1713" s="3" t="s">
        <v>92</v>
      </c>
      <c r="G1713" s="3" t="s">
        <v>51</v>
      </c>
      <c r="H1713" s="3" t="s">
        <v>52</v>
      </c>
      <c r="I1713" s="3" t="s">
        <v>2422</v>
      </c>
      <c r="J1713" s="3" t="s">
        <v>33</v>
      </c>
      <c r="K1713" s="3">
        <v>1</v>
      </c>
      <c r="L1713" s="3">
        <v>22.9</v>
      </c>
      <c r="M1713" s="3">
        <v>22.9</v>
      </c>
      <c r="N1713" s="3">
        <v>9.8000000000000007</v>
      </c>
      <c r="O1713" s="3">
        <v>13.1</v>
      </c>
      <c r="P1713" s="3" t="s">
        <v>86</v>
      </c>
    </row>
    <row r="1714" spans="1:16" x14ac:dyDescent="0.35">
      <c r="A1714" s="3" t="s">
        <v>2987</v>
      </c>
      <c r="B1714" s="3" t="s">
        <v>429</v>
      </c>
      <c r="C1714" s="3" t="s">
        <v>137</v>
      </c>
      <c r="D1714" s="3" t="s">
        <v>58</v>
      </c>
      <c r="E1714" s="3" t="s">
        <v>65</v>
      </c>
      <c r="F1714" s="3" t="s">
        <v>66</v>
      </c>
      <c r="G1714" s="3" t="s">
        <v>41</v>
      </c>
      <c r="H1714" s="3" t="s">
        <v>138</v>
      </c>
      <c r="I1714" s="3" t="s">
        <v>2988</v>
      </c>
      <c r="J1714" s="3" t="s">
        <v>25</v>
      </c>
      <c r="K1714" s="3">
        <v>8</v>
      </c>
      <c r="L1714" s="3">
        <v>17544.32</v>
      </c>
      <c r="M1714" s="3">
        <v>140354.56</v>
      </c>
      <c r="N1714" s="3">
        <v>116287.43</v>
      </c>
      <c r="O1714" s="3">
        <v>24067.13</v>
      </c>
      <c r="P1714" s="3" t="s">
        <v>86</v>
      </c>
    </row>
    <row r="1715" spans="1:16" x14ac:dyDescent="0.35">
      <c r="A1715" s="3" t="s">
        <v>2989</v>
      </c>
      <c r="B1715" s="3" t="s">
        <v>239</v>
      </c>
      <c r="C1715" s="3" t="s">
        <v>72</v>
      </c>
      <c r="D1715" s="3" t="s">
        <v>58</v>
      </c>
      <c r="E1715" s="3" t="s">
        <v>176</v>
      </c>
      <c r="F1715" s="3" t="s">
        <v>177</v>
      </c>
      <c r="G1715" s="3" t="s">
        <v>51</v>
      </c>
      <c r="H1715" s="3" t="s">
        <v>145</v>
      </c>
      <c r="I1715" s="3" t="s">
        <v>2990</v>
      </c>
      <c r="J1715" s="3" t="s">
        <v>147</v>
      </c>
      <c r="K1715" s="3">
        <v>7</v>
      </c>
      <c r="L1715" s="3">
        <v>115.21</v>
      </c>
      <c r="M1715" s="3">
        <v>806.47</v>
      </c>
      <c r="N1715" s="3">
        <v>435.31</v>
      </c>
      <c r="O1715" s="3">
        <v>371.16</v>
      </c>
      <c r="P1715" s="3" t="s">
        <v>34</v>
      </c>
    </row>
    <row r="1716" spans="1:16" x14ac:dyDescent="0.35">
      <c r="A1716" s="3" t="s">
        <v>2991</v>
      </c>
      <c r="B1716" s="3" t="s">
        <v>198</v>
      </c>
      <c r="C1716" s="3" t="s">
        <v>29</v>
      </c>
      <c r="D1716" s="3" t="s">
        <v>38</v>
      </c>
      <c r="E1716" s="3" t="s">
        <v>39</v>
      </c>
      <c r="F1716" s="3" t="s">
        <v>40</v>
      </c>
      <c r="G1716" s="3" t="s">
        <v>30</v>
      </c>
      <c r="H1716" s="3" t="s">
        <v>73</v>
      </c>
      <c r="I1716" s="3" t="s">
        <v>1096</v>
      </c>
      <c r="J1716" s="3" t="s">
        <v>44</v>
      </c>
      <c r="K1716" s="3">
        <v>8</v>
      </c>
      <c r="L1716" s="3">
        <v>3187.68</v>
      </c>
      <c r="M1716" s="3">
        <v>25501.439999999999</v>
      </c>
      <c r="N1716" s="3">
        <v>18965.53</v>
      </c>
      <c r="O1716" s="3">
        <v>6535.91</v>
      </c>
      <c r="P1716" s="3" t="s">
        <v>86</v>
      </c>
    </row>
    <row r="1717" spans="1:16" x14ac:dyDescent="0.35">
      <c r="A1717" s="3" t="s">
        <v>2992</v>
      </c>
      <c r="B1717" s="3" t="s">
        <v>2969</v>
      </c>
      <c r="C1717" s="3" t="s">
        <v>137</v>
      </c>
      <c r="D1717" s="3" t="s">
        <v>38</v>
      </c>
      <c r="E1717" s="3" t="s">
        <v>39</v>
      </c>
      <c r="F1717" s="3" t="s">
        <v>40</v>
      </c>
      <c r="G1717" s="3" t="s">
        <v>30</v>
      </c>
      <c r="H1717" s="3" t="s">
        <v>31</v>
      </c>
      <c r="I1717" s="3" t="s">
        <v>1430</v>
      </c>
      <c r="J1717" s="3" t="s">
        <v>79</v>
      </c>
      <c r="K1717" s="3">
        <v>1</v>
      </c>
      <c r="L1717" s="3">
        <v>2629.02</v>
      </c>
      <c r="M1717" s="3">
        <v>2629.02</v>
      </c>
      <c r="N1717" s="3">
        <v>1877.95</v>
      </c>
      <c r="O1717" s="3">
        <v>751.07</v>
      </c>
      <c r="P1717" s="3" t="s">
        <v>86</v>
      </c>
    </row>
    <row r="1718" spans="1:16" x14ac:dyDescent="0.35">
      <c r="A1718" s="3" t="s">
        <v>2993</v>
      </c>
      <c r="B1718" s="3" t="s">
        <v>2480</v>
      </c>
      <c r="C1718" s="3" t="s">
        <v>37</v>
      </c>
      <c r="D1718" s="3" t="s">
        <v>90</v>
      </c>
      <c r="E1718" s="3" t="s">
        <v>119</v>
      </c>
      <c r="F1718" s="3" t="s">
        <v>120</v>
      </c>
      <c r="G1718" s="3" t="s">
        <v>51</v>
      </c>
      <c r="H1718" s="3" t="s">
        <v>52</v>
      </c>
      <c r="I1718" s="3" t="s">
        <v>1361</v>
      </c>
      <c r="J1718" s="3" t="s">
        <v>85</v>
      </c>
      <c r="K1718" s="3">
        <v>2</v>
      </c>
      <c r="L1718" s="3">
        <v>22.77</v>
      </c>
      <c r="M1718" s="3">
        <v>45.54</v>
      </c>
      <c r="N1718" s="3">
        <v>20.14</v>
      </c>
      <c r="O1718" s="3">
        <v>25.4</v>
      </c>
      <c r="P1718" s="3" t="s">
        <v>86</v>
      </c>
    </row>
    <row r="1719" spans="1:16" x14ac:dyDescent="0.35">
      <c r="A1719" s="3" t="s">
        <v>2994</v>
      </c>
      <c r="B1719" s="3" t="s">
        <v>1435</v>
      </c>
      <c r="C1719" s="3" t="s">
        <v>137</v>
      </c>
      <c r="D1719" s="3" t="s">
        <v>58</v>
      </c>
      <c r="E1719" s="3" t="s">
        <v>59</v>
      </c>
      <c r="F1719" s="3" t="s">
        <v>60</v>
      </c>
      <c r="G1719" s="3" t="s">
        <v>41</v>
      </c>
      <c r="H1719" s="3" t="s">
        <v>138</v>
      </c>
      <c r="I1719" s="3" t="s">
        <v>1634</v>
      </c>
      <c r="J1719" s="3" t="s">
        <v>161</v>
      </c>
      <c r="K1719" s="3">
        <v>1</v>
      </c>
      <c r="L1719" s="3">
        <v>19286.080000000002</v>
      </c>
      <c r="M1719" s="3">
        <v>19286.080000000002</v>
      </c>
      <c r="N1719" s="3">
        <v>14699.75</v>
      </c>
      <c r="O1719" s="3">
        <v>4586.33</v>
      </c>
      <c r="P1719" s="3" t="s">
        <v>45</v>
      </c>
    </row>
    <row r="1720" spans="1:16" x14ac:dyDescent="0.35">
      <c r="A1720" s="3" t="s">
        <v>2995</v>
      </c>
      <c r="B1720" s="3" t="s">
        <v>774</v>
      </c>
      <c r="C1720" s="3" t="s">
        <v>82</v>
      </c>
      <c r="D1720" s="3" t="s">
        <v>19</v>
      </c>
      <c r="E1720" s="3" t="s">
        <v>49</v>
      </c>
      <c r="F1720" s="3" t="s">
        <v>50</v>
      </c>
      <c r="G1720" s="3" t="s">
        <v>41</v>
      </c>
      <c r="H1720" s="3" t="s">
        <v>138</v>
      </c>
      <c r="I1720" s="3" t="s">
        <v>1681</v>
      </c>
      <c r="J1720" s="3" t="s">
        <v>44</v>
      </c>
      <c r="K1720" s="3">
        <v>5</v>
      </c>
      <c r="L1720" s="3">
        <v>19590.86</v>
      </c>
      <c r="M1720" s="3">
        <v>97954.3</v>
      </c>
      <c r="N1720" s="3">
        <v>71972.06</v>
      </c>
      <c r="O1720" s="3">
        <v>25982.240000000002</v>
      </c>
      <c r="P1720" s="3" t="s">
        <v>69</v>
      </c>
    </row>
    <row r="1721" spans="1:16" x14ac:dyDescent="0.35">
      <c r="A1721" s="3" t="s">
        <v>2996</v>
      </c>
      <c r="B1721" s="3" t="s">
        <v>2197</v>
      </c>
      <c r="C1721" s="3" t="s">
        <v>18</v>
      </c>
      <c r="D1721" s="3" t="s">
        <v>90</v>
      </c>
      <c r="E1721" s="3" t="s">
        <v>91</v>
      </c>
      <c r="F1721" s="3" t="s">
        <v>92</v>
      </c>
      <c r="G1721" s="3" t="s">
        <v>30</v>
      </c>
      <c r="H1721" s="3" t="s">
        <v>67</v>
      </c>
      <c r="I1721" s="3" t="s">
        <v>286</v>
      </c>
      <c r="J1721" s="3" t="s">
        <v>217</v>
      </c>
      <c r="K1721" s="3">
        <v>2</v>
      </c>
      <c r="L1721" s="3">
        <v>9738.26</v>
      </c>
      <c r="M1721" s="3">
        <v>19476.52</v>
      </c>
      <c r="N1721" s="3">
        <v>14509.55</v>
      </c>
      <c r="O1721" s="3">
        <v>4966.97</v>
      </c>
      <c r="P1721" s="3" t="s">
        <v>69</v>
      </c>
    </row>
    <row r="1722" spans="1:16" x14ac:dyDescent="0.35">
      <c r="A1722" s="3" t="s">
        <v>2997</v>
      </c>
      <c r="B1722" s="3" t="s">
        <v>1292</v>
      </c>
      <c r="C1722" s="3" t="s">
        <v>57</v>
      </c>
      <c r="D1722" s="3" t="s">
        <v>38</v>
      </c>
      <c r="E1722" s="3" t="s">
        <v>104</v>
      </c>
      <c r="F1722" s="3" t="s">
        <v>104</v>
      </c>
      <c r="G1722" s="3" t="s">
        <v>30</v>
      </c>
      <c r="H1722" s="3" t="s">
        <v>31</v>
      </c>
      <c r="I1722" s="3" t="s">
        <v>2998</v>
      </c>
      <c r="J1722" s="3" t="s">
        <v>161</v>
      </c>
      <c r="K1722" s="3">
        <v>6</v>
      </c>
      <c r="L1722" s="3">
        <v>2597.31</v>
      </c>
      <c r="M1722" s="3">
        <v>15583.86</v>
      </c>
      <c r="N1722" s="3">
        <v>11038.6</v>
      </c>
      <c r="O1722" s="3">
        <v>4545.26</v>
      </c>
      <c r="P1722" s="3" t="s">
        <v>34</v>
      </c>
    </row>
    <row r="1723" spans="1:16" x14ac:dyDescent="0.35">
      <c r="A1723" s="3" t="s">
        <v>2999</v>
      </c>
      <c r="B1723" s="3" t="s">
        <v>310</v>
      </c>
      <c r="C1723" s="3" t="s">
        <v>37</v>
      </c>
      <c r="D1723" s="3" t="s">
        <v>90</v>
      </c>
      <c r="E1723" s="3" t="s">
        <v>119</v>
      </c>
      <c r="F1723" s="3" t="s">
        <v>120</v>
      </c>
      <c r="G1723" s="3" t="s">
        <v>51</v>
      </c>
      <c r="H1723" s="3" t="s">
        <v>77</v>
      </c>
      <c r="I1723" s="3" t="s">
        <v>181</v>
      </c>
      <c r="J1723" s="3" t="s">
        <v>161</v>
      </c>
      <c r="K1723" s="3">
        <v>8</v>
      </c>
      <c r="L1723" s="3">
        <v>11142.44</v>
      </c>
      <c r="M1723" s="3">
        <v>89139.520000000004</v>
      </c>
      <c r="N1723" s="3">
        <v>74148.84</v>
      </c>
      <c r="O1723" s="3">
        <v>14990.68</v>
      </c>
      <c r="P1723" s="3" t="s">
        <v>45</v>
      </c>
    </row>
    <row r="1724" spans="1:16" x14ac:dyDescent="0.35">
      <c r="A1724" s="3" t="s">
        <v>3000</v>
      </c>
      <c r="B1724" s="3" t="s">
        <v>705</v>
      </c>
      <c r="C1724" s="3" t="s">
        <v>82</v>
      </c>
      <c r="D1724" s="3" t="s">
        <v>19</v>
      </c>
      <c r="E1724" s="3" t="s">
        <v>199</v>
      </c>
      <c r="F1724" s="3" t="s">
        <v>200</v>
      </c>
      <c r="G1724" s="3" t="s">
        <v>41</v>
      </c>
      <c r="H1724" s="3" t="s">
        <v>61</v>
      </c>
      <c r="I1724" s="3" t="s">
        <v>2787</v>
      </c>
      <c r="J1724" s="3" t="s">
        <v>161</v>
      </c>
      <c r="K1724" s="3">
        <v>5</v>
      </c>
      <c r="L1724" s="3">
        <v>2535.37</v>
      </c>
      <c r="M1724" s="3">
        <v>12676.85</v>
      </c>
      <c r="N1724" s="3">
        <v>7808.39</v>
      </c>
      <c r="O1724" s="3">
        <v>4868.46</v>
      </c>
      <c r="P1724" s="3" t="s">
        <v>26</v>
      </c>
    </row>
    <row r="1725" spans="1:16" x14ac:dyDescent="0.35">
      <c r="A1725" s="3" t="s">
        <v>3001</v>
      </c>
      <c r="B1725" s="3" t="s">
        <v>1912</v>
      </c>
      <c r="C1725" s="3" t="s">
        <v>137</v>
      </c>
      <c r="D1725" s="3" t="s">
        <v>19</v>
      </c>
      <c r="E1725" s="3" t="s">
        <v>20</v>
      </c>
      <c r="F1725" s="3" t="s">
        <v>21</v>
      </c>
      <c r="G1725" s="3" t="s">
        <v>30</v>
      </c>
      <c r="H1725" s="3" t="s">
        <v>31</v>
      </c>
      <c r="I1725" s="3" t="s">
        <v>3002</v>
      </c>
      <c r="J1725" s="3" t="s">
        <v>161</v>
      </c>
      <c r="K1725" s="3">
        <v>3</v>
      </c>
      <c r="L1725" s="3">
        <v>2920.22</v>
      </c>
      <c r="M1725" s="3">
        <v>8760.66</v>
      </c>
      <c r="N1725" s="3">
        <v>5928.37</v>
      </c>
      <c r="O1725" s="3">
        <v>2832.29</v>
      </c>
      <c r="P1725" s="3" t="s">
        <v>69</v>
      </c>
    </row>
    <row r="1726" spans="1:16" x14ac:dyDescent="0.35">
      <c r="A1726" s="3" t="s">
        <v>3003</v>
      </c>
      <c r="B1726" s="3" t="s">
        <v>76</v>
      </c>
      <c r="C1726" s="3" t="s">
        <v>48</v>
      </c>
      <c r="D1726" s="3" t="s">
        <v>58</v>
      </c>
      <c r="E1726" s="3" t="s">
        <v>176</v>
      </c>
      <c r="F1726" s="3" t="s">
        <v>177</v>
      </c>
      <c r="G1726" s="3" t="s">
        <v>22</v>
      </c>
      <c r="H1726" s="3" t="s">
        <v>93</v>
      </c>
      <c r="I1726" s="3" t="s">
        <v>3004</v>
      </c>
      <c r="J1726" s="3" t="s">
        <v>54</v>
      </c>
      <c r="K1726" s="3">
        <v>6</v>
      </c>
      <c r="L1726" s="3">
        <v>7541</v>
      </c>
      <c r="M1726" s="3">
        <v>45246</v>
      </c>
      <c r="N1726" s="3">
        <v>30092.880000000001</v>
      </c>
      <c r="O1726" s="3">
        <v>15153.12</v>
      </c>
      <c r="P1726" s="3" t="s">
        <v>34</v>
      </c>
    </row>
    <row r="1727" spans="1:16" x14ac:dyDescent="0.35">
      <c r="A1727" s="3" t="s">
        <v>3005</v>
      </c>
      <c r="B1727" s="3" t="s">
        <v>958</v>
      </c>
      <c r="C1727" s="3" t="s">
        <v>118</v>
      </c>
      <c r="D1727" s="3" t="s">
        <v>58</v>
      </c>
      <c r="E1727" s="3" t="s">
        <v>59</v>
      </c>
      <c r="F1727" s="3" t="s">
        <v>60</v>
      </c>
      <c r="G1727" s="3" t="s">
        <v>22</v>
      </c>
      <c r="H1727" s="3" t="s">
        <v>83</v>
      </c>
      <c r="I1727" s="3" t="s">
        <v>1896</v>
      </c>
      <c r="J1727" s="3" t="s">
        <v>85</v>
      </c>
      <c r="K1727" s="3">
        <v>6</v>
      </c>
      <c r="L1727" s="3">
        <v>22091.279999999999</v>
      </c>
      <c r="M1727" s="3">
        <v>132547.68</v>
      </c>
      <c r="N1727" s="3">
        <v>100871.08</v>
      </c>
      <c r="O1727" s="3">
        <v>31676.6</v>
      </c>
      <c r="P1727" s="3" t="s">
        <v>26</v>
      </c>
    </row>
    <row r="1728" spans="1:16" x14ac:dyDescent="0.35">
      <c r="A1728" s="3" t="s">
        <v>3006</v>
      </c>
      <c r="B1728" s="3" t="s">
        <v>173</v>
      </c>
      <c r="C1728" s="3" t="s">
        <v>118</v>
      </c>
      <c r="D1728" s="3" t="s">
        <v>58</v>
      </c>
      <c r="E1728" s="3" t="s">
        <v>176</v>
      </c>
      <c r="F1728" s="3" t="s">
        <v>177</v>
      </c>
      <c r="G1728" s="3" t="s">
        <v>51</v>
      </c>
      <c r="H1728" s="3" t="s">
        <v>145</v>
      </c>
      <c r="I1728" s="3" t="s">
        <v>2108</v>
      </c>
      <c r="J1728" s="3" t="s">
        <v>161</v>
      </c>
      <c r="K1728" s="3">
        <v>5</v>
      </c>
      <c r="L1728" s="3">
        <v>129.31</v>
      </c>
      <c r="M1728" s="3">
        <v>646.54999999999995</v>
      </c>
      <c r="N1728" s="3">
        <v>304.32</v>
      </c>
      <c r="O1728" s="3">
        <v>342.23</v>
      </c>
      <c r="P1728" s="3" t="s">
        <v>26</v>
      </c>
    </row>
    <row r="1729" spans="1:16" x14ac:dyDescent="0.35">
      <c r="A1729" s="3" t="s">
        <v>3007</v>
      </c>
      <c r="B1729" s="3" t="s">
        <v>1698</v>
      </c>
      <c r="C1729" s="3" t="s">
        <v>18</v>
      </c>
      <c r="D1729" s="3" t="s">
        <v>58</v>
      </c>
      <c r="E1729" s="3" t="s">
        <v>65</v>
      </c>
      <c r="F1729" s="3" t="s">
        <v>66</v>
      </c>
      <c r="G1729" s="3" t="s">
        <v>51</v>
      </c>
      <c r="H1729" s="3" t="s">
        <v>77</v>
      </c>
      <c r="I1729" s="3" t="s">
        <v>1770</v>
      </c>
      <c r="J1729" s="3" t="s">
        <v>147</v>
      </c>
      <c r="K1729" s="3">
        <v>5</v>
      </c>
      <c r="L1729" s="3">
        <v>13190.09</v>
      </c>
      <c r="M1729" s="3">
        <v>65950.45</v>
      </c>
      <c r="N1729" s="3">
        <v>46489.8</v>
      </c>
      <c r="O1729" s="3">
        <v>19460.650000000001</v>
      </c>
      <c r="P1729" s="3" t="s">
        <v>34</v>
      </c>
    </row>
    <row r="1730" spans="1:16" x14ac:dyDescent="0.35">
      <c r="A1730" s="3" t="s">
        <v>3008</v>
      </c>
      <c r="B1730" s="3" t="s">
        <v>173</v>
      </c>
      <c r="C1730" s="3" t="s">
        <v>118</v>
      </c>
      <c r="D1730" s="3" t="s">
        <v>19</v>
      </c>
      <c r="E1730" s="3" t="s">
        <v>20</v>
      </c>
      <c r="F1730" s="3" t="s">
        <v>21</v>
      </c>
      <c r="G1730" s="3" t="s">
        <v>22</v>
      </c>
      <c r="H1730" s="3" t="s">
        <v>23</v>
      </c>
      <c r="I1730" s="3" t="s">
        <v>53</v>
      </c>
      <c r="J1730" s="3" t="s">
        <v>154</v>
      </c>
      <c r="K1730" s="3">
        <v>6</v>
      </c>
      <c r="L1730" s="3">
        <v>3627.38</v>
      </c>
      <c r="M1730" s="3">
        <v>21764.28</v>
      </c>
      <c r="N1730" s="3">
        <v>13375.24</v>
      </c>
      <c r="O1730" s="3">
        <v>8389.0400000000009</v>
      </c>
      <c r="P1730" s="3" t="s">
        <v>69</v>
      </c>
    </row>
    <row r="1731" spans="1:16" x14ac:dyDescent="0.35">
      <c r="A1731" s="3" t="s">
        <v>3009</v>
      </c>
      <c r="B1731" s="3" t="s">
        <v>913</v>
      </c>
      <c r="C1731" s="3" t="s">
        <v>48</v>
      </c>
      <c r="D1731" s="3" t="s">
        <v>38</v>
      </c>
      <c r="E1731" s="3" t="s">
        <v>109</v>
      </c>
      <c r="F1731" s="3" t="s">
        <v>110</v>
      </c>
      <c r="G1731" s="3" t="s">
        <v>51</v>
      </c>
      <c r="H1731" s="3" t="s">
        <v>145</v>
      </c>
      <c r="I1731" s="3" t="s">
        <v>2009</v>
      </c>
      <c r="J1731" s="3" t="s">
        <v>217</v>
      </c>
      <c r="K1731" s="3">
        <v>7</v>
      </c>
      <c r="L1731" s="3">
        <v>131.36000000000001</v>
      </c>
      <c r="M1731" s="3">
        <v>919.52</v>
      </c>
      <c r="N1731" s="3">
        <v>410.71</v>
      </c>
      <c r="O1731" s="3">
        <v>508.81</v>
      </c>
      <c r="P1731" s="3" t="s">
        <v>69</v>
      </c>
    </row>
    <row r="1732" spans="1:16" x14ac:dyDescent="0.35">
      <c r="A1732" s="3" t="s">
        <v>3010</v>
      </c>
      <c r="B1732" s="3" t="s">
        <v>1502</v>
      </c>
      <c r="C1732" s="3" t="s">
        <v>57</v>
      </c>
      <c r="D1732" s="3" t="s">
        <v>58</v>
      </c>
      <c r="E1732" s="3" t="s">
        <v>59</v>
      </c>
      <c r="F1732" s="3" t="s">
        <v>60</v>
      </c>
      <c r="G1732" s="3" t="s">
        <v>41</v>
      </c>
      <c r="H1732" s="3" t="s">
        <v>61</v>
      </c>
      <c r="I1732" s="3" t="s">
        <v>1164</v>
      </c>
      <c r="J1732" s="3" t="s">
        <v>131</v>
      </c>
      <c r="K1732" s="3">
        <v>2</v>
      </c>
      <c r="L1732" s="3">
        <v>2461.14</v>
      </c>
      <c r="M1732" s="3">
        <v>4922.28</v>
      </c>
      <c r="N1732" s="3">
        <v>3196.91</v>
      </c>
      <c r="O1732" s="3">
        <v>1725.37</v>
      </c>
      <c r="P1732" s="3" t="s">
        <v>69</v>
      </c>
    </row>
    <row r="1733" spans="1:16" x14ac:dyDescent="0.35">
      <c r="A1733" s="3" t="s">
        <v>3011</v>
      </c>
      <c r="B1733" s="3" t="s">
        <v>212</v>
      </c>
      <c r="C1733" s="3" t="s">
        <v>37</v>
      </c>
      <c r="D1733" s="3" t="s">
        <v>58</v>
      </c>
      <c r="E1733" s="3" t="s">
        <v>176</v>
      </c>
      <c r="F1733" s="3" t="s">
        <v>177</v>
      </c>
      <c r="G1733" s="3" t="s">
        <v>51</v>
      </c>
      <c r="H1733" s="3" t="s">
        <v>77</v>
      </c>
      <c r="I1733" s="3" t="s">
        <v>2009</v>
      </c>
      <c r="J1733" s="3" t="s">
        <v>79</v>
      </c>
      <c r="K1733" s="3">
        <v>5</v>
      </c>
      <c r="L1733" s="3">
        <v>12372.13</v>
      </c>
      <c r="M1733" s="3">
        <v>61860.65</v>
      </c>
      <c r="N1733" s="3">
        <v>46987.85</v>
      </c>
      <c r="O1733" s="3">
        <v>14872.8</v>
      </c>
      <c r="P1733" s="3" t="s">
        <v>34</v>
      </c>
    </row>
    <row r="1734" spans="1:16" x14ac:dyDescent="0.35">
      <c r="A1734" s="3" t="s">
        <v>3012</v>
      </c>
      <c r="B1734" s="3" t="s">
        <v>398</v>
      </c>
      <c r="C1734" s="3" t="s">
        <v>57</v>
      </c>
      <c r="D1734" s="3" t="s">
        <v>58</v>
      </c>
      <c r="E1734" s="3" t="s">
        <v>65</v>
      </c>
      <c r="F1734" s="3" t="s">
        <v>66</v>
      </c>
      <c r="G1734" s="3" t="s">
        <v>22</v>
      </c>
      <c r="H1734" s="3" t="s">
        <v>83</v>
      </c>
      <c r="I1734" s="3" t="s">
        <v>1349</v>
      </c>
      <c r="J1734" s="3" t="s">
        <v>33</v>
      </c>
      <c r="K1734" s="3">
        <v>3</v>
      </c>
      <c r="L1734" s="3">
        <v>19841.98</v>
      </c>
      <c r="M1734" s="3">
        <v>59525.94</v>
      </c>
      <c r="N1734" s="3">
        <v>50798.38</v>
      </c>
      <c r="O1734" s="3">
        <v>8727.56</v>
      </c>
      <c r="P1734" s="3" t="s">
        <v>86</v>
      </c>
    </row>
    <row r="1735" spans="1:16" x14ac:dyDescent="0.35">
      <c r="A1735" s="3" t="s">
        <v>3013</v>
      </c>
      <c r="B1735" s="3" t="s">
        <v>2028</v>
      </c>
      <c r="C1735" s="3" t="s">
        <v>137</v>
      </c>
      <c r="D1735" s="3" t="s">
        <v>58</v>
      </c>
      <c r="E1735" s="3" t="s">
        <v>176</v>
      </c>
      <c r="F1735" s="3" t="s">
        <v>177</v>
      </c>
      <c r="G1735" s="3" t="s">
        <v>51</v>
      </c>
      <c r="H1735" s="3" t="s">
        <v>77</v>
      </c>
      <c r="I1735" s="3" t="s">
        <v>3014</v>
      </c>
      <c r="J1735" s="3" t="s">
        <v>154</v>
      </c>
      <c r="K1735" s="3">
        <v>4</v>
      </c>
      <c r="L1735" s="3">
        <v>12139.78</v>
      </c>
      <c r="M1735" s="3">
        <v>48559.12</v>
      </c>
      <c r="N1735" s="3">
        <v>36490.800000000003</v>
      </c>
      <c r="O1735" s="3">
        <v>12068.32</v>
      </c>
      <c r="P1735" s="3" t="s">
        <v>86</v>
      </c>
    </row>
    <row r="1736" spans="1:16" x14ac:dyDescent="0.35">
      <c r="A1736" s="3" t="s">
        <v>3015</v>
      </c>
      <c r="B1736" s="3" t="s">
        <v>364</v>
      </c>
      <c r="C1736" s="3" t="s">
        <v>137</v>
      </c>
      <c r="D1736" s="3" t="s">
        <v>19</v>
      </c>
      <c r="E1736" s="3" t="s">
        <v>49</v>
      </c>
      <c r="F1736" s="3" t="s">
        <v>50</v>
      </c>
      <c r="G1736" s="3" t="s">
        <v>30</v>
      </c>
      <c r="H1736" s="3" t="s">
        <v>67</v>
      </c>
      <c r="I1736" s="3" t="s">
        <v>2250</v>
      </c>
      <c r="J1736" s="3" t="s">
        <v>33</v>
      </c>
      <c r="K1736" s="3">
        <v>1</v>
      </c>
      <c r="L1736" s="3">
        <v>9680.0499999999993</v>
      </c>
      <c r="M1736" s="3">
        <v>9680.0499999999993</v>
      </c>
      <c r="N1736" s="3">
        <v>7756.4</v>
      </c>
      <c r="O1736" s="3">
        <v>1923.65</v>
      </c>
      <c r="P1736" s="3" t="s">
        <v>26</v>
      </c>
    </row>
    <row r="1737" spans="1:16" x14ac:dyDescent="0.35">
      <c r="A1737" s="3" t="s">
        <v>3016</v>
      </c>
      <c r="B1737" s="3" t="s">
        <v>834</v>
      </c>
      <c r="C1737" s="3" t="s">
        <v>114</v>
      </c>
      <c r="D1737" s="3" t="s">
        <v>19</v>
      </c>
      <c r="E1737" s="3" t="s">
        <v>199</v>
      </c>
      <c r="F1737" s="3" t="s">
        <v>200</v>
      </c>
      <c r="G1737" s="3" t="s">
        <v>22</v>
      </c>
      <c r="H1737" s="3" t="s">
        <v>93</v>
      </c>
      <c r="I1737" s="3" t="s">
        <v>1773</v>
      </c>
      <c r="J1737" s="3" t="s">
        <v>131</v>
      </c>
      <c r="K1737" s="3">
        <v>4</v>
      </c>
      <c r="L1737" s="3">
        <v>6561.15</v>
      </c>
      <c r="M1737" s="3">
        <v>26244.6</v>
      </c>
      <c r="N1737" s="3">
        <v>19267.02</v>
      </c>
      <c r="O1737" s="3">
        <v>6977.58</v>
      </c>
      <c r="P1737" s="3" t="s">
        <v>34</v>
      </c>
    </row>
    <row r="1738" spans="1:16" x14ac:dyDescent="0.35">
      <c r="A1738" s="3" t="s">
        <v>3017</v>
      </c>
      <c r="B1738" s="3" t="s">
        <v>547</v>
      </c>
      <c r="C1738" s="3" t="s">
        <v>89</v>
      </c>
      <c r="D1738" s="3" t="s">
        <v>90</v>
      </c>
      <c r="E1738" s="3" t="s">
        <v>97</v>
      </c>
      <c r="F1738" s="3" t="s">
        <v>98</v>
      </c>
      <c r="G1738" s="3" t="s">
        <v>30</v>
      </c>
      <c r="H1738" s="3" t="s">
        <v>31</v>
      </c>
      <c r="I1738" s="3" t="s">
        <v>3018</v>
      </c>
      <c r="J1738" s="3" t="s">
        <v>79</v>
      </c>
      <c r="K1738" s="3">
        <v>4</v>
      </c>
      <c r="L1738" s="3">
        <v>2656.76</v>
      </c>
      <c r="M1738" s="3">
        <v>10627.04</v>
      </c>
      <c r="N1738" s="3">
        <v>7927.44</v>
      </c>
      <c r="O1738" s="3">
        <v>2699.6</v>
      </c>
      <c r="P1738" s="3" t="s">
        <v>45</v>
      </c>
    </row>
    <row r="1739" spans="1:16" x14ac:dyDescent="0.35">
      <c r="A1739" s="3" t="s">
        <v>3019</v>
      </c>
      <c r="B1739" s="3" t="s">
        <v>2492</v>
      </c>
      <c r="C1739" s="3" t="s">
        <v>118</v>
      </c>
      <c r="D1739" s="3" t="s">
        <v>19</v>
      </c>
      <c r="E1739" s="3" t="s">
        <v>20</v>
      </c>
      <c r="F1739" s="3" t="s">
        <v>21</v>
      </c>
      <c r="G1739" s="3" t="s">
        <v>41</v>
      </c>
      <c r="H1739" s="3" t="s">
        <v>42</v>
      </c>
      <c r="I1739" s="3" t="s">
        <v>2009</v>
      </c>
      <c r="J1739" s="3" t="s">
        <v>154</v>
      </c>
      <c r="K1739" s="3">
        <v>8</v>
      </c>
      <c r="L1739" s="3">
        <v>46474.23</v>
      </c>
      <c r="M1739" s="3">
        <v>371793.84</v>
      </c>
      <c r="N1739" s="3">
        <v>287799.74</v>
      </c>
      <c r="O1739" s="3">
        <v>83994.1</v>
      </c>
      <c r="P1739" s="3" t="s">
        <v>45</v>
      </c>
    </row>
    <row r="1740" spans="1:16" x14ac:dyDescent="0.35">
      <c r="A1740" s="3" t="s">
        <v>3020</v>
      </c>
      <c r="B1740" s="3" t="s">
        <v>2197</v>
      </c>
      <c r="C1740" s="3" t="s">
        <v>18</v>
      </c>
      <c r="D1740" s="3" t="s">
        <v>58</v>
      </c>
      <c r="E1740" s="3" t="s">
        <v>65</v>
      </c>
      <c r="F1740" s="3" t="s">
        <v>66</v>
      </c>
      <c r="G1740" s="3" t="s">
        <v>22</v>
      </c>
      <c r="H1740" s="3" t="s">
        <v>93</v>
      </c>
      <c r="I1740" s="3" t="s">
        <v>2415</v>
      </c>
      <c r="J1740" s="3" t="s">
        <v>147</v>
      </c>
      <c r="K1740" s="3">
        <v>1</v>
      </c>
      <c r="L1740" s="3">
        <v>6764.54</v>
      </c>
      <c r="M1740" s="3">
        <v>6764.54</v>
      </c>
      <c r="N1740" s="3">
        <v>5061.8</v>
      </c>
      <c r="O1740" s="3">
        <v>1702.74</v>
      </c>
      <c r="P1740" s="3" t="s">
        <v>69</v>
      </c>
    </row>
    <row r="1741" spans="1:16" x14ac:dyDescent="0.35">
      <c r="A1741" s="3" t="s">
        <v>3021</v>
      </c>
      <c r="B1741" s="3" t="s">
        <v>1122</v>
      </c>
      <c r="C1741" s="3" t="s">
        <v>118</v>
      </c>
      <c r="D1741" s="3" t="s">
        <v>19</v>
      </c>
      <c r="E1741" s="3" t="s">
        <v>49</v>
      </c>
      <c r="F1741" s="3" t="s">
        <v>50</v>
      </c>
      <c r="G1741" s="3" t="s">
        <v>41</v>
      </c>
      <c r="H1741" s="3" t="s">
        <v>61</v>
      </c>
      <c r="I1741" s="3" t="s">
        <v>377</v>
      </c>
      <c r="J1741" s="3" t="s">
        <v>131</v>
      </c>
      <c r="K1741" s="3">
        <v>6</v>
      </c>
      <c r="L1741" s="3">
        <v>2512.11</v>
      </c>
      <c r="M1741" s="3">
        <v>15072.66</v>
      </c>
      <c r="N1741" s="3">
        <v>9828.36</v>
      </c>
      <c r="O1741" s="3">
        <v>5244.3</v>
      </c>
      <c r="P1741" s="3" t="s">
        <v>45</v>
      </c>
    </row>
    <row r="1742" spans="1:16" x14ac:dyDescent="0.35">
      <c r="A1742" s="3" t="s">
        <v>3022</v>
      </c>
      <c r="B1742" s="3" t="s">
        <v>1142</v>
      </c>
      <c r="C1742" s="3" t="s">
        <v>37</v>
      </c>
      <c r="D1742" s="3" t="s">
        <v>38</v>
      </c>
      <c r="E1742" s="3" t="s">
        <v>109</v>
      </c>
      <c r="F1742" s="3" t="s">
        <v>110</v>
      </c>
      <c r="G1742" s="3" t="s">
        <v>22</v>
      </c>
      <c r="H1742" s="3" t="s">
        <v>83</v>
      </c>
      <c r="I1742" s="3" t="s">
        <v>1315</v>
      </c>
      <c r="J1742" s="3" t="s">
        <v>161</v>
      </c>
      <c r="K1742" s="3">
        <v>3</v>
      </c>
      <c r="L1742" s="3">
        <v>22049.040000000001</v>
      </c>
      <c r="M1742" s="3">
        <v>66147.12</v>
      </c>
      <c r="N1742" s="3">
        <v>51322.76</v>
      </c>
      <c r="O1742" s="3">
        <v>14824.36</v>
      </c>
      <c r="P1742" s="3" t="s">
        <v>26</v>
      </c>
    </row>
    <row r="1743" spans="1:16" x14ac:dyDescent="0.35">
      <c r="A1743" s="3" t="s">
        <v>3023</v>
      </c>
      <c r="B1743" s="3" t="s">
        <v>248</v>
      </c>
      <c r="C1743" s="3" t="s">
        <v>82</v>
      </c>
      <c r="D1743" s="3" t="s">
        <v>19</v>
      </c>
      <c r="E1743" s="3" t="s">
        <v>199</v>
      </c>
      <c r="F1743" s="3" t="s">
        <v>200</v>
      </c>
      <c r="G1743" s="3" t="s">
        <v>30</v>
      </c>
      <c r="H1743" s="3" t="s">
        <v>67</v>
      </c>
      <c r="I1743" s="3" t="s">
        <v>1083</v>
      </c>
      <c r="J1743" s="3" t="s">
        <v>106</v>
      </c>
      <c r="K1743" s="3">
        <v>1</v>
      </c>
      <c r="L1743" s="3">
        <v>9049.26</v>
      </c>
      <c r="M1743" s="3">
        <v>9049.26</v>
      </c>
      <c r="N1743" s="3">
        <v>7678.56</v>
      </c>
      <c r="O1743" s="3">
        <v>1370.7</v>
      </c>
      <c r="P1743" s="3" t="s">
        <v>26</v>
      </c>
    </row>
    <row r="1744" spans="1:16" x14ac:dyDescent="0.35">
      <c r="A1744" s="3" t="s">
        <v>3024</v>
      </c>
      <c r="B1744" s="3" t="s">
        <v>318</v>
      </c>
      <c r="C1744" s="3" t="s">
        <v>37</v>
      </c>
      <c r="D1744" s="3" t="s">
        <v>58</v>
      </c>
      <c r="E1744" s="3" t="s">
        <v>176</v>
      </c>
      <c r="F1744" s="3" t="s">
        <v>177</v>
      </c>
      <c r="G1744" s="3" t="s">
        <v>41</v>
      </c>
      <c r="H1744" s="3" t="s">
        <v>138</v>
      </c>
      <c r="I1744" s="3" t="s">
        <v>2366</v>
      </c>
      <c r="J1744" s="3" t="s">
        <v>25</v>
      </c>
      <c r="K1744" s="3">
        <v>7</v>
      </c>
      <c r="L1744" s="3">
        <v>17672.57</v>
      </c>
      <c r="M1744" s="3">
        <v>123707.99</v>
      </c>
      <c r="N1744" s="3">
        <v>95211.520000000004</v>
      </c>
      <c r="O1744" s="3">
        <v>28496.47</v>
      </c>
      <c r="P1744" s="3" t="s">
        <v>34</v>
      </c>
    </row>
    <row r="1745" spans="1:16" x14ac:dyDescent="0.35">
      <c r="A1745" s="3" t="s">
        <v>3025</v>
      </c>
      <c r="B1745" s="3" t="s">
        <v>429</v>
      </c>
      <c r="C1745" s="3" t="s">
        <v>137</v>
      </c>
      <c r="D1745" s="3" t="s">
        <v>58</v>
      </c>
      <c r="E1745" s="3" t="s">
        <v>59</v>
      </c>
      <c r="F1745" s="3" t="s">
        <v>60</v>
      </c>
      <c r="G1745" s="3" t="s">
        <v>22</v>
      </c>
      <c r="H1745" s="3" t="s">
        <v>93</v>
      </c>
      <c r="I1745" s="3" t="s">
        <v>2525</v>
      </c>
      <c r="J1745" s="3" t="s">
        <v>161</v>
      </c>
      <c r="K1745" s="3">
        <v>3</v>
      </c>
      <c r="L1745" s="3">
        <v>7025.18</v>
      </c>
      <c r="M1745" s="3">
        <v>21075.54</v>
      </c>
      <c r="N1745" s="3">
        <v>15045.56</v>
      </c>
      <c r="O1745" s="3">
        <v>6029.98</v>
      </c>
      <c r="P1745" s="3" t="s">
        <v>86</v>
      </c>
    </row>
    <row r="1746" spans="1:16" x14ac:dyDescent="0.35">
      <c r="A1746" s="3" t="s">
        <v>3026</v>
      </c>
      <c r="B1746" s="3" t="s">
        <v>282</v>
      </c>
      <c r="C1746" s="3" t="s">
        <v>114</v>
      </c>
      <c r="D1746" s="3" t="s">
        <v>19</v>
      </c>
      <c r="E1746" s="3" t="s">
        <v>199</v>
      </c>
      <c r="F1746" s="3" t="s">
        <v>200</v>
      </c>
      <c r="G1746" s="3" t="s">
        <v>51</v>
      </c>
      <c r="H1746" s="3" t="s">
        <v>77</v>
      </c>
      <c r="I1746" s="3" t="s">
        <v>3027</v>
      </c>
      <c r="J1746" s="3" t="s">
        <v>25</v>
      </c>
      <c r="K1746" s="3">
        <v>4</v>
      </c>
      <c r="L1746" s="3">
        <v>12371.37</v>
      </c>
      <c r="M1746" s="3">
        <v>49485.48</v>
      </c>
      <c r="N1746" s="3">
        <v>34840</v>
      </c>
      <c r="O1746" s="3">
        <v>14645.48</v>
      </c>
      <c r="P1746" s="3" t="s">
        <v>34</v>
      </c>
    </row>
    <row r="1747" spans="1:16" x14ac:dyDescent="0.35">
      <c r="A1747" s="3" t="s">
        <v>3028</v>
      </c>
      <c r="B1747" s="3" t="s">
        <v>1385</v>
      </c>
      <c r="C1747" s="3" t="s">
        <v>29</v>
      </c>
      <c r="D1747" s="3" t="s">
        <v>90</v>
      </c>
      <c r="E1747" s="3" t="s">
        <v>91</v>
      </c>
      <c r="F1747" s="3" t="s">
        <v>92</v>
      </c>
      <c r="G1747" s="3" t="s">
        <v>51</v>
      </c>
      <c r="H1747" s="3" t="s">
        <v>145</v>
      </c>
      <c r="I1747" s="3" t="s">
        <v>379</v>
      </c>
      <c r="J1747" s="3" t="s">
        <v>154</v>
      </c>
      <c r="K1747" s="3">
        <v>6</v>
      </c>
      <c r="L1747" s="3">
        <v>122.56</v>
      </c>
      <c r="M1747" s="3">
        <v>735.36</v>
      </c>
      <c r="N1747" s="3">
        <v>357.63</v>
      </c>
      <c r="O1747" s="3">
        <v>377.73</v>
      </c>
      <c r="P1747" s="3" t="s">
        <v>69</v>
      </c>
    </row>
    <row r="1748" spans="1:16" x14ac:dyDescent="0.35">
      <c r="A1748" s="3" t="s">
        <v>3029</v>
      </c>
      <c r="B1748" s="3" t="s">
        <v>1182</v>
      </c>
      <c r="C1748" s="3" t="s">
        <v>48</v>
      </c>
      <c r="D1748" s="3" t="s">
        <v>19</v>
      </c>
      <c r="E1748" s="3" t="s">
        <v>20</v>
      </c>
      <c r="F1748" s="3" t="s">
        <v>21</v>
      </c>
      <c r="G1748" s="3" t="s">
        <v>41</v>
      </c>
      <c r="H1748" s="3" t="s">
        <v>42</v>
      </c>
      <c r="I1748" s="3" t="s">
        <v>1351</v>
      </c>
      <c r="J1748" s="3" t="s">
        <v>44</v>
      </c>
      <c r="K1748" s="3">
        <v>2</v>
      </c>
      <c r="L1748" s="3">
        <v>43590.080000000002</v>
      </c>
      <c r="M1748" s="3">
        <v>87180.160000000003</v>
      </c>
      <c r="N1748" s="3">
        <v>73099.789999999994</v>
      </c>
      <c r="O1748" s="3">
        <v>14080.37</v>
      </c>
      <c r="P1748" s="3" t="s">
        <v>86</v>
      </c>
    </row>
    <row r="1749" spans="1:16" x14ac:dyDescent="0.35">
      <c r="A1749" s="3" t="s">
        <v>3030</v>
      </c>
      <c r="B1749" s="3" t="s">
        <v>994</v>
      </c>
      <c r="C1749" s="3" t="s">
        <v>29</v>
      </c>
      <c r="D1749" s="3" t="s">
        <v>90</v>
      </c>
      <c r="E1749" s="3" t="s">
        <v>97</v>
      </c>
      <c r="F1749" s="3" t="s">
        <v>98</v>
      </c>
      <c r="G1749" s="3" t="s">
        <v>51</v>
      </c>
      <c r="H1749" s="3" t="s">
        <v>77</v>
      </c>
      <c r="I1749" s="3" t="s">
        <v>1354</v>
      </c>
      <c r="J1749" s="3" t="s">
        <v>85</v>
      </c>
      <c r="K1749" s="3">
        <v>4</v>
      </c>
      <c r="L1749" s="3">
        <v>11146.48</v>
      </c>
      <c r="M1749" s="3">
        <v>44585.919999999998</v>
      </c>
      <c r="N1749" s="3">
        <v>37230.93</v>
      </c>
      <c r="O1749" s="3">
        <v>7354.99</v>
      </c>
      <c r="P1749" s="3" t="s">
        <v>34</v>
      </c>
    </row>
    <row r="1750" spans="1:16" x14ac:dyDescent="0.35">
      <c r="A1750" s="3" t="s">
        <v>3031</v>
      </c>
      <c r="B1750" s="3" t="s">
        <v>195</v>
      </c>
      <c r="C1750" s="3" t="s">
        <v>18</v>
      </c>
      <c r="D1750" s="3" t="s">
        <v>19</v>
      </c>
      <c r="E1750" s="3" t="s">
        <v>20</v>
      </c>
      <c r="F1750" s="3" t="s">
        <v>21</v>
      </c>
      <c r="G1750" s="3" t="s">
        <v>41</v>
      </c>
      <c r="H1750" s="3" t="s">
        <v>42</v>
      </c>
      <c r="I1750" s="3" t="s">
        <v>1256</v>
      </c>
      <c r="J1750" s="3" t="s">
        <v>25</v>
      </c>
      <c r="K1750" s="3">
        <v>1</v>
      </c>
      <c r="L1750" s="3">
        <v>46401.53</v>
      </c>
      <c r="M1750" s="3">
        <v>46401.53</v>
      </c>
      <c r="N1750" s="3">
        <v>36037.15</v>
      </c>
      <c r="O1750" s="3">
        <v>10364.379999999999</v>
      </c>
      <c r="P1750" s="3" t="s">
        <v>86</v>
      </c>
    </row>
    <row r="1751" spans="1:16" x14ac:dyDescent="0.35">
      <c r="A1751" s="3" t="s">
        <v>3032</v>
      </c>
      <c r="B1751" s="3" t="s">
        <v>743</v>
      </c>
      <c r="C1751" s="3" t="s">
        <v>72</v>
      </c>
      <c r="D1751" s="3" t="s">
        <v>58</v>
      </c>
      <c r="E1751" s="3" t="s">
        <v>59</v>
      </c>
      <c r="F1751" s="3" t="s">
        <v>60</v>
      </c>
      <c r="G1751" s="3" t="s">
        <v>51</v>
      </c>
      <c r="H1751" s="3" t="s">
        <v>145</v>
      </c>
      <c r="I1751" s="3" t="s">
        <v>1825</v>
      </c>
      <c r="J1751" s="3" t="s">
        <v>54</v>
      </c>
      <c r="K1751" s="3">
        <v>4</v>
      </c>
      <c r="L1751" s="3">
        <v>110.66</v>
      </c>
      <c r="M1751" s="3">
        <v>442.64</v>
      </c>
      <c r="N1751" s="3">
        <v>248.37</v>
      </c>
      <c r="O1751" s="3">
        <v>194.27</v>
      </c>
      <c r="P1751" s="3" t="s">
        <v>69</v>
      </c>
    </row>
    <row r="1752" spans="1:16" x14ac:dyDescent="0.35">
      <c r="A1752" s="3" t="s">
        <v>3033</v>
      </c>
      <c r="B1752" s="3" t="s">
        <v>407</v>
      </c>
      <c r="C1752" s="3" t="s">
        <v>48</v>
      </c>
      <c r="D1752" s="3" t="s">
        <v>19</v>
      </c>
      <c r="E1752" s="3" t="s">
        <v>49</v>
      </c>
      <c r="F1752" s="3" t="s">
        <v>50</v>
      </c>
      <c r="G1752" s="3" t="s">
        <v>51</v>
      </c>
      <c r="H1752" s="3" t="s">
        <v>52</v>
      </c>
      <c r="I1752" s="3" t="s">
        <v>3034</v>
      </c>
      <c r="J1752" s="3" t="s">
        <v>106</v>
      </c>
      <c r="K1752" s="3">
        <v>5</v>
      </c>
      <c r="L1752" s="3">
        <v>24.31</v>
      </c>
      <c r="M1752" s="3">
        <v>121.55</v>
      </c>
      <c r="N1752" s="3">
        <v>48.09</v>
      </c>
      <c r="O1752" s="3">
        <v>73.459999999999994</v>
      </c>
      <c r="P1752" s="3" t="s">
        <v>69</v>
      </c>
    </row>
    <row r="1753" spans="1:16" x14ac:dyDescent="0.35">
      <c r="A1753" s="3" t="s">
        <v>3035</v>
      </c>
      <c r="B1753" s="3" t="s">
        <v>1898</v>
      </c>
      <c r="C1753" s="3" t="s">
        <v>29</v>
      </c>
      <c r="D1753" s="3" t="s">
        <v>19</v>
      </c>
      <c r="E1753" s="3" t="s">
        <v>49</v>
      </c>
      <c r="F1753" s="3" t="s">
        <v>50</v>
      </c>
      <c r="G1753" s="3" t="s">
        <v>51</v>
      </c>
      <c r="H1753" s="3" t="s">
        <v>77</v>
      </c>
      <c r="I1753" s="3" t="s">
        <v>1415</v>
      </c>
      <c r="J1753" s="3" t="s">
        <v>25</v>
      </c>
      <c r="K1753" s="3">
        <v>4</v>
      </c>
      <c r="L1753" s="3">
        <v>11573.88</v>
      </c>
      <c r="M1753" s="3">
        <v>46295.519999999997</v>
      </c>
      <c r="N1753" s="3">
        <v>35004.89</v>
      </c>
      <c r="O1753" s="3">
        <v>11290.63</v>
      </c>
      <c r="P1753" s="3" t="s">
        <v>86</v>
      </c>
    </row>
    <row r="1754" spans="1:16" x14ac:dyDescent="0.35">
      <c r="A1754" s="3" t="s">
        <v>3036</v>
      </c>
      <c r="B1754" s="3" t="s">
        <v>1600</v>
      </c>
      <c r="C1754" s="3" t="s">
        <v>103</v>
      </c>
      <c r="D1754" s="3" t="s">
        <v>90</v>
      </c>
      <c r="E1754" s="3" t="s">
        <v>91</v>
      </c>
      <c r="F1754" s="3" t="s">
        <v>92</v>
      </c>
      <c r="G1754" s="3" t="s">
        <v>30</v>
      </c>
      <c r="H1754" s="3" t="s">
        <v>67</v>
      </c>
      <c r="I1754" s="3" t="s">
        <v>2925</v>
      </c>
      <c r="J1754" s="3" t="s">
        <v>79</v>
      </c>
      <c r="K1754" s="3">
        <v>5</v>
      </c>
      <c r="L1754" s="3">
        <v>10240.08</v>
      </c>
      <c r="M1754" s="3">
        <v>51200.4</v>
      </c>
      <c r="N1754" s="3">
        <v>37509.129999999997</v>
      </c>
      <c r="O1754" s="3">
        <v>13691.27</v>
      </c>
      <c r="P1754" s="3" t="s">
        <v>69</v>
      </c>
    </row>
    <row r="1755" spans="1:16" x14ac:dyDescent="0.35">
      <c r="A1755" s="3" t="s">
        <v>3037</v>
      </c>
      <c r="B1755" s="3" t="s">
        <v>212</v>
      </c>
      <c r="C1755" s="3" t="s">
        <v>37</v>
      </c>
      <c r="D1755" s="3" t="s">
        <v>19</v>
      </c>
      <c r="E1755" s="3" t="s">
        <v>49</v>
      </c>
      <c r="F1755" s="3" t="s">
        <v>50</v>
      </c>
      <c r="G1755" s="3" t="s">
        <v>51</v>
      </c>
      <c r="H1755" s="3" t="s">
        <v>145</v>
      </c>
      <c r="I1755" s="3" t="s">
        <v>2472</v>
      </c>
      <c r="J1755" s="3" t="s">
        <v>131</v>
      </c>
      <c r="K1755" s="3">
        <v>7</v>
      </c>
      <c r="L1755" s="3">
        <v>119.22</v>
      </c>
      <c r="M1755" s="3">
        <v>834.54</v>
      </c>
      <c r="N1755" s="3">
        <v>413.18</v>
      </c>
      <c r="O1755" s="3">
        <v>421.36</v>
      </c>
      <c r="P1755" s="3" t="s">
        <v>86</v>
      </c>
    </row>
    <row r="1756" spans="1:16" x14ac:dyDescent="0.35">
      <c r="A1756" s="3" t="s">
        <v>3038</v>
      </c>
      <c r="B1756" s="3" t="s">
        <v>1308</v>
      </c>
      <c r="C1756" s="3" t="s">
        <v>48</v>
      </c>
      <c r="D1756" s="3" t="s">
        <v>38</v>
      </c>
      <c r="E1756" s="3" t="s">
        <v>109</v>
      </c>
      <c r="F1756" s="3" t="s">
        <v>110</v>
      </c>
      <c r="G1756" s="3" t="s">
        <v>30</v>
      </c>
      <c r="H1756" s="3" t="s">
        <v>67</v>
      </c>
      <c r="I1756" s="3" t="s">
        <v>544</v>
      </c>
      <c r="J1756" s="3" t="s">
        <v>25</v>
      </c>
      <c r="K1756" s="3">
        <v>1</v>
      </c>
      <c r="L1756" s="3">
        <v>10348.15</v>
      </c>
      <c r="M1756" s="3">
        <v>10348.15</v>
      </c>
      <c r="N1756" s="3">
        <v>7673.87</v>
      </c>
      <c r="O1756" s="3">
        <v>2674.28</v>
      </c>
      <c r="P1756" s="3" t="s">
        <v>69</v>
      </c>
    </row>
    <row r="1757" spans="1:16" x14ac:dyDescent="0.35">
      <c r="A1757" s="3" t="s">
        <v>3039</v>
      </c>
      <c r="B1757" s="3" t="s">
        <v>367</v>
      </c>
      <c r="C1757" s="3" t="s">
        <v>29</v>
      </c>
      <c r="D1757" s="3" t="s">
        <v>58</v>
      </c>
      <c r="E1757" s="3" t="s">
        <v>176</v>
      </c>
      <c r="F1757" s="3" t="s">
        <v>177</v>
      </c>
      <c r="G1757" s="3" t="s">
        <v>30</v>
      </c>
      <c r="H1757" s="3" t="s">
        <v>31</v>
      </c>
      <c r="I1757" s="3" t="s">
        <v>980</v>
      </c>
      <c r="J1757" s="3" t="s">
        <v>161</v>
      </c>
      <c r="K1757" s="3">
        <v>1</v>
      </c>
      <c r="L1757" s="3">
        <v>3049.86</v>
      </c>
      <c r="M1757" s="3">
        <v>3049.86</v>
      </c>
      <c r="N1757" s="3">
        <v>1973.18</v>
      </c>
      <c r="O1757" s="3">
        <v>1076.68</v>
      </c>
      <c r="P1757" s="3" t="s">
        <v>34</v>
      </c>
    </row>
    <row r="1758" spans="1:16" x14ac:dyDescent="0.35">
      <c r="A1758" s="3" t="s">
        <v>3040</v>
      </c>
      <c r="B1758" s="3" t="s">
        <v>802</v>
      </c>
      <c r="C1758" s="3" t="s">
        <v>118</v>
      </c>
      <c r="D1758" s="3" t="s">
        <v>19</v>
      </c>
      <c r="E1758" s="3" t="s">
        <v>20</v>
      </c>
      <c r="F1758" s="3" t="s">
        <v>21</v>
      </c>
      <c r="G1758" s="3" t="s">
        <v>30</v>
      </c>
      <c r="H1758" s="3" t="s">
        <v>67</v>
      </c>
      <c r="I1758" s="3" t="s">
        <v>2233</v>
      </c>
      <c r="J1758" s="3" t="s">
        <v>25</v>
      </c>
      <c r="K1758" s="3">
        <v>6</v>
      </c>
      <c r="L1758" s="3">
        <v>9285.5499999999993</v>
      </c>
      <c r="M1758" s="3">
        <v>55713.3</v>
      </c>
      <c r="N1758" s="3">
        <v>46503.040000000001</v>
      </c>
      <c r="O1758" s="3">
        <v>9210.26</v>
      </c>
      <c r="P1758" s="3" t="s">
        <v>45</v>
      </c>
    </row>
    <row r="1759" spans="1:16" x14ac:dyDescent="0.35">
      <c r="A1759" s="3" t="s">
        <v>3041</v>
      </c>
      <c r="B1759" s="3" t="s">
        <v>381</v>
      </c>
      <c r="C1759" s="3" t="s">
        <v>18</v>
      </c>
      <c r="D1759" s="3" t="s">
        <v>58</v>
      </c>
      <c r="E1759" s="3" t="s">
        <v>176</v>
      </c>
      <c r="F1759" s="3" t="s">
        <v>177</v>
      </c>
      <c r="G1759" s="3" t="s">
        <v>30</v>
      </c>
      <c r="H1759" s="3" t="s">
        <v>67</v>
      </c>
      <c r="I1759" s="3" t="s">
        <v>593</v>
      </c>
      <c r="J1759" s="3" t="s">
        <v>54</v>
      </c>
      <c r="K1759" s="3">
        <v>4</v>
      </c>
      <c r="L1759" s="3">
        <v>9789.31</v>
      </c>
      <c r="M1759" s="3">
        <v>39157.24</v>
      </c>
      <c r="N1759" s="3">
        <v>29093.65</v>
      </c>
      <c r="O1759" s="3">
        <v>10063.59</v>
      </c>
      <c r="P1759" s="3" t="s">
        <v>86</v>
      </c>
    </row>
    <row r="1760" spans="1:16" x14ac:dyDescent="0.35">
      <c r="A1760" s="3" t="s">
        <v>3042</v>
      </c>
      <c r="B1760" s="3" t="s">
        <v>1546</v>
      </c>
      <c r="C1760" s="3" t="s">
        <v>82</v>
      </c>
      <c r="D1760" s="3" t="s">
        <v>58</v>
      </c>
      <c r="E1760" s="3" t="s">
        <v>65</v>
      </c>
      <c r="F1760" s="3" t="s">
        <v>66</v>
      </c>
      <c r="G1760" s="3" t="s">
        <v>51</v>
      </c>
      <c r="H1760" s="3" t="s">
        <v>77</v>
      </c>
      <c r="I1760" s="3" t="s">
        <v>1397</v>
      </c>
      <c r="J1760" s="3" t="s">
        <v>85</v>
      </c>
      <c r="K1760" s="3">
        <v>1</v>
      </c>
      <c r="L1760" s="3">
        <v>11888.24</v>
      </c>
      <c r="M1760" s="3">
        <v>11888.24</v>
      </c>
      <c r="N1760" s="3">
        <v>8699.1</v>
      </c>
      <c r="O1760" s="3">
        <v>3189.14</v>
      </c>
      <c r="P1760" s="3" t="s">
        <v>34</v>
      </c>
    </row>
    <row r="1761" spans="1:16" x14ac:dyDescent="0.35">
      <c r="A1761" s="3" t="s">
        <v>3043</v>
      </c>
      <c r="B1761" s="3" t="s">
        <v>265</v>
      </c>
      <c r="C1761" s="3" t="s">
        <v>37</v>
      </c>
      <c r="D1761" s="3" t="s">
        <v>90</v>
      </c>
      <c r="E1761" s="3" t="s">
        <v>97</v>
      </c>
      <c r="F1761" s="3" t="s">
        <v>98</v>
      </c>
      <c r="G1761" s="3" t="s">
        <v>30</v>
      </c>
      <c r="H1761" s="3" t="s">
        <v>31</v>
      </c>
      <c r="I1761" s="3" t="s">
        <v>3004</v>
      </c>
      <c r="J1761" s="3" t="s">
        <v>33</v>
      </c>
      <c r="K1761" s="3">
        <v>7</v>
      </c>
      <c r="L1761" s="3">
        <v>3004.68</v>
      </c>
      <c r="M1761" s="3">
        <v>21032.76</v>
      </c>
      <c r="N1761" s="3">
        <v>12822.13</v>
      </c>
      <c r="O1761" s="3">
        <v>8210.6299999999992</v>
      </c>
      <c r="P1761" s="3" t="s">
        <v>86</v>
      </c>
    </row>
    <row r="1762" spans="1:16" x14ac:dyDescent="0.35">
      <c r="A1762" s="3" t="s">
        <v>3044</v>
      </c>
      <c r="B1762" s="3" t="s">
        <v>364</v>
      </c>
      <c r="C1762" s="3" t="s">
        <v>137</v>
      </c>
      <c r="D1762" s="3" t="s">
        <v>90</v>
      </c>
      <c r="E1762" s="3" t="s">
        <v>91</v>
      </c>
      <c r="F1762" s="3" t="s">
        <v>92</v>
      </c>
      <c r="G1762" s="3" t="s">
        <v>51</v>
      </c>
      <c r="H1762" s="3" t="s">
        <v>77</v>
      </c>
      <c r="I1762" s="3" t="s">
        <v>408</v>
      </c>
      <c r="J1762" s="3" t="s">
        <v>33</v>
      </c>
      <c r="K1762" s="3">
        <v>7</v>
      </c>
      <c r="L1762" s="3">
        <v>12481.22</v>
      </c>
      <c r="M1762" s="3">
        <v>87368.54</v>
      </c>
      <c r="N1762" s="3">
        <v>65222.73</v>
      </c>
      <c r="O1762" s="3">
        <v>22145.81</v>
      </c>
      <c r="P1762" s="3" t="s">
        <v>69</v>
      </c>
    </row>
    <row r="1763" spans="1:16" x14ac:dyDescent="0.35">
      <c r="A1763" s="3" t="s">
        <v>3045</v>
      </c>
      <c r="B1763" s="3" t="s">
        <v>1733</v>
      </c>
      <c r="C1763" s="3" t="s">
        <v>137</v>
      </c>
      <c r="D1763" s="3" t="s">
        <v>90</v>
      </c>
      <c r="E1763" s="3" t="s">
        <v>119</v>
      </c>
      <c r="F1763" s="3" t="s">
        <v>120</v>
      </c>
      <c r="G1763" s="3" t="s">
        <v>22</v>
      </c>
      <c r="H1763" s="3" t="s">
        <v>93</v>
      </c>
      <c r="I1763" s="3" t="s">
        <v>900</v>
      </c>
      <c r="J1763" s="3" t="s">
        <v>147</v>
      </c>
      <c r="K1763" s="3">
        <v>5</v>
      </c>
      <c r="L1763" s="3">
        <v>7549.81</v>
      </c>
      <c r="M1763" s="3">
        <v>37749.050000000003</v>
      </c>
      <c r="N1763" s="3">
        <v>25397.98</v>
      </c>
      <c r="O1763" s="3">
        <v>12351.07</v>
      </c>
      <c r="P1763" s="3" t="s">
        <v>26</v>
      </c>
    </row>
    <row r="1764" spans="1:16" x14ac:dyDescent="0.35">
      <c r="A1764" s="3" t="s">
        <v>3046</v>
      </c>
      <c r="B1764" s="3" t="s">
        <v>987</v>
      </c>
      <c r="C1764" s="3" t="s">
        <v>82</v>
      </c>
      <c r="D1764" s="3" t="s">
        <v>58</v>
      </c>
      <c r="E1764" s="3" t="s">
        <v>176</v>
      </c>
      <c r="F1764" s="3" t="s">
        <v>177</v>
      </c>
      <c r="G1764" s="3" t="s">
        <v>30</v>
      </c>
      <c r="H1764" s="3" t="s">
        <v>67</v>
      </c>
      <c r="I1764" s="3" t="s">
        <v>2181</v>
      </c>
      <c r="J1764" s="3" t="s">
        <v>217</v>
      </c>
      <c r="K1764" s="3">
        <v>6</v>
      </c>
      <c r="L1764" s="3">
        <v>9392.02</v>
      </c>
      <c r="M1764" s="3">
        <v>56352.12</v>
      </c>
      <c r="N1764" s="3">
        <v>46136.1</v>
      </c>
      <c r="O1764" s="3">
        <v>10216.02</v>
      </c>
      <c r="P1764" s="3" t="s">
        <v>45</v>
      </c>
    </row>
    <row r="1765" spans="1:16" x14ac:dyDescent="0.35">
      <c r="A1765" s="3" t="s">
        <v>3047</v>
      </c>
      <c r="B1765" s="3" t="s">
        <v>639</v>
      </c>
      <c r="C1765" s="3" t="s">
        <v>72</v>
      </c>
      <c r="D1765" s="3" t="s">
        <v>58</v>
      </c>
      <c r="E1765" s="3" t="s">
        <v>65</v>
      </c>
      <c r="F1765" s="3" t="s">
        <v>66</v>
      </c>
      <c r="G1765" s="3" t="s">
        <v>51</v>
      </c>
      <c r="H1765" s="3" t="s">
        <v>77</v>
      </c>
      <c r="I1765" s="3" t="s">
        <v>1358</v>
      </c>
      <c r="J1765" s="3" t="s">
        <v>25</v>
      </c>
      <c r="K1765" s="3">
        <v>4</v>
      </c>
      <c r="L1765" s="3">
        <v>12294.14</v>
      </c>
      <c r="M1765" s="3">
        <v>49176.56</v>
      </c>
      <c r="N1765" s="3">
        <v>36072.519999999997</v>
      </c>
      <c r="O1765" s="3">
        <v>13104.04</v>
      </c>
      <c r="P1765" s="3" t="s">
        <v>86</v>
      </c>
    </row>
    <row r="1766" spans="1:16" x14ac:dyDescent="0.35">
      <c r="A1766" s="3" t="s">
        <v>3048</v>
      </c>
      <c r="B1766" s="3" t="s">
        <v>760</v>
      </c>
      <c r="C1766" s="3" t="s">
        <v>114</v>
      </c>
      <c r="D1766" s="3" t="s">
        <v>19</v>
      </c>
      <c r="E1766" s="3" t="s">
        <v>199</v>
      </c>
      <c r="F1766" s="3" t="s">
        <v>200</v>
      </c>
      <c r="G1766" s="3" t="s">
        <v>41</v>
      </c>
      <c r="H1766" s="3" t="s">
        <v>138</v>
      </c>
      <c r="I1766" s="3" t="s">
        <v>2417</v>
      </c>
      <c r="J1766" s="3" t="s">
        <v>33</v>
      </c>
      <c r="K1766" s="3">
        <v>3</v>
      </c>
      <c r="L1766" s="3">
        <v>19211.349999999999</v>
      </c>
      <c r="M1766" s="3">
        <v>57634.05</v>
      </c>
      <c r="N1766" s="3">
        <v>40193.26</v>
      </c>
      <c r="O1766" s="3">
        <v>17440.79</v>
      </c>
      <c r="P1766" s="3" t="s">
        <v>69</v>
      </c>
    </row>
    <row r="1767" spans="1:16" x14ac:dyDescent="0.35">
      <c r="A1767" s="3" t="s">
        <v>3049</v>
      </c>
      <c r="B1767" s="3" t="s">
        <v>219</v>
      </c>
      <c r="C1767" s="3" t="s">
        <v>72</v>
      </c>
      <c r="D1767" s="3" t="s">
        <v>38</v>
      </c>
      <c r="E1767" s="3" t="s">
        <v>104</v>
      </c>
      <c r="F1767" s="3" t="s">
        <v>104</v>
      </c>
      <c r="G1767" s="3" t="s">
        <v>30</v>
      </c>
      <c r="H1767" s="3" t="s">
        <v>67</v>
      </c>
      <c r="I1767" s="3" t="s">
        <v>2767</v>
      </c>
      <c r="J1767" s="3" t="s">
        <v>131</v>
      </c>
      <c r="K1767" s="3">
        <v>4</v>
      </c>
      <c r="L1767" s="3">
        <v>9208.48</v>
      </c>
      <c r="M1767" s="3">
        <v>36833.919999999998</v>
      </c>
      <c r="N1767" s="3">
        <v>30162.36</v>
      </c>
      <c r="O1767" s="3">
        <v>6671.56</v>
      </c>
      <c r="P1767" s="3" t="s">
        <v>34</v>
      </c>
    </row>
    <row r="1768" spans="1:16" x14ac:dyDescent="0.35">
      <c r="A1768" s="3" t="s">
        <v>3050</v>
      </c>
      <c r="B1768" s="3" t="s">
        <v>927</v>
      </c>
      <c r="C1768" s="3" t="s">
        <v>57</v>
      </c>
      <c r="D1768" s="3" t="s">
        <v>38</v>
      </c>
      <c r="E1768" s="3" t="s">
        <v>39</v>
      </c>
      <c r="F1768" s="3" t="s">
        <v>40</v>
      </c>
      <c r="G1768" s="3" t="s">
        <v>51</v>
      </c>
      <c r="H1768" s="3" t="s">
        <v>77</v>
      </c>
      <c r="I1768" s="3" t="s">
        <v>3051</v>
      </c>
      <c r="J1768" s="3" t="s">
        <v>147</v>
      </c>
      <c r="K1768" s="3">
        <v>6</v>
      </c>
      <c r="L1768" s="3">
        <v>11677.15</v>
      </c>
      <c r="M1768" s="3">
        <v>70062.899999999994</v>
      </c>
      <c r="N1768" s="3">
        <v>51542.29</v>
      </c>
      <c r="O1768" s="3">
        <v>18520.61</v>
      </c>
      <c r="P1768" s="3" t="s">
        <v>45</v>
      </c>
    </row>
    <row r="1769" spans="1:16" x14ac:dyDescent="0.35">
      <c r="A1769" s="3" t="s">
        <v>3052</v>
      </c>
      <c r="B1769" s="3" t="s">
        <v>779</v>
      </c>
      <c r="C1769" s="3" t="s">
        <v>114</v>
      </c>
      <c r="D1769" s="3" t="s">
        <v>38</v>
      </c>
      <c r="E1769" s="3" t="s">
        <v>104</v>
      </c>
      <c r="F1769" s="3" t="s">
        <v>104</v>
      </c>
      <c r="G1769" s="3" t="s">
        <v>41</v>
      </c>
      <c r="H1769" s="3" t="s">
        <v>42</v>
      </c>
      <c r="I1769" s="3" t="s">
        <v>1330</v>
      </c>
      <c r="J1769" s="3" t="s">
        <v>154</v>
      </c>
      <c r="K1769" s="3">
        <v>6</v>
      </c>
      <c r="L1769" s="3">
        <v>43310.53</v>
      </c>
      <c r="M1769" s="3">
        <v>259863.18</v>
      </c>
      <c r="N1769" s="3">
        <v>217904.71</v>
      </c>
      <c r="O1769" s="3">
        <v>41958.47</v>
      </c>
      <c r="P1769" s="3" t="s">
        <v>26</v>
      </c>
    </row>
    <row r="1770" spans="1:16" x14ac:dyDescent="0.35">
      <c r="A1770" s="3" t="s">
        <v>3053</v>
      </c>
      <c r="B1770" s="3" t="s">
        <v>636</v>
      </c>
      <c r="C1770" s="3" t="s">
        <v>57</v>
      </c>
      <c r="D1770" s="3" t="s">
        <v>90</v>
      </c>
      <c r="E1770" s="3" t="s">
        <v>119</v>
      </c>
      <c r="F1770" s="3" t="s">
        <v>120</v>
      </c>
      <c r="G1770" s="3" t="s">
        <v>51</v>
      </c>
      <c r="H1770" s="3" t="s">
        <v>77</v>
      </c>
      <c r="I1770" s="3" t="s">
        <v>1610</v>
      </c>
      <c r="J1770" s="3" t="s">
        <v>44</v>
      </c>
      <c r="K1770" s="3">
        <v>2</v>
      </c>
      <c r="L1770" s="3">
        <v>12350.31</v>
      </c>
      <c r="M1770" s="3">
        <v>24700.62</v>
      </c>
      <c r="N1770" s="3">
        <v>18520.16</v>
      </c>
      <c r="O1770" s="3">
        <v>6180.46</v>
      </c>
      <c r="P1770" s="3" t="s">
        <v>34</v>
      </c>
    </row>
    <row r="1771" spans="1:16" x14ac:dyDescent="0.35">
      <c r="A1771" s="3" t="s">
        <v>3054</v>
      </c>
      <c r="B1771" s="3" t="s">
        <v>705</v>
      </c>
      <c r="C1771" s="3" t="s">
        <v>82</v>
      </c>
      <c r="D1771" s="3" t="s">
        <v>38</v>
      </c>
      <c r="E1771" s="3" t="s">
        <v>39</v>
      </c>
      <c r="F1771" s="3" t="s">
        <v>40</v>
      </c>
      <c r="G1771" s="3" t="s">
        <v>30</v>
      </c>
      <c r="H1771" s="3" t="s">
        <v>31</v>
      </c>
      <c r="I1771" s="3" t="s">
        <v>3055</v>
      </c>
      <c r="J1771" s="3" t="s">
        <v>54</v>
      </c>
      <c r="K1771" s="3">
        <v>4</v>
      </c>
      <c r="L1771" s="3">
        <v>3062.93</v>
      </c>
      <c r="M1771" s="3">
        <v>12251.72</v>
      </c>
      <c r="N1771" s="3">
        <v>7258.26</v>
      </c>
      <c r="O1771" s="3">
        <v>4993.46</v>
      </c>
      <c r="P1771" s="3" t="s">
        <v>69</v>
      </c>
    </row>
    <row r="1772" spans="1:16" x14ac:dyDescent="0.35">
      <c r="A1772" s="3" t="s">
        <v>3056</v>
      </c>
      <c r="B1772" s="3" t="s">
        <v>392</v>
      </c>
      <c r="C1772" s="3" t="s">
        <v>103</v>
      </c>
      <c r="D1772" s="3" t="s">
        <v>90</v>
      </c>
      <c r="E1772" s="3" t="s">
        <v>119</v>
      </c>
      <c r="F1772" s="3" t="s">
        <v>120</v>
      </c>
      <c r="G1772" s="3" t="s">
        <v>22</v>
      </c>
      <c r="H1772" s="3" t="s">
        <v>93</v>
      </c>
      <c r="I1772" s="3" t="s">
        <v>1465</v>
      </c>
      <c r="J1772" s="3" t="s">
        <v>161</v>
      </c>
      <c r="K1772" s="3">
        <v>4</v>
      </c>
      <c r="L1772" s="3">
        <v>6301.99</v>
      </c>
      <c r="M1772" s="3">
        <v>25207.96</v>
      </c>
      <c r="N1772" s="3">
        <v>20293.490000000002</v>
      </c>
      <c r="O1772" s="3">
        <v>4914.47</v>
      </c>
      <c r="P1772" s="3" t="s">
        <v>86</v>
      </c>
    </row>
    <row r="1773" spans="1:16" x14ac:dyDescent="0.35">
      <c r="A1773" s="3" t="s">
        <v>3057</v>
      </c>
      <c r="B1773" s="3" t="s">
        <v>936</v>
      </c>
      <c r="C1773" s="3" t="s">
        <v>89</v>
      </c>
      <c r="D1773" s="3" t="s">
        <v>38</v>
      </c>
      <c r="E1773" s="3" t="s">
        <v>39</v>
      </c>
      <c r="F1773" s="3" t="s">
        <v>40</v>
      </c>
      <c r="G1773" s="3" t="s">
        <v>51</v>
      </c>
      <c r="H1773" s="3" t="s">
        <v>145</v>
      </c>
      <c r="I1773" s="3" t="s">
        <v>3058</v>
      </c>
      <c r="J1773" s="3" t="s">
        <v>85</v>
      </c>
      <c r="K1773" s="3">
        <v>6</v>
      </c>
      <c r="L1773" s="3">
        <v>111.78</v>
      </c>
      <c r="M1773" s="3">
        <v>670.68</v>
      </c>
      <c r="N1773" s="3">
        <v>353.07</v>
      </c>
      <c r="O1773" s="3">
        <v>317.61</v>
      </c>
      <c r="P1773" s="3" t="s">
        <v>34</v>
      </c>
    </row>
    <row r="1774" spans="1:16" x14ac:dyDescent="0.35">
      <c r="A1774" s="3" t="s">
        <v>3059</v>
      </c>
      <c r="B1774" s="3" t="s">
        <v>1299</v>
      </c>
      <c r="C1774" s="3" t="s">
        <v>82</v>
      </c>
      <c r="D1774" s="3" t="s">
        <v>90</v>
      </c>
      <c r="E1774" s="3" t="s">
        <v>91</v>
      </c>
      <c r="F1774" s="3" t="s">
        <v>92</v>
      </c>
      <c r="G1774" s="3" t="s">
        <v>41</v>
      </c>
      <c r="H1774" s="3" t="s">
        <v>42</v>
      </c>
      <c r="I1774" s="3" t="s">
        <v>1506</v>
      </c>
      <c r="J1774" s="3" t="s">
        <v>171</v>
      </c>
      <c r="K1774" s="3">
        <v>2</v>
      </c>
      <c r="L1774" s="3">
        <v>41631.550000000003</v>
      </c>
      <c r="M1774" s="3">
        <v>83263.100000000006</v>
      </c>
      <c r="N1774" s="3">
        <v>69011.97</v>
      </c>
      <c r="O1774" s="3">
        <v>14251.13</v>
      </c>
      <c r="P1774" s="3" t="s">
        <v>26</v>
      </c>
    </row>
    <row r="1775" spans="1:16" x14ac:dyDescent="0.35">
      <c r="A1775" s="3" t="s">
        <v>3060</v>
      </c>
      <c r="B1775" s="3" t="s">
        <v>47</v>
      </c>
      <c r="C1775" s="3" t="s">
        <v>48</v>
      </c>
      <c r="D1775" s="3" t="s">
        <v>58</v>
      </c>
      <c r="E1775" s="3" t="s">
        <v>176</v>
      </c>
      <c r="F1775" s="3" t="s">
        <v>177</v>
      </c>
      <c r="G1775" s="3" t="s">
        <v>30</v>
      </c>
      <c r="H1775" s="3" t="s">
        <v>31</v>
      </c>
      <c r="I1775" s="3" t="s">
        <v>3061</v>
      </c>
      <c r="J1775" s="3" t="s">
        <v>85</v>
      </c>
      <c r="K1775" s="3">
        <v>3</v>
      </c>
      <c r="L1775" s="3">
        <v>2794.7</v>
      </c>
      <c r="M1775" s="3">
        <v>8384.1</v>
      </c>
      <c r="N1775" s="3">
        <v>5802.12</v>
      </c>
      <c r="O1775" s="3">
        <v>2581.98</v>
      </c>
      <c r="P1775" s="3" t="s">
        <v>45</v>
      </c>
    </row>
    <row r="1776" spans="1:16" x14ac:dyDescent="0.35">
      <c r="A1776" s="3" t="s">
        <v>3062</v>
      </c>
      <c r="B1776" s="3" t="s">
        <v>859</v>
      </c>
      <c r="C1776" s="3" t="s">
        <v>48</v>
      </c>
      <c r="D1776" s="3" t="s">
        <v>19</v>
      </c>
      <c r="E1776" s="3" t="s">
        <v>20</v>
      </c>
      <c r="F1776" s="3" t="s">
        <v>21</v>
      </c>
      <c r="G1776" s="3" t="s">
        <v>41</v>
      </c>
      <c r="H1776" s="3" t="s">
        <v>42</v>
      </c>
      <c r="I1776" s="3" t="s">
        <v>3063</v>
      </c>
      <c r="J1776" s="3" t="s">
        <v>44</v>
      </c>
      <c r="K1776" s="3">
        <v>7</v>
      </c>
      <c r="L1776" s="3">
        <v>42739.58</v>
      </c>
      <c r="M1776" s="3">
        <v>299177.06</v>
      </c>
      <c r="N1776" s="3">
        <v>245573.16</v>
      </c>
      <c r="O1776" s="3">
        <v>53603.9</v>
      </c>
      <c r="P1776" s="3" t="s">
        <v>45</v>
      </c>
    </row>
    <row r="1777" spans="1:16" x14ac:dyDescent="0.35">
      <c r="A1777" s="3" t="s">
        <v>3064</v>
      </c>
      <c r="B1777" s="3" t="s">
        <v>994</v>
      </c>
      <c r="C1777" s="3" t="s">
        <v>29</v>
      </c>
      <c r="D1777" s="3" t="s">
        <v>19</v>
      </c>
      <c r="E1777" s="3" t="s">
        <v>20</v>
      </c>
      <c r="F1777" s="3" t="s">
        <v>21</v>
      </c>
      <c r="G1777" s="3" t="s">
        <v>30</v>
      </c>
      <c r="H1777" s="3" t="s">
        <v>67</v>
      </c>
      <c r="I1777" s="3" t="s">
        <v>697</v>
      </c>
      <c r="J1777" s="3" t="s">
        <v>79</v>
      </c>
      <c r="K1777" s="3">
        <v>7</v>
      </c>
      <c r="L1777" s="3">
        <v>9453.73</v>
      </c>
      <c r="M1777" s="3">
        <v>66176.11</v>
      </c>
      <c r="N1777" s="3">
        <v>54961.01</v>
      </c>
      <c r="O1777" s="3">
        <v>11215.1</v>
      </c>
      <c r="P1777" s="3" t="s">
        <v>69</v>
      </c>
    </row>
    <row r="1778" spans="1:16" x14ac:dyDescent="0.35">
      <c r="A1778" s="3" t="s">
        <v>3065</v>
      </c>
      <c r="B1778" s="3" t="s">
        <v>1062</v>
      </c>
      <c r="C1778" s="3" t="s">
        <v>89</v>
      </c>
      <c r="D1778" s="3" t="s">
        <v>38</v>
      </c>
      <c r="E1778" s="3" t="s">
        <v>104</v>
      </c>
      <c r="F1778" s="3" t="s">
        <v>104</v>
      </c>
      <c r="G1778" s="3" t="s">
        <v>22</v>
      </c>
      <c r="H1778" s="3" t="s">
        <v>23</v>
      </c>
      <c r="I1778" s="3" t="s">
        <v>741</v>
      </c>
      <c r="J1778" s="3" t="s">
        <v>217</v>
      </c>
      <c r="K1778" s="3">
        <v>3</v>
      </c>
      <c r="L1778" s="3">
        <v>3337.63</v>
      </c>
      <c r="M1778" s="3">
        <v>10012.89</v>
      </c>
      <c r="N1778" s="3">
        <v>6588.84</v>
      </c>
      <c r="O1778" s="3">
        <v>3424.05</v>
      </c>
      <c r="P1778" s="3" t="s">
        <v>26</v>
      </c>
    </row>
    <row r="1779" spans="1:16" x14ac:dyDescent="0.35">
      <c r="A1779" s="3" t="s">
        <v>3066</v>
      </c>
      <c r="B1779" s="3" t="s">
        <v>678</v>
      </c>
      <c r="C1779" s="3" t="s">
        <v>137</v>
      </c>
      <c r="D1779" s="3" t="s">
        <v>90</v>
      </c>
      <c r="E1779" s="3" t="s">
        <v>119</v>
      </c>
      <c r="F1779" s="3" t="s">
        <v>120</v>
      </c>
      <c r="G1779" s="3" t="s">
        <v>51</v>
      </c>
      <c r="H1779" s="3" t="s">
        <v>52</v>
      </c>
      <c r="I1779" s="3" t="s">
        <v>2056</v>
      </c>
      <c r="J1779" s="3" t="s">
        <v>85</v>
      </c>
      <c r="K1779" s="3">
        <v>5</v>
      </c>
      <c r="L1779" s="3">
        <v>26.34</v>
      </c>
      <c r="M1779" s="3">
        <v>131.69999999999999</v>
      </c>
      <c r="N1779" s="3">
        <v>49.48</v>
      </c>
      <c r="O1779" s="3">
        <v>82.22</v>
      </c>
      <c r="P1779" s="3" t="s">
        <v>45</v>
      </c>
    </row>
    <row r="1780" spans="1:16" x14ac:dyDescent="0.35">
      <c r="A1780" s="3" t="s">
        <v>3067</v>
      </c>
      <c r="B1780" s="3" t="s">
        <v>1644</v>
      </c>
      <c r="C1780" s="3" t="s">
        <v>118</v>
      </c>
      <c r="D1780" s="3" t="s">
        <v>90</v>
      </c>
      <c r="E1780" s="3" t="s">
        <v>97</v>
      </c>
      <c r="F1780" s="3" t="s">
        <v>98</v>
      </c>
      <c r="G1780" s="3" t="s">
        <v>51</v>
      </c>
      <c r="H1780" s="3" t="s">
        <v>77</v>
      </c>
      <c r="I1780" s="3" t="s">
        <v>178</v>
      </c>
      <c r="J1780" s="3" t="s">
        <v>25</v>
      </c>
      <c r="K1780" s="3">
        <v>5</v>
      </c>
      <c r="L1780" s="3">
        <v>13086.4</v>
      </c>
      <c r="M1780" s="3">
        <v>65432</v>
      </c>
      <c r="N1780" s="3">
        <v>45646.720000000001</v>
      </c>
      <c r="O1780" s="3">
        <v>19785.28</v>
      </c>
      <c r="P1780" s="3" t="s">
        <v>69</v>
      </c>
    </row>
    <row r="1781" spans="1:16" x14ac:dyDescent="0.35">
      <c r="A1781" s="3" t="s">
        <v>3068</v>
      </c>
      <c r="B1781" s="3" t="s">
        <v>384</v>
      </c>
      <c r="C1781" s="3" t="s">
        <v>57</v>
      </c>
      <c r="D1781" s="3" t="s">
        <v>38</v>
      </c>
      <c r="E1781" s="3" t="s">
        <v>104</v>
      </c>
      <c r="F1781" s="3" t="s">
        <v>104</v>
      </c>
      <c r="G1781" s="3" t="s">
        <v>30</v>
      </c>
      <c r="H1781" s="3" t="s">
        <v>31</v>
      </c>
      <c r="I1781" s="3" t="s">
        <v>2833</v>
      </c>
      <c r="J1781" s="3" t="s">
        <v>171</v>
      </c>
      <c r="K1781" s="3">
        <v>5</v>
      </c>
      <c r="L1781" s="3">
        <v>2968.27</v>
      </c>
      <c r="M1781" s="3">
        <v>14841.35</v>
      </c>
      <c r="N1781" s="3">
        <v>9273.27</v>
      </c>
      <c r="O1781" s="3">
        <v>5568.08</v>
      </c>
      <c r="P1781" s="3" t="s">
        <v>26</v>
      </c>
    </row>
    <row r="1782" spans="1:16" x14ac:dyDescent="0.35">
      <c r="A1782" s="3" t="s">
        <v>3069</v>
      </c>
      <c r="B1782" s="3" t="s">
        <v>792</v>
      </c>
      <c r="C1782" s="3" t="s">
        <v>72</v>
      </c>
      <c r="D1782" s="3" t="s">
        <v>90</v>
      </c>
      <c r="E1782" s="3" t="s">
        <v>91</v>
      </c>
      <c r="F1782" s="3" t="s">
        <v>92</v>
      </c>
      <c r="G1782" s="3" t="s">
        <v>30</v>
      </c>
      <c r="H1782" s="3" t="s">
        <v>73</v>
      </c>
      <c r="I1782" s="3" t="s">
        <v>708</v>
      </c>
      <c r="J1782" s="3" t="s">
        <v>131</v>
      </c>
      <c r="K1782" s="3">
        <v>4</v>
      </c>
      <c r="L1782" s="3">
        <v>3393.11</v>
      </c>
      <c r="M1782" s="3">
        <v>13572.44</v>
      </c>
      <c r="N1782" s="3">
        <v>9264.32</v>
      </c>
      <c r="O1782" s="3">
        <v>4308.12</v>
      </c>
      <c r="P1782" s="3" t="s">
        <v>86</v>
      </c>
    </row>
    <row r="1783" spans="1:16" x14ac:dyDescent="0.35">
      <c r="A1783" s="3" t="s">
        <v>3070</v>
      </c>
      <c r="B1783" s="3" t="s">
        <v>315</v>
      </c>
      <c r="C1783" s="3" t="s">
        <v>118</v>
      </c>
      <c r="D1783" s="3" t="s">
        <v>90</v>
      </c>
      <c r="E1783" s="3" t="s">
        <v>91</v>
      </c>
      <c r="F1783" s="3" t="s">
        <v>92</v>
      </c>
      <c r="G1783" s="3" t="s">
        <v>22</v>
      </c>
      <c r="H1783" s="3" t="s">
        <v>93</v>
      </c>
      <c r="I1783" s="3" t="s">
        <v>2233</v>
      </c>
      <c r="J1783" s="3" t="s">
        <v>79</v>
      </c>
      <c r="K1783" s="3">
        <v>6</v>
      </c>
      <c r="L1783" s="3">
        <v>6826.77</v>
      </c>
      <c r="M1783" s="3">
        <v>40960.620000000003</v>
      </c>
      <c r="N1783" s="3">
        <v>30957.56</v>
      </c>
      <c r="O1783" s="3">
        <v>10003.06</v>
      </c>
      <c r="P1783" s="3" t="s">
        <v>45</v>
      </c>
    </row>
    <row r="1784" spans="1:16" x14ac:dyDescent="0.35">
      <c r="A1784" s="3" t="s">
        <v>3071</v>
      </c>
      <c r="B1784" s="3" t="s">
        <v>738</v>
      </c>
      <c r="C1784" s="3" t="s">
        <v>114</v>
      </c>
      <c r="D1784" s="3" t="s">
        <v>90</v>
      </c>
      <c r="E1784" s="3" t="s">
        <v>119</v>
      </c>
      <c r="F1784" s="3" t="s">
        <v>120</v>
      </c>
      <c r="G1784" s="3" t="s">
        <v>41</v>
      </c>
      <c r="H1784" s="3" t="s">
        <v>42</v>
      </c>
      <c r="I1784" s="3" t="s">
        <v>664</v>
      </c>
      <c r="J1784" s="3" t="s">
        <v>106</v>
      </c>
      <c r="K1784" s="3">
        <v>1</v>
      </c>
      <c r="L1784" s="3">
        <v>43221.79</v>
      </c>
      <c r="M1784" s="3">
        <v>43221.79</v>
      </c>
      <c r="N1784" s="3">
        <v>34711.769999999997</v>
      </c>
      <c r="O1784" s="3">
        <v>8510.02</v>
      </c>
      <c r="P1784" s="3" t="s">
        <v>34</v>
      </c>
    </row>
    <row r="1785" spans="1:16" x14ac:dyDescent="0.35">
      <c r="A1785" s="3" t="s">
        <v>3072</v>
      </c>
      <c r="B1785" s="3" t="s">
        <v>886</v>
      </c>
      <c r="C1785" s="3" t="s">
        <v>48</v>
      </c>
      <c r="D1785" s="3" t="s">
        <v>90</v>
      </c>
      <c r="E1785" s="3" t="s">
        <v>97</v>
      </c>
      <c r="F1785" s="3" t="s">
        <v>98</v>
      </c>
      <c r="G1785" s="3" t="s">
        <v>51</v>
      </c>
      <c r="H1785" s="3" t="s">
        <v>145</v>
      </c>
      <c r="I1785" s="3" t="s">
        <v>1508</v>
      </c>
      <c r="J1785" s="3" t="s">
        <v>131</v>
      </c>
      <c r="K1785" s="3">
        <v>2</v>
      </c>
      <c r="L1785" s="3">
        <v>112.38</v>
      </c>
      <c r="M1785" s="3">
        <v>224.76</v>
      </c>
      <c r="N1785" s="3">
        <v>115.41</v>
      </c>
      <c r="O1785" s="3">
        <v>109.35</v>
      </c>
      <c r="P1785" s="3" t="s">
        <v>45</v>
      </c>
    </row>
    <row r="1786" spans="1:16" x14ac:dyDescent="0.35">
      <c r="A1786" s="3" t="s">
        <v>3073</v>
      </c>
      <c r="B1786" s="3" t="s">
        <v>1406</v>
      </c>
      <c r="C1786" s="3" t="s">
        <v>137</v>
      </c>
      <c r="D1786" s="3" t="s">
        <v>90</v>
      </c>
      <c r="E1786" s="3" t="s">
        <v>97</v>
      </c>
      <c r="F1786" s="3" t="s">
        <v>98</v>
      </c>
      <c r="G1786" s="3" t="s">
        <v>51</v>
      </c>
      <c r="H1786" s="3" t="s">
        <v>145</v>
      </c>
      <c r="I1786" s="3" t="s">
        <v>3074</v>
      </c>
      <c r="J1786" s="3" t="s">
        <v>33</v>
      </c>
      <c r="K1786" s="3">
        <v>7</v>
      </c>
      <c r="L1786" s="3">
        <v>120.3</v>
      </c>
      <c r="M1786" s="3">
        <v>842.1</v>
      </c>
      <c r="N1786" s="3">
        <v>433.72</v>
      </c>
      <c r="O1786" s="3">
        <v>408.38</v>
      </c>
      <c r="P1786" s="3" t="s">
        <v>45</v>
      </c>
    </row>
    <row r="1787" spans="1:16" x14ac:dyDescent="0.35">
      <c r="A1787" s="3" t="s">
        <v>3075</v>
      </c>
      <c r="B1787" s="3" t="s">
        <v>1594</v>
      </c>
      <c r="C1787" s="3" t="s">
        <v>48</v>
      </c>
      <c r="D1787" s="3" t="s">
        <v>58</v>
      </c>
      <c r="E1787" s="3" t="s">
        <v>59</v>
      </c>
      <c r="F1787" s="3" t="s">
        <v>60</v>
      </c>
      <c r="G1787" s="3" t="s">
        <v>51</v>
      </c>
      <c r="H1787" s="3" t="s">
        <v>77</v>
      </c>
      <c r="I1787" s="3" t="s">
        <v>519</v>
      </c>
      <c r="J1787" s="3" t="s">
        <v>171</v>
      </c>
      <c r="K1787" s="3">
        <v>8</v>
      </c>
      <c r="L1787" s="3">
        <v>12404.3</v>
      </c>
      <c r="M1787" s="3">
        <v>99234.4</v>
      </c>
      <c r="N1787" s="3">
        <v>68433.149999999994</v>
      </c>
      <c r="O1787" s="3">
        <v>30801.25</v>
      </c>
      <c r="P1787" s="3" t="s">
        <v>45</v>
      </c>
    </row>
    <row r="1788" spans="1:16" x14ac:dyDescent="0.35">
      <c r="A1788" s="3" t="s">
        <v>3076</v>
      </c>
      <c r="B1788" s="3" t="s">
        <v>321</v>
      </c>
      <c r="C1788" s="3" t="s">
        <v>137</v>
      </c>
      <c r="D1788" s="3" t="s">
        <v>90</v>
      </c>
      <c r="E1788" s="3" t="s">
        <v>97</v>
      </c>
      <c r="F1788" s="3" t="s">
        <v>98</v>
      </c>
      <c r="G1788" s="3" t="s">
        <v>41</v>
      </c>
      <c r="H1788" s="3" t="s">
        <v>61</v>
      </c>
      <c r="I1788" s="3" t="s">
        <v>3077</v>
      </c>
      <c r="J1788" s="3" t="s">
        <v>85</v>
      </c>
      <c r="K1788" s="3">
        <v>7</v>
      </c>
      <c r="L1788" s="3">
        <v>2714.11</v>
      </c>
      <c r="M1788" s="3">
        <v>18998.77</v>
      </c>
      <c r="N1788" s="3">
        <v>10975.59</v>
      </c>
      <c r="O1788" s="3">
        <v>8023.18</v>
      </c>
      <c r="P1788" s="3" t="s">
        <v>45</v>
      </c>
    </row>
    <row r="1789" spans="1:16" x14ac:dyDescent="0.35">
      <c r="A1789" s="3" t="s">
        <v>3078</v>
      </c>
      <c r="B1789" s="3" t="s">
        <v>1997</v>
      </c>
      <c r="C1789" s="3" t="s">
        <v>114</v>
      </c>
      <c r="D1789" s="3" t="s">
        <v>58</v>
      </c>
      <c r="E1789" s="3" t="s">
        <v>59</v>
      </c>
      <c r="F1789" s="3" t="s">
        <v>60</v>
      </c>
      <c r="G1789" s="3" t="s">
        <v>41</v>
      </c>
      <c r="H1789" s="3" t="s">
        <v>138</v>
      </c>
      <c r="I1789" s="3" t="s">
        <v>1576</v>
      </c>
      <c r="J1789" s="3" t="s">
        <v>217</v>
      </c>
      <c r="K1789" s="3">
        <v>8</v>
      </c>
      <c r="L1789" s="3">
        <v>17149.55</v>
      </c>
      <c r="M1789" s="3">
        <v>137196.4</v>
      </c>
      <c r="N1789" s="3">
        <v>115595.43</v>
      </c>
      <c r="O1789" s="3">
        <v>21600.97</v>
      </c>
      <c r="P1789" s="3" t="s">
        <v>45</v>
      </c>
    </row>
    <row r="1790" spans="1:16" x14ac:dyDescent="0.35">
      <c r="A1790" s="3" t="s">
        <v>3079</v>
      </c>
      <c r="B1790" s="3" t="s">
        <v>1578</v>
      </c>
      <c r="C1790" s="3" t="s">
        <v>137</v>
      </c>
      <c r="D1790" s="3" t="s">
        <v>90</v>
      </c>
      <c r="E1790" s="3" t="s">
        <v>119</v>
      </c>
      <c r="F1790" s="3" t="s">
        <v>120</v>
      </c>
      <c r="G1790" s="3" t="s">
        <v>22</v>
      </c>
      <c r="H1790" s="3" t="s">
        <v>23</v>
      </c>
      <c r="I1790" s="3" t="s">
        <v>850</v>
      </c>
      <c r="J1790" s="3" t="s">
        <v>54</v>
      </c>
      <c r="K1790" s="3">
        <v>7</v>
      </c>
      <c r="L1790" s="3">
        <v>3480.03</v>
      </c>
      <c r="M1790" s="3">
        <v>24360.21</v>
      </c>
      <c r="N1790" s="3">
        <v>15675.93</v>
      </c>
      <c r="O1790" s="3">
        <v>8684.2800000000007</v>
      </c>
      <c r="P1790" s="3" t="s">
        <v>45</v>
      </c>
    </row>
    <row r="1791" spans="1:16" x14ac:dyDescent="0.35">
      <c r="A1791" s="3" t="s">
        <v>3080</v>
      </c>
      <c r="B1791" s="3" t="s">
        <v>678</v>
      </c>
      <c r="C1791" s="3" t="s">
        <v>137</v>
      </c>
      <c r="D1791" s="3" t="s">
        <v>19</v>
      </c>
      <c r="E1791" s="3" t="s">
        <v>20</v>
      </c>
      <c r="F1791" s="3" t="s">
        <v>21</v>
      </c>
      <c r="G1791" s="3" t="s">
        <v>30</v>
      </c>
      <c r="H1791" s="3" t="s">
        <v>31</v>
      </c>
      <c r="I1791" s="3" t="s">
        <v>2945</v>
      </c>
      <c r="J1791" s="3" t="s">
        <v>161</v>
      </c>
      <c r="K1791" s="3">
        <v>2</v>
      </c>
      <c r="L1791" s="3">
        <v>2851.03</v>
      </c>
      <c r="M1791" s="3">
        <v>5702.06</v>
      </c>
      <c r="N1791" s="3">
        <v>3973.34</v>
      </c>
      <c r="O1791" s="3">
        <v>1728.72</v>
      </c>
      <c r="P1791" s="3" t="s">
        <v>86</v>
      </c>
    </row>
    <row r="1792" spans="1:16" x14ac:dyDescent="0.35">
      <c r="A1792" s="3" t="s">
        <v>3081</v>
      </c>
      <c r="B1792" s="3" t="s">
        <v>108</v>
      </c>
      <c r="C1792" s="3" t="s">
        <v>72</v>
      </c>
      <c r="D1792" s="3" t="s">
        <v>58</v>
      </c>
      <c r="E1792" s="3" t="s">
        <v>176</v>
      </c>
      <c r="F1792" s="3" t="s">
        <v>177</v>
      </c>
      <c r="G1792" s="3" t="s">
        <v>22</v>
      </c>
      <c r="H1792" s="3" t="s">
        <v>93</v>
      </c>
      <c r="I1792" s="3" t="s">
        <v>532</v>
      </c>
      <c r="J1792" s="3" t="s">
        <v>154</v>
      </c>
      <c r="K1792" s="3">
        <v>3</v>
      </c>
      <c r="L1792" s="3">
        <v>6915.36</v>
      </c>
      <c r="M1792" s="3">
        <v>20746.080000000002</v>
      </c>
      <c r="N1792" s="3">
        <v>14744.38</v>
      </c>
      <c r="O1792" s="3">
        <v>6001.7</v>
      </c>
      <c r="P1792" s="3" t="s">
        <v>45</v>
      </c>
    </row>
    <row r="1793" spans="1:16" x14ac:dyDescent="0.35">
      <c r="A1793" s="3" t="s">
        <v>3082</v>
      </c>
      <c r="B1793" s="3" t="s">
        <v>552</v>
      </c>
      <c r="C1793" s="3" t="s">
        <v>89</v>
      </c>
      <c r="D1793" s="3" t="s">
        <v>38</v>
      </c>
      <c r="E1793" s="3" t="s">
        <v>39</v>
      </c>
      <c r="F1793" s="3" t="s">
        <v>40</v>
      </c>
      <c r="G1793" s="3" t="s">
        <v>41</v>
      </c>
      <c r="H1793" s="3" t="s">
        <v>42</v>
      </c>
      <c r="I1793" s="3" t="s">
        <v>331</v>
      </c>
      <c r="J1793" s="3" t="s">
        <v>171</v>
      </c>
      <c r="K1793" s="3">
        <v>1</v>
      </c>
      <c r="L1793" s="3">
        <v>45499.67</v>
      </c>
      <c r="M1793" s="3">
        <v>45499.67</v>
      </c>
      <c r="N1793" s="3">
        <v>33446.85</v>
      </c>
      <c r="O1793" s="3">
        <v>12052.82</v>
      </c>
      <c r="P1793" s="3" t="s">
        <v>86</v>
      </c>
    </row>
    <row r="1794" spans="1:16" x14ac:dyDescent="0.35">
      <c r="A1794" s="3" t="s">
        <v>3083</v>
      </c>
      <c r="B1794" s="3" t="s">
        <v>392</v>
      </c>
      <c r="C1794" s="3" t="s">
        <v>103</v>
      </c>
      <c r="D1794" s="3" t="s">
        <v>38</v>
      </c>
      <c r="E1794" s="3" t="s">
        <v>39</v>
      </c>
      <c r="F1794" s="3" t="s">
        <v>40</v>
      </c>
      <c r="G1794" s="3" t="s">
        <v>30</v>
      </c>
      <c r="H1794" s="3" t="s">
        <v>67</v>
      </c>
      <c r="I1794" s="3" t="s">
        <v>297</v>
      </c>
      <c r="J1794" s="3" t="s">
        <v>154</v>
      </c>
      <c r="K1794" s="3">
        <v>8</v>
      </c>
      <c r="L1794" s="3">
        <v>10096.1</v>
      </c>
      <c r="M1794" s="3">
        <v>80768.800000000003</v>
      </c>
      <c r="N1794" s="3">
        <v>57782.32</v>
      </c>
      <c r="O1794" s="3">
        <v>22986.48</v>
      </c>
      <c r="P1794" s="3" t="s">
        <v>45</v>
      </c>
    </row>
    <row r="1795" spans="1:16" x14ac:dyDescent="0.35">
      <c r="A1795" s="3" t="s">
        <v>3084</v>
      </c>
      <c r="B1795" s="3" t="s">
        <v>661</v>
      </c>
      <c r="C1795" s="3" t="s">
        <v>114</v>
      </c>
      <c r="D1795" s="3" t="s">
        <v>38</v>
      </c>
      <c r="E1795" s="3" t="s">
        <v>39</v>
      </c>
      <c r="F1795" s="3" t="s">
        <v>40</v>
      </c>
      <c r="G1795" s="3" t="s">
        <v>30</v>
      </c>
      <c r="H1795" s="3" t="s">
        <v>67</v>
      </c>
      <c r="I1795" s="3" t="s">
        <v>1029</v>
      </c>
      <c r="J1795" s="3" t="s">
        <v>54</v>
      </c>
      <c r="K1795" s="3">
        <v>2</v>
      </c>
      <c r="L1795" s="3">
        <v>9882.44</v>
      </c>
      <c r="M1795" s="3">
        <v>19764.88</v>
      </c>
      <c r="N1795" s="3">
        <v>15521.02</v>
      </c>
      <c r="O1795" s="3">
        <v>4243.8599999999997</v>
      </c>
      <c r="P1795" s="3" t="s">
        <v>45</v>
      </c>
    </row>
    <row r="1796" spans="1:16" x14ac:dyDescent="0.35">
      <c r="A1796" s="3" t="s">
        <v>3085</v>
      </c>
      <c r="B1796" s="3" t="s">
        <v>398</v>
      </c>
      <c r="C1796" s="3" t="s">
        <v>57</v>
      </c>
      <c r="D1796" s="3" t="s">
        <v>58</v>
      </c>
      <c r="E1796" s="3" t="s">
        <v>176</v>
      </c>
      <c r="F1796" s="3" t="s">
        <v>177</v>
      </c>
      <c r="G1796" s="3" t="s">
        <v>51</v>
      </c>
      <c r="H1796" s="3" t="s">
        <v>52</v>
      </c>
      <c r="I1796" s="3" t="s">
        <v>1749</v>
      </c>
      <c r="J1796" s="3" t="s">
        <v>188</v>
      </c>
      <c r="K1796" s="3">
        <v>6</v>
      </c>
      <c r="L1796" s="3">
        <v>24.51</v>
      </c>
      <c r="M1796" s="3">
        <v>147.06</v>
      </c>
      <c r="N1796" s="3">
        <v>57.87</v>
      </c>
      <c r="O1796" s="3">
        <v>89.19</v>
      </c>
      <c r="P1796" s="3" t="s">
        <v>45</v>
      </c>
    </row>
    <row r="1797" spans="1:16" x14ac:dyDescent="0.35">
      <c r="A1797" s="3" t="s">
        <v>3086</v>
      </c>
      <c r="B1797" s="3" t="s">
        <v>712</v>
      </c>
      <c r="C1797" s="3" t="s">
        <v>37</v>
      </c>
      <c r="D1797" s="3" t="s">
        <v>38</v>
      </c>
      <c r="E1797" s="3" t="s">
        <v>109</v>
      </c>
      <c r="F1797" s="3" t="s">
        <v>110</v>
      </c>
      <c r="G1797" s="3" t="s">
        <v>30</v>
      </c>
      <c r="H1797" s="3" t="s">
        <v>31</v>
      </c>
      <c r="I1797" s="3" t="s">
        <v>2349</v>
      </c>
      <c r="J1797" s="3" t="s">
        <v>85</v>
      </c>
      <c r="K1797" s="3">
        <v>1</v>
      </c>
      <c r="L1797" s="3">
        <v>3035.6</v>
      </c>
      <c r="M1797" s="3">
        <v>3035.6</v>
      </c>
      <c r="N1797" s="3">
        <v>1809</v>
      </c>
      <c r="O1797" s="3">
        <v>1226.5999999999999</v>
      </c>
      <c r="P1797" s="3" t="s">
        <v>86</v>
      </c>
    </row>
    <row r="1798" spans="1:16" x14ac:dyDescent="0.35">
      <c r="A1798" s="3" t="s">
        <v>3087</v>
      </c>
      <c r="B1798" s="3" t="s">
        <v>321</v>
      </c>
      <c r="C1798" s="3" t="s">
        <v>137</v>
      </c>
      <c r="D1798" s="3" t="s">
        <v>38</v>
      </c>
      <c r="E1798" s="3" t="s">
        <v>104</v>
      </c>
      <c r="F1798" s="3" t="s">
        <v>104</v>
      </c>
      <c r="G1798" s="3" t="s">
        <v>30</v>
      </c>
      <c r="H1798" s="3" t="s">
        <v>67</v>
      </c>
      <c r="I1798" s="3" t="s">
        <v>718</v>
      </c>
      <c r="J1798" s="3" t="s">
        <v>33</v>
      </c>
      <c r="K1798" s="3">
        <v>1</v>
      </c>
      <c r="L1798" s="3">
        <v>9959.25</v>
      </c>
      <c r="M1798" s="3">
        <v>9959.25</v>
      </c>
      <c r="N1798" s="3">
        <v>7264.67</v>
      </c>
      <c r="O1798" s="3">
        <v>2694.58</v>
      </c>
      <c r="P1798" s="3" t="s">
        <v>26</v>
      </c>
    </row>
    <row r="1799" spans="1:16" x14ac:dyDescent="0.35">
      <c r="A1799" s="3" t="s">
        <v>3088</v>
      </c>
      <c r="B1799" s="3" t="s">
        <v>381</v>
      </c>
      <c r="C1799" s="3" t="s">
        <v>18</v>
      </c>
      <c r="D1799" s="3" t="s">
        <v>90</v>
      </c>
      <c r="E1799" s="3" t="s">
        <v>91</v>
      </c>
      <c r="F1799" s="3" t="s">
        <v>92</v>
      </c>
      <c r="G1799" s="3" t="s">
        <v>30</v>
      </c>
      <c r="H1799" s="3" t="s">
        <v>31</v>
      </c>
      <c r="I1799" s="3" t="s">
        <v>1905</v>
      </c>
      <c r="J1799" s="3" t="s">
        <v>188</v>
      </c>
      <c r="K1799" s="3">
        <v>4</v>
      </c>
      <c r="L1799" s="3">
        <v>2613.6999999999998</v>
      </c>
      <c r="M1799" s="3">
        <v>10454.799999999999</v>
      </c>
      <c r="N1799" s="3">
        <v>7863.51</v>
      </c>
      <c r="O1799" s="3">
        <v>2591.29</v>
      </c>
      <c r="P1799" s="3" t="s">
        <v>34</v>
      </c>
    </row>
    <row r="1800" spans="1:16" x14ac:dyDescent="0.35">
      <c r="A1800" s="3" t="s">
        <v>3089</v>
      </c>
      <c r="B1800" s="3" t="s">
        <v>1423</v>
      </c>
      <c r="C1800" s="3" t="s">
        <v>37</v>
      </c>
      <c r="D1800" s="3" t="s">
        <v>90</v>
      </c>
      <c r="E1800" s="3" t="s">
        <v>97</v>
      </c>
      <c r="F1800" s="3" t="s">
        <v>98</v>
      </c>
      <c r="G1800" s="3" t="s">
        <v>51</v>
      </c>
      <c r="H1800" s="3" t="s">
        <v>52</v>
      </c>
      <c r="I1800" s="3" t="s">
        <v>1673</v>
      </c>
      <c r="J1800" s="3" t="s">
        <v>44</v>
      </c>
      <c r="K1800" s="3">
        <v>1</v>
      </c>
      <c r="L1800" s="3">
        <v>23.68</v>
      </c>
      <c r="M1800" s="3">
        <v>23.68</v>
      </c>
      <c r="N1800" s="3">
        <v>10.119999999999999</v>
      </c>
      <c r="O1800" s="3">
        <v>13.56</v>
      </c>
      <c r="P1800" s="3" t="s">
        <v>86</v>
      </c>
    </row>
    <row r="1801" spans="1:16" x14ac:dyDescent="0.35">
      <c r="A1801" s="3" t="s">
        <v>3090</v>
      </c>
      <c r="B1801" s="3" t="s">
        <v>2127</v>
      </c>
      <c r="C1801" s="3" t="s">
        <v>48</v>
      </c>
      <c r="D1801" s="3" t="s">
        <v>90</v>
      </c>
      <c r="E1801" s="3" t="s">
        <v>91</v>
      </c>
      <c r="F1801" s="3" t="s">
        <v>92</v>
      </c>
      <c r="G1801" s="3" t="s">
        <v>41</v>
      </c>
      <c r="H1801" s="3" t="s">
        <v>42</v>
      </c>
      <c r="I1801" s="3" t="s">
        <v>1973</v>
      </c>
      <c r="J1801" s="3" t="s">
        <v>161</v>
      </c>
      <c r="K1801" s="3">
        <v>5</v>
      </c>
      <c r="L1801" s="3">
        <v>44853.03</v>
      </c>
      <c r="M1801" s="3">
        <v>224265.15</v>
      </c>
      <c r="N1801" s="3">
        <v>175442.35</v>
      </c>
      <c r="O1801" s="3">
        <v>48822.8</v>
      </c>
      <c r="P1801" s="3" t="s">
        <v>34</v>
      </c>
    </row>
    <row r="1802" spans="1:16" x14ac:dyDescent="0.35">
      <c r="A1802" s="3" t="s">
        <v>3091</v>
      </c>
      <c r="B1802" s="3" t="s">
        <v>1780</v>
      </c>
      <c r="C1802" s="3" t="s">
        <v>137</v>
      </c>
      <c r="D1802" s="3" t="s">
        <v>58</v>
      </c>
      <c r="E1802" s="3" t="s">
        <v>65</v>
      </c>
      <c r="F1802" s="3" t="s">
        <v>66</v>
      </c>
      <c r="G1802" s="3" t="s">
        <v>51</v>
      </c>
      <c r="H1802" s="3" t="s">
        <v>52</v>
      </c>
      <c r="I1802" s="3" t="s">
        <v>1681</v>
      </c>
      <c r="J1802" s="3" t="s">
        <v>79</v>
      </c>
      <c r="K1802" s="3">
        <v>8</v>
      </c>
      <c r="L1802" s="3">
        <v>26.09</v>
      </c>
      <c r="M1802" s="3">
        <v>208.72</v>
      </c>
      <c r="N1802" s="3">
        <v>78.260000000000005</v>
      </c>
      <c r="O1802" s="3">
        <v>130.46</v>
      </c>
      <c r="P1802" s="3" t="s">
        <v>45</v>
      </c>
    </row>
    <row r="1803" spans="1:16" x14ac:dyDescent="0.35">
      <c r="A1803" s="3" t="s">
        <v>3092</v>
      </c>
      <c r="B1803" s="3" t="s">
        <v>834</v>
      </c>
      <c r="C1803" s="3" t="s">
        <v>114</v>
      </c>
      <c r="D1803" s="3" t="s">
        <v>19</v>
      </c>
      <c r="E1803" s="3" t="s">
        <v>20</v>
      </c>
      <c r="F1803" s="3" t="s">
        <v>21</v>
      </c>
      <c r="G1803" s="3" t="s">
        <v>30</v>
      </c>
      <c r="H1803" s="3" t="s">
        <v>31</v>
      </c>
      <c r="I1803" s="3" t="s">
        <v>1070</v>
      </c>
      <c r="J1803" s="3" t="s">
        <v>161</v>
      </c>
      <c r="K1803" s="3">
        <v>4</v>
      </c>
      <c r="L1803" s="3">
        <v>2557.52</v>
      </c>
      <c r="M1803" s="3">
        <v>10230.08</v>
      </c>
      <c r="N1803" s="3">
        <v>7341.56</v>
      </c>
      <c r="O1803" s="3">
        <v>2888.52</v>
      </c>
      <c r="P1803" s="3" t="s">
        <v>34</v>
      </c>
    </row>
    <row r="1804" spans="1:16" x14ac:dyDescent="0.35">
      <c r="A1804" s="3" t="s">
        <v>3093</v>
      </c>
      <c r="B1804" s="3" t="s">
        <v>678</v>
      </c>
      <c r="C1804" s="3" t="s">
        <v>137</v>
      </c>
      <c r="D1804" s="3" t="s">
        <v>58</v>
      </c>
      <c r="E1804" s="3" t="s">
        <v>65</v>
      </c>
      <c r="F1804" s="3" t="s">
        <v>66</v>
      </c>
      <c r="G1804" s="3" t="s">
        <v>22</v>
      </c>
      <c r="H1804" s="3" t="s">
        <v>93</v>
      </c>
      <c r="I1804" s="3" t="s">
        <v>914</v>
      </c>
      <c r="J1804" s="3" t="s">
        <v>79</v>
      </c>
      <c r="K1804" s="3">
        <v>8</v>
      </c>
      <c r="L1804" s="3">
        <v>7658.43</v>
      </c>
      <c r="M1804" s="3">
        <v>61267.44</v>
      </c>
      <c r="N1804" s="3">
        <v>39118.03</v>
      </c>
      <c r="O1804" s="3">
        <v>22149.41</v>
      </c>
      <c r="P1804" s="3" t="s">
        <v>26</v>
      </c>
    </row>
    <row r="1805" spans="1:16" x14ac:dyDescent="0.35">
      <c r="A1805" s="3" t="s">
        <v>3094</v>
      </c>
      <c r="B1805" s="3" t="s">
        <v>672</v>
      </c>
      <c r="C1805" s="3" t="s">
        <v>118</v>
      </c>
      <c r="D1805" s="3" t="s">
        <v>19</v>
      </c>
      <c r="E1805" s="3" t="s">
        <v>49</v>
      </c>
      <c r="F1805" s="3" t="s">
        <v>50</v>
      </c>
      <c r="G1805" s="3" t="s">
        <v>30</v>
      </c>
      <c r="H1805" s="3" t="s">
        <v>73</v>
      </c>
      <c r="I1805" s="3" t="s">
        <v>1905</v>
      </c>
      <c r="J1805" s="3" t="s">
        <v>131</v>
      </c>
      <c r="K1805" s="3">
        <v>2</v>
      </c>
      <c r="L1805" s="3">
        <v>3030.63</v>
      </c>
      <c r="M1805" s="3">
        <v>6061.26</v>
      </c>
      <c r="N1805" s="3">
        <v>4577.22</v>
      </c>
      <c r="O1805" s="3">
        <v>1484.04</v>
      </c>
      <c r="P1805" s="3" t="s">
        <v>45</v>
      </c>
    </row>
    <row r="1806" spans="1:16" x14ac:dyDescent="0.35">
      <c r="A1806" s="3" t="s">
        <v>3095</v>
      </c>
      <c r="B1806" s="3" t="s">
        <v>599</v>
      </c>
      <c r="C1806" s="3" t="s">
        <v>82</v>
      </c>
      <c r="D1806" s="3" t="s">
        <v>38</v>
      </c>
      <c r="E1806" s="3" t="s">
        <v>109</v>
      </c>
      <c r="F1806" s="3" t="s">
        <v>110</v>
      </c>
      <c r="G1806" s="3" t="s">
        <v>41</v>
      </c>
      <c r="H1806" s="3" t="s">
        <v>61</v>
      </c>
      <c r="I1806" s="3" t="s">
        <v>3096</v>
      </c>
      <c r="J1806" s="3" t="s">
        <v>171</v>
      </c>
      <c r="K1806" s="3">
        <v>6</v>
      </c>
      <c r="L1806" s="3">
        <v>2717.65</v>
      </c>
      <c r="M1806" s="3">
        <v>16305.9</v>
      </c>
      <c r="N1806" s="3">
        <v>9925.06</v>
      </c>
      <c r="O1806" s="3">
        <v>6380.84</v>
      </c>
      <c r="P1806" s="3" t="s">
        <v>86</v>
      </c>
    </row>
    <row r="1807" spans="1:16" x14ac:dyDescent="0.35">
      <c r="A1807" s="3" t="s">
        <v>3097</v>
      </c>
      <c r="B1807" s="3" t="s">
        <v>798</v>
      </c>
      <c r="C1807" s="3" t="s">
        <v>18</v>
      </c>
      <c r="D1807" s="3" t="s">
        <v>90</v>
      </c>
      <c r="E1807" s="3" t="s">
        <v>119</v>
      </c>
      <c r="F1807" s="3" t="s">
        <v>120</v>
      </c>
      <c r="G1807" s="3" t="s">
        <v>51</v>
      </c>
      <c r="H1807" s="3" t="s">
        <v>77</v>
      </c>
      <c r="I1807" s="3" t="s">
        <v>1208</v>
      </c>
      <c r="J1807" s="3" t="s">
        <v>217</v>
      </c>
      <c r="K1807" s="3">
        <v>5</v>
      </c>
      <c r="L1807" s="3">
        <v>11897.07</v>
      </c>
      <c r="M1807" s="3">
        <v>59485.35</v>
      </c>
      <c r="N1807" s="3">
        <v>43667.23</v>
      </c>
      <c r="O1807" s="3">
        <v>15818.12</v>
      </c>
      <c r="P1807" s="3" t="s">
        <v>86</v>
      </c>
    </row>
    <row r="1808" spans="1:16" x14ac:dyDescent="0.35">
      <c r="A1808" s="3" t="s">
        <v>3098</v>
      </c>
      <c r="B1808" s="3" t="s">
        <v>1159</v>
      </c>
      <c r="C1808" s="3" t="s">
        <v>29</v>
      </c>
      <c r="D1808" s="3" t="s">
        <v>19</v>
      </c>
      <c r="E1808" s="3" t="s">
        <v>49</v>
      </c>
      <c r="F1808" s="3" t="s">
        <v>50</v>
      </c>
      <c r="G1808" s="3" t="s">
        <v>41</v>
      </c>
      <c r="H1808" s="3" t="s">
        <v>61</v>
      </c>
      <c r="I1808" s="3" t="s">
        <v>3099</v>
      </c>
      <c r="J1808" s="3" t="s">
        <v>147</v>
      </c>
      <c r="K1808" s="3">
        <v>4</v>
      </c>
      <c r="L1808" s="3">
        <v>2641.7</v>
      </c>
      <c r="M1808" s="3">
        <v>10566.8</v>
      </c>
      <c r="N1808" s="3">
        <v>6336.08</v>
      </c>
      <c r="O1808" s="3">
        <v>4230.72</v>
      </c>
      <c r="P1808" s="3" t="s">
        <v>45</v>
      </c>
    </row>
    <row r="1809" spans="1:16" x14ac:dyDescent="0.35">
      <c r="A1809" s="3" t="s">
        <v>3100</v>
      </c>
      <c r="B1809" s="3" t="s">
        <v>1910</v>
      </c>
      <c r="C1809" s="3" t="s">
        <v>29</v>
      </c>
      <c r="D1809" s="3" t="s">
        <v>58</v>
      </c>
      <c r="E1809" s="3" t="s">
        <v>65</v>
      </c>
      <c r="F1809" s="3" t="s">
        <v>66</v>
      </c>
      <c r="G1809" s="3" t="s">
        <v>22</v>
      </c>
      <c r="H1809" s="3" t="s">
        <v>23</v>
      </c>
      <c r="I1809" s="3" t="s">
        <v>2387</v>
      </c>
      <c r="J1809" s="3" t="s">
        <v>154</v>
      </c>
      <c r="K1809" s="3">
        <v>1</v>
      </c>
      <c r="L1809" s="3">
        <v>3218.6</v>
      </c>
      <c r="M1809" s="3">
        <v>3218.6</v>
      </c>
      <c r="N1809" s="3">
        <v>2183.1799999999998</v>
      </c>
      <c r="O1809" s="3">
        <v>1035.42</v>
      </c>
      <c r="P1809" s="3" t="s">
        <v>45</v>
      </c>
    </row>
    <row r="1810" spans="1:16" x14ac:dyDescent="0.35">
      <c r="A1810" s="3" t="s">
        <v>3101</v>
      </c>
      <c r="B1810" s="3" t="s">
        <v>1385</v>
      </c>
      <c r="C1810" s="3" t="s">
        <v>29</v>
      </c>
      <c r="D1810" s="3" t="s">
        <v>38</v>
      </c>
      <c r="E1810" s="3" t="s">
        <v>39</v>
      </c>
      <c r="F1810" s="3" t="s">
        <v>40</v>
      </c>
      <c r="G1810" s="3" t="s">
        <v>41</v>
      </c>
      <c r="H1810" s="3" t="s">
        <v>138</v>
      </c>
      <c r="I1810" s="3" t="s">
        <v>2697</v>
      </c>
      <c r="J1810" s="3" t="s">
        <v>131</v>
      </c>
      <c r="K1810" s="3">
        <v>7</v>
      </c>
      <c r="L1810" s="3">
        <v>17304.47</v>
      </c>
      <c r="M1810" s="3">
        <v>121131.29</v>
      </c>
      <c r="N1810" s="3">
        <v>101045.34</v>
      </c>
      <c r="O1810" s="3">
        <v>20085.95</v>
      </c>
      <c r="P1810" s="3" t="s">
        <v>69</v>
      </c>
    </row>
    <row r="1811" spans="1:16" x14ac:dyDescent="0.35">
      <c r="A1811" s="3" t="s">
        <v>3102</v>
      </c>
      <c r="B1811" s="3" t="s">
        <v>1406</v>
      </c>
      <c r="C1811" s="3" t="s">
        <v>137</v>
      </c>
      <c r="D1811" s="3" t="s">
        <v>38</v>
      </c>
      <c r="E1811" s="3" t="s">
        <v>109</v>
      </c>
      <c r="F1811" s="3" t="s">
        <v>110</v>
      </c>
      <c r="G1811" s="3" t="s">
        <v>22</v>
      </c>
      <c r="H1811" s="3" t="s">
        <v>93</v>
      </c>
      <c r="I1811" s="3" t="s">
        <v>3103</v>
      </c>
      <c r="J1811" s="3" t="s">
        <v>147</v>
      </c>
      <c r="K1811" s="3">
        <v>8</v>
      </c>
      <c r="L1811" s="3">
        <v>6571.33</v>
      </c>
      <c r="M1811" s="3">
        <v>52570.64</v>
      </c>
      <c r="N1811" s="3">
        <v>40276.35</v>
      </c>
      <c r="O1811" s="3">
        <v>12294.29</v>
      </c>
      <c r="P1811" s="3" t="s">
        <v>45</v>
      </c>
    </row>
    <row r="1812" spans="1:16" x14ac:dyDescent="0.35">
      <c r="A1812" s="3" t="s">
        <v>3104</v>
      </c>
      <c r="B1812" s="3" t="s">
        <v>589</v>
      </c>
      <c r="C1812" s="3" t="s">
        <v>137</v>
      </c>
      <c r="D1812" s="3" t="s">
        <v>38</v>
      </c>
      <c r="E1812" s="3" t="s">
        <v>109</v>
      </c>
      <c r="F1812" s="3" t="s">
        <v>110</v>
      </c>
      <c r="G1812" s="3" t="s">
        <v>51</v>
      </c>
      <c r="H1812" s="3" t="s">
        <v>52</v>
      </c>
      <c r="I1812" s="3" t="s">
        <v>3105</v>
      </c>
      <c r="J1812" s="3" t="s">
        <v>147</v>
      </c>
      <c r="K1812" s="3">
        <v>5</v>
      </c>
      <c r="L1812" s="3">
        <v>23.58</v>
      </c>
      <c r="M1812" s="3">
        <v>117.9</v>
      </c>
      <c r="N1812" s="3">
        <v>51.71</v>
      </c>
      <c r="O1812" s="3">
        <v>66.19</v>
      </c>
      <c r="P1812" s="3" t="s">
        <v>26</v>
      </c>
    </row>
    <row r="1813" spans="1:16" x14ac:dyDescent="0.35">
      <c r="A1813" s="3" t="s">
        <v>3106</v>
      </c>
      <c r="B1813" s="3" t="s">
        <v>395</v>
      </c>
      <c r="C1813" s="3" t="s">
        <v>29</v>
      </c>
      <c r="D1813" s="3" t="s">
        <v>19</v>
      </c>
      <c r="E1813" s="3" t="s">
        <v>49</v>
      </c>
      <c r="F1813" s="3" t="s">
        <v>50</v>
      </c>
      <c r="G1813" s="3" t="s">
        <v>22</v>
      </c>
      <c r="H1813" s="3" t="s">
        <v>23</v>
      </c>
      <c r="I1813" s="3" t="s">
        <v>368</v>
      </c>
      <c r="J1813" s="3" t="s">
        <v>54</v>
      </c>
      <c r="K1813" s="3">
        <v>2</v>
      </c>
      <c r="L1813" s="3">
        <v>3294.52</v>
      </c>
      <c r="M1813" s="3">
        <v>6589.04</v>
      </c>
      <c r="N1813" s="3">
        <v>4240.83</v>
      </c>
      <c r="O1813" s="3">
        <v>2348.21</v>
      </c>
      <c r="P1813" s="3" t="s">
        <v>26</v>
      </c>
    </row>
    <row r="1814" spans="1:16" x14ac:dyDescent="0.35">
      <c r="A1814" s="3" t="s">
        <v>3107</v>
      </c>
      <c r="B1814" s="3" t="s">
        <v>449</v>
      </c>
      <c r="C1814" s="3" t="s">
        <v>37</v>
      </c>
      <c r="D1814" s="3" t="s">
        <v>58</v>
      </c>
      <c r="E1814" s="3" t="s">
        <v>65</v>
      </c>
      <c r="F1814" s="3" t="s">
        <v>66</v>
      </c>
      <c r="G1814" s="3" t="s">
        <v>22</v>
      </c>
      <c r="H1814" s="3" t="s">
        <v>83</v>
      </c>
      <c r="I1814" s="3" t="s">
        <v>2400</v>
      </c>
      <c r="J1814" s="3" t="s">
        <v>147</v>
      </c>
      <c r="K1814" s="3">
        <v>4</v>
      </c>
      <c r="L1814" s="3">
        <v>22381.1</v>
      </c>
      <c r="M1814" s="3">
        <v>89524.4</v>
      </c>
      <c r="N1814" s="3">
        <v>66534.080000000002</v>
      </c>
      <c r="O1814" s="3">
        <v>22990.32</v>
      </c>
      <c r="P1814" s="3" t="s">
        <v>26</v>
      </c>
    </row>
    <row r="1815" spans="1:16" x14ac:dyDescent="0.35">
      <c r="A1815" s="3" t="s">
        <v>3108</v>
      </c>
      <c r="B1815" s="3" t="s">
        <v>260</v>
      </c>
      <c r="C1815" s="3" t="s">
        <v>37</v>
      </c>
      <c r="D1815" s="3" t="s">
        <v>58</v>
      </c>
      <c r="E1815" s="3" t="s">
        <v>176</v>
      </c>
      <c r="F1815" s="3" t="s">
        <v>177</v>
      </c>
      <c r="G1815" s="3" t="s">
        <v>41</v>
      </c>
      <c r="H1815" s="3" t="s">
        <v>42</v>
      </c>
      <c r="I1815" s="3" t="s">
        <v>3109</v>
      </c>
      <c r="J1815" s="3" t="s">
        <v>154</v>
      </c>
      <c r="K1815" s="3">
        <v>5</v>
      </c>
      <c r="L1815" s="3">
        <v>46499.79</v>
      </c>
      <c r="M1815" s="3">
        <v>232498.95</v>
      </c>
      <c r="N1815" s="3">
        <v>177102.43</v>
      </c>
      <c r="O1815" s="3">
        <v>55396.52</v>
      </c>
      <c r="P1815" s="3" t="s">
        <v>26</v>
      </c>
    </row>
    <row r="1816" spans="1:16" x14ac:dyDescent="0.35">
      <c r="A1816" s="3" t="s">
        <v>3110</v>
      </c>
      <c r="B1816" s="3" t="s">
        <v>743</v>
      </c>
      <c r="C1816" s="3" t="s">
        <v>72</v>
      </c>
      <c r="D1816" s="3" t="s">
        <v>38</v>
      </c>
      <c r="E1816" s="3" t="s">
        <v>39</v>
      </c>
      <c r="F1816" s="3" t="s">
        <v>40</v>
      </c>
      <c r="G1816" s="3" t="s">
        <v>41</v>
      </c>
      <c r="H1816" s="3" t="s">
        <v>61</v>
      </c>
      <c r="I1816" s="3" t="s">
        <v>980</v>
      </c>
      <c r="J1816" s="3" t="s">
        <v>33</v>
      </c>
      <c r="K1816" s="3">
        <v>8</v>
      </c>
      <c r="L1816" s="3">
        <v>2304.62</v>
      </c>
      <c r="M1816" s="3">
        <v>18436.96</v>
      </c>
      <c r="N1816" s="3">
        <v>12193.39</v>
      </c>
      <c r="O1816" s="3">
        <v>6243.57</v>
      </c>
      <c r="P1816" s="3" t="s">
        <v>86</v>
      </c>
    </row>
    <row r="1817" spans="1:16" x14ac:dyDescent="0.35">
      <c r="A1817" s="3" t="s">
        <v>3111</v>
      </c>
      <c r="B1817" s="3" t="s">
        <v>979</v>
      </c>
      <c r="C1817" s="3" t="s">
        <v>103</v>
      </c>
      <c r="D1817" s="3" t="s">
        <v>38</v>
      </c>
      <c r="E1817" s="3" t="s">
        <v>39</v>
      </c>
      <c r="F1817" s="3" t="s">
        <v>40</v>
      </c>
      <c r="G1817" s="3" t="s">
        <v>22</v>
      </c>
      <c r="H1817" s="3" t="s">
        <v>93</v>
      </c>
      <c r="I1817" s="3" t="s">
        <v>2767</v>
      </c>
      <c r="J1817" s="3" t="s">
        <v>154</v>
      </c>
      <c r="K1817" s="3">
        <v>5</v>
      </c>
      <c r="L1817" s="3">
        <v>7006.13</v>
      </c>
      <c r="M1817" s="3">
        <v>35030.65</v>
      </c>
      <c r="N1817" s="3">
        <v>25161.03</v>
      </c>
      <c r="O1817" s="3">
        <v>9869.6200000000008</v>
      </c>
      <c r="P1817" s="3" t="s">
        <v>26</v>
      </c>
    </row>
    <row r="1818" spans="1:16" x14ac:dyDescent="0.35">
      <c r="A1818" s="3" t="s">
        <v>3112</v>
      </c>
      <c r="B1818" s="3" t="s">
        <v>2127</v>
      </c>
      <c r="C1818" s="3" t="s">
        <v>48</v>
      </c>
      <c r="D1818" s="3" t="s">
        <v>38</v>
      </c>
      <c r="E1818" s="3" t="s">
        <v>104</v>
      </c>
      <c r="F1818" s="3" t="s">
        <v>104</v>
      </c>
      <c r="G1818" s="3" t="s">
        <v>22</v>
      </c>
      <c r="H1818" s="3" t="s">
        <v>83</v>
      </c>
      <c r="I1818" s="3" t="s">
        <v>1129</v>
      </c>
      <c r="J1818" s="3" t="s">
        <v>33</v>
      </c>
      <c r="K1818" s="3">
        <v>6</v>
      </c>
      <c r="L1818" s="3">
        <v>22380.54</v>
      </c>
      <c r="M1818" s="3">
        <v>134283.24</v>
      </c>
      <c r="N1818" s="3">
        <v>98933.79</v>
      </c>
      <c r="O1818" s="3">
        <v>35349.449999999997</v>
      </c>
      <c r="P1818" s="3" t="s">
        <v>34</v>
      </c>
    </row>
    <row r="1819" spans="1:16" x14ac:dyDescent="0.35">
      <c r="A1819" s="3" t="s">
        <v>3113</v>
      </c>
      <c r="B1819" s="3" t="s">
        <v>1224</v>
      </c>
      <c r="C1819" s="3" t="s">
        <v>37</v>
      </c>
      <c r="D1819" s="3" t="s">
        <v>38</v>
      </c>
      <c r="E1819" s="3" t="s">
        <v>104</v>
      </c>
      <c r="F1819" s="3" t="s">
        <v>104</v>
      </c>
      <c r="G1819" s="3" t="s">
        <v>30</v>
      </c>
      <c r="H1819" s="3" t="s">
        <v>31</v>
      </c>
      <c r="I1819" s="3" t="s">
        <v>1440</v>
      </c>
      <c r="J1819" s="3" t="s">
        <v>85</v>
      </c>
      <c r="K1819" s="3">
        <v>5</v>
      </c>
      <c r="L1819" s="3">
        <v>2995.79</v>
      </c>
      <c r="M1819" s="3">
        <v>14978.95</v>
      </c>
      <c r="N1819" s="3">
        <v>9276.09</v>
      </c>
      <c r="O1819" s="3">
        <v>5702.86</v>
      </c>
      <c r="P1819" s="3" t="s">
        <v>26</v>
      </c>
    </row>
    <row r="1820" spans="1:16" x14ac:dyDescent="0.35">
      <c r="A1820" s="3" t="s">
        <v>3114</v>
      </c>
      <c r="B1820" s="3" t="s">
        <v>1224</v>
      </c>
      <c r="C1820" s="3" t="s">
        <v>37</v>
      </c>
      <c r="D1820" s="3" t="s">
        <v>38</v>
      </c>
      <c r="E1820" s="3" t="s">
        <v>109</v>
      </c>
      <c r="F1820" s="3" t="s">
        <v>110</v>
      </c>
      <c r="G1820" s="3" t="s">
        <v>22</v>
      </c>
      <c r="H1820" s="3" t="s">
        <v>23</v>
      </c>
      <c r="I1820" s="3" t="s">
        <v>3115</v>
      </c>
      <c r="J1820" s="3" t="s">
        <v>33</v>
      </c>
      <c r="K1820" s="3">
        <v>1</v>
      </c>
      <c r="L1820" s="3">
        <v>3577.88</v>
      </c>
      <c r="M1820" s="3">
        <v>3577.88</v>
      </c>
      <c r="N1820" s="3">
        <v>2124.69</v>
      </c>
      <c r="O1820" s="3">
        <v>1453.19</v>
      </c>
      <c r="P1820" s="3" t="s">
        <v>86</v>
      </c>
    </row>
    <row r="1821" spans="1:16" x14ac:dyDescent="0.35">
      <c r="A1821" s="3" t="s">
        <v>3116</v>
      </c>
      <c r="B1821" s="3" t="s">
        <v>2197</v>
      </c>
      <c r="C1821" s="3" t="s">
        <v>18</v>
      </c>
      <c r="D1821" s="3" t="s">
        <v>19</v>
      </c>
      <c r="E1821" s="3" t="s">
        <v>49</v>
      </c>
      <c r="F1821" s="3" t="s">
        <v>50</v>
      </c>
      <c r="G1821" s="3" t="s">
        <v>41</v>
      </c>
      <c r="H1821" s="3" t="s">
        <v>61</v>
      </c>
      <c r="I1821" s="3" t="s">
        <v>2694</v>
      </c>
      <c r="J1821" s="3" t="s">
        <v>85</v>
      </c>
      <c r="K1821" s="3">
        <v>1</v>
      </c>
      <c r="L1821" s="3">
        <v>2426.62</v>
      </c>
      <c r="M1821" s="3">
        <v>2426.62</v>
      </c>
      <c r="N1821" s="3">
        <v>1585.62</v>
      </c>
      <c r="O1821" s="3">
        <v>841</v>
      </c>
      <c r="P1821" s="3" t="s">
        <v>45</v>
      </c>
    </row>
    <row r="1822" spans="1:16" x14ac:dyDescent="0.35">
      <c r="A1822" s="3" t="s">
        <v>3117</v>
      </c>
      <c r="B1822" s="3" t="s">
        <v>682</v>
      </c>
      <c r="C1822" s="3" t="s">
        <v>114</v>
      </c>
      <c r="D1822" s="3" t="s">
        <v>58</v>
      </c>
      <c r="E1822" s="3" t="s">
        <v>59</v>
      </c>
      <c r="F1822" s="3" t="s">
        <v>60</v>
      </c>
      <c r="G1822" s="3" t="s">
        <v>51</v>
      </c>
      <c r="H1822" s="3" t="s">
        <v>77</v>
      </c>
      <c r="I1822" s="3" t="s">
        <v>1924</v>
      </c>
      <c r="J1822" s="3" t="s">
        <v>131</v>
      </c>
      <c r="K1822" s="3">
        <v>6</v>
      </c>
      <c r="L1822" s="3">
        <v>10989.06</v>
      </c>
      <c r="M1822" s="3">
        <v>65934.36</v>
      </c>
      <c r="N1822" s="3">
        <v>52029.15</v>
      </c>
      <c r="O1822" s="3">
        <v>13905.21</v>
      </c>
      <c r="P1822" s="3" t="s">
        <v>69</v>
      </c>
    </row>
    <row r="1823" spans="1:16" x14ac:dyDescent="0.35">
      <c r="A1823" s="3" t="s">
        <v>3118</v>
      </c>
      <c r="B1823" s="3" t="s">
        <v>126</v>
      </c>
      <c r="C1823" s="3" t="s">
        <v>103</v>
      </c>
      <c r="D1823" s="3" t="s">
        <v>58</v>
      </c>
      <c r="E1823" s="3" t="s">
        <v>65</v>
      </c>
      <c r="F1823" s="3" t="s">
        <v>66</v>
      </c>
      <c r="G1823" s="3" t="s">
        <v>41</v>
      </c>
      <c r="H1823" s="3" t="s">
        <v>42</v>
      </c>
      <c r="I1823" s="3" t="s">
        <v>2483</v>
      </c>
      <c r="J1823" s="3" t="s">
        <v>106</v>
      </c>
      <c r="K1823" s="3">
        <v>2</v>
      </c>
      <c r="L1823" s="3">
        <v>48533.88</v>
      </c>
      <c r="M1823" s="3">
        <v>97067.76</v>
      </c>
      <c r="N1823" s="3">
        <v>69730.03</v>
      </c>
      <c r="O1823" s="3">
        <v>27337.73</v>
      </c>
      <c r="P1823" s="3" t="s">
        <v>26</v>
      </c>
    </row>
    <row r="1824" spans="1:16" x14ac:dyDescent="0.35">
      <c r="A1824" s="3" t="s">
        <v>3119</v>
      </c>
      <c r="B1824" s="3" t="s">
        <v>760</v>
      </c>
      <c r="C1824" s="3" t="s">
        <v>114</v>
      </c>
      <c r="D1824" s="3" t="s">
        <v>19</v>
      </c>
      <c r="E1824" s="3" t="s">
        <v>199</v>
      </c>
      <c r="F1824" s="3" t="s">
        <v>200</v>
      </c>
      <c r="G1824" s="3" t="s">
        <v>22</v>
      </c>
      <c r="H1824" s="3" t="s">
        <v>23</v>
      </c>
      <c r="I1824" s="3" t="s">
        <v>3120</v>
      </c>
      <c r="J1824" s="3" t="s">
        <v>131</v>
      </c>
      <c r="K1824" s="3">
        <v>1</v>
      </c>
      <c r="L1824" s="3">
        <v>3308.45</v>
      </c>
      <c r="M1824" s="3">
        <v>3308.45</v>
      </c>
      <c r="N1824" s="3">
        <v>2144.13</v>
      </c>
      <c r="O1824" s="3">
        <v>1164.32</v>
      </c>
      <c r="P1824" s="3" t="s">
        <v>69</v>
      </c>
    </row>
    <row r="1825" spans="1:16" x14ac:dyDescent="0.35">
      <c r="A1825" s="3" t="s">
        <v>3121</v>
      </c>
      <c r="B1825" s="3" t="s">
        <v>913</v>
      </c>
      <c r="C1825" s="3" t="s">
        <v>48</v>
      </c>
      <c r="D1825" s="3" t="s">
        <v>38</v>
      </c>
      <c r="E1825" s="3" t="s">
        <v>39</v>
      </c>
      <c r="F1825" s="3" t="s">
        <v>40</v>
      </c>
      <c r="G1825" s="3" t="s">
        <v>41</v>
      </c>
      <c r="H1825" s="3" t="s">
        <v>42</v>
      </c>
      <c r="I1825" s="3" t="s">
        <v>2964</v>
      </c>
      <c r="J1825" s="3" t="s">
        <v>25</v>
      </c>
      <c r="K1825" s="3">
        <v>2</v>
      </c>
      <c r="L1825" s="3">
        <v>41750.54</v>
      </c>
      <c r="M1825" s="3">
        <v>83501.08</v>
      </c>
      <c r="N1825" s="3">
        <v>66889.31</v>
      </c>
      <c r="O1825" s="3">
        <v>16611.77</v>
      </c>
      <c r="P1825" s="3" t="s">
        <v>34</v>
      </c>
    </row>
    <row r="1826" spans="1:16" x14ac:dyDescent="0.35">
      <c r="A1826" s="3" t="s">
        <v>3122</v>
      </c>
      <c r="B1826" s="3" t="s">
        <v>989</v>
      </c>
      <c r="C1826" s="3" t="s">
        <v>29</v>
      </c>
      <c r="D1826" s="3" t="s">
        <v>58</v>
      </c>
      <c r="E1826" s="3" t="s">
        <v>65</v>
      </c>
      <c r="F1826" s="3" t="s">
        <v>66</v>
      </c>
      <c r="G1826" s="3" t="s">
        <v>22</v>
      </c>
      <c r="H1826" s="3" t="s">
        <v>93</v>
      </c>
      <c r="I1826" s="3" t="s">
        <v>1722</v>
      </c>
      <c r="J1826" s="3" t="s">
        <v>171</v>
      </c>
      <c r="K1826" s="3">
        <v>5</v>
      </c>
      <c r="L1826" s="3">
        <v>7517.25</v>
      </c>
      <c r="M1826" s="3">
        <v>37586.25</v>
      </c>
      <c r="N1826" s="3">
        <v>24457.11</v>
      </c>
      <c r="O1826" s="3">
        <v>13129.14</v>
      </c>
      <c r="P1826" s="3" t="s">
        <v>45</v>
      </c>
    </row>
    <row r="1827" spans="1:16" x14ac:dyDescent="0.35">
      <c r="A1827" s="3" t="s">
        <v>3123</v>
      </c>
      <c r="B1827" s="3" t="s">
        <v>1429</v>
      </c>
      <c r="C1827" s="3" t="s">
        <v>89</v>
      </c>
      <c r="D1827" s="3" t="s">
        <v>90</v>
      </c>
      <c r="E1827" s="3" t="s">
        <v>91</v>
      </c>
      <c r="F1827" s="3" t="s">
        <v>92</v>
      </c>
      <c r="G1827" s="3" t="s">
        <v>51</v>
      </c>
      <c r="H1827" s="3" t="s">
        <v>77</v>
      </c>
      <c r="I1827" s="3" t="s">
        <v>2557</v>
      </c>
      <c r="J1827" s="3" t="s">
        <v>79</v>
      </c>
      <c r="K1827" s="3">
        <v>5</v>
      </c>
      <c r="L1827" s="3">
        <v>12994.56</v>
      </c>
      <c r="M1827" s="3">
        <v>64972.800000000003</v>
      </c>
      <c r="N1827" s="3">
        <v>46346.02</v>
      </c>
      <c r="O1827" s="3">
        <v>18626.78</v>
      </c>
      <c r="P1827" s="3" t="s">
        <v>45</v>
      </c>
    </row>
    <row r="1828" spans="1:16" x14ac:dyDescent="0.35">
      <c r="A1828" s="3" t="s">
        <v>3124</v>
      </c>
      <c r="B1828" s="3" t="s">
        <v>381</v>
      </c>
      <c r="C1828" s="3" t="s">
        <v>18</v>
      </c>
      <c r="D1828" s="3" t="s">
        <v>19</v>
      </c>
      <c r="E1828" s="3" t="s">
        <v>49</v>
      </c>
      <c r="F1828" s="3" t="s">
        <v>50</v>
      </c>
      <c r="G1828" s="3" t="s">
        <v>22</v>
      </c>
      <c r="H1828" s="3" t="s">
        <v>23</v>
      </c>
      <c r="I1828" s="3" t="s">
        <v>2487</v>
      </c>
      <c r="J1828" s="3" t="s">
        <v>147</v>
      </c>
      <c r="K1828" s="3">
        <v>1</v>
      </c>
      <c r="L1828" s="3">
        <v>3167.86</v>
      </c>
      <c r="M1828" s="3">
        <v>3167.86</v>
      </c>
      <c r="N1828" s="3">
        <v>2215.79</v>
      </c>
      <c r="O1828" s="3">
        <v>952.07</v>
      </c>
      <c r="P1828" s="3" t="s">
        <v>34</v>
      </c>
    </row>
    <row r="1829" spans="1:16" x14ac:dyDescent="0.35">
      <c r="A1829" s="3" t="s">
        <v>3125</v>
      </c>
      <c r="B1829" s="3" t="s">
        <v>743</v>
      </c>
      <c r="C1829" s="3" t="s">
        <v>72</v>
      </c>
      <c r="D1829" s="3" t="s">
        <v>58</v>
      </c>
      <c r="E1829" s="3" t="s">
        <v>176</v>
      </c>
      <c r="F1829" s="3" t="s">
        <v>177</v>
      </c>
      <c r="G1829" s="3" t="s">
        <v>41</v>
      </c>
      <c r="H1829" s="3" t="s">
        <v>138</v>
      </c>
      <c r="I1829" s="3" t="s">
        <v>1318</v>
      </c>
      <c r="J1829" s="3" t="s">
        <v>54</v>
      </c>
      <c r="K1829" s="3">
        <v>7</v>
      </c>
      <c r="L1829" s="3">
        <v>19536.580000000002</v>
      </c>
      <c r="M1829" s="3">
        <v>136756.06</v>
      </c>
      <c r="N1829" s="3">
        <v>101825.44</v>
      </c>
      <c r="O1829" s="3">
        <v>34930.620000000003</v>
      </c>
      <c r="P1829" s="3" t="s">
        <v>86</v>
      </c>
    </row>
    <row r="1830" spans="1:16" x14ac:dyDescent="0.35">
      <c r="A1830" s="3" t="s">
        <v>3126</v>
      </c>
      <c r="B1830" s="3" t="s">
        <v>1895</v>
      </c>
      <c r="C1830" s="3" t="s">
        <v>48</v>
      </c>
      <c r="D1830" s="3" t="s">
        <v>90</v>
      </c>
      <c r="E1830" s="3" t="s">
        <v>119</v>
      </c>
      <c r="F1830" s="3" t="s">
        <v>120</v>
      </c>
      <c r="G1830" s="3" t="s">
        <v>22</v>
      </c>
      <c r="H1830" s="3" t="s">
        <v>83</v>
      </c>
      <c r="I1830" s="3" t="s">
        <v>900</v>
      </c>
      <c r="J1830" s="3" t="s">
        <v>161</v>
      </c>
      <c r="K1830" s="3">
        <v>2</v>
      </c>
      <c r="L1830" s="3">
        <v>21525.15</v>
      </c>
      <c r="M1830" s="3">
        <v>43050.3</v>
      </c>
      <c r="N1830" s="3">
        <v>35375.379999999997</v>
      </c>
      <c r="O1830" s="3">
        <v>7674.92</v>
      </c>
      <c r="P1830" s="3" t="s">
        <v>86</v>
      </c>
    </row>
    <row r="1831" spans="1:16" x14ac:dyDescent="0.35">
      <c r="A1831" s="3" t="s">
        <v>3127</v>
      </c>
      <c r="B1831" s="3" t="s">
        <v>1276</v>
      </c>
      <c r="C1831" s="3" t="s">
        <v>37</v>
      </c>
      <c r="D1831" s="3" t="s">
        <v>38</v>
      </c>
      <c r="E1831" s="3" t="s">
        <v>109</v>
      </c>
      <c r="F1831" s="3" t="s">
        <v>110</v>
      </c>
      <c r="G1831" s="3" t="s">
        <v>41</v>
      </c>
      <c r="H1831" s="3" t="s">
        <v>138</v>
      </c>
      <c r="I1831" s="3" t="s">
        <v>2242</v>
      </c>
      <c r="J1831" s="3" t="s">
        <v>25</v>
      </c>
      <c r="K1831" s="3">
        <v>2</v>
      </c>
      <c r="L1831" s="3">
        <v>17013.29</v>
      </c>
      <c r="M1831" s="3">
        <v>34026.58</v>
      </c>
      <c r="N1831" s="3">
        <v>27401.46</v>
      </c>
      <c r="O1831" s="3">
        <v>6625.12</v>
      </c>
      <c r="P1831" s="3" t="s">
        <v>45</v>
      </c>
    </row>
    <row r="1832" spans="1:16" x14ac:dyDescent="0.35">
      <c r="A1832" s="3" t="s">
        <v>3128</v>
      </c>
      <c r="B1832" s="3" t="s">
        <v>1600</v>
      </c>
      <c r="C1832" s="3" t="s">
        <v>103</v>
      </c>
      <c r="D1832" s="3" t="s">
        <v>38</v>
      </c>
      <c r="E1832" s="3" t="s">
        <v>104</v>
      </c>
      <c r="F1832" s="3" t="s">
        <v>104</v>
      </c>
      <c r="G1832" s="3" t="s">
        <v>41</v>
      </c>
      <c r="H1832" s="3" t="s">
        <v>42</v>
      </c>
      <c r="I1832" s="3" t="s">
        <v>744</v>
      </c>
      <c r="J1832" s="3" t="s">
        <v>79</v>
      </c>
      <c r="K1832" s="3">
        <v>8</v>
      </c>
      <c r="L1832" s="3">
        <v>45061.02</v>
      </c>
      <c r="M1832" s="3">
        <v>360488.16</v>
      </c>
      <c r="N1832" s="3">
        <v>274697.59999999998</v>
      </c>
      <c r="O1832" s="3">
        <v>85790.56</v>
      </c>
      <c r="P1832" s="3" t="s">
        <v>45</v>
      </c>
    </row>
    <row r="1833" spans="1:16" x14ac:dyDescent="0.35">
      <c r="A1833" s="3" t="s">
        <v>3129</v>
      </c>
      <c r="B1833" s="3" t="s">
        <v>743</v>
      </c>
      <c r="C1833" s="3" t="s">
        <v>72</v>
      </c>
      <c r="D1833" s="3" t="s">
        <v>90</v>
      </c>
      <c r="E1833" s="3" t="s">
        <v>97</v>
      </c>
      <c r="F1833" s="3" t="s">
        <v>98</v>
      </c>
      <c r="G1833" s="3" t="s">
        <v>51</v>
      </c>
      <c r="H1833" s="3" t="s">
        <v>145</v>
      </c>
      <c r="I1833" s="3" t="s">
        <v>544</v>
      </c>
      <c r="J1833" s="3" t="s">
        <v>154</v>
      </c>
      <c r="K1833" s="3">
        <v>1</v>
      </c>
      <c r="L1833" s="3">
        <v>120.67</v>
      </c>
      <c r="M1833" s="3">
        <v>120.67</v>
      </c>
      <c r="N1833" s="3">
        <v>60.98</v>
      </c>
      <c r="O1833" s="3">
        <v>59.69</v>
      </c>
      <c r="P1833" s="3" t="s">
        <v>45</v>
      </c>
    </row>
    <row r="1834" spans="1:16" x14ac:dyDescent="0.35">
      <c r="A1834" s="3" t="s">
        <v>3130</v>
      </c>
      <c r="B1834" s="3" t="s">
        <v>807</v>
      </c>
      <c r="C1834" s="3" t="s">
        <v>72</v>
      </c>
      <c r="D1834" s="3" t="s">
        <v>90</v>
      </c>
      <c r="E1834" s="3" t="s">
        <v>97</v>
      </c>
      <c r="F1834" s="3" t="s">
        <v>98</v>
      </c>
      <c r="G1834" s="3" t="s">
        <v>51</v>
      </c>
      <c r="H1834" s="3" t="s">
        <v>145</v>
      </c>
      <c r="I1834" s="3" t="s">
        <v>1806</v>
      </c>
      <c r="J1834" s="3" t="s">
        <v>154</v>
      </c>
      <c r="K1834" s="3">
        <v>6</v>
      </c>
      <c r="L1834" s="3">
        <v>125.97</v>
      </c>
      <c r="M1834" s="3">
        <v>755.82</v>
      </c>
      <c r="N1834" s="3">
        <v>351.63</v>
      </c>
      <c r="O1834" s="3">
        <v>404.19</v>
      </c>
      <c r="P1834" s="3" t="s">
        <v>69</v>
      </c>
    </row>
    <row r="1835" spans="1:16" x14ac:dyDescent="0.35">
      <c r="A1835" s="3" t="s">
        <v>3131</v>
      </c>
      <c r="B1835" s="3" t="s">
        <v>2211</v>
      </c>
      <c r="C1835" s="3" t="s">
        <v>72</v>
      </c>
      <c r="D1835" s="3" t="s">
        <v>90</v>
      </c>
      <c r="E1835" s="3" t="s">
        <v>119</v>
      </c>
      <c r="F1835" s="3" t="s">
        <v>120</v>
      </c>
      <c r="G1835" s="3" t="s">
        <v>22</v>
      </c>
      <c r="H1835" s="3" t="s">
        <v>83</v>
      </c>
      <c r="I1835" s="3" t="s">
        <v>1576</v>
      </c>
      <c r="J1835" s="3" t="s">
        <v>147</v>
      </c>
      <c r="K1835" s="3">
        <v>7</v>
      </c>
      <c r="L1835" s="3">
        <v>21313.33</v>
      </c>
      <c r="M1835" s="3">
        <v>149193.31</v>
      </c>
      <c r="N1835" s="3">
        <v>119609.74</v>
      </c>
      <c r="O1835" s="3">
        <v>29583.57</v>
      </c>
      <c r="P1835" s="3" t="s">
        <v>45</v>
      </c>
    </row>
    <row r="1836" spans="1:16" x14ac:dyDescent="0.35">
      <c r="A1836" s="3" t="s">
        <v>3132</v>
      </c>
      <c r="B1836" s="3" t="s">
        <v>859</v>
      </c>
      <c r="C1836" s="3" t="s">
        <v>48</v>
      </c>
      <c r="D1836" s="3" t="s">
        <v>58</v>
      </c>
      <c r="E1836" s="3" t="s">
        <v>59</v>
      </c>
      <c r="F1836" s="3" t="s">
        <v>60</v>
      </c>
      <c r="G1836" s="3" t="s">
        <v>51</v>
      </c>
      <c r="H1836" s="3" t="s">
        <v>145</v>
      </c>
      <c r="I1836" s="3" t="s">
        <v>1542</v>
      </c>
      <c r="J1836" s="3" t="s">
        <v>217</v>
      </c>
      <c r="K1836" s="3">
        <v>2</v>
      </c>
      <c r="L1836" s="3">
        <v>114.56</v>
      </c>
      <c r="M1836" s="3">
        <v>229.12</v>
      </c>
      <c r="N1836" s="3">
        <v>125.45</v>
      </c>
      <c r="O1836" s="3">
        <v>103.67</v>
      </c>
      <c r="P1836" s="3" t="s">
        <v>34</v>
      </c>
    </row>
    <row r="1837" spans="1:16" x14ac:dyDescent="0.35">
      <c r="A1837" s="3" t="s">
        <v>3133</v>
      </c>
      <c r="B1837" s="3" t="s">
        <v>1912</v>
      </c>
      <c r="C1837" s="3" t="s">
        <v>137</v>
      </c>
      <c r="D1837" s="3" t="s">
        <v>19</v>
      </c>
      <c r="E1837" s="3" t="s">
        <v>49</v>
      </c>
      <c r="F1837" s="3" t="s">
        <v>50</v>
      </c>
      <c r="G1837" s="3" t="s">
        <v>41</v>
      </c>
      <c r="H1837" s="3" t="s">
        <v>61</v>
      </c>
      <c r="I1837" s="3" t="s">
        <v>2366</v>
      </c>
      <c r="J1837" s="3" t="s">
        <v>100</v>
      </c>
      <c r="K1837" s="3">
        <v>7</v>
      </c>
      <c r="L1837" s="3">
        <v>2393.0100000000002</v>
      </c>
      <c r="M1837" s="3">
        <v>16751.07</v>
      </c>
      <c r="N1837" s="3">
        <v>11434.56</v>
      </c>
      <c r="O1837" s="3">
        <v>5316.51</v>
      </c>
      <c r="P1837" s="3" t="s">
        <v>34</v>
      </c>
    </row>
    <row r="1838" spans="1:16" x14ac:dyDescent="0.35">
      <c r="A1838" s="3" t="s">
        <v>3134</v>
      </c>
      <c r="B1838" s="3" t="s">
        <v>1042</v>
      </c>
      <c r="C1838" s="3" t="s">
        <v>118</v>
      </c>
      <c r="D1838" s="3" t="s">
        <v>38</v>
      </c>
      <c r="E1838" s="3" t="s">
        <v>109</v>
      </c>
      <c r="F1838" s="3" t="s">
        <v>110</v>
      </c>
      <c r="G1838" s="3" t="s">
        <v>51</v>
      </c>
      <c r="H1838" s="3" t="s">
        <v>52</v>
      </c>
      <c r="I1838" s="3" t="s">
        <v>53</v>
      </c>
      <c r="J1838" s="3" t="s">
        <v>171</v>
      </c>
      <c r="K1838" s="3">
        <v>8</v>
      </c>
      <c r="L1838" s="3">
        <v>23.05</v>
      </c>
      <c r="M1838" s="3">
        <v>184.4</v>
      </c>
      <c r="N1838" s="3">
        <v>77.98</v>
      </c>
      <c r="O1838" s="3">
        <v>106.42</v>
      </c>
      <c r="P1838" s="3" t="s">
        <v>26</v>
      </c>
    </row>
    <row r="1839" spans="1:16" x14ac:dyDescent="0.35">
      <c r="A1839" s="3" t="s">
        <v>3135</v>
      </c>
      <c r="B1839" s="3" t="s">
        <v>2117</v>
      </c>
      <c r="C1839" s="3" t="s">
        <v>37</v>
      </c>
      <c r="D1839" s="3" t="s">
        <v>38</v>
      </c>
      <c r="E1839" s="3" t="s">
        <v>109</v>
      </c>
      <c r="F1839" s="3" t="s">
        <v>110</v>
      </c>
      <c r="G1839" s="3" t="s">
        <v>22</v>
      </c>
      <c r="H1839" s="3" t="s">
        <v>23</v>
      </c>
      <c r="I1839" s="3" t="s">
        <v>3136</v>
      </c>
      <c r="J1839" s="3" t="s">
        <v>147</v>
      </c>
      <c r="K1839" s="3">
        <v>4</v>
      </c>
      <c r="L1839" s="3">
        <v>3445.96</v>
      </c>
      <c r="M1839" s="3">
        <v>13783.84</v>
      </c>
      <c r="N1839" s="3">
        <v>8705.51</v>
      </c>
      <c r="O1839" s="3">
        <v>5078.33</v>
      </c>
      <c r="P1839" s="3" t="s">
        <v>26</v>
      </c>
    </row>
    <row r="1840" spans="1:16" x14ac:dyDescent="0.35">
      <c r="A1840" s="3" t="s">
        <v>3137</v>
      </c>
      <c r="B1840" s="3" t="s">
        <v>816</v>
      </c>
      <c r="C1840" s="3" t="s">
        <v>57</v>
      </c>
      <c r="D1840" s="3" t="s">
        <v>38</v>
      </c>
      <c r="E1840" s="3" t="s">
        <v>109</v>
      </c>
      <c r="F1840" s="3" t="s">
        <v>110</v>
      </c>
      <c r="G1840" s="3" t="s">
        <v>51</v>
      </c>
      <c r="H1840" s="3" t="s">
        <v>52</v>
      </c>
      <c r="I1840" s="3" t="s">
        <v>2068</v>
      </c>
      <c r="J1840" s="3" t="s">
        <v>171</v>
      </c>
      <c r="K1840" s="3">
        <v>6</v>
      </c>
      <c r="L1840" s="3">
        <v>24</v>
      </c>
      <c r="M1840" s="3">
        <v>144</v>
      </c>
      <c r="N1840" s="3">
        <v>60.64</v>
      </c>
      <c r="O1840" s="3">
        <v>83.36</v>
      </c>
      <c r="P1840" s="3" t="s">
        <v>34</v>
      </c>
    </row>
    <row r="1841" spans="1:16" x14ac:dyDescent="0.35">
      <c r="A1841" s="3" t="s">
        <v>3138</v>
      </c>
      <c r="B1841" s="3" t="s">
        <v>531</v>
      </c>
      <c r="C1841" s="3" t="s">
        <v>137</v>
      </c>
      <c r="D1841" s="3" t="s">
        <v>19</v>
      </c>
      <c r="E1841" s="3" t="s">
        <v>20</v>
      </c>
      <c r="F1841" s="3" t="s">
        <v>21</v>
      </c>
      <c r="G1841" s="3" t="s">
        <v>51</v>
      </c>
      <c r="H1841" s="3" t="s">
        <v>77</v>
      </c>
      <c r="I1841" s="3" t="s">
        <v>2464</v>
      </c>
      <c r="J1841" s="3" t="s">
        <v>100</v>
      </c>
      <c r="K1841" s="3">
        <v>8</v>
      </c>
      <c r="L1841" s="3">
        <v>13120.75</v>
      </c>
      <c r="M1841" s="3">
        <v>104966</v>
      </c>
      <c r="N1841" s="3">
        <v>75385.740000000005</v>
      </c>
      <c r="O1841" s="3">
        <v>29580.26</v>
      </c>
      <c r="P1841" s="3" t="s">
        <v>34</v>
      </c>
    </row>
    <row r="1842" spans="1:16" x14ac:dyDescent="0.35">
      <c r="A1842" s="3" t="s">
        <v>3139</v>
      </c>
      <c r="B1842" s="3" t="s">
        <v>245</v>
      </c>
      <c r="C1842" s="3" t="s">
        <v>29</v>
      </c>
      <c r="D1842" s="3" t="s">
        <v>38</v>
      </c>
      <c r="E1842" s="3" t="s">
        <v>109</v>
      </c>
      <c r="F1842" s="3" t="s">
        <v>110</v>
      </c>
      <c r="G1842" s="3" t="s">
        <v>41</v>
      </c>
      <c r="H1842" s="3" t="s">
        <v>42</v>
      </c>
      <c r="I1842" s="3" t="s">
        <v>2821</v>
      </c>
      <c r="J1842" s="3" t="s">
        <v>106</v>
      </c>
      <c r="K1842" s="3">
        <v>3</v>
      </c>
      <c r="L1842" s="3">
        <v>42326.81</v>
      </c>
      <c r="M1842" s="3">
        <v>126980.43</v>
      </c>
      <c r="N1842" s="3">
        <v>107321.81</v>
      </c>
      <c r="O1842" s="3">
        <v>19658.62</v>
      </c>
      <c r="P1842" s="3" t="s">
        <v>69</v>
      </c>
    </row>
    <row r="1843" spans="1:16" x14ac:dyDescent="0.35">
      <c r="A1843" s="3" t="s">
        <v>3140</v>
      </c>
      <c r="B1843" s="3" t="s">
        <v>2870</v>
      </c>
      <c r="C1843" s="3" t="s">
        <v>118</v>
      </c>
      <c r="D1843" s="3" t="s">
        <v>19</v>
      </c>
      <c r="E1843" s="3" t="s">
        <v>20</v>
      </c>
      <c r="F1843" s="3" t="s">
        <v>21</v>
      </c>
      <c r="G1843" s="3" t="s">
        <v>30</v>
      </c>
      <c r="H1843" s="3" t="s">
        <v>73</v>
      </c>
      <c r="I1843" s="3" t="s">
        <v>2758</v>
      </c>
      <c r="J1843" s="3" t="s">
        <v>131</v>
      </c>
      <c r="K1843" s="3">
        <v>2</v>
      </c>
      <c r="L1843" s="3">
        <v>2935.33</v>
      </c>
      <c r="M1843" s="3">
        <v>5870.66</v>
      </c>
      <c r="N1843" s="3">
        <v>4572.96</v>
      </c>
      <c r="O1843" s="3">
        <v>1297.7</v>
      </c>
      <c r="P1843" s="3" t="s">
        <v>45</v>
      </c>
    </row>
    <row r="1844" spans="1:16" x14ac:dyDescent="0.35">
      <c r="A1844" s="3" t="s">
        <v>3141</v>
      </c>
      <c r="B1844" s="3" t="s">
        <v>740</v>
      </c>
      <c r="C1844" s="3" t="s">
        <v>29</v>
      </c>
      <c r="D1844" s="3" t="s">
        <v>58</v>
      </c>
      <c r="E1844" s="3" t="s">
        <v>59</v>
      </c>
      <c r="F1844" s="3" t="s">
        <v>60</v>
      </c>
      <c r="G1844" s="3" t="s">
        <v>51</v>
      </c>
      <c r="H1844" s="3" t="s">
        <v>52</v>
      </c>
      <c r="I1844" s="3" t="s">
        <v>94</v>
      </c>
      <c r="J1844" s="3" t="s">
        <v>100</v>
      </c>
      <c r="K1844" s="3">
        <v>8</v>
      </c>
      <c r="L1844" s="3">
        <v>25.46</v>
      </c>
      <c r="M1844" s="3">
        <v>203.68</v>
      </c>
      <c r="N1844" s="3">
        <v>81.599999999999994</v>
      </c>
      <c r="O1844" s="3">
        <v>122.08</v>
      </c>
      <c r="P1844" s="3" t="s">
        <v>86</v>
      </c>
    </row>
    <row r="1845" spans="1:16" x14ac:dyDescent="0.35">
      <c r="A1845" s="3" t="s">
        <v>3142</v>
      </c>
      <c r="B1845" s="3" t="s">
        <v>225</v>
      </c>
      <c r="C1845" s="3" t="s">
        <v>89</v>
      </c>
      <c r="D1845" s="3" t="s">
        <v>58</v>
      </c>
      <c r="E1845" s="3" t="s">
        <v>59</v>
      </c>
      <c r="F1845" s="3" t="s">
        <v>60</v>
      </c>
      <c r="G1845" s="3" t="s">
        <v>51</v>
      </c>
      <c r="H1845" s="3" t="s">
        <v>77</v>
      </c>
      <c r="I1845" s="3" t="s">
        <v>2076</v>
      </c>
      <c r="J1845" s="3" t="s">
        <v>217</v>
      </c>
      <c r="K1845" s="3">
        <v>8</v>
      </c>
      <c r="L1845" s="3">
        <v>10835.78</v>
      </c>
      <c r="M1845" s="3">
        <v>86686.24</v>
      </c>
      <c r="N1845" s="3">
        <v>71224.27</v>
      </c>
      <c r="O1845" s="3">
        <v>15461.97</v>
      </c>
      <c r="P1845" s="3" t="s">
        <v>86</v>
      </c>
    </row>
    <row r="1846" spans="1:16" x14ac:dyDescent="0.35">
      <c r="A1846" s="3" t="s">
        <v>3143</v>
      </c>
      <c r="B1846" s="3" t="s">
        <v>133</v>
      </c>
      <c r="C1846" s="3" t="s">
        <v>18</v>
      </c>
      <c r="D1846" s="3" t="s">
        <v>38</v>
      </c>
      <c r="E1846" s="3" t="s">
        <v>109</v>
      </c>
      <c r="F1846" s="3" t="s">
        <v>110</v>
      </c>
      <c r="G1846" s="3" t="s">
        <v>22</v>
      </c>
      <c r="H1846" s="3" t="s">
        <v>83</v>
      </c>
      <c r="I1846" s="3" t="s">
        <v>995</v>
      </c>
      <c r="J1846" s="3" t="s">
        <v>85</v>
      </c>
      <c r="K1846" s="3">
        <v>6</v>
      </c>
      <c r="L1846" s="3">
        <v>20702.39</v>
      </c>
      <c r="M1846" s="3">
        <v>124214.34</v>
      </c>
      <c r="N1846" s="3">
        <v>101462.6</v>
      </c>
      <c r="O1846" s="3">
        <v>22751.74</v>
      </c>
      <c r="P1846" s="3" t="s">
        <v>26</v>
      </c>
    </row>
    <row r="1847" spans="1:16" x14ac:dyDescent="0.35">
      <c r="A1847" s="3" t="s">
        <v>3144</v>
      </c>
      <c r="B1847" s="3" t="s">
        <v>1308</v>
      </c>
      <c r="C1847" s="3" t="s">
        <v>48</v>
      </c>
      <c r="D1847" s="3" t="s">
        <v>19</v>
      </c>
      <c r="E1847" s="3" t="s">
        <v>20</v>
      </c>
      <c r="F1847" s="3" t="s">
        <v>21</v>
      </c>
      <c r="G1847" s="3" t="s">
        <v>51</v>
      </c>
      <c r="H1847" s="3" t="s">
        <v>145</v>
      </c>
      <c r="I1847" s="3" t="s">
        <v>731</v>
      </c>
      <c r="J1847" s="3" t="s">
        <v>154</v>
      </c>
      <c r="K1847" s="3">
        <v>3</v>
      </c>
      <c r="L1847" s="3">
        <v>123.72</v>
      </c>
      <c r="M1847" s="3">
        <v>371.16</v>
      </c>
      <c r="N1847" s="3">
        <v>174.11</v>
      </c>
      <c r="O1847" s="3">
        <v>197.05</v>
      </c>
      <c r="P1847" s="3" t="s">
        <v>34</v>
      </c>
    </row>
    <row r="1848" spans="1:16" x14ac:dyDescent="0.35">
      <c r="A1848" s="3" t="s">
        <v>3145</v>
      </c>
      <c r="B1848" s="3" t="s">
        <v>1898</v>
      </c>
      <c r="C1848" s="3" t="s">
        <v>29</v>
      </c>
      <c r="D1848" s="3" t="s">
        <v>90</v>
      </c>
      <c r="E1848" s="3" t="s">
        <v>97</v>
      </c>
      <c r="F1848" s="3" t="s">
        <v>98</v>
      </c>
      <c r="G1848" s="3" t="s">
        <v>22</v>
      </c>
      <c r="H1848" s="3" t="s">
        <v>93</v>
      </c>
      <c r="I1848" s="3" t="s">
        <v>1487</v>
      </c>
      <c r="J1848" s="3" t="s">
        <v>161</v>
      </c>
      <c r="K1848" s="3">
        <v>6</v>
      </c>
      <c r="L1848" s="3">
        <v>7621.95</v>
      </c>
      <c r="M1848" s="3">
        <v>45731.7</v>
      </c>
      <c r="N1848" s="3">
        <v>30178.36</v>
      </c>
      <c r="O1848" s="3">
        <v>15553.34</v>
      </c>
      <c r="P1848" s="3" t="s">
        <v>34</v>
      </c>
    </row>
    <row r="1849" spans="1:16" x14ac:dyDescent="0.35">
      <c r="A1849" s="3" t="s">
        <v>3146</v>
      </c>
      <c r="B1849" s="3" t="s">
        <v>1772</v>
      </c>
      <c r="C1849" s="3" t="s">
        <v>114</v>
      </c>
      <c r="D1849" s="3" t="s">
        <v>90</v>
      </c>
      <c r="E1849" s="3" t="s">
        <v>119</v>
      </c>
      <c r="F1849" s="3" t="s">
        <v>120</v>
      </c>
      <c r="G1849" s="3" t="s">
        <v>41</v>
      </c>
      <c r="H1849" s="3" t="s">
        <v>61</v>
      </c>
      <c r="I1849" s="3" t="s">
        <v>2721</v>
      </c>
      <c r="J1849" s="3" t="s">
        <v>217</v>
      </c>
      <c r="K1849" s="3">
        <v>6</v>
      </c>
      <c r="L1849" s="3">
        <v>2729.78</v>
      </c>
      <c r="M1849" s="3">
        <v>16378.68</v>
      </c>
      <c r="N1849" s="3">
        <v>9689.94</v>
      </c>
      <c r="O1849" s="3">
        <v>6688.74</v>
      </c>
      <c r="P1849" s="3" t="s">
        <v>45</v>
      </c>
    </row>
    <row r="1850" spans="1:16" x14ac:dyDescent="0.35">
      <c r="A1850" s="3" t="s">
        <v>3147</v>
      </c>
      <c r="B1850" s="3" t="s">
        <v>209</v>
      </c>
      <c r="C1850" s="3" t="s">
        <v>118</v>
      </c>
      <c r="D1850" s="3" t="s">
        <v>58</v>
      </c>
      <c r="E1850" s="3" t="s">
        <v>59</v>
      </c>
      <c r="F1850" s="3" t="s">
        <v>60</v>
      </c>
      <c r="G1850" s="3" t="s">
        <v>22</v>
      </c>
      <c r="H1850" s="3" t="s">
        <v>93</v>
      </c>
      <c r="I1850" s="3" t="s">
        <v>703</v>
      </c>
      <c r="J1850" s="3" t="s">
        <v>188</v>
      </c>
      <c r="K1850" s="3">
        <v>2</v>
      </c>
      <c r="L1850" s="3">
        <v>7145.68</v>
      </c>
      <c r="M1850" s="3">
        <v>14291.36</v>
      </c>
      <c r="N1850" s="3">
        <v>10339.5</v>
      </c>
      <c r="O1850" s="3">
        <v>3951.86</v>
      </c>
      <c r="P1850" s="3" t="s">
        <v>86</v>
      </c>
    </row>
    <row r="1851" spans="1:16" x14ac:dyDescent="0.35">
      <c r="A1851" s="3" t="s">
        <v>3148</v>
      </c>
      <c r="B1851" s="3" t="s">
        <v>126</v>
      </c>
      <c r="C1851" s="3" t="s">
        <v>103</v>
      </c>
      <c r="D1851" s="3" t="s">
        <v>19</v>
      </c>
      <c r="E1851" s="3" t="s">
        <v>20</v>
      </c>
      <c r="F1851" s="3" t="s">
        <v>21</v>
      </c>
      <c r="G1851" s="3" t="s">
        <v>22</v>
      </c>
      <c r="H1851" s="3" t="s">
        <v>93</v>
      </c>
      <c r="I1851" s="3" t="s">
        <v>505</v>
      </c>
      <c r="J1851" s="3" t="s">
        <v>131</v>
      </c>
      <c r="K1851" s="3">
        <v>7</v>
      </c>
      <c r="L1851" s="3">
        <v>7608.2</v>
      </c>
      <c r="M1851" s="3">
        <v>53257.4</v>
      </c>
      <c r="N1851" s="3">
        <v>34881.89</v>
      </c>
      <c r="O1851" s="3">
        <v>18375.509999999998</v>
      </c>
      <c r="P1851" s="3" t="s">
        <v>26</v>
      </c>
    </row>
    <row r="1852" spans="1:16" x14ac:dyDescent="0.35">
      <c r="A1852" s="3" t="s">
        <v>3149</v>
      </c>
      <c r="B1852" s="3" t="s">
        <v>807</v>
      </c>
      <c r="C1852" s="3" t="s">
        <v>72</v>
      </c>
      <c r="D1852" s="3" t="s">
        <v>19</v>
      </c>
      <c r="E1852" s="3" t="s">
        <v>20</v>
      </c>
      <c r="F1852" s="3" t="s">
        <v>21</v>
      </c>
      <c r="G1852" s="3" t="s">
        <v>30</v>
      </c>
      <c r="H1852" s="3" t="s">
        <v>67</v>
      </c>
      <c r="I1852" s="3" t="s">
        <v>2797</v>
      </c>
      <c r="J1852" s="3" t="s">
        <v>217</v>
      </c>
      <c r="K1852" s="3">
        <v>5</v>
      </c>
      <c r="L1852" s="3">
        <v>9168.98</v>
      </c>
      <c r="M1852" s="3">
        <v>45844.9</v>
      </c>
      <c r="N1852" s="3">
        <v>38658.199999999997</v>
      </c>
      <c r="O1852" s="3">
        <v>7186.7</v>
      </c>
      <c r="P1852" s="3" t="s">
        <v>86</v>
      </c>
    </row>
    <row r="1853" spans="1:16" x14ac:dyDescent="0.35">
      <c r="A1853" s="3" t="s">
        <v>3150</v>
      </c>
      <c r="B1853" s="3" t="s">
        <v>958</v>
      </c>
      <c r="C1853" s="3" t="s">
        <v>118</v>
      </c>
      <c r="D1853" s="3" t="s">
        <v>90</v>
      </c>
      <c r="E1853" s="3" t="s">
        <v>97</v>
      </c>
      <c r="F1853" s="3" t="s">
        <v>98</v>
      </c>
      <c r="G1853" s="3" t="s">
        <v>22</v>
      </c>
      <c r="H1853" s="3" t="s">
        <v>23</v>
      </c>
      <c r="I1853" s="3" t="s">
        <v>1576</v>
      </c>
      <c r="J1853" s="3" t="s">
        <v>100</v>
      </c>
      <c r="K1853" s="3">
        <v>5</v>
      </c>
      <c r="L1853" s="3">
        <v>3327.1</v>
      </c>
      <c r="M1853" s="3">
        <v>16635.5</v>
      </c>
      <c r="N1853" s="3">
        <v>11322.41</v>
      </c>
      <c r="O1853" s="3">
        <v>5313.09</v>
      </c>
      <c r="P1853" s="3" t="s">
        <v>26</v>
      </c>
    </row>
    <row r="1854" spans="1:16" x14ac:dyDescent="0.35">
      <c r="A1854" s="3" t="s">
        <v>3151</v>
      </c>
      <c r="B1854" s="3" t="s">
        <v>859</v>
      </c>
      <c r="C1854" s="3" t="s">
        <v>48</v>
      </c>
      <c r="D1854" s="3" t="s">
        <v>90</v>
      </c>
      <c r="E1854" s="3" t="s">
        <v>119</v>
      </c>
      <c r="F1854" s="3" t="s">
        <v>120</v>
      </c>
      <c r="G1854" s="3" t="s">
        <v>22</v>
      </c>
      <c r="H1854" s="3" t="s">
        <v>23</v>
      </c>
      <c r="I1854" s="3" t="s">
        <v>489</v>
      </c>
      <c r="J1854" s="3" t="s">
        <v>161</v>
      </c>
      <c r="K1854" s="3">
        <v>8</v>
      </c>
      <c r="L1854" s="3">
        <v>3767.28</v>
      </c>
      <c r="M1854" s="3">
        <v>30138.240000000002</v>
      </c>
      <c r="N1854" s="3">
        <v>17991.78</v>
      </c>
      <c r="O1854" s="3">
        <v>12146.46</v>
      </c>
      <c r="P1854" s="3" t="s">
        <v>34</v>
      </c>
    </row>
    <row r="1855" spans="1:16" x14ac:dyDescent="0.35">
      <c r="A1855" s="3" t="s">
        <v>3152</v>
      </c>
      <c r="B1855" s="3" t="s">
        <v>2480</v>
      </c>
      <c r="C1855" s="3" t="s">
        <v>37</v>
      </c>
      <c r="D1855" s="3" t="s">
        <v>58</v>
      </c>
      <c r="E1855" s="3" t="s">
        <v>65</v>
      </c>
      <c r="F1855" s="3" t="s">
        <v>66</v>
      </c>
      <c r="G1855" s="3" t="s">
        <v>22</v>
      </c>
      <c r="H1855" s="3" t="s">
        <v>93</v>
      </c>
      <c r="I1855" s="3" t="s">
        <v>2477</v>
      </c>
      <c r="J1855" s="3" t="s">
        <v>85</v>
      </c>
      <c r="K1855" s="3">
        <v>8</v>
      </c>
      <c r="L1855" s="3">
        <v>6316.63</v>
      </c>
      <c r="M1855" s="3">
        <v>50533.04</v>
      </c>
      <c r="N1855" s="3">
        <v>41416.44</v>
      </c>
      <c r="O1855" s="3">
        <v>9116.6</v>
      </c>
      <c r="P1855" s="3" t="s">
        <v>69</v>
      </c>
    </row>
    <row r="1856" spans="1:16" x14ac:dyDescent="0.35">
      <c r="A1856" s="3" t="s">
        <v>3153</v>
      </c>
      <c r="B1856" s="3" t="s">
        <v>102</v>
      </c>
      <c r="C1856" s="3" t="s">
        <v>103</v>
      </c>
      <c r="D1856" s="3" t="s">
        <v>58</v>
      </c>
      <c r="E1856" s="3" t="s">
        <v>65</v>
      </c>
      <c r="F1856" s="3" t="s">
        <v>66</v>
      </c>
      <c r="G1856" s="3" t="s">
        <v>41</v>
      </c>
      <c r="H1856" s="3" t="s">
        <v>138</v>
      </c>
      <c r="I1856" s="3" t="s">
        <v>548</v>
      </c>
      <c r="J1856" s="3" t="s">
        <v>161</v>
      </c>
      <c r="K1856" s="3">
        <v>3</v>
      </c>
      <c r="L1856" s="3">
        <v>16952.18</v>
      </c>
      <c r="M1856" s="3">
        <v>50856.54</v>
      </c>
      <c r="N1856" s="3">
        <v>42134.76</v>
      </c>
      <c r="O1856" s="3">
        <v>8721.7800000000007</v>
      </c>
      <c r="P1856" s="3" t="s">
        <v>86</v>
      </c>
    </row>
    <row r="1857" spans="1:16" x14ac:dyDescent="0.35">
      <c r="A1857" s="3" t="s">
        <v>3154</v>
      </c>
      <c r="B1857" s="3" t="s">
        <v>1240</v>
      </c>
      <c r="C1857" s="3" t="s">
        <v>118</v>
      </c>
      <c r="D1857" s="3" t="s">
        <v>90</v>
      </c>
      <c r="E1857" s="3" t="s">
        <v>97</v>
      </c>
      <c r="F1857" s="3" t="s">
        <v>98</v>
      </c>
      <c r="G1857" s="3" t="s">
        <v>30</v>
      </c>
      <c r="H1857" s="3" t="s">
        <v>31</v>
      </c>
      <c r="I1857" s="3" t="s">
        <v>1387</v>
      </c>
      <c r="J1857" s="3" t="s">
        <v>171</v>
      </c>
      <c r="K1857" s="3">
        <v>6</v>
      </c>
      <c r="L1857" s="3">
        <v>2909.17</v>
      </c>
      <c r="M1857" s="3">
        <v>17455.02</v>
      </c>
      <c r="N1857" s="3">
        <v>11520.41</v>
      </c>
      <c r="O1857" s="3">
        <v>5934.61</v>
      </c>
      <c r="P1857" s="3" t="s">
        <v>26</v>
      </c>
    </row>
    <row r="1858" spans="1:16" x14ac:dyDescent="0.35">
      <c r="A1858" s="3" t="s">
        <v>3155</v>
      </c>
      <c r="B1858" s="3" t="s">
        <v>3156</v>
      </c>
      <c r="C1858" s="3" t="s">
        <v>89</v>
      </c>
      <c r="D1858" s="3" t="s">
        <v>90</v>
      </c>
      <c r="E1858" s="3" t="s">
        <v>97</v>
      </c>
      <c r="F1858" s="3" t="s">
        <v>98</v>
      </c>
      <c r="G1858" s="3" t="s">
        <v>30</v>
      </c>
      <c r="H1858" s="3" t="s">
        <v>31</v>
      </c>
      <c r="I1858" s="3" t="s">
        <v>2409</v>
      </c>
      <c r="J1858" s="3" t="s">
        <v>106</v>
      </c>
      <c r="K1858" s="3">
        <v>8</v>
      </c>
      <c r="L1858" s="3">
        <v>2832.11</v>
      </c>
      <c r="M1858" s="3">
        <v>22656.880000000001</v>
      </c>
      <c r="N1858" s="3">
        <v>14730.9</v>
      </c>
      <c r="O1858" s="3">
        <v>7925.98</v>
      </c>
      <c r="P1858" s="3" t="s">
        <v>69</v>
      </c>
    </row>
    <row r="1859" spans="1:16" x14ac:dyDescent="0.35">
      <c r="A1859" s="3" t="s">
        <v>3157</v>
      </c>
      <c r="B1859" s="3" t="s">
        <v>1898</v>
      </c>
      <c r="C1859" s="3" t="s">
        <v>29</v>
      </c>
      <c r="D1859" s="3" t="s">
        <v>19</v>
      </c>
      <c r="E1859" s="3" t="s">
        <v>49</v>
      </c>
      <c r="F1859" s="3" t="s">
        <v>50</v>
      </c>
      <c r="G1859" s="3" t="s">
        <v>41</v>
      </c>
      <c r="H1859" s="3" t="s">
        <v>138</v>
      </c>
      <c r="I1859" s="3" t="s">
        <v>1024</v>
      </c>
      <c r="J1859" s="3" t="s">
        <v>188</v>
      </c>
      <c r="K1859" s="3">
        <v>7</v>
      </c>
      <c r="L1859" s="3">
        <v>19023.16</v>
      </c>
      <c r="M1859" s="3">
        <v>133162.12</v>
      </c>
      <c r="N1859" s="3">
        <v>101815.64</v>
      </c>
      <c r="O1859" s="3">
        <v>31346.48</v>
      </c>
      <c r="P1859" s="3" t="s">
        <v>86</v>
      </c>
    </row>
    <row r="1860" spans="1:16" x14ac:dyDescent="0.35">
      <c r="A1860" s="3" t="s">
        <v>3158</v>
      </c>
      <c r="B1860" s="3" t="s">
        <v>398</v>
      </c>
      <c r="C1860" s="3" t="s">
        <v>57</v>
      </c>
      <c r="D1860" s="3" t="s">
        <v>38</v>
      </c>
      <c r="E1860" s="3" t="s">
        <v>104</v>
      </c>
      <c r="F1860" s="3" t="s">
        <v>104</v>
      </c>
      <c r="G1860" s="3" t="s">
        <v>51</v>
      </c>
      <c r="H1860" s="3" t="s">
        <v>52</v>
      </c>
      <c r="I1860" s="3" t="s">
        <v>359</v>
      </c>
      <c r="J1860" s="3" t="s">
        <v>85</v>
      </c>
      <c r="K1860" s="3">
        <v>2</v>
      </c>
      <c r="L1860" s="3">
        <v>23.54</v>
      </c>
      <c r="M1860" s="3">
        <v>47.08</v>
      </c>
      <c r="N1860" s="3">
        <v>19.809999999999999</v>
      </c>
      <c r="O1860" s="3">
        <v>27.27</v>
      </c>
      <c r="P1860" s="3" t="s">
        <v>86</v>
      </c>
    </row>
    <row r="1861" spans="1:16" x14ac:dyDescent="0.35">
      <c r="A1861" s="3" t="s">
        <v>3159</v>
      </c>
      <c r="B1861" s="3" t="s">
        <v>661</v>
      </c>
      <c r="C1861" s="3" t="s">
        <v>114</v>
      </c>
      <c r="D1861" s="3" t="s">
        <v>38</v>
      </c>
      <c r="E1861" s="3" t="s">
        <v>104</v>
      </c>
      <c r="F1861" s="3" t="s">
        <v>104</v>
      </c>
      <c r="G1861" s="3" t="s">
        <v>30</v>
      </c>
      <c r="H1861" s="3" t="s">
        <v>73</v>
      </c>
      <c r="I1861" s="3" t="s">
        <v>1692</v>
      </c>
      <c r="J1861" s="3" t="s">
        <v>44</v>
      </c>
      <c r="K1861" s="3">
        <v>8</v>
      </c>
      <c r="L1861" s="3">
        <v>3503.29</v>
      </c>
      <c r="M1861" s="3">
        <v>28026.32</v>
      </c>
      <c r="N1861" s="3">
        <v>18464.55</v>
      </c>
      <c r="O1861" s="3">
        <v>9561.77</v>
      </c>
      <c r="P1861" s="3" t="s">
        <v>34</v>
      </c>
    </row>
    <row r="1862" spans="1:16" x14ac:dyDescent="0.35">
      <c r="A1862" s="3" t="s">
        <v>3160</v>
      </c>
      <c r="B1862" s="3" t="s">
        <v>852</v>
      </c>
      <c r="C1862" s="3" t="s">
        <v>118</v>
      </c>
      <c r="D1862" s="3" t="s">
        <v>58</v>
      </c>
      <c r="E1862" s="3" t="s">
        <v>65</v>
      </c>
      <c r="F1862" s="3" t="s">
        <v>66</v>
      </c>
      <c r="G1862" s="3" t="s">
        <v>51</v>
      </c>
      <c r="H1862" s="3" t="s">
        <v>77</v>
      </c>
      <c r="I1862" s="3" t="s">
        <v>3161</v>
      </c>
      <c r="J1862" s="3" t="s">
        <v>154</v>
      </c>
      <c r="K1862" s="3">
        <v>1</v>
      </c>
      <c r="L1862" s="3">
        <v>13009.32</v>
      </c>
      <c r="M1862" s="3">
        <v>13009.32</v>
      </c>
      <c r="N1862" s="3">
        <v>9160.94</v>
      </c>
      <c r="O1862" s="3">
        <v>3848.38</v>
      </c>
      <c r="P1862" s="3" t="s">
        <v>34</v>
      </c>
    </row>
    <row r="1863" spans="1:16" x14ac:dyDescent="0.35">
      <c r="A1863" s="3" t="s">
        <v>3162</v>
      </c>
      <c r="B1863" s="3" t="s">
        <v>757</v>
      </c>
      <c r="C1863" s="3" t="s">
        <v>137</v>
      </c>
      <c r="D1863" s="3" t="s">
        <v>90</v>
      </c>
      <c r="E1863" s="3" t="s">
        <v>91</v>
      </c>
      <c r="F1863" s="3" t="s">
        <v>92</v>
      </c>
      <c r="G1863" s="3" t="s">
        <v>51</v>
      </c>
      <c r="H1863" s="3" t="s">
        <v>77</v>
      </c>
      <c r="I1863" s="3" t="s">
        <v>3163</v>
      </c>
      <c r="J1863" s="3" t="s">
        <v>54</v>
      </c>
      <c r="K1863" s="3">
        <v>7</v>
      </c>
      <c r="L1863" s="3">
        <v>12712.52</v>
      </c>
      <c r="M1863" s="3">
        <v>88987.64</v>
      </c>
      <c r="N1863" s="3">
        <v>63150.44</v>
      </c>
      <c r="O1863" s="3">
        <v>25837.200000000001</v>
      </c>
      <c r="P1863" s="3" t="s">
        <v>34</v>
      </c>
    </row>
    <row r="1864" spans="1:16" x14ac:dyDescent="0.35">
      <c r="A1864" s="3" t="s">
        <v>3164</v>
      </c>
      <c r="B1864" s="3" t="s">
        <v>1089</v>
      </c>
      <c r="C1864" s="3" t="s">
        <v>48</v>
      </c>
      <c r="D1864" s="3" t="s">
        <v>19</v>
      </c>
      <c r="E1864" s="3" t="s">
        <v>199</v>
      </c>
      <c r="F1864" s="3" t="s">
        <v>200</v>
      </c>
      <c r="G1864" s="3" t="s">
        <v>22</v>
      </c>
      <c r="H1864" s="3" t="s">
        <v>23</v>
      </c>
      <c r="I1864" s="3" t="s">
        <v>3165</v>
      </c>
      <c r="J1864" s="3" t="s">
        <v>106</v>
      </c>
      <c r="K1864" s="3">
        <v>1</v>
      </c>
      <c r="L1864" s="3">
        <v>3723.01</v>
      </c>
      <c r="M1864" s="3">
        <v>3723.01</v>
      </c>
      <c r="N1864" s="3">
        <v>2145.39</v>
      </c>
      <c r="O1864" s="3">
        <v>1577.62</v>
      </c>
      <c r="P1864" s="3" t="s">
        <v>26</v>
      </c>
    </row>
    <row r="1865" spans="1:16" x14ac:dyDescent="0.35">
      <c r="A1865" s="3" t="s">
        <v>3166</v>
      </c>
      <c r="B1865" s="3" t="s">
        <v>144</v>
      </c>
      <c r="C1865" s="3" t="s">
        <v>37</v>
      </c>
      <c r="D1865" s="3" t="s">
        <v>38</v>
      </c>
      <c r="E1865" s="3" t="s">
        <v>109</v>
      </c>
      <c r="F1865" s="3" t="s">
        <v>110</v>
      </c>
      <c r="G1865" s="3" t="s">
        <v>22</v>
      </c>
      <c r="H1865" s="3" t="s">
        <v>83</v>
      </c>
      <c r="I1865" s="3" t="s">
        <v>2171</v>
      </c>
      <c r="J1865" s="3" t="s">
        <v>131</v>
      </c>
      <c r="K1865" s="3">
        <v>4</v>
      </c>
      <c r="L1865" s="3">
        <v>20061.39</v>
      </c>
      <c r="M1865" s="3">
        <v>80245.56</v>
      </c>
      <c r="N1865" s="3">
        <v>71030.98</v>
      </c>
      <c r="O1865" s="3">
        <v>9214.58</v>
      </c>
      <c r="P1865" s="3" t="s">
        <v>86</v>
      </c>
    </row>
    <row r="1866" spans="1:16" x14ac:dyDescent="0.35">
      <c r="A1866" s="3" t="s">
        <v>3167</v>
      </c>
      <c r="B1866" s="3" t="s">
        <v>488</v>
      </c>
      <c r="C1866" s="3" t="s">
        <v>29</v>
      </c>
      <c r="D1866" s="3" t="s">
        <v>38</v>
      </c>
      <c r="E1866" s="3" t="s">
        <v>39</v>
      </c>
      <c r="F1866" s="3" t="s">
        <v>40</v>
      </c>
      <c r="G1866" s="3" t="s">
        <v>51</v>
      </c>
      <c r="H1866" s="3" t="s">
        <v>77</v>
      </c>
      <c r="I1866" s="3" t="s">
        <v>365</v>
      </c>
      <c r="J1866" s="3" t="s">
        <v>147</v>
      </c>
      <c r="K1866" s="3">
        <v>3</v>
      </c>
      <c r="L1866" s="3">
        <v>12243.77</v>
      </c>
      <c r="M1866" s="3">
        <v>36731.31</v>
      </c>
      <c r="N1866" s="3">
        <v>26862.23</v>
      </c>
      <c r="O1866" s="3">
        <v>9869.08</v>
      </c>
      <c r="P1866" s="3" t="s">
        <v>69</v>
      </c>
    </row>
    <row r="1867" spans="1:16" x14ac:dyDescent="0.35">
      <c r="A1867" s="3" t="s">
        <v>3168</v>
      </c>
      <c r="B1867" s="3" t="s">
        <v>1935</v>
      </c>
      <c r="C1867" s="3" t="s">
        <v>72</v>
      </c>
      <c r="D1867" s="3" t="s">
        <v>58</v>
      </c>
      <c r="E1867" s="3" t="s">
        <v>176</v>
      </c>
      <c r="F1867" s="3" t="s">
        <v>177</v>
      </c>
      <c r="G1867" s="3" t="s">
        <v>30</v>
      </c>
      <c r="H1867" s="3" t="s">
        <v>67</v>
      </c>
      <c r="I1867" s="3" t="s">
        <v>914</v>
      </c>
      <c r="J1867" s="3" t="s">
        <v>161</v>
      </c>
      <c r="K1867" s="3">
        <v>5</v>
      </c>
      <c r="L1867" s="3">
        <v>8833.49</v>
      </c>
      <c r="M1867" s="3">
        <v>44167.45</v>
      </c>
      <c r="N1867" s="3">
        <v>37796.69</v>
      </c>
      <c r="O1867" s="3">
        <v>6370.76</v>
      </c>
      <c r="P1867" s="3" t="s">
        <v>45</v>
      </c>
    </row>
    <row r="1868" spans="1:16" x14ac:dyDescent="0.35">
      <c r="A1868" s="3" t="s">
        <v>3169</v>
      </c>
      <c r="B1868" s="3" t="s">
        <v>1308</v>
      </c>
      <c r="C1868" s="3" t="s">
        <v>48</v>
      </c>
      <c r="D1868" s="3" t="s">
        <v>58</v>
      </c>
      <c r="E1868" s="3" t="s">
        <v>59</v>
      </c>
      <c r="F1868" s="3" t="s">
        <v>60</v>
      </c>
      <c r="G1868" s="3" t="s">
        <v>22</v>
      </c>
      <c r="H1868" s="3" t="s">
        <v>93</v>
      </c>
      <c r="I1868" s="3" t="s">
        <v>1203</v>
      </c>
      <c r="J1868" s="3" t="s">
        <v>85</v>
      </c>
      <c r="K1868" s="3">
        <v>1</v>
      </c>
      <c r="L1868" s="3">
        <v>6997</v>
      </c>
      <c r="M1868" s="3">
        <v>6997</v>
      </c>
      <c r="N1868" s="3">
        <v>4904.24</v>
      </c>
      <c r="O1868" s="3">
        <v>2092.7600000000002</v>
      </c>
      <c r="P1868" s="3" t="s">
        <v>45</v>
      </c>
    </row>
    <row r="1869" spans="1:16" x14ac:dyDescent="0.35">
      <c r="A1869" s="3" t="s">
        <v>3170</v>
      </c>
      <c r="B1869" s="3" t="s">
        <v>424</v>
      </c>
      <c r="C1869" s="3" t="s">
        <v>72</v>
      </c>
      <c r="D1869" s="3" t="s">
        <v>90</v>
      </c>
      <c r="E1869" s="3" t="s">
        <v>97</v>
      </c>
      <c r="F1869" s="3" t="s">
        <v>98</v>
      </c>
      <c r="G1869" s="3" t="s">
        <v>30</v>
      </c>
      <c r="H1869" s="3" t="s">
        <v>67</v>
      </c>
      <c r="I1869" s="3" t="s">
        <v>1178</v>
      </c>
      <c r="J1869" s="3" t="s">
        <v>171</v>
      </c>
      <c r="K1869" s="3">
        <v>5</v>
      </c>
      <c r="L1869" s="3">
        <v>9043.3700000000008</v>
      </c>
      <c r="M1869" s="3">
        <v>45216.85</v>
      </c>
      <c r="N1869" s="3">
        <v>37403.760000000002</v>
      </c>
      <c r="O1869" s="3">
        <v>7813.09</v>
      </c>
      <c r="P1869" s="3" t="s">
        <v>69</v>
      </c>
    </row>
    <row r="1870" spans="1:16" x14ac:dyDescent="0.35">
      <c r="A1870" s="3" t="s">
        <v>3171</v>
      </c>
      <c r="B1870" s="3" t="s">
        <v>1527</v>
      </c>
      <c r="C1870" s="3" t="s">
        <v>114</v>
      </c>
      <c r="D1870" s="3" t="s">
        <v>58</v>
      </c>
      <c r="E1870" s="3" t="s">
        <v>59</v>
      </c>
      <c r="F1870" s="3" t="s">
        <v>60</v>
      </c>
      <c r="G1870" s="3" t="s">
        <v>41</v>
      </c>
      <c r="H1870" s="3" t="s">
        <v>61</v>
      </c>
      <c r="I1870" s="3" t="s">
        <v>150</v>
      </c>
      <c r="J1870" s="3" t="s">
        <v>44</v>
      </c>
      <c r="K1870" s="3">
        <v>4</v>
      </c>
      <c r="L1870" s="3">
        <v>2573.27</v>
      </c>
      <c r="M1870" s="3">
        <v>10293.08</v>
      </c>
      <c r="N1870" s="3">
        <v>6628.32</v>
      </c>
      <c r="O1870" s="3">
        <v>3664.76</v>
      </c>
      <c r="P1870" s="3" t="s">
        <v>34</v>
      </c>
    </row>
    <row r="1871" spans="1:16" x14ac:dyDescent="0.35">
      <c r="A1871" s="3" t="s">
        <v>3172</v>
      </c>
      <c r="B1871" s="3" t="s">
        <v>183</v>
      </c>
      <c r="C1871" s="3" t="s">
        <v>114</v>
      </c>
      <c r="D1871" s="3" t="s">
        <v>58</v>
      </c>
      <c r="E1871" s="3" t="s">
        <v>176</v>
      </c>
      <c r="F1871" s="3" t="s">
        <v>177</v>
      </c>
      <c r="G1871" s="3" t="s">
        <v>22</v>
      </c>
      <c r="H1871" s="3" t="s">
        <v>23</v>
      </c>
      <c r="I1871" s="3" t="s">
        <v>342</v>
      </c>
      <c r="J1871" s="3" t="s">
        <v>188</v>
      </c>
      <c r="K1871" s="3">
        <v>1</v>
      </c>
      <c r="L1871" s="3">
        <v>3483.5</v>
      </c>
      <c r="M1871" s="3">
        <v>3483.5</v>
      </c>
      <c r="N1871" s="3">
        <v>2248.06</v>
      </c>
      <c r="O1871" s="3">
        <v>1235.44</v>
      </c>
      <c r="P1871" s="3" t="s">
        <v>69</v>
      </c>
    </row>
    <row r="1872" spans="1:16" x14ac:dyDescent="0.35">
      <c r="A1872" s="3" t="s">
        <v>3173</v>
      </c>
      <c r="B1872" s="3" t="s">
        <v>774</v>
      </c>
      <c r="C1872" s="3" t="s">
        <v>82</v>
      </c>
      <c r="D1872" s="3" t="s">
        <v>90</v>
      </c>
      <c r="E1872" s="3" t="s">
        <v>119</v>
      </c>
      <c r="F1872" s="3" t="s">
        <v>120</v>
      </c>
      <c r="G1872" s="3" t="s">
        <v>22</v>
      </c>
      <c r="H1872" s="3" t="s">
        <v>93</v>
      </c>
      <c r="I1872" s="3" t="s">
        <v>1523</v>
      </c>
      <c r="J1872" s="3" t="s">
        <v>131</v>
      </c>
      <c r="K1872" s="3">
        <v>4</v>
      </c>
      <c r="L1872" s="3">
        <v>6961.58</v>
      </c>
      <c r="M1872" s="3">
        <v>27846.32</v>
      </c>
      <c r="N1872" s="3">
        <v>19679.73</v>
      </c>
      <c r="O1872" s="3">
        <v>8166.59</v>
      </c>
      <c r="P1872" s="3" t="s">
        <v>34</v>
      </c>
    </row>
    <row r="1873" spans="1:16" x14ac:dyDescent="0.35">
      <c r="A1873" s="3" t="s">
        <v>3174</v>
      </c>
      <c r="B1873" s="3" t="s">
        <v>415</v>
      </c>
      <c r="C1873" s="3" t="s">
        <v>18</v>
      </c>
      <c r="D1873" s="3" t="s">
        <v>38</v>
      </c>
      <c r="E1873" s="3" t="s">
        <v>104</v>
      </c>
      <c r="F1873" s="3" t="s">
        <v>104</v>
      </c>
      <c r="G1873" s="3" t="s">
        <v>41</v>
      </c>
      <c r="H1873" s="3" t="s">
        <v>138</v>
      </c>
      <c r="I1873" s="3" t="s">
        <v>1965</v>
      </c>
      <c r="J1873" s="3" t="s">
        <v>188</v>
      </c>
      <c r="K1873" s="3">
        <v>4</v>
      </c>
      <c r="L1873" s="3">
        <v>19313.63</v>
      </c>
      <c r="M1873" s="3">
        <v>77254.52</v>
      </c>
      <c r="N1873" s="3">
        <v>54411.11</v>
      </c>
      <c r="O1873" s="3">
        <v>22843.41</v>
      </c>
      <c r="P1873" s="3" t="s">
        <v>45</v>
      </c>
    </row>
    <row r="1874" spans="1:16" x14ac:dyDescent="0.35">
      <c r="A1874" s="3" t="s">
        <v>3175</v>
      </c>
      <c r="B1874" s="3" t="s">
        <v>141</v>
      </c>
      <c r="C1874" s="3" t="s">
        <v>57</v>
      </c>
      <c r="D1874" s="3" t="s">
        <v>58</v>
      </c>
      <c r="E1874" s="3" t="s">
        <v>59</v>
      </c>
      <c r="F1874" s="3" t="s">
        <v>60</v>
      </c>
      <c r="G1874" s="3" t="s">
        <v>22</v>
      </c>
      <c r="H1874" s="3" t="s">
        <v>83</v>
      </c>
      <c r="I1874" s="3" t="s">
        <v>1325</v>
      </c>
      <c r="J1874" s="3" t="s">
        <v>131</v>
      </c>
      <c r="K1874" s="3">
        <v>8</v>
      </c>
      <c r="L1874" s="3">
        <v>21531.040000000001</v>
      </c>
      <c r="M1874" s="3">
        <v>172248.32000000001</v>
      </c>
      <c r="N1874" s="3">
        <v>130325.82</v>
      </c>
      <c r="O1874" s="3">
        <v>41922.5</v>
      </c>
      <c r="P1874" s="3" t="s">
        <v>69</v>
      </c>
    </row>
    <row r="1875" spans="1:16" x14ac:dyDescent="0.35">
      <c r="A1875" s="3" t="s">
        <v>3176</v>
      </c>
      <c r="B1875" s="3" t="s">
        <v>1292</v>
      </c>
      <c r="C1875" s="3" t="s">
        <v>57</v>
      </c>
      <c r="D1875" s="3" t="s">
        <v>58</v>
      </c>
      <c r="E1875" s="3" t="s">
        <v>176</v>
      </c>
      <c r="F1875" s="3" t="s">
        <v>177</v>
      </c>
      <c r="G1875" s="3" t="s">
        <v>51</v>
      </c>
      <c r="H1875" s="3" t="s">
        <v>52</v>
      </c>
      <c r="I1875" s="3" t="s">
        <v>3177</v>
      </c>
      <c r="J1875" s="3" t="s">
        <v>147</v>
      </c>
      <c r="K1875" s="3">
        <v>2</v>
      </c>
      <c r="L1875" s="3">
        <v>24.78</v>
      </c>
      <c r="M1875" s="3">
        <v>49.56</v>
      </c>
      <c r="N1875" s="3">
        <v>19.43</v>
      </c>
      <c r="O1875" s="3">
        <v>30.13</v>
      </c>
      <c r="P1875" s="3" t="s">
        <v>26</v>
      </c>
    </row>
    <row r="1876" spans="1:16" x14ac:dyDescent="0.35">
      <c r="A1876" s="3" t="s">
        <v>3178</v>
      </c>
      <c r="B1876" s="3" t="s">
        <v>861</v>
      </c>
      <c r="C1876" s="3" t="s">
        <v>137</v>
      </c>
      <c r="D1876" s="3" t="s">
        <v>58</v>
      </c>
      <c r="E1876" s="3" t="s">
        <v>59</v>
      </c>
      <c r="F1876" s="3" t="s">
        <v>60</v>
      </c>
      <c r="G1876" s="3" t="s">
        <v>22</v>
      </c>
      <c r="H1876" s="3" t="s">
        <v>23</v>
      </c>
      <c r="I1876" s="3" t="s">
        <v>1521</v>
      </c>
      <c r="J1876" s="3" t="s">
        <v>54</v>
      </c>
      <c r="K1876" s="3">
        <v>7</v>
      </c>
      <c r="L1876" s="3">
        <v>3828.08</v>
      </c>
      <c r="M1876" s="3">
        <v>26796.560000000001</v>
      </c>
      <c r="N1876" s="3">
        <v>15006.6</v>
      </c>
      <c r="O1876" s="3">
        <v>11789.96</v>
      </c>
      <c r="P1876" s="3" t="s">
        <v>69</v>
      </c>
    </row>
    <row r="1877" spans="1:16" x14ac:dyDescent="0.35">
      <c r="A1877" s="3" t="s">
        <v>3179</v>
      </c>
      <c r="B1877" s="3" t="s">
        <v>424</v>
      </c>
      <c r="C1877" s="3" t="s">
        <v>72</v>
      </c>
      <c r="D1877" s="3" t="s">
        <v>58</v>
      </c>
      <c r="E1877" s="3" t="s">
        <v>65</v>
      </c>
      <c r="F1877" s="3" t="s">
        <v>66</v>
      </c>
      <c r="G1877" s="3" t="s">
        <v>22</v>
      </c>
      <c r="H1877" s="3" t="s">
        <v>23</v>
      </c>
      <c r="I1877" s="3" t="s">
        <v>843</v>
      </c>
      <c r="J1877" s="3" t="s">
        <v>171</v>
      </c>
      <c r="K1877" s="3">
        <v>1</v>
      </c>
      <c r="L1877" s="3">
        <v>3190.27</v>
      </c>
      <c r="M1877" s="3">
        <v>3190.27</v>
      </c>
      <c r="N1877" s="3">
        <v>2146.77</v>
      </c>
      <c r="O1877" s="3">
        <v>1043.5</v>
      </c>
      <c r="P1877" s="3" t="s">
        <v>34</v>
      </c>
    </row>
    <row r="1878" spans="1:16" x14ac:dyDescent="0.35">
      <c r="A1878" s="3" t="s">
        <v>3180</v>
      </c>
      <c r="B1878" s="3" t="s">
        <v>344</v>
      </c>
      <c r="C1878" s="3" t="s">
        <v>48</v>
      </c>
      <c r="D1878" s="3" t="s">
        <v>58</v>
      </c>
      <c r="E1878" s="3" t="s">
        <v>176</v>
      </c>
      <c r="F1878" s="3" t="s">
        <v>177</v>
      </c>
      <c r="G1878" s="3" t="s">
        <v>41</v>
      </c>
      <c r="H1878" s="3" t="s">
        <v>42</v>
      </c>
      <c r="I1878" s="3" t="s">
        <v>368</v>
      </c>
      <c r="J1878" s="3" t="s">
        <v>131</v>
      </c>
      <c r="K1878" s="3">
        <v>5</v>
      </c>
      <c r="L1878" s="3">
        <v>46457.120000000003</v>
      </c>
      <c r="M1878" s="3">
        <v>232285.6</v>
      </c>
      <c r="N1878" s="3">
        <v>169757.1</v>
      </c>
      <c r="O1878" s="3">
        <v>62528.5</v>
      </c>
      <c r="P1878" s="3" t="s">
        <v>26</v>
      </c>
    </row>
    <row r="1879" spans="1:16" x14ac:dyDescent="0.35">
      <c r="A1879" s="3" t="s">
        <v>3181</v>
      </c>
      <c r="B1879" s="3" t="s">
        <v>618</v>
      </c>
      <c r="C1879" s="3" t="s">
        <v>72</v>
      </c>
      <c r="D1879" s="3" t="s">
        <v>19</v>
      </c>
      <c r="E1879" s="3" t="s">
        <v>199</v>
      </c>
      <c r="F1879" s="3" t="s">
        <v>200</v>
      </c>
      <c r="G1879" s="3" t="s">
        <v>30</v>
      </c>
      <c r="H1879" s="3" t="s">
        <v>73</v>
      </c>
      <c r="I1879" s="3" t="s">
        <v>1131</v>
      </c>
      <c r="J1879" s="3" t="s">
        <v>217</v>
      </c>
      <c r="K1879" s="3">
        <v>4</v>
      </c>
      <c r="L1879" s="3">
        <v>2995.38</v>
      </c>
      <c r="M1879" s="3">
        <v>11981.52</v>
      </c>
      <c r="N1879" s="3">
        <v>9863.84</v>
      </c>
      <c r="O1879" s="3">
        <v>2117.6799999999998</v>
      </c>
      <c r="P1879" s="3" t="s">
        <v>45</v>
      </c>
    </row>
    <row r="1880" spans="1:16" x14ac:dyDescent="0.35">
      <c r="A1880" s="3" t="s">
        <v>3182</v>
      </c>
      <c r="B1880" s="3" t="s">
        <v>654</v>
      </c>
      <c r="C1880" s="3" t="s">
        <v>103</v>
      </c>
      <c r="D1880" s="3" t="s">
        <v>58</v>
      </c>
      <c r="E1880" s="3" t="s">
        <v>176</v>
      </c>
      <c r="F1880" s="3" t="s">
        <v>177</v>
      </c>
      <c r="G1880" s="3" t="s">
        <v>22</v>
      </c>
      <c r="H1880" s="3" t="s">
        <v>23</v>
      </c>
      <c r="I1880" s="3" t="s">
        <v>3183</v>
      </c>
      <c r="J1880" s="3" t="s">
        <v>25</v>
      </c>
      <c r="K1880" s="3">
        <v>4</v>
      </c>
      <c r="L1880" s="3">
        <v>3174.69</v>
      </c>
      <c r="M1880" s="3">
        <v>12698.76</v>
      </c>
      <c r="N1880" s="3">
        <v>8376.8799999999992</v>
      </c>
      <c r="O1880" s="3">
        <v>4321.88</v>
      </c>
      <c r="P1880" s="3" t="s">
        <v>86</v>
      </c>
    </row>
    <row r="1881" spans="1:16" x14ac:dyDescent="0.35">
      <c r="A1881" s="3" t="s">
        <v>3184</v>
      </c>
      <c r="B1881" s="3" t="s">
        <v>2580</v>
      </c>
      <c r="C1881" s="3" t="s">
        <v>37</v>
      </c>
      <c r="D1881" s="3" t="s">
        <v>38</v>
      </c>
      <c r="E1881" s="3" t="s">
        <v>104</v>
      </c>
      <c r="F1881" s="3" t="s">
        <v>104</v>
      </c>
      <c r="G1881" s="3" t="s">
        <v>51</v>
      </c>
      <c r="H1881" s="3" t="s">
        <v>145</v>
      </c>
      <c r="I1881" s="3" t="s">
        <v>2990</v>
      </c>
      <c r="J1881" s="3" t="s">
        <v>33</v>
      </c>
      <c r="K1881" s="3">
        <v>1</v>
      </c>
      <c r="L1881" s="3">
        <v>126.48</v>
      </c>
      <c r="M1881" s="3">
        <v>126.48</v>
      </c>
      <c r="N1881" s="3">
        <v>57.4</v>
      </c>
      <c r="O1881" s="3">
        <v>69.08</v>
      </c>
      <c r="P1881" s="3" t="s">
        <v>86</v>
      </c>
    </row>
    <row r="1882" spans="1:16" x14ac:dyDescent="0.35">
      <c r="A1882" s="3" t="s">
        <v>3185</v>
      </c>
      <c r="B1882" s="3" t="s">
        <v>361</v>
      </c>
      <c r="C1882" s="3" t="s">
        <v>137</v>
      </c>
      <c r="D1882" s="3" t="s">
        <v>90</v>
      </c>
      <c r="E1882" s="3" t="s">
        <v>91</v>
      </c>
      <c r="F1882" s="3" t="s">
        <v>92</v>
      </c>
      <c r="G1882" s="3" t="s">
        <v>30</v>
      </c>
      <c r="H1882" s="3" t="s">
        <v>73</v>
      </c>
      <c r="I1882" s="3" t="s">
        <v>1440</v>
      </c>
      <c r="J1882" s="3" t="s">
        <v>44</v>
      </c>
      <c r="K1882" s="3">
        <v>3</v>
      </c>
      <c r="L1882" s="3">
        <v>3167.51</v>
      </c>
      <c r="M1882" s="3">
        <v>9502.5300000000007</v>
      </c>
      <c r="N1882" s="3">
        <v>7034.56</v>
      </c>
      <c r="O1882" s="3">
        <v>2467.9699999999998</v>
      </c>
      <c r="P1882" s="3" t="s">
        <v>34</v>
      </c>
    </row>
    <row r="1883" spans="1:16" x14ac:dyDescent="0.35">
      <c r="A1883" s="3" t="s">
        <v>3186</v>
      </c>
      <c r="B1883" s="3" t="s">
        <v>159</v>
      </c>
      <c r="C1883" s="3" t="s">
        <v>118</v>
      </c>
      <c r="D1883" s="3" t="s">
        <v>90</v>
      </c>
      <c r="E1883" s="3" t="s">
        <v>91</v>
      </c>
      <c r="F1883" s="3" t="s">
        <v>92</v>
      </c>
      <c r="G1883" s="3" t="s">
        <v>51</v>
      </c>
      <c r="H1883" s="3" t="s">
        <v>77</v>
      </c>
      <c r="I1883" s="3" t="s">
        <v>610</v>
      </c>
      <c r="J1883" s="3" t="s">
        <v>33</v>
      </c>
      <c r="K1883" s="3">
        <v>7</v>
      </c>
      <c r="L1883" s="3">
        <v>13132.22</v>
      </c>
      <c r="M1883" s="3">
        <v>91925.54</v>
      </c>
      <c r="N1883" s="3">
        <v>62244.42</v>
      </c>
      <c r="O1883" s="3">
        <v>29681.119999999999</v>
      </c>
      <c r="P1883" s="3" t="s">
        <v>26</v>
      </c>
    </row>
    <row r="1884" spans="1:16" x14ac:dyDescent="0.35">
      <c r="A1884" s="3" t="s">
        <v>3187</v>
      </c>
      <c r="B1884" s="3" t="s">
        <v>828</v>
      </c>
      <c r="C1884" s="3" t="s">
        <v>89</v>
      </c>
      <c r="D1884" s="3" t="s">
        <v>19</v>
      </c>
      <c r="E1884" s="3" t="s">
        <v>20</v>
      </c>
      <c r="F1884" s="3" t="s">
        <v>21</v>
      </c>
      <c r="G1884" s="3" t="s">
        <v>22</v>
      </c>
      <c r="H1884" s="3" t="s">
        <v>93</v>
      </c>
      <c r="I1884" s="3" t="s">
        <v>1043</v>
      </c>
      <c r="J1884" s="3" t="s">
        <v>154</v>
      </c>
      <c r="K1884" s="3">
        <v>3</v>
      </c>
      <c r="L1884" s="3">
        <v>7098.13</v>
      </c>
      <c r="M1884" s="3">
        <v>21294.39</v>
      </c>
      <c r="N1884" s="3">
        <v>14652.44</v>
      </c>
      <c r="O1884" s="3">
        <v>6641.95</v>
      </c>
      <c r="P1884" s="3" t="s">
        <v>45</v>
      </c>
    </row>
    <row r="1885" spans="1:16" x14ac:dyDescent="0.35">
      <c r="A1885" s="3" t="s">
        <v>3188</v>
      </c>
      <c r="B1885" s="3" t="s">
        <v>28</v>
      </c>
      <c r="C1885" s="3" t="s">
        <v>29</v>
      </c>
      <c r="D1885" s="3" t="s">
        <v>38</v>
      </c>
      <c r="E1885" s="3" t="s">
        <v>104</v>
      </c>
      <c r="F1885" s="3" t="s">
        <v>104</v>
      </c>
      <c r="G1885" s="3" t="s">
        <v>41</v>
      </c>
      <c r="H1885" s="3" t="s">
        <v>138</v>
      </c>
      <c r="I1885" s="3" t="s">
        <v>1167</v>
      </c>
      <c r="J1885" s="3" t="s">
        <v>85</v>
      </c>
      <c r="K1885" s="3">
        <v>2</v>
      </c>
      <c r="L1885" s="3">
        <v>18154.830000000002</v>
      </c>
      <c r="M1885" s="3">
        <v>36309.660000000003</v>
      </c>
      <c r="N1885" s="3">
        <v>28675.61</v>
      </c>
      <c r="O1885" s="3">
        <v>7634.05</v>
      </c>
      <c r="P1885" s="3" t="s">
        <v>69</v>
      </c>
    </row>
    <row r="1886" spans="1:16" x14ac:dyDescent="0.35">
      <c r="A1886" s="3" t="s">
        <v>3189</v>
      </c>
      <c r="B1886" s="3" t="s">
        <v>17</v>
      </c>
      <c r="C1886" s="3" t="s">
        <v>18</v>
      </c>
      <c r="D1886" s="3" t="s">
        <v>38</v>
      </c>
      <c r="E1886" s="3" t="s">
        <v>109</v>
      </c>
      <c r="F1886" s="3" t="s">
        <v>110</v>
      </c>
      <c r="G1886" s="3" t="s">
        <v>22</v>
      </c>
      <c r="H1886" s="3" t="s">
        <v>23</v>
      </c>
      <c r="I1886" s="3" t="s">
        <v>2782</v>
      </c>
      <c r="J1886" s="3" t="s">
        <v>85</v>
      </c>
      <c r="K1886" s="3">
        <v>8</v>
      </c>
      <c r="L1886" s="3">
        <v>3537.24</v>
      </c>
      <c r="M1886" s="3">
        <v>28297.919999999998</v>
      </c>
      <c r="N1886" s="3">
        <v>17386.95</v>
      </c>
      <c r="O1886" s="3">
        <v>10910.97</v>
      </c>
      <c r="P1886" s="3" t="s">
        <v>34</v>
      </c>
    </row>
    <row r="1887" spans="1:16" x14ac:dyDescent="0.35">
      <c r="A1887" s="3" t="s">
        <v>3190</v>
      </c>
      <c r="B1887" s="3" t="s">
        <v>1698</v>
      </c>
      <c r="C1887" s="3" t="s">
        <v>18</v>
      </c>
      <c r="D1887" s="3" t="s">
        <v>90</v>
      </c>
      <c r="E1887" s="3" t="s">
        <v>97</v>
      </c>
      <c r="F1887" s="3" t="s">
        <v>98</v>
      </c>
      <c r="G1887" s="3" t="s">
        <v>51</v>
      </c>
      <c r="H1887" s="3" t="s">
        <v>145</v>
      </c>
      <c r="I1887" s="3" t="s">
        <v>829</v>
      </c>
      <c r="J1887" s="3" t="s">
        <v>33</v>
      </c>
      <c r="K1887" s="3">
        <v>1</v>
      </c>
      <c r="L1887" s="3">
        <v>129.63</v>
      </c>
      <c r="M1887" s="3">
        <v>129.63</v>
      </c>
      <c r="N1887" s="3">
        <v>62.12</v>
      </c>
      <c r="O1887" s="3">
        <v>67.510000000000005</v>
      </c>
      <c r="P1887" s="3" t="s">
        <v>86</v>
      </c>
    </row>
    <row r="1888" spans="1:16" x14ac:dyDescent="0.35">
      <c r="A1888" s="3" t="s">
        <v>3191</v>
      </c>
      <c r="B1888" s="3" t="s">
        <v>1724</v>
      </c>
      <c r="C1888" s="3" t="s">
        <v>48</v>
      </c>
      <c r="D1888" s="3" t="s">
        <v>19</v>
      </c>
      <c r="E1888" s="3" t="s">
        <v>199</v>
      </c>
      <c r="F1888" s="3" t="s">
        <v>200</v>
      </c>
      <c r="G1888" s="3" t="s">
        <v>51</v>
      </c>
      <c r="H1888" s="3" t="s">
        <v>145</v>
      </c>
      <c r="I1888" s="3" t="s">
        <v>2264</v>
      </c>
      <c r="J1888" s="3" t="s">
        <v>161</v>
      </c>
      <c r="K1888" s="3">
        <v>4</v>
      </c>
      <c r="L1888" s="3">
        <v>121.18</v>
      </c>
      <c r="M1888" s="3">
        <v>484.72</v>
      </c>
      <c r="N1888" s="3">
        <v>242.7</v>
      </c>
      <c r="O1888" s="3">
        <v>242.02</v>
      </c>
      <c r="P1888" s="3" t="s">
        <v>26</v>
      </c>
    </row>
    <row r="1889" spans="1:16" x14ac:dyDescent="0.35">
      <c r="A1889" s="3" t="s">
        <v>3192</v>
      </c>
      <c r="B1889" s="3" t="s">
        <v>1095</v>
      </c>
      <c r="C1889" s="3" t="s">
        <v>103</v>
      </c>
      <c r="D1889" s="3" t="s">
        <v>19</v>
      </c>
      <c r="E1889" s="3" t="s">
        <v>199</v>
      </c>
      <c r="F1889" s="3" t="s">
        <v>200</v>
      </c>
      <c r="G1889" s="3" t="s">
        <v>22</v>
      </c>
      <c r="H1889" s="3" t="s">
        <v>83</v>
      </c>
      <c r="I1889" s="3" t="s">
        <v>382</v>
      </c>
      <c r="J1889" s="3" t="s">
        <v>217</v>
      </c>
      <c r="K1889" s="3">
        <v>7</v>
      </c>
      <c r="L1889" s="3">
        <v>23650.94</v>
      </c>
      <c r="M1889" s="3">
        <v>165556.57999999999</v>
      </c>
      <c r="N1889" s="3">
        <v>117321.69</v>
      </c>
      <c r="O1889" s="3">
        <v>48234.89</v>
      </c>
      <c r="P1889" s="3" t="s">
        <v>34</v>
      </c>
    </row>
    <row r="1890" spans="1:16" x14ac:dyDescent="0.35">
      <c r="A1890" s="3" t="s">
        <v>3193</v>
      </c>
      <c r="B1890" s="3" t="s">
        <v>1429</v>
      </c>
      <c r="C1890" s="3" t="s">
        <v>89</v>
      </c>
      <c r="D1890" s="3" t="s">
        <v>19</v>
      </c>
      <c r="E1890" s="3" t="s">
        <v>49</v>
      </c>
      <c r="F1890" s="3" t="s">
        <v>50</v>
      </c>
      <c r="G1890" s="3" t="s">
        <v>41</v>
      </c>
      <c r="H1890" s="3" t="s">
        <v>42</v>
      </c>
      <c r="I1890" s="3" t="s">
        <v>2530</v>
      </c>
      <c r="J1890" s="3" t="s">
        <v>131</v>
      </c>
      <c r="K1890" s="3">
        <v>3</v>
      </c>
      <c r="L1890" s="3">
        <v>45697.89</v>
      </c>
      <c r="M1890" s="3">
        <v>137093.67000000001</v>
      </c>
      <c r="N1890" s="3">
        <v>103125.08</v>
      </c>
      <c r="O1890" s="3">
        <v>33968.589999999997</v>
      </c>
      <c r="P1890" s="3" t="s">
        <v>34</v>
      </c>
    </row>
    <row r="1891" spans="1:16" x14ac:dyDescent="0.35">
      <c r="A1891" s="3" t="s">
        <v>3194</v>
      </c>
      <c r="B1891" s="3" t="s">
        <v>1140</v>
      </c>
      <c r="C1891" s="3" t="s">
        <v>48</v>
      </c>
      <c r="D1891" s="3" t="s">
        <v>58</v>
      </c>
      <c r="E1891" s="3" t="s">
        <v>59</v>
      </c>
      <c r="F1891" s="3" t="s">
        <v>60</v>
      </c>
      <c r="G1891" s="3" t="s">
        <v>51</v>
      </c>
      <c r="H1891" s="3" t="s">
        <v>145</v>
      </c>
      <c r="I1891" s="3" t="s">
        <v>3195</v>
      </c>
      <c r="J1891" s="3" t="s">
        <v>44</v>
      </c>
      <c r="K1891" s="3">
        <v>3</v>
      </c>
      <c r="L1891" s="3">
        <v>129.44999999999999</v>
      </c>
      <c r="M1891" s="3">
        <v>388.35</v>
      </c>
      <c r="N1891" s="3">
        <v>179.71</v>
      </c>
      <c r="O1891" s="3">
        <v>208.64</v>
      </c>
      <c r="P1891" s="3" t="s">
        <v>34</v>
      </c>
    </row>
    <row r="1892" spans="1:16" x14ac:dyDescent="0.35">
      <c r="A1892" s="3" t="s">
        <v>3196</v>
      </c>
      <c r="B1892" s="3" t="s">
        <v>816</v>
      </c>
      <c r="C1892" s="3" t="s">
        <v>57</v>
      </c>
      <c r="D1892" s="3" t="s">
        <v>38</v>
      </c>
      <c r="E1892" s="3" t="s">
        <v>109</v>
      </c>
      <c r="F1892" s="3" t="s">
        <v>110</v>
      </c>
      <c r="G1892" s="3" t="s">
        <v>51</v>
      </c>
      <c r="H1892" s="3" t="s">
        <v>52</v>
      </c>
      <c r="I1892" s="3" t="s">
        <v>280</v>
      </c>
      <c r="J1892" s="3" t="s">
        <v>171</v>
      </c>
      <c r="K1892" s="3">
        <v>1</v>
      </c>
      <c r="L1892" s="3">
        <v>22.81</v>
      </c>
      <c r="M1892" s="3">
        <v>22.81</v>
      </c>
      <c r="N1892" s="3">
        <v>9.7799999999999994</v>
      </c>
      <c r="O1892" s="3">
        <v>13.03</v>
      </c>
      <c r="P1892" s="3" t="s">
        <v>86</v>
      </c>
    </row>
    <row r="1893" spans="1:16" x14ac:dyDescent="0.35">
      <c r="A1893" s="3" t="s">
        <v>3197</v>
      </c>
      <c r="B1893" s="3" t="s">
        <v>795</v>
      </c>
      <c r="C1893" s="3" t="s">
        <v>82</v>
      </c>
      <c r="D1893" s="3" t="s">
        <v>19</v>
      </c>
      <c r="E1893" s="3" t="s">
        <v>49</v>
      </c>
      <c r="F1893" s="3" t="s">
        <v>50</v>
      </c>
      <c r="G1893" s="3" t="s">
        <v>51</v>
      </c>
      <c r="H1893" s="3" t="s">
        <v>77</v>
      </c>
      <c r="I1893" s="3" t="s">
        <v>900</v>
      </c>
      <c r="J1893" s="3" t="s">
        <v>154</v>
      </c>
      <c r="K1893" s="3">
        <v>5</v>
      </c>
      <c r="L1893" s="3">
        <v>11031.42</v>
      </c>
      <c r="M1893" s="3">
        <v>55157.1</v>
      </c>
      <c r="N1893" s="3">
        <v>43881.35</v>
      </c>
      <c r="O1893" s="3">
        <v>11275.75</v>
      </c>
      <c r="P1893" s="3" t="s">
        <v>45</v>
      </c>
    </row>
    <row r="1894" spans="1:16" x14ac:dyDescent="0.35">
      <c r="A1894" s="3" t="s">
        <v>3198</v>
      </c>
      <c r="B1894" s="3" t="s">
        <v>661</v>
      </c>
      <c r="C1894" s="3" t="s">
        <v>114</v>
      </c>
      <c r="D1894" s="3" t="s">
        <v>58</v>
      </c>
      <c r="E1894" s="3" t="s">
        <v>59</v>
      </c>
      <c r="F1894" s="3" t="s">
        <v>60</v>
      </c>
      <c r="G1894" s="3" t="s">
        <v>22</v>
      </c>
      <c r="H1894" s="3" t="s">
        <v>23</v>
      </c>
      <c r="I1894" s="3" t="s">
        <v>3199</v>
      </c>
      <c r="J1894" s="3" t="s">
        <v>44</v>
      </c>
      <c r="K1894" s="3">
        <v>4</v>
      </c>
      <c r="L1894" s="3">
        <v>3628.32</v>
      </c>
      <c r="M1894" s="3">
        <v>14513.28</v>
      </c>
      <c r="N1894" s="3">
        <v>8697.2199999999993</v>
      </c>
      <c r="O1894" s="3">
        <v>5816.06</v>
      </c>
      <c r="P1894" s="3" t="s">
        <v>26</v>
      </c>
    </row>
    <row r="1895" spans="1:16" x14ac:dyDescent="0.35">
      <c r="A1895" s="3" t="s">
        <v>3200</v>
      </c>
      <c r="B1895" s="3" t="s">
        <v>601</v>
      </c>
      <c r="C1895" s="3" t="s">
        <v>82</v>
      </c>
      <c r="D1895" s="3" t="s">
        <v>19</v>
      </c>
      <c r="E1895" s="3" t="s">
        <v>49</v>
      </c>
      <c r="F1895" s="3" t="s">
        <v>50</v>
      </c>
      <c r="G1895" s="3" t="s">
        <v>51</v>
      </c>
      <c r="H1895" s="3" t="s">
        <v>52</v>
      </c>
      <c r="I1895" s="3" t="s">
        <v>2260</v>
      </c>
      <c r="J1895" s="3" t="s">
        <v>147</v>
      </c>
      <c r="K1895" s="3">
        <v>8</v>
      </c>
      <c r="L1895" s="3">
        <v>23.94</v>
      </c>
      <c r="M1895" s="3">
        <v>191.52</v>
      </c>
      <c r="N1895" s="3">
        <v>77.260000000000005</v>
      </c>
      <c r="O1895" s="3">
        <v>114.26</v>
      </c>
      <c r="P1895" s="3" t="s">
        <v>34</v>
      </c>
    </row>
    <row r="1896" spans="1:16" x14ac:dyDescent="0.35">
      <c r="A1896" s="3" t="s">
        <v>3201</v>
      </c>
      <c r="B1896" s="3" t="s">
        <v>1724</v>
      </c>
      <c r="C1896" s="3" t="s">
        <v>48</v>
      </c>
      <c r="D1896" s="3" t="s">
        <v>58</v>
      </c>
      <c r="E1896" s="3" t="s">
        <v>176</v>
      </c>
      <c r="F1896" s="3" t="s">
        <v>177</v>
      </c>
      <c r="G1896" s="3" t="s">
        <v>51</v>
      </c>
      <c r="H1896" s="3" t="s">
        <v>77</v>
      </c>
      <c r="I1896" s="3" t="s">
        <v>1626</v>
      </c>
      <c r="J1896" s="3" t="s">
        <v>25</v>
      </c>
      <c r="K1896" s="3">
        <v>6</v>
      </c>
      <c r="L1896" s="3">
        <v>12315.33</v>
      </c>
      <c r="M1896" s="3">
        <v>73891.98</v>
      </c>
      <c r="N1896" s="3">
        <v>53683.19</v>
      </c>
      <c r="O1896" s="3">
        <v>20208.79</v>
      </c>
      <c r="P1896" s="3" t="s">
        <v>45</v>
      </c>
    </row>
    <row r="1897" spans="1:16" x14ac:dyDescent="0.35">
      <c r="A1897" s="3" t="s">
        <v>3202</v>
      </c>
      <c r="B1897" s="3" t="s">
        <v>1089</v>
      </c>
      <c r="C1897" s="3" t="s">
        <v>48</v>
      </c>
      <c r="D1897" s="3" t="s">
        <v>19</v>
      </c>
      <c r="E1897" s="3" t="s">
        <v>20</v>
      </c>
      <c r="F1897" s="3" t="s">
        <v>21</v>
      </c>
      <c r="G1897" s="3" t="s">
        <v>51</v>
      </c>
      <c r="H1897" s="3" t="s">
        <v>52</v>
      </c>
      <c r="I1897" s="3" t="s">
        <v>331</v>
      </c>
      <c r="J1897" s="3" t="s">
        <v>44</v>
      </c>
      <c r="K1897" s="3">
        <v>1</v>
      </c>
      <c r="L1897" s="3">
        <v>23.98</v>
      </c>
      <c r="M1897" s="3">
        <v>23.98</v>
      </c>
      <c r="N1897" s="3">
        <v>9.51</v>
      </c>
      <c r="O1897" s="3">
        <v>14.47</v>
      </c>
      <c r="P1897" s="3" t="s">
        <v>45</v>
      </c>
    </row>
    <row r="1898" spans="1:16" x14ac:dyDescent="0.35">
      <c r="A1898" s="3" t="s">
        <v>3203</v>
      </c>
      <c r="B1898" s="3" t="s">
        <v>690</v>
      </c>
      <c r="C1898" s="3" t="s">
        <v>82</v>
      </c>
      <c r="D1898" s="3" t="s">
        <v>19</v>
      </c>
      <c r="E1898" s="3" t="s">
        <v>199</v>
      </c>
      <c r="F1898" s="3" t="s">
        <v>200</v>
      </c>
      <c r="G1898" s="3" t="s">
        <v>51</v>
      </c>
      <c r="H1898" s="3" t="s">
        <v>77</v>
      </c>
      <c r="I1898" s="3" t="s">
        <v>2758</v>
      </c>
      <c r="J1898" s="3" t="s">
        <v>54</v>
      </c>
      <c r="K1898" s="3">
        <v>8</v>
      </c>
      <c r="L1898" s="3">
        <v>11807.12</v>
      </c>
      <c r="M1898" s="3">
        <v>94456.960000000006</v>
      </c>
      <c r="N1898" s="3">
        <v>70049.350000000006</v>
      </c>
      <c r="O1898" s="3">
        <v>24407.61</v>
      </c>
      <c r="P1898" s="3" t="s">
        <v>26</v>
      </c>
    </row>
    <row r="1899" spans="1:16" x14ac:dyDescent="0.35">
      <c r="A1899" s="3" t="s">
        <v>3204</v>
      </c>
      <c r="B1899" s="3" t="s">
        <v>233</v>
      </c>
      <c r="C1899" s="3" t="s">
        <v>103</v>
      </c>
      <c r="D1899" s="3" t="s">
        <v>90</v>
      </c>
      <c r="E1899" s="3" t="s">
        <v>91</v>
      </c>
      <c r="F1899" s="3" t="s">
        <v>92</v>
      </c>
      <c r="G1899" s="3" t="s">
        <v>22</v>
      </c>
      <c r="H1899" s="3" t="s">
        <v>83</v>
      </c>
      <c r="I1899" s="3" t="s">
        <v>3205</v>
      </c>
      <c r="J1899" s="3" t="s">
        <v>188</v>
      </c>
      <c r="K1899" s="3">
        <v>5</v>
      </c>
      <c r="L1899" s="3">
        <v>22319.200000000001</v>
      </c>
      <c r="M1899" s="3">
        <v>111596</v>
      </c>
      <c r="N1899" s="3">
        <v>86796.31</v>
      </c>
      <c r="O1899" s="3">
        <v>24799.69</v>
      </c>
      <c r="P1899" s="3" t="s">
        <v>26</v>
      </c>
    </row>
    <row r="1900" spans="1:16" x14ac:dyDescent="0.35">
      <c r="A1900" s="3" t="s">
        <v>3206</v>
      </c>
      <c r="B1900" s="3" t="s">
        <v>1910</v>
      </c>
      <c r="C1900" s="3" t="s">
        <v>29</v>
      </c>
      <c r="D1900" s="3" t="s">
        <v>38</v>
      </c>
      <c r="E1900" s="3" t="s">
        <v>104</v>
      </c>
      <c r="F1900" s="3" t="s">
        <v>104</v>
      </c>
      <c r="G1900" s="3" t="s">
        <v>41</v>
      </c>
      <c r="H1900" s="3" t="s">
        <v>138</v>
      </c>
      <c r="I1900" s="3" t="s">
        <v>2885</v>
      </c>
      <c r="J1900" s="3" t="s">
        <v>25</v>
      </c>
      <c r="K1900" s="3">
        <v>5</v>
      </c>
      <c r="L1900" s="3">
        <v>17949.34</v>
      </c>
      <c r="M1900" s="3">
        <v>89746.7</v>
      </c>
      <c r="N1900" s="3">
        <v>67961.23</v>
      </c>
      <c r="O1900" s="3">
        <v>21785.47</v>
      </c>
      <c r="P1900" s="3" t="s">
        <v>86</v>
      </c>
    </row>
    <row r="1901" spans="1:16" x14ac:dyDescent="0.35">
      <c r="A1901" s="3" t="s">
        <v>3207</v>
      </c>
      <c r="B1901" s="3" t="s">
        <v>856</v>
      </c>
      <c r="C1901" s="3" t="s">
        <v>103</v>
      </c>
      <c r="D1901" s="3" t="s">
        <v>90</v>
      </c>
      <c r="E1901" s="3" t="s">
        <v>119</v>
      </c>
      <c r="F1901" s="3" t="s">
        <v>120</v>
      </c>
      <c r="G1901" s="3" t="s">
        <v>30</v>
      </c>
      <c r="H1901" s="3" t="s">
        <v>73</v>
      </c>
      <c r="I1901" s="3" t="s">
        <v>1249</v>
      </c>
      <c r="J1901" s="3" t="s">
        <v>154</v>
      </c>
      <c r="K1901" s="3">
        <v>8</v>
      </c>
      <c r="L1901" s="3">
        <v>3082.76</v>
      </c>
      <c r="M1901" s="3">
        <v>24662.080000000002</v>
      </c>
      <c r="N1901" s="3">
        <v>18534.68</v>
      </c>
      <c r="O1901" s="3">
        <v>6127.4</v>
      </c>
      <c r="P1901" s="3" t="s">
        <v>86</v>
      </c>
    </row>
    <row r="1902" spans="1:16" x14ac:dyDescent="0.35">
      <c r="A1902" s="3" t="s">
        <v>3208</v>
      </c>
      <c r="B1902" s="3" t="s">
        <v>1095</v>
      </c>
      <c r="C1902" s="3" t="s">
        <v>103</v>
      </c>
      <c r="D1902" s="3" t="s">
        <v>58</v>
      </c>
      <c r="E1902" s="3" t="s">
        <v>176</v>
      </c>
      <c r="F1902" s="3" t="s">
        <v>177</v>
      </c>
      <c r="G1902" s="3" t="s">
        <v>51</v>
      </c>
      <c r="H1902" s="3" t="s">
        <v>52</v>
      </c>
      <c r="I1902" s="3" t="s">
        <v>1970</v>
      </c>
      <c r="J1902" s="3" t="s">
        <v>100</v>
      </c>
      <c r="K1902" s="3">
        <v>5</v>
      </c>
      <c r="L1902" s="3">
        <v>23.76</v>
      </c>
      <c r="M1902" s="3">
        <v>118.8</v>
      </c>
      <c r="N1902" s="3">
        <v>50.93</v>
      </c>
      <c r="O1902" s="3">
        <v>67.87</v>
      </c>
      <c r="P1902" s="3" t="s">
        <v>34</v>
      </c>
    </row>
    <row r="1903" spans="1:16" x14ac:dyDescent="0.35">
      <c r="A1903" s="3" t="s">
        <v>3209</v>
      </c>
      <c r="B1903" s="3" t="s">
        <v>1552</v>
      </c>
      <c r="C1903" s="3" t="s">
        <v>114</v>
      </c>
      <c r="D1903" s="3" t="s">
        <v>38</v>
      </c>
      <c r="E1903" s="3" t="s">
        <v>104</v>
      </c>
      <c r="F1903" s="3" t="s">
        <v>104</v>
      </c>
      <c r="G1903" s="3" t="s">
        <v>51</v>
      </c>
      <c r="H1903" s="3" t="s">
        <v>145</v>
      </c>
      <c r="I1903" s="3" t="s">
        <v>243</v>
      </c>
      <c r="J1903" s="3" t="s">
        <v>44</v>
      </c>
      <c r="K1903" s="3">
        <v>5</v>
      </c>
      <c r="L1903" s="3">
        <v>123.96</v>
      </c>
      <c r="M1903" s="3">
        <v>619.79999999999995</v>
      </c>
      <c r="N1903" s="3">
        <v>307.86</v>
      </c>
      <c r="O1903" s="3">
        <v>311.94</v>
      </c>
      <c r="P1903" s="3" t="s">
        <v>26</v>
      </c>
    </row>
    <row r="1904" spans="1:16" x14ac:dyDescent="0.35">
      <c r="A1904" s="3" t="s">
        <v>3210</v>
      </c>
      <c r="B1904" s="3" t="s">
        <v>1755</v>
      </c>
      <c r="C1904" s="3" t="s">
        <v>57</v>
      </c>
      <c r="D1904" s="3" t="s">
        <v>58</v>
      </c>
      <c r="E1904" s="3" t="s">
        <v>65</v>
      </c>
      <c r="F1904" s="3" t="s">
        <v>66</v>
      </c>
      <c r="G1904" s="3" t="s">
        <v>30</v>
      </c>
      <c r="H1904" s="3" t="s">
        <v>31</v>
      </c>
      <c r="I1904" s="3" t="s">
        <v>3051</v>
      </c>
      <c r="J1904" s="3" t="s">
        <v>147</v>
      </c>
      <c r="K1904" s="3">
        <v>8</v>
      </c>
      <c r="L1904" s="3">
        <v>3002.25</v>
      </c>
      <c r="M1904" s="3">
        <v>24018</v>
      </c>
      <c r="N1904" s="3">
        <v>14927.81</v>
      </c>
      <c r="O1904" s="3">
        <v>9090.19</v>
      </c>
      <c r="P1904" s="3" t="s">
        <v>26</v>
      </c>
    </row>
    <row r="1905" spans="1:16" x14ac:dyDescent="0.35">
      <c r="A1905" s="3" t="s">
        <v>3211</v>
      </c>
      <c r="B1905" s="3" t="s">
        <v>1698</v>
      </c>
      <c r="C1905" s="3" t="s">
        <v>18</v>
      </c>
      <c r="D1905" s="3" t="s">
        <v>38</v>
      </c>
      <c r="E1905" s="3" t="s">
        <v>104</v>
      </c>
      <c r="F1905" s="3" t="s">
        <v>104</v>
      </c>
      <c r="G1905" s="3" t="s">
        <v>51</v>
      </c>
      <c r="H1905" s="3" t="s">
        <v>145</v>
      </c>
      <c r="I1905" s="3" t="s">
        <v>1103</v>
      </c>
      <c r="J1905" s="3" t="s">
        <v>154</v>
      </c>
      <c r="K1905" s="3">
        <v>5</v>
      </c>
      <c r="L1905" s="3">
        <v>109.43</v>
      </c>
      <c r="M1905" s="3">
        <v>547.15</v>
      </c>
      <c r="N1905" s="3">
        <v>313.57</v>
      </c>
      <c r="O1905" s="3">
        <v>233.58</v>
      </c>
      <c r="P1905" s="3" t="s">
        <v>45</v>
      </c>
    </row>
    <row r="1906" spans="1:16" x14ac:dyDescent="0.35">
      <c r="A1906" s="3" t="s">
        <v>3212</v>
      </c>
      <c r="B1906" s="3" t="s">
        <v>1151</v>
      </c>
      <c r="C1906" s="3" t="s">
        <v>103</v>
      </c>
      <c r="D1906" s="3" t="s">
        <v>90</v>
      </c>
      <c r="E1906" s="3" t="s">
        <v>119</v>
      </c>
      <c r="F1906" s="3" t="s">
        <v>120</v>
      </c>
      <c r="G1906" s="3" t="s">
        <v>41</v>
      </c>
      <c r="H1906" s="3" t="s">
        <v>61</v>
      </c>
      <c r="I1906" s="3" t="s">
        <v>1458</v>
      </c>
      <c r="J1906" s="3" t="s">
        <v>44</v>
      </c>
      <c r="K1906" s="3">
        <v>8</v>
      </c>
      <c r="L1906" s="3">
        <v>2438.9499999999998</v>
      </c>
      <c r="M1906" s="3">
        <v>19511.599999999999</v>
      </c>
      <c r="N1906" s="3">
        <v>12419.16</v>
      </c>
      <c r="O1906" s="3">
        <v>7092.44</v>
      </c>
      <c r="P1906" s="3" t="s">
        <v>26</v>
      </c>
    </row>
    <row r="1907" spans="1:16" x14ac:dyDescent="0.35">
      <c r="A1907" s="3" t="s">
        <v>3213</v>
      </c>
      <c r="B1907" s="3" t="s">
        <v>1360</v>
      </c>
      <c r="C1907" s="3" t="s">
        <v>72</v>
      </c>
      <c r="D1907" s="3" t="s">
        <v>90</v>
      </c>
      <c r="E1907" s="3" t="s">
        <v>119</v>
      </c>
      <c r="F1907" s="3" t="s">
        <v>120</v>
      </c>
      <c r="G1907" s="3" t="s">
        <v>51</v>
      </c>
      <c r="H1907" s="3" t="s">
        <v>77</v>
      </c>
      <c r="I1907" s="3" t="s">
        <v>2684</v>
      </c>
      <c r="J1907" s="3" t="s">
        <v>154</v>
      </c>
      <c r="K1907" s="3">
        <v>3</v>
      </c>
      <c r="L1907" s="3">
        <v>11082.3</v>
      </c>
      <c r="M1907" s="3">
        <v>33246.9</v>
      </c>
      <c r="N1907" s="3">
        <v>28166.93</v>
      </c>
      <c r="O1907" s="3">
        <v>5079.97</v>
      </c>
      <c r="P1907" s="3" t="s">
        <v>86</v>
      </c>
    </row>
    <row r="1908" spans="1:16" x14ac:dyDescent="0.35">
      <c r="A1908" s="3" t="s">
        <v>3214</v>
      </c>
      <c r="B1908" s="3" t="s">
        <v>455</v>
      </c>
      <c r="C1908" s="3" t="s">
        <v>18</v>
      </c>
      <c r="D1908" s="3" t="s">
        <v>90</v>
      </c>
      <c r="E1908" s="3" t="s">
        <v>91</v>
      </c>
      <c r="F1908" s="3" t="s">
        <v>92</v>
      </c>
      <c r="G1908" s="3" t="s">
        <v>51</v>
      </c>
      <c r="H1908" s="3" t="s">
        <v>52</v>
      </c>
      <c r="I1908" s="3" t="s">
        <v>3215</v>
      </c>
      <c r="J1908" s="3" t="s">
        <v>33</v>
      </c>
      <c r="K1908" s="3">
        <v>1</v>
      </c>
      <c r="L1908" s="3">
        <v>25.65</v>
      </c>
      <c r="M1908" s="3">
        <v>25.65</v>
      </c>
      <c r="N1908" s="3">
        <v>9.7200000000000006</v>
      </c>
      <c r="O1908" s="3">
        <v>15.93</v>
      </c>
      <c r="P1908" s="3" t="s">
        <v>86</v>
      </c>
    </row>
    <row r="1909" spans="1:16" x14ac:dyDescent="0.35">
      <c r="A1909" s="3" t="s">
        <v>3216</v>
      </c>
      <c r="B1909" s="3" t="s">
        <v>1704</v>
      </c>
      <c r="C1909" s="3" t="s">
        <v>48</v>
      </c>
      <c r="D1909" s="3" t="s">
        <v>38</v>
      </c>
      <c r="E1909" s="3" t="s">
        <v>104</v>
      </c>
      <c r="F1909" s="3" t="s">
        <v>104</v>
      </c>
      <c r="G1909" s="3" t="s">
        <v>51</v>
      </c>
      <c r="H1909" s="3" t="s">
        <v>77</v>
      </c>
      <c r="I1909" s="3" t="s">
        <v>630</v>
      </c>
      <c r="J1909" s="3" t="s">
        <v>161</v>
      </c>
      <c r="K1909" s="3">
        <v>1</v>
      </c>
      <c r="L1909" s="3">
        <v>10964.44</v>
      </c>
      <c r="M1909" s="3">
        <v>10964.44</v>
      </c>
      <c r="N1909" s="3">
        <v>8676.5</v>
      </c>
      <c r="O1909" s="3">
        <v>2287.94</v>
      </c>
      <c r="P1909" s="3" t="s">
        <v>34</v>
      </c>
    </row>
    <row r="1910" spans="1:16" x14ac:dyDescent="0.35">
      <c r="A1910" s="3" t="s">
        <v>3217</v>
      </c>
      <c r="B1910" s="3" t="s">
        <v>1360</v>
      </c>
      <c r="C1910" s="3" t="s">
        <v>72</v>
      </c>
      <c r="D1910" s="3" t="s">
        <v>58</v>
      </c>
      <c r="E1910" s="3" t="s">
        <v>59</v>
      </c>
      <c r="F1910" s="3" t="s">
        <v>60</v>
      </c>
      <c r="G1910" s="3" t="s">
        <v>51</v>
      </c>
      <c r="H1910" s="3" t="s">
        <v>52</v>
      </c>
      <c r="I1910" s="3" t="s">
        <v>1753</v>
      </c>
      <c r="J1910" s="3" t="s">
        <v>154</v>
      </c>
      <c r="K1910" s="3">
        <v>8</v>
      </c>
      <c r="L1910" s="3">
        <v>26.11</v>
      </c>
      <c r="M1910" s="3">
        <v>208.88</v>
      </c>
      <c r="N1910" s="3">
        <v>80.34</v>
      </c>
      <c r="O1910" s="3">
        <v>128.54</v>
      </c>
      <c r="P1910" s="3" t="s">
        <v>69</v>
      </c>
    </row>
    <row r="1911" spans="1:16" x14ac:dyDescent="0.35">
      <c r="A1911" s="3" t="s">
        <v>3218</v>
      </c>
      <c r="B1911" s="3" t="s">
        <v>186</v>
      </c>
      <c r="C1911" s="3" t="s">
        <v>89</v>
      </c>
      <c r="D1911" s="3" t="s">
        <v>19</v>
      </c>
      <c r="E1911" s="3" t="s">
        <v>199</v>
      </c>
      <c r="F1911" s="3" t="s">
        <v>200</v>
      </c>
      <c r="G1911" s="3" t="s">
        <v>30</v>
      </c>
      <c r="H1911" s="3" t="s">
        <v>73</v>
      </c>
      <c r="I1911" s="3" t="s">
        <v>2560</v>
      </c>
      <c r="J1911" s="3" t="s">
        <v>188</v>
      </c>
      <c r="K1911" s="3">
        <v>2</v>
      </c>
      <c r="L1911" s="3">
        <v>3140.52</v>
      </c>
      <c r="M1911" s="3">
        <v>6281.04</v>
      </c>
      <c r="N1911" s="3">
        <v>4639.96</v>
      </c>
      <c r="O1911" s="3">
        <v>1641.08</v>
      </c>
      <c r="P1911" s="3" t="s">
        <v>86</v>
      </c>
    </row>
    <row r="1912" spans="1:16" x14ac:dyDescent="0.35">
      <c r="A1912" s="3" t="s">
        <v>3219</v>
      </c>
      <c r="B1912" s="3" t="s">
        <v>327</v>
      </c>
      <c r="C1912" s="3" t="s">
        <v>48</v>
      </c>
      <c r="D1912" s="3" t="s">
        <v>38</v>
      </c>
      <c r="E1912" s="3" t="s">
        <v>109</v>
      </c>
      <c r="F1912" s="3" t="s">
        <v>110</v>
      </c>
      <c r="G1912" s="3" t="s">
        <v>30</v>
      </c>
      <c r="H1912" s="3" t="s">
        <v>73</v>
      </c>
      <c r="I1912" s="3" t="s">
        <v>1715</v>
      </c>
      <c r="J1912" s="3" t="s">
        <v>147</v>
      </c>
      <c r="K1912" s="3">
        <v>8</v>
      </c>
      <c r="L1912" s="3">
        <v>3464.55</v>
      </c>
      <c r="M1912" s="3">
        <v>27716.400000000001</v>
      </c>
      <c r="N1912" s="3">
        <v>19808.68</v>
      </c>
      <c r="O1912" s="3">
        <v>7907.72</v>
      </c>
      <c r="P1912" s="3" t="s">
        <v>34</v>
      </c>
    </row>
    <row r="1913" spans="1:16" x14ac:dyDescent="0.35">
      <c r="A1913" s="3" t="s">
        <v>3220</v>
      </c>
      <c r="B1913" s="3" t="s">
        <v>636</v>
      </c>
      <c r="C1913" s="3" t="s">
        <v>57</v>
      </c>
      <c r="D1913" s="3" t="s">
        <v>90</v>
      </c>
      <c r="E1913" s="3" t="s">
        <v>97</v>
      </c>
      <c r="F1913" s="3" t="s">
        <v>98</v>
      </c>
      <c r="G1913" s="3" t="s">
        <v>30</v>
      </c>
      <c r="H1913" s="3" t="s">
        <v>73</v>
      </c>
      <c r="I1913" s="3" t="s">
        <v>563</v>
      </c>
      <c r="J1913" s="3" t="s">
        <v>25</v>
      </c>
      <c r="K1913" s="3">
        <v>3</v>
      </c>
      <c r="L1913" s="3">
        <v>3393.31</v>
      </c>
      <c r="M1913" s="3">
        <v>10179.93</v>
      </c>
      <c r="N1913" s="3">
        <v>7347.03</v>
      </c>
      <c r="O1913" s="3">
        <v>2832.9</v>
      </c>
      <c r="P1913" s="3" t="s">
        <v>69</v>
      </c>
    </row>
    <row r="1914" spans="1:16" x14ac:dyDescent="0.35">
      <c r="A1914" s="3" t="s">
        <v>3221</v>
      </c>
      <c r="B1914" s="3" t="s">
        <v>916</v>
      </c>
      <c r="C1914" s="3" t="s">
        <v>103</v>
      </c>
      <c r="D1914" s="3" t="s">
        <v>19</v>
      </c>
      <c r="E1914" s="3" t="s">
        <v>20</v>
      </c>
      <c r="F1914" s="3" t="s">
        <v>21</v>
      </c>
      <c r="G1914" s="3" t="s">
        <v>30</v>
      </c>
      <c r="H1914" s="3" t="s">
        <v>67</v>
      </c>
      <c r="I1914" s="3" t="s">
        <v>2331</v>
      </c>
      <c r="J1914" s="3" t="s">
        <v>147</v>
      </c>
      <c r="K1914" s="3">
        <v>7</v>
      </c>
      <c r="L1914" s="3">
        <v>9687</v>
      </c>
      <c r="M1914" s="3">
        <v>67809</v>
      </c>
      <c r="N1914" s="3">
        <v>52073.46</v>
      </c>
      <c r="O1914" s="3">
        <v>15735.54</v>
      </c>
      <c r="P1914" s="3" t="s">
        <v>86</v>
      </c>
    </row>
    <row r="1915" spans="1:16" x14ac:dyDescent="0.35">
      <c r="A1915" s="3" t="s">
        <v>3222</v>
      </c>
      <c r="B1915" s="3" t="s">
        <v>330</v>
      </c>
      <c r="C1915" s="3" t="s">
        <v>18</v>
      </c>
      <c r="D1915" s="3" t="s">
        <v>38</v>
      </c>
      <c r="E1915" s="3" t="s">
        <v>39</v>
      </c>
      <c r="F1915" s="3" t="s">
        <v>40</v>
      </c>
      <c r="G1915" s="3" t="s">
        <v>51</v>
      </c>
      <c r="H1915" s="3" t="s">
        <v>77</v>
      </c>
      <c r="I1915" s="3" t="s">
        <v>566</v>
      </c>
      <c r="J1915" s="3" t="s">
        <v>161</v>
      </c>
      <c r="K1915" s="3">
        <v>7</v>
      </c>
      <c r="L1915" s="3">
        <v>11560.77</v>
      </c>
      <c r="M1915" s="3">
        <v>80925.39</v>
      </c>
      <c r="N1915" s="3">
        <v>62858.48</v>
      </c>
      <c r="O1915" s="3">
        <v>18066.91</v>
      </c>
      <c r="P1915" s="3" t="s">
        <v>34</v>
      </c>
    </row>
    <row r="1916" spans="1:16" x14ac:dyDescent="0.35">
      <c r="A1916" s="3" t="s">
        <v>3223</v>
      </c>
      <c r="B1916" s="3" t="s">
        <v>960</v>
      </c>
      <c r="C1916" s="3" t="s">
        <v>114</v>
      </c>
      <c r="D1916" s="3" t="s">
        <v>90</v>
      </c>
      <c r="E1916" s="3" t="s">
        <v>119</v>
      </c>
      <c r="F1916" s="3" t="s">
        <v>120</v>
      </c>
      <c r="G1916" s="3" t="s">
        <v>22</v>
      </c>
      <c r="H1916" s="3" t="s">
        <v>83</v>
      </c>
      <c r="I1916" s="3" t="s">
        <v>1178</v>
      </c>
      <c r="J1916" s="3" t="s">
        <v>33</v>
      </c>
      <c r="K1916" s="3">
        <v>4</v>
      </c>
      <c r="L1916" s="3">
        <v>22255.87</v>
      </c>
      <c r="M1916" s="3">
        <v>89023.48</v>
      </c>
      <c r="N1916" s="3">
        <v>68826.399999999994</v>
      </c>
      <c r="O1916" s="3">
        <v>20197.080000000002</v>
      </c>
      <c r="P1916" s="3" t="s">
        <v>26</v>
      </c>
    </row>
    <row r="1917" spans="1:16" x14ac:dyDescent="0.35">
      <c r="A1917" s="3" t="s">
        <v>3224</v>
      </c>
      <c r="B1917" s="3" t="s">
        <v>215</v>
      </c>
      <c r="C1917" s="3" t="s">
        <v>37</v>
      </c>
      <c r="D1917" s="3" t="s">
        <v>58</v>
      </c>
      <c r="E1917" s="3" t="s">
        <v>176</v>
      </c>
      <c r="F1917" s="3" t="s">
        <v>177</v>
      </c>
      <c r="G1917" s="3" t="s">
        <v>30</v>
      </c>
      <c r="H1917" s="3" t="s">
        <v>67</v>
      </c>
      <c r="I1917" s="3" t="s">
        <v>867</v>
      </c>
      <c r="J1917" s="3" t="s">
        <v>217</v>
      </c>
      <c r="K1917" s="3">
        <v>2</v>
      </c>
      <c r="L1917" s="3">
        <v>9750.39</v>
      </c>
      <c r="M1917" s="3">
        <v>19500.78</v>
      </c>
      <c r="N1917" s="3">
        <v>14509.45</v>
      </c>
      <c r="O1917" s="3">
        <v>4991.33</v>
      </c>
      <c r="P1917" s="3" t="s">
        <v>34</v>
      </c>
    </row>
    <row r="1918" spans="1:16" x14ac:dyDescent="0.35">
      <c r="A1918" s="3" t="s">
        <v>3225</v>
      </c>
      <c r="B1918" s="3" t="s">
        <v>675</v>
      </c>
      <c r="C1918" s="3" t="s">
        <v>82</v>
      </c>
      <c r="D1918" s="3" t="s">
        <v>90</v>
      </c>
      <c r="E1918" s="3" t="s">
        <v>91</v>
      </c>
      <c r="F1918" s="3" t="s">
        <v>92</v>
      </c>
      <c r="G1918" s="3" t="s">
        <v>22</v>
      </c>
      <c r="H1918" s="3" t="s">
        <v>93</v>
      </c>
      <c r="I1918" s="3" t="s">
        <v>563</v>
      </c>
      <c r="J1918" s="3" t="s">
        <v>171</v>
      </c>
      <c r="K1918" s="3">
        <v>3</v>
      </c>
      <c r="L1918" s="3">
        <v>7682.29</v>
      </c>
      <c r="M1918" s="3">
        <v>23046.87</v>
      </c>
      <c r="N1918" s="3">
        <v>14378.99</v>
      </c>
      <c r="O1918" s="3">
        <v>8667.8799999999992</v>
      </c>
      <c r="P1918" s="3" t="s">
        <v>86</v>
      </c>
    </row>
    <row r="1919" spans="1:16" x14ac:dyDescent="0.35">
      <c r="A1919" s="3" t="s">
        <v>3226</v>
      </c>
      <c r="B1919" s="3" t="s">
        <v>1435</v>
      </c>
      <c r="C1919" s="3" t="s">
        <v>137</v>
      </c>
      <c r="D1919" s="3" t="s">
        <v>90</v>
      </c>
      <c r="E1919" s="3" t="s">
        <v>97</v>
      </c>
      <c r="F1919" s="3" t="s">
        <v>98</v>
      </c>
      <c r="G1919" s="3" t="s">
        <v>22</v>
      </c>
      <c r="H1919" s="3" t="s">
        <v>83</v>
      </c>
      <c r="I1919" s="3" t="s">
        <v>3227</v>
      </c>
      <c r="J1919" s="3" t="s">
        <v>154</v>
      </c>
      <c r="K1919" s="3">
        <v>5</v>
      </c>
      <c r="L1919" s="3">
        <v>20409.72</v>
      </c>
      <c r="M1919" s="3">
        <v>102048.6</v>
      </c>
      <c r="N1919" s="3">
        <v>87407.56</v>
      </c>
      <c r="O1919" s="3">
        <v>14641.04</v>
      </c>
      <c r="P1919" s="3" t="s">
        <v>69</v>
      </c>
    </row>
    <row r="1920" spans="1:16" x14ac:dyDescent="0.35">
      <c r="A1920" s="3" t="s">
        <v>3228</v>
      </c>
      <c r="B1920" s="3" t="s">
        <v>765</v>
      </c>
      <c r="C1920" s="3" t="s">
        <v>57</v>
      </c>
      <c r="D1920" s="3" t="s">
        <v>58</v>
      </c>
      <c r="E1920" s="3" t="s">
        <v>59</v>
      </c>
      <c r="F1920" s="3" t="s">
        <v>60</v>
      </c>
      <c r="G1920" s="3" t="s">
        <v>30</v>
      </c>
      <c r="H1920" s="3" t="s">
        <v>73</v>
      </c>
      <c r="I1920" s="3" t="s">
        <v>3103</v>
      </c>
      <c r="J1920" s="3" t="s">
        <v>85</v>
      </c>
      <c r="K1920" s="3">
        <v>1</v>
      </c>
      <c r="L1920" s="3">
        <v>3451.65</v>
      </c>
      <c r="M1920" s="3">
        <v>3451.65</v>
      </c>
      <c r="N1920" s="3">
        <v>2486.14</v>
      </c>
      <c r="O1920" s="3">
        <v>965.51</v>
      </c>
      <c r="P1920" s="3" t="s">
        <v>45</v>
      </c>
    </row>
    <row r="1921" spans="1:16" x14ac:dyDescent="0.35">
      <c r="A1921" s="3" t="s">
        <v>3229</v>
      </c>
      <c r="B1921" s="3" t="s">
        <v>1031</v>
      </c>
      <c r="C1921" s="3" t="s">
        <v>82</v>
      </c>
      <c r="D1921" s="3" t="s">
        <v>38</v>
      </c>
      <c r="E1921" s="3" t="s">
        <v>39</v>
      </c>
      <c r="F1921" s="3" t="s">
        <v>40</v>
      </c>
      <c r="G1921" s="3" t="s">
        <v>30</v>
      </c>
      <c r="H1921" s="3" t="s">
        <v>31</v>
      </c>
      <c r="I1921" s="3" t="s">
        <v>763</v>
      </c>
      <c r="J1921" s="3" t="s">
        <v>188</v>
      </c>
      <c r="K1921" s="3">
        <v>3</v>
      </c>
      <c r="L1921" s="3">
        <v>2847.13</v>
      </c>
      <c r="M1921" s="3">
        <v>8541.39</v>
      </c>
      <c r="N1921" s="3">
        <v>5585</v>
      </c>
      <c r="O1921" s="3">
        <v>2956.39</v>
      </c>
      <c r="P1921" s="3" t="s">
        <v>34</v>
      </c>
    </row>
    <row r="1922" spans="1:16" x14ac:dyDescent="0.35">
      <c r="A1922" s="3" t="s">
        <v>3230</v>
      </c>
      <c r="B1922" s="3" t="s">
        <v>1552</v>
      </c>
      <c r="C1922" s="3" t="s">
        <v>114</v>
      </c>
      <c r="D1922" s="3" t="s">
        <v>58</v>
      </c>
      <c r="E1922" s="3" t="s">
        <v>176</v>
      </c>
      <c r="F1922" s="3" t="s">
        <v>177</v>
      </c>
      <c r="G1922" s="3" t="s">
        <v>22</v>
      </c>
      <c r="H1922" s="3" t="s">
        <v>93</v>
      </c>
      <c r="I1922" s="3" t="s">
        <v>1327</v>
      </c>
      <c r="J1922" s="3" t="s">
        <v>188</v>
      </c>
      <c r="K1922" s="3">
        <v>7</v>
      </c>
      <c r="L1922" s="3">
        <v>6682.77</v>
      </c>
      <c r="M1922" s="3">
        <v>46779.39</v>
      </c>
      <c r="N1922" s="3">
        <v>35542.79</v>
      </c>
      <c r="O1922" s="3">
        <v>11236.6</v>
      </c>
      <c r="P1922" s="3" t="s">
        <v>45</v>
      </c>
    </row>
    <row r="1923" spans="1:16" x14ac:dyDescent="0.35">
      <c r="A1923" s="3" t="s">
        <v>3231</v>
      </c>
      <c r="B1923" s="3" t="s">
        <v>636</v>
      </c>
      <c r="C1923" s="3" t="s">
        <v>57</v>
      </c>
      <c r="D1923" s="3" t="s">
        <v>58</v>
      </c>
      <c r="E1923" s="3" t="s">
        <v>176</v>
      </c>
      <c r="F1923" s="3" t="s">
        <v>177</v>
      </c>
      <c r="G1923" s="3" t="s">
        <v>30</v>
      </c>
      <c r="H1923" s="3" t="s">
        <v>31</v>
      </c>
      <c r="I1923" s="3" t="s">
        <v>2755</v>
      </c>
      <c r="J1923" s="3" t="s">
        <v>44</v>
      </c>
      <c r="K1923" s="3">
        <v>5</v>
      </c>
      <c r="L1923" s="3">
        <v>2931.2</v>
      </c>
      <c r="M1923" s="3">
        <v>14656</v>
      </c>
      <c r="N1923" s="3">
        <v>9465.65</v>
      </c>
      <c r="O1923" s="3">
        <v>5190.3500000000004</v>
      </c>
      <c r="P1923" s="3" t="s">
        <v>26</v>
      </c>
    </row>
    <row r="1924" spans="1:16" x14ac:dyDescent="0.35">
      <c r="A1924" s="3" t="s">
        <v>3232</v>
      </c>
      <c r="B1924" s="3" t="s">
        <v>1999</v>
      </c>
      <c r="C1924" s="3" t="s">
        <v>114</v>
      </c>
      <c r="D1924" s="3" t="s">
        <v>90</v>
      </c>
      <c r="E1924" s="3" t="s">
        <v>119</v>
      </c>
      <c r="F1924" s="3" t="s">
        <v>120</v>
      </c>
      <c r="G1924" s="3" t="s">
        <v>30</v>
      </c>
      <c r="H1924" s="3" t="s">
        <v>31</v>
      </c>
      <c r="I1924" s="3" t="s">
        <v>3077</v>
      </c>
      <c r="J1924" s="3" t="s">
        <v>217</v>
      </c>
      <c r="K1924" s="3">
        <v>6</v>
      </c>
      <c r="L1924" s="3">
        <v>3072.12</v>
      </c>
      <c r="M1924" s="3">
        <v>18432.72</v>
      </c>
      <c r="N1924" s="3">
        <v>11408.78</v>
      </c>
      <c r="O1924" s="3">
        <v>7023.94</v>
      </c>
      <c r="P1924" s="3" t="s">
        <v>26</v>
      </c>
    </row>
    <row r="1925" spans="1:16" x14ac:dyDescent="0.35">
      <c r="A1925" s="3" t="s">
        <v>3233</v>
      </c>
      <c r="B1925" s="3" t="s">
        <v>682</v>
      </c>
      <c r="C1925" s="3" t="s">
        <v>114</v>
      </c>
      <c r="D1925" s="3" t="s">
        <v>90</v>
      </c>
      <c r="E1925" s="3" t="s">
        <v>91</v>
      </c>
      <c r="F1925" s="3" t="s">
        <v>92</v>
      </c>
      <c r="G1925" s="3" t="s">
        <v>51</v>
      </c>
      <c r="H1925" s="3" t="s">
        <v>145</v>
      </c>
      <c r="I1925" s="3" t="s">
        <v>3234</v>
      </c>
      <c r="J1925" s="3" t="s">
        <v>106</v>
      </c>
      <c r="K1925" s="3">
        <v>4</v>
      </c>
      <c r="L1925" s="3">
        <v>131.55000000000001</v>
      </c>
      <c r="M1925" s="3">
        <v>526.20000000000005</v>
      </c>
      <c r="N1925" s="3">
        <v>238.92</v>
      </c>
      <c r="O1925" s="3">
        <v>287.27999999999997</v>
      </c>
      <c r="P1925" s="3" t="s">
        <v>69</v>
      </c>
    </row>
    <row r="1926" spans="1:16" x14ac:dyDescent="0.35">
      <c r="A1926" s="3" t="s">
        <v>3235</v>
      </c>
      <c r="B1926" s="3" t="s">
        <v>1872</v>
      </c>
      <c r="C1926" s="3" t="s">
        <v>82</v>
      </c>
      <c r="D1926" s="3" t="s">
        <v>19</v>
      </c>
      <c r="E1926" s="3" t="s">
        <v>199</v>
      </c>
      <c r="F1926" s="3" t="s">
        <v>200</v>
      </c>
      <c r="G1926" s="3" t="s">
        <v>22</v>
      </c>
      <c r="H1926" s="3" t="s">
        <v>93</v>
      </c>
      <c r="I1926" s="3" t="s">
        <v>371</v>
      </c>
      <c r="J1926" s="3" t="s">
        <v>25</v>
      </c>
      <c r="K1926" s="3">
        <v>8</v>
      </c>
      <c r="L1926" s="3">
        <v>6418.34</v>
      </c>
      <c r="M1926" s="3">
        <v>51346.720000000001</v>
      </c>
      <c r="N1926" s="3">
        <v>39247.61</v>
      </c>
      <c r="O1926" s="3">
        <v>12099.11</v>
      </c>
      <c r="P1926" s="3" t="s">
        <v>45</v>
      </c>
    </row>
    <row r="1927" spans="1:16" x14ac:dyDescent="0.35">
      <c r="A1927" s="3" t="s">
        <v>3236</v>
      </c>
      <c r="B1927" s="3" t="s">
        <v>539</v>
      </c>
      <c r="C1927" s="3" t="s">
        <v>89</v>
      </c>
      <c r="D1927" s="3" t="s">
        <v>90</v>
      </c>
      <c r="E1927" s="3" t="s">
        <v>119</v>
      </c>
      <c r="F1927" s="3" t="s">
        <v>120</v>
      </c>
      <c r="G1927" s="3" t="s">
        <v>30</v>
      </c>
      <c r="H1927" s="3" t="s">
        <v>67</v>
      </c>
      <c r="I1927" s="3" t="s">
        <v>1043</v>
      </c>
      <c r="J1927" s="3" t="s">
        <v>188</v>
      </c>
      <c r="K1927" s="3">
        <v>8</v>
      </c>
      <c r="L1927" s="3">
        <v>10279.74</v>
      </c>
      <c r="M1927" s="3">
        <v>82237.919999999998</v>
      </c>
      <c r="N1927" s="3">
        <v>61229.45</v>
      </c>
      <c r="O1927" s="3">
        <v>21008.47</v>
      </c>
      <c r="P1927" s="3" t="s">
        <v>45</v>
      </c>
    </row>
    <row r="1928" spans="1:16" x14ac:dyDescent="0.35">
      <c r="A1928" s="3" t="s">
        <v>3237</v>
      </c>
      <c r="B1928" s="3" t="s">
        <v>705</v>
      </c>
      <c r="C1928" s="3" t="s">
        <v>82</v>
      </c>
      <c r="D1928" s="3" t="s">
        <v>58</v>
      </c>
      <c r="E1928" s="3" t="s">
        <v>176</v>
      </c>
      <c r="F1928" s="3" t="s">
        <v>177</v>
      </c>
      <c r="G1928" s="3" t="s">
        <v>51</v>
      </c>
      <c r="H1928" s="3" t="s">
        <v>77</v>
      </c>
      <c r="I1928" s="3" t="s">
        <v>3238</v>
      </c>
      <c r="J1928" s="3" t="s">
        <v>85</v>
      </c>
      <c r="K1928" s="3">
        <v>7</v>
      </c>
      <c r="L1928" s="3">
        <v>11274.57</v>
      </c>
      <c r="M1928" s="3">
        <v>78921.990000000005</v>
      </c>
      <c r="N1928" s="3">
        <v>61525.23</v>
      </c>
      <c r="O1928" s="3">
        <v>17396.759999999998</v>
      </c>
      <c r="P1928" s="3" t="s">
        <v>45</v>
      </c>
    </row>
    <row r="1929" spans="1:16" x14ac:dyDescent="0.35">
      <c r="A1929" s="3" t="s">
        <v>3239</v>
      </c>
      <c r="B1929" s="3" t="s">
        <v>916</v>
      </c>
      <c r="C1929" s="3" t="s">
        <v>103</v>
      </c>
      <c r="D1929" s="3" t="s">
        <v>90</v>
      </c>
      <c r="E1929" s="3" t="s">
        <v>91</v>
      </c>
      <c r="F1929" s="3" t="s">
        <v>92</v>
      </c>
      <c r="G1929" s="3" t="s">
        <v>30</v>
      </c>
      <c r="H1929" s="3" t="s">
        <v>73</v>
      </c>
      <c r="I1929" s="3" t="s">
        <v>337</v>
      </c>
      <c r="J1929" s="3" t="s">
        <v>44</v>
      </c>
      <c r="K1929" s="3">
        <v>2</v>
      </c>
      <c r="L1929" s="3">
        <v>2939.56</v>
      </c>
      <c r="M1929" s="3">
        <v>5879.12</v>
      </c>
      <c r="N1929" s="3">
        <v>4802.29</v>
      </c>
      <c r="O1929" s="3">
        <v>1076.83</v>
      </c>
      <c r="P1929" s="3" t="s">
        <v>86</v>
      </c>
    </row>
    <row r="1930" spans="1:16" x14ac:dyDescent="0.35">
      <c r="A1930" s="3" t="s">
        <v>3240</v>
      </c>
      <c r="B1930" s="3" t="s">
        <v>156</v>
      </c>
      <c r="C1930" s="3" t="s">
        <v>103</v>
      </c>
      <c r="D1930" s="3" t="s">
        <v>58</v>
      </c>
      <c r="E1930" s="3" t="s">
        <v>65</v>
      </c>
      <c r="F1930" s="3" t="s">
        <v>66</v>
      </c>
      <c r="G1930" s="3" t="s">
        <v>22</v>
      </c>
      <c r="H1930" s="3" t="s">
        <v>93</v>
      </c>
      <c r="I1930" s="3" t="s">
        <v>2629</v>
      </c>
      <c r="J1930" s="3" t="s">
        <v>188</v>
      </c>
      <c r="K1930" s="3">
        <v>4</v>
      </c>
      <c r="L1930" s="3">
        <v>6617.38</v>
      </c>
      <c r="M1930" s="3">
        <v>26469.52</v>
      </c>
      <c r="N1930" s="3">
        <v>20757.57</v>
      </c>
      <c r="O1930" s="3">
        <v>5711.95</v>
      </c>
      <c r="P1930" s="3" t="s">
        <v>69</v>
      </c>
    </row>
    <row r="1931" spans="1:16" x14ac:dyDescent="0.35">
      <c r="A1931" s="3" t="s">
        <v>3241</v>
      </c>
      <c r="B1931" s="3" t="s">
        <v>883</v>
      </c>
      <c r="C1931" s="3" t="s">
        <v>37</v>
      </c>
      <c r="D1931" s="3" t="s">
        <v>38</v>
      </c>
      <c r="E1931" s="3" t="s">
        <v>109</v>
      </c>
      <c r="F1931" s="3" t="s">
        <v>110</v>
      </c>
      <c r="G1931" s="3" t="s">
        <v>41</v>
      </c>
      <c r="H1931" s="3" t="s">
        <v>42</v>
      </c>
      <c r="I1931" s="3" t="s">
        <v>1916</v>
      </c>
      <c r="J1931" s="3" t="s">
        <v>54</v>
      </c>
      <c r="K1931" s="3">
        <v>1</v>
      </c>
      <c r="L1931" s="3">
        <v>46676.07</v>
      </c>
      <c r="M1931" s="3">
        <v>46676.07</v>
      </c>
      <c r="N1931" s="3">
        <v>34362.06</v>
      </c>
      <c r="O1931" s="3">
        <v>12314.01</v>
      </c>
      <c r="P1931" s="3" t="s">
        <v>34</v>
      </c>
    </row>
    <row r="1932" spans="1:16" x14ac:dyDescent="0.35">
      <c r="A1932" s="3" t="s">
        <v>3242</v>
      </c>
      <c r="B1932" s="3" t="s">
        <v>488</v>
      </c>
      <c r="C1932" s="3" t="s">
        <v>29</v>
      </c>
      <c r="D1932" s="3" t="s">
        <v>58</v>
      </c>
      <c r="E1932" s="3" t="s">
        <v>65</v>
      </c>
      <c r="F1932" s="3" t="s">
        <v>66</v>
      </c>
      <c r="G1932" s="3" t="s">
        <v>30</v>
      </c>
      <c r="H1932" s="3" t="s">
        <v>31</v>
      </c>
      <c r="I1932" s="3" t="s">
        <v>3243</v>
      </c>
      <c r="J1932" s="3" t="s">
        <v>85</v>
      </c>
      <c r="K1932" s="3">
        <v>6</v>
      </c>
      <c r="L1932" s="3">
        <v>2693.09</v>
      </c>
      <c r="M1932" s="3">
        <v>16158.54</v>
      </c>
      <c r="N1932" s="3">
        <v>11967.27</v>
      </c>
      <c r="O1932" s="3">
        <v>4191.2700000000004</v>
      </c>
      <c r="P1932" s="3" t="s">
        <v>86</v>
      </c>
    </row>
    <row r="1933" spans="1:16" x14ac:dyDescent="0.35">
      <c r="A1933" s="3" t="s">
        <v>3244</v>
      </c>
      <c r="B1933" s="3" t="s">
        <v>583</v>
      </c>
      <c r="C1933" s="3" t="s">
        <v>89</v>
      </c>
      <c r="D1933" s="3" t="s">
        <v>19</v>
      </c>
      <c r="E1933" s="3" t="s">
        <v>199</v>
      </c>
      <c r="F1933" s="3" t="s">
        <v>200</v>
      </c>
      <c r="G1933" s="3" t="s">
        <v>51</v>
      </c>
      <c r="H1933" s="3" t="s">
        <v>145</v>
      </c>
      <c r="I1933" s="3" t="s">
        <v>2598</v>
      </c>
      <c r="J1933" s="3" t="s">
        <v>100</v>
      </c>
      <c r="K1933" s="3">
        <v>5</v>
      </c>
      <c r="L1933" s="3">
        <v>116.2</v>
      </c>
      <c r="M1933" s="3">
        <v>581</v>
      </c>
      <c r="N1933" s="3">
        <v>295.62</v>
      </c>
      <c r="O1933" s="3">
        <v>285.38</v>
      </c>
      <c r="P1933" s="3" t="s">
        <v>69</v>
      </c>
    </row>
    <row r="1934" spans="1:16" x14ac:dyDescent="0.35">
      <c r="A1934" s="3" t="s">
        <v>3245</v>
      </c>
      <c r="B1934" s="3" t="s">
        <v>599</v>
      </c>
      <c r="C1934" s="3" t="s">
        <v>82</v>
      </c>
      <c r="D1934" s="3" t="s">
        <v>38</v>
      </c>
      <c r="E1934" s="3" t="s">
        <v>109</v>
      </c>
      <c r="F1934" s="3" t="s">
        <v>110</v>
      </c>
      <c r="G1934" s="3" t="s">
        <v>22</v>
      </c>
      <c r="H1934" s="3" t="s">
        <v>23</v>
      </c>
      <c r="I1934" s="3" t="s">
        <v>167</v>
      </c>
      <c r="J1934" s="3" t="s">
        <v>54</v>
      </c>
      <c r="K1934" s="3">
        <v>5</v>
      </c>
      <c r="L1934" s="3">
        <v>3217.89</v>
      </c>
      <c r="M1934" s="3">
        <v>16089.45</v>
      </c>
      <c r="N1934" s="3">
        <v>11341.13</v>
      </c>
      <c r="O1934" s="3">
        <v>4748.32</v>
      </c>
      <c r="P1934" s="3" t="s">
        <v>26</v>
      </c>
    </row>
    <row r="1935" spans="1:16" x14ac:dyDescent="0.35">
      <c r="A1935" s="3" t="s">
        <v>3246</v>
      </c>
      <c r="B1935" s="3" t="s">
        <v>936</v>
      </c>
      <c r="C1935" s="3" t="s">
        <v>89</v>
      </c>
      <c r="D1935" s="3" t="s">
        <v>19</v>
      </c>
      <c r="E1935" s="3" t="s">
        <v>20</v>
      </c>
      <c r="F1935" s="3" t="s">
        <v>21</v>
      </c>
      <c r="G1935" s="3" t="s">
        <v>41</v>
      </c>
      <c r="H1935" s="3" t="s">
        <v>61</v>
      </c>
      <c r="I1935" s="3" t="s">
        <v>1973</v>
      </c>
      <c r="J1935" s="3" t="s">
        <v>54</v>
      </c>
      <c r="K1935" s="3">
        <v>3</v>
      </c>
      <c r="L1935" s="3">
        <v>2575.54</v>
      </c>
      <c r="M1935" s="3">
        <v>7726.62</v>
      </c>
      <c r="N1935" s="3">
        <v>4590.08</v>
      </c>
      <c r="O1935" s="3">
        <v>3136.54</v>
      </c>
      <c r="P1935" s="3" t="s">
        <v>34</v>
      </c>
    </row>
    <row r="1936" spans="1:16" x14ac:dyDescent="0.35">
      <c r="A1936" s="3" t="s">
        <v>3247</v>
      </c>
      <c r="B1936" s="3" t="s">
        <v>927</v>
      </c>
      <c r="C1936" s="3" t="s">
        <v>57</v>
      </c>
      <c r="D1936" s="3" t="s">
        <v>38</v>
      </c>
      <c r="E1936" s="3" t="s">
        <v>104</v>
      </c>
      <c r="F1936" s="3" t="s">
        <v>104</v>
      </c>
      <c r="G1936" s="3" t="s">
        <v>51</v>
      </c>
      <c r="H1936" s="3" t="s">
        <v>52</v>
      </c>
      <c r="I1936" s="3" t="s">
        <v>3248</v>
      </c>
      <c r="J1936" s="3" t="s">
        <v>171</v>
      </c>
      <c r="K1936" s="3">
        <v>8</v>
      </c>
      <c r="L1936" s="3">
        <v>22.89</v>
      </c>
      <c r="M1936" s="3">
        <v>183.12</v>
      </c>
      <c r="N1936" s="3">
        <v>81.680000000000007</v>
      </c>
      <c r="O1936" s="3">
        <v>101.44</v>
      </c>
      <c r="P1936" s="3" t="s">
        <v>45</v>
      </c>
    </row>
    <row r="1937" spans="1:16" x14ac:dyDescent="0.35">
      <c r="A1937" s="3" t="s">
        <v>3249</v>
      </c>
      <c r="B1937" s="3" t="s">
        <v>883</v>
      </c>
      <c r="C1937" s="3" t="s">
        <v>37</v>
      </c>
      <c r="D1937" s="3" t="s">
        <v>90</v>
      </c>
      <c r="E1937" s="3" t="s">
        <v>91</v>
      </c>
      <c r="F1937" s="3" t="s">
        <v>92</v>
      </c>
      <c r="G1937" s="3" t="s">
        <v>51</v>
      </c>
      <c r="H1937" s="3" t="s">
        <v>52</v>
      </c>
      <c r="I1937" s="3" t="s">
        <v>1376</v>
      </c>
      <c r="J1937" s="3" t="s">
        <v>79</v>
      </c>
      <c r="K1937" s="3">
        <v>1</v>
      </c>
      <c r="L1937" s="3">
        <v>24.45</v>
      </c>
      <c r="M1937" s="3">
        <v>24.45</v>
      </c>
      <c r="N1937" s="3">
        <v>9.59</v>
      </c>
      <c r="O1937" s="3">
        <v>14.86</v>
      </c>
      <c r="P1937" s="3" t="s">
        <v>34</v>
      </c>
    </row>
    <row r="1938" spans="1:16" x14ac:dyDescent="0.35">
      <c r="A1938" s="3" t="s">
        <v>3250</v>
      </c>
      <c r="B1938" s="3" t="s">
        <v>589</v>
      </c>
      <c r="C1938" s="3" t="s">
        <v>137</v>
      </c>
      <c r="D1938" s="3" t="s">
        <v>90</v>
      </c>
      <c r="E1938" s="3" t="s">
        <v>91</v>
      </c>
      <c r="F1938" s="3" t="s">
        <v>92</v>
      </c>
      <c r="G1938" s="3" t="s">
        <v>30</v>
      </c>
      <c r="H1938" s="3" t="s">
        <v>31</v>
      </c>
      <c r="I1938" s="3" t="s">
        <v>124</v>
      </c>
      <c r="J1938" s="3" t="s">
        <v>85</v>
      </c>
      <c r="K1938" s="3">
        <v>8</v>
      </c>
      <c r="L1938" s="3">
        <v>3003.59</v>
      </c>
      <c r="M1938" s="3">
        <v>24028.720000000001</v>
      </c>
      <c r="N1938" s="3">
        <v>15014</v>
      </c>
      <c r="O1938" s="3">
        <v>9014.7199999999993</v>
      </c>
      <c r="P1938" s="3" t="s">
        <v>69</v>
      </c>
    </row>
    <row r="1939" spans="1:16" x14ac:dyDescent="0.35">
      <c r="A1939" s="3" t="s">
        <v>3251</v>
      </c>
      <c r="B1939" s="3" t="s">
        <v>601</v>
      </c>
      <c r="C1939" s="3" t="s">
        <v>82</v>
      </c>
      <c r="D1939" s="3" t="s">
        <v>58</v>
      </c>
      <c r="E1939" s="3" t="s">
        <v>59</v>
      </c>
      <c r="F1939" s="3" t="s">
        <v>60</v>
      </c>
      <c r="G1939" s="3" t="s">
        <v>22</v>
      </c>
      <c r="H1939" s="3" t="s">
        <v>83</v>
      </c>
      <c r="I1939" s="3" t="s">
        <v>447</v>
      </c>
      <c r="J1939" s="3" t="s">
        <v>54</v>
      </c>
      <c r="K1939" s="3">
        <v>5</v>
      </c>
      <c r="L1939" s="3">
        <v>23911.31</v>
      </c>
      <c r="M1939" s="3">
        <v>119556.55</v>
      </c>
      <c r="N1939" s="3">
        <v>84545.29</v>
      </c>
      <c r="O1939" s="3">
        <v>35011.26</v>
      </c>
      <c r="P1939" s="3" t="s">
        <v>34</v>
      </c>
    </row>
    <row r="1940" spans="1:16" x14ac:dyDescent="0.35">
      <c r="A1940" s="3" t="s">
        <v>3252</v>
      </c>
      <c r="B1940" s="3" t="s">
        <v>795</v>
      </c>
      <c r="C1940" s="3" t="s">
        <v>82</v>
      </c>
      <c r="D1940" s="3" t="s">
        <v>58</v>
      </c>
      <c r="E1940" s="3" t="s">
        <v>65</v>
      </c>
      <c r="F1940" s="3" t="s">
        <v>66</v>
      </c>
      <c r="G1940" s="3" t="s">
        <v>22</v>
      </c>
      <c r="H1940" s="3" t="s">
        <v>83</v>
      </c>
      <c r="I1940" s="3" t="s">
        <v>1614</v>
      </c>
      <c r="J1940" s="3" t="s">
        <v>33</v>
      </c>
      <c r="K1940" s="3">
        <v>1</v>
      </c>
      <c r="L1940" s="3">
        <v>19931.13</v>
      </c>
      <c r="M1940" s="3">
        <v>19931.13</v>
      </c>
      <c r="N1940" s="3">
        <v>16977.27</v>
      </c>
      <c r="O1940" s="3">
        <v>2953.86</v>
      </c>
      <c r="P1940" s="3" t="s">
        <v>69</v>
      </c>
    </row>
    <row r="1941" spans="1:16" x14ac:dyDescent="0.35">
      <c r="A1941" s="3" t="s">
        <v>3253</v>
      </c>
      <c r="B1941" s="3" t="s">
        <v>819</v>
      </c>
      <c r="C1941" s="3" t="s">
        <v>89</v>
      </c>
      <c r="D1941" s="3" t="s">
        <v>90</v>
      </c>
      <c r="E1941" s="3" t="s">
        <v>119</v>
      </c>
      <c r="F1941" s="3" t="s">
        <v>120</v>
      </c>
      <c r="G1941" s="3" t="s">
        <v>30</v>
      </c>
      <c r="H1941" s="3" t="s">
        <v>67</v>
      </c>
      <c r="I1941" s="3" t="s">
        <v>2145</v>
      </c>
      <c r="J1941" s="3" t="s">
        <v>217</v>
      </c>
      <c r="K1941" s="3">
        <v>2</v>
      </c>
      <c r="L1941" s="3">
        <v>10085.19</v>
      </c>
      <c r="M1941" s="3">
        <v>20170.38</v>
      </c>
      <c r="N1941" s="3">
        <v>15391.6</v>
      </c>
      <c r="O1941" s="3">
        <v>4778.78</v>
      </c>
      <c r="P1941" s="3" t="s">
        <v>45</v>
      </c>
    </row>
    <row r="1942" spans="1:16" x14ac:dyDescent="0.35">
      <c r="A1942" s="3" t="s">
        <v>3254</v>
      </c>
      <c r="B1942" s="3" t="s">
        <v>682</v>
      </c>
      <c r="C1942" s="3" t="s">
        <v>114</v>
      </c>
      <c r="D1942" s="3" t="s">
        <v>90</v>
      </c>
      <c r="E1942" s="3" t="s">
        <v>119</v>
      </c>
      <c r="F1942" s="3" t="s">
        <v>120</v>
      </c>
      <c r="G1942" s="3" t="s">
        <v>41</v>
      </c>
      <c r="H1942" s="3" t="s">
        <v>42</v>
      </c>
      <c r="I1942" s="3" t="s">
        <v>1736</v>
      </c>
      <c r="J1942" s="3" t="s">
        <v>217</v>
      </c>
      <c r="K1942" s="3">
        <v>2</v>
      </c>
      <c r="L1942" s="3">
        <v>48804.91</v>
      </c>
      <c r="M1942" s="3">
        <v>97609.82</v>
      </c>
      <c r="N1942" s="3">
        <v>67167.92</v>
      </c>
      <c r="O1942" s="3">
        <v>30441.9</v>
      </c>
      <c r="P1942" s="3" t="s">
        <v>45</v>
      </c>
    </row>
    <row r="1943" spans="1:16" x14ac:dyDescent="0.35">
      <c r="A1943" s="3" t="s">
        <v>3255</v>
      </c>
      <c r="B1943" s="3" t="s">
        <v>1314</v>
      </c>
      <c r="C1943" s="3" t="s">
        <v>48</v>
      </c>
      <c r="D1943" s="3" t="s">
        <v>90</v>
      </c>
      <c r="E1943" s="3" t="s">
        <v>91</v>
      </c>
      <c r="F1943" s="3" t="s">
        <v>92</v>
      </c>
      <c r="G1943" s="3" t="s">
        <v>30</v>
      </c>
      <c r="H1943" s="3" t="s">
        <v>73</v>
      </c>
      <c r="I1943" s="3" t="s">
        <v>1825</v>
      </c>
      <c r="J1943" s="3" t="s">
        <v>100</v>
      </c>
      <c r="K1943" s="3">
        <v>7</v>
      </c>
      <c r="L1943" s="3">
        <v>3199.48</v>
      </c>
      <c r="M1943" s="3">
        <v>22396.36</v>
      </c>
      <c r="N1943" s="3">
        <v>17392.7</v>
      </c>
      <c r="O1943" s="3">
        <v>5003.66</v>
      </c>
      <c r="P1943" s="3" t="s">
        <v>86</v>
      </c>
    </row>
    <row r="1944" spans="1:16" x14ac:dyDescent="0.35">
      <c r="A1944" s="3" t="s">
        <v>3256</v>
      </c>
      <c r="B1944" s="3" t="s">
        <v>1910</v>
      </c>
      <c r="C1944" s="3" t="s">
        <v>29</v>
      </c>
      <c r="D1944" s="3" t="s">
        <v>58</v>
      </c>
      <c r="E1944" s="3" t="s">
        <v>176</v>
      </c>
      <c r="F1944" s="3" t="s">
        <v>177</v>
      </c>
      <c r="G1944" s="3" t="s">
        <v>41</v>
      </c>
      <c r="H1944" s="3" t="s">
        <v>61</v>
      </c>
      <c r="I1944" s="3" t="s">
        <v>1547</v>
      </c>
      <c r="J1944" s="3" t="s">
        <v>188</v>
      </c>
      <c r="K1944" s="3">
        <v>2</v>
      </c>
      <c r="L1944" s="3">
        <v>2527.1</v>
      </c>
      <c r="M1944" s="3">
        <v>5054.2</v>
      </c>
      <c r="N1944" s="3">
        <v>3273.1</v>
      </c>
      <c r="O1944" s="3">
        <v>1781.1</v>
      </c>
      <c r="P1944" s="3" t="s">
        <v>26</v>
      </c>
    </row>
    <row r="1945" spans="1:16" x14ac:dyDescent="0.35">
      <c r="A1945" s="3" t="s">
        <v>3257</v>
      </c>
      <c r="B1945" s="3" t="s">
        <v>1151</v>
      </c>
      <c r="C1945" s="3" t="s">
        <v>103</v>
      </c>
      <c r="D1945" s="3" t="s">
        <v>58</v>
      </c>
      <c r="E1945" s="3" t="s">
        <v>176</v>
      </c>
      <c r="F1945" s="3" t="s">
        <v>177</v>
      </c>
      <c r="G1945" s="3" t="s">
        <v>30</v>
      </c>
      <c r="H1945" s="3" t="s">
        <v>67</v>
      </c>
      <c r="I1945" s="3" t="s">
        <v>403</v>
      </c>
      <c r="J1945" s="3" t="s">
        <v>154</v>
      </c>
      <c r="K1945" s="3">
        <v>8</v>
      </c>
      <c r="L1945" s="3">
        <v>9774.4599999999991</v>
      </c>
      <c r="M1945" s="3">
        <v>78195.679999999993</v>
      </c>
      <c r="N1945" s="3">
        <v>59568.44</v>
      </c>
      <c r="O1945" s="3">
        <v>18627.240000000002</v>
      </c>
      <c r="P1945" s="3" t="s">
        <v>34</v>
      </c>
    </row>
    <row r="1946" spans="1:16" x14ac:dyDescent="0.35">
      <c r="A1946" s="3" t="s">
        <v>3258</v>
      </c>
      <c r="B1946" s="3" t="s">
        <v>1527</v>
      </c>
      <c r="C1946" s="3" t="s">
        <v>114</v>
      </c>
      <c r="D1946" s="3" t="s">
        <v>58</v>
      </c>
      <c r="E1946" s="3" t="s">
        <v>65</v>
      </c>
      <c r="F1946" s="3" t="s">
        <v>66</v>
      </c>
      <c r="G1946" s="3" t="s">
        <v>51</v>
      </c>
      <c r="H1946" s="3" t="s">
        <v>77</v>
      </c>
      <c r="I1946" s="3" t="s">
        <v>1318</v>
      </c>
      <c r="J1946" s="3" t="s">
        <v>161</v>
      </c>
      <c r="K1946" s="3">
        <v>4</v>
      </c>
      <c r="L1946" s="3">
        <v>10888.85</v>
      </c>
      <c r="M1946" s="3">
        <v>43555.4</v>
      </c>
      <c r="N1946" s="3">
        <v>36600.800000000003</v>
      </c>
      <c r="O1946" s="3">
        <v>6954.6</v>
      </c>
      <c r="P1946" s="3" t="s">
        <v>45</v>
      </c>
    </row>
    <row r="1947" spans="1:16" x14ac:dyDescent="0.35">
      <c r="A1947" s="3" t="s">
        <v>3259</v>
      </c>
      <c r="B1947" s="3" t="s">
        <v>924</v>
      </c>
      <c r="C1947" s="3" t="s">
        <v>18</v>
      </c>
      <c r="D1947" s="3" t="s">
        <v>58</v>
      </c>
      <c r="E1947" s="3" t="s">
        <v>176</v>
      </c>
      <c r="F1947" s="3" t="s">
        <v>177</v>
      </c>
      <c r="G1947" s="3" t="s">
        <v>22</v>
      </c>
      <c r="H1947" s="3" t="s">
        <v>23</v>
      </c>
      <c r="I1947" s="3" t="s">
        <v>3260</v>
      </c>
      <c r="J1947" s="3" t="s">
        <v>131</v>
      </c>
      <c r="K1947" s="3">
        <v>6</v>
      </c>
      <c r="L1947" s="3">
        <v>3737.72</v>
      </c>
      <c r="M1947" s="3">
        <v>22426.32</v>
      </c>
      <c r="N1947" s="3">
        <v>13776.38</v>
      </c>
      <c r="O1947" s="3">
        <v>8649.94</v>
      </c>
      <c r="P1947" s="3" t="s">
        <v>45</v>
      </c>
    </row>
    <row r="1948" spans="1:16" x14ac:dyDescent="0.35">
      <c r="A1948" s="3" t="s">
        <v>3261</v>
      </c>
      <c r="B1948" s="3" t="s">
        <v>1053</v>
      </c>
      <c r="C1948" s="3" t="s">
        <v>82</v>
      </c>
      <c r="D1948" s="3" t="s">
        <v>90</v>
      </c>
      <c r="E1948" s="3" t="s">
        <v>119</v>
      </c>
      <c r="F1948" s="3" t="s">
        <v>120</v>
      </c>
      <c r="G1948" s="3" t="s">
        <v>51</v>
      </c>
      <c r="H1948" s="3" t="s">
        <v>145</v>
      </c>
      <c r="I1948" s="3" t="s">
        <v>619</v>
      </c>
      <c r="J1948" s="3" t="s">
        <v>161</v>
      </c>
      <c r="K1948" s="3">
        <v>6</v>
      </c>
      <c r="L1948" s="3">
        <v>121.76</v>
      </c>
      <c r="M1948" s="3">
        <v>730.56</v>
      </c>
      <c r="N1948" s="3">
        <v>348.56</v>
      </c>
      <c r="O1948" s="3">
        <v>382</v>
      </c>
      <c r="P1948" s="3" t="s">
        <v>45</v>
      </c>
    </row>
    <row r="1949" spans="1:16" x14ac:dyDescent="0.35">
      <c r="A1949" s="3" t="s">
        <v>3262</v>
      </c>
      <c r="B1949" s="3" t="s">
        <v>169</v>
      </c>
      <c r="C1949" s="3" t="s">
        <v>37</v>
      </c>
      <c r="D1949" s="3" t="s">
        <v>58</v>
      </c>
      <c r="E1949" s="3" t="s">
        <v>59</v>
      </c>
      <c r="F1949" s="3" t="s">
        <v>60</v>
      </c>
      <c r="G1949" s="3" t="s">
        <v>41</v>
      </c>
      <c r="H1949" s="3" t="s">
        <v>61</v>
      </c>
      <c r="I1949" s="3" t="s">
        <v>2560</v>
      </c>
      <c r="J1949" s="3" t="s">
        <v>161</v>
      </c>
      <c r="K1949" s="3">
        <v>8</v>
      </c>
      <c r="L1949" s="3">
        <v>2747.55</v>
      </c>
      <c r="M1949" s="3">
        <v>21980.400000000001</v>
      </c>
      <c r="N1949" s="3">
        <v>12767.71</v>
      </c>
      <c r="O1949" s="3">
        <v>9212.69</v>
      </c>
      <c r="P1949" s="3" t="s">
        <v>26</v>
      </c>
    </row>
    <row r="1950" spans="1:16" x14ac:dyDescent="0.35">
      <c r="A1950" s="3" t="s">
        <v>3263</v>
      </c>
      <c r="B1950" s="3" t="s">
        <v>1299</v>
      </c>
      <c r="C1950" s="3" t="s">
        <v>82</v>
      </c>
      <c r="D1950" s="3" t="s">
        <v>58</v>
      </c>
      <c r="E1950" s="3" t="s">
        <v>176</v>
      </c>
      <c r="F1950" s="3" t="s">
        <v>177</v>
      </c>
      <c r="G1950" s="3" t="s">
        <v>22</v>
      </c>
      <c r="H1950" s="3" t="s">
        <v>23</v>
      </c>
      <c r="I1950" s="3" t="s">
        <v>2325</v>
      </c>
      <c r="J1950" s="3" t="s">
        <v>33</v>
      </c>
      <c r="K1950" s="3">
        <v>4</v>
      </c>
      <c r="L1950" s="3">
        <v>3170.72</v>
      </c>
      <c r="M1950" s="3">
        <v>12682.88</v>
      </c>
      <c r="N1950" s="3">
        <v>8640.35</v>
      </c>
      <c r="O1950" s="3">
        <v>4042.53</v>
      </c>
      <c r="P1950" s="3" t="s">
        <v>86</v>
      </c>
    </row>
    <row r="1951" spans="1:16" x14ac:dyDescent="0.35">
      <c r="A1951" s="3" t="s">
        <v>3264</v>
      </c>
      <c r="B1951" s="3" t="s">
        <v>239</v>
      </c>
      <c r="C1951" s="3" t="s">
        <v>72</v>
      </c>
      <c r="D1951" s="3" t="s">
        <v>90</v>
      </c>
      <c r="E1951" s="3" t="s">
        <v>97</v>
      </c>
      <c r="F1951" s="3" t="s">
        <v>98</v>
      </c>
      <c r="G1951" s="3" t="s">
        <v>51</v>
      </c>
      <c r="H1951" s="3" t="s">
        <v>77</v>
      </c>
      <c r="I1951" s="3" t="s">
        <v>2625</v>
      </c>
      <c r="J1951" s="3" t="s">
        <v>131</v>
      </c>
      <c r="K1951" s="3">
        <v>6</v>
      </c>
      <c r="L1951" s="3">
        <v>11277.64</v>
      </c>
      <c r="M1951" s="3">
        <v>67665.84</v>
      </c>
      <c r="N1951" s="3">
        <v>51818.45</v>
      </c>
      <c r="O1951" s="3">
        <v>15847.39</v>
      </c>
      <c r="P1951" s="3" t="s">
        <v>26</v>
      </c>
    </row>
    <row r="1952" spans="1:16" x14ac:dyDescent="0.35">
      <c r="A1952" s="3" t="s">
        <v>3265</v>
      </c>
      <c r="B1952" s="3" t="s">
        <v>960</v>
      </c>
      <c r="C1952" s="3" t="s">
        <v>114</v>
      </c>
      <c r="D1952" s="3" t="s">
        <v>58</v>
      </c>
      <c r="E1952" s="3" t="s">
        <v>59</v>
      </c>
      <c r="F1952" s="3" t="s">
        <v>60</v>
      </c>
      <c r="G1952" s="3" t="s">
        <v>51</v>
      </c>
      <c r="H1952" s="3" t="s">
        <v>145</v>
      </c>
      <c r="I1952" s="3" t="s">
        <v>1078</v>
      </c>
      <c r="J1952" s="3" t="s">
        <v>54</v>
      </c>
      <c r="K1952" s="3">
        <v>4</v>
      </c>
      <c r="L1952" s="3">
        <v>127.58</v>
      </c>
      <c r="M1952" s="3">
        <v>510.32</v>
      </c>
      <c r="N1952" s="3">
        <v>236.41</v>
      </c>
      <c r="O1952" s="3">
        <v>273.91000000000003</v>
      </c>
      <c r="P1952" s="3" t="s">
        <v>34</v>
      </c>
    </row>
    <row r="1953" spans="1:16" x14ac:dyDescent="0.35">
      <c r="A1953" s="3" t="s">
        <v>3266</v>
      </c>
      <c r="B1953" s="3" t="s">
        <v>233</v>
      </c>
      <c r="C1953" s="3" t="s">
        <v>103</v>
      </c>
      <c r="D1953" s="3" t="s">
        <v>58</v>
      </c>
      <c r="E1953" s="3" t="s">
        <v>176</v>
      </c>
      <c r="F1953" s="3" t="s">
        <v>177</v>
      </c>
      <c r="G1953" s="3" t="s">
        <v>22</v>
      </c>
      <c r="H1953" s="3" t="s">
        <v>83</v>
      </c>
      <c r="I1953" s="3" t="s">
        <v>1318</v>
      </c>
      <c r="J1953" s="3" t="s">
        <v>154</v>
      </c>
      <c r="K1953" s="3">
        <v>3</v>
      </c>
      <c r="L1953" s="3">
        <v>21168.53</v>
      </c>
      <c r="M1953" s="3">
        <v>63505.59</v>
      </c>
      <c r="N1953" s="3">
        <v>49231.040000000001</v>
      </c>
      <c r="O1953" s="3">
        <v>14274.55</v>
      </c>
      <c r="P1953" s="3" t="s">
        <v>34</v>
      </c>
    </row>
    <row r="1954" spans="1:16" x14ac:dyDescent="0.35">
      <c r="A1954" s="3" t="s">
        <v>3267</v>
      </c>
      <c r="B1954" s="3" t="s">
        <v>336</v>
      </c>
      <c r="C1954" s="3" t="s">
        <v>29</v>
      </c>
      <c r="D1954" s="3" t="s">
        <v>38</v>
      </c>
      <c r="E1954" s="3" t="s">
        <v>109</v>
      </c>
      <c r="F1954" s="3" t="s">
        <v>110</v>
      </c>
      <c r="G1954" s="3" t="s">
        <v>41</v>
      </c>
      <c r="H1954" s="3" t="s">
        <v>61</v>
      </c>
      <c r="I1954" s="3" t="s">
        <v>2649</v>
      </c>
      <c r="J1954" s="3" t="s">
        <v>106</v>
      </c>
      <c r="K1954" s="3">
        <v>2</v>
      </c>
      <c r="L1954" s="3">
        <v>2273.12</v>
      </c>
      <c r="M1954" s="3">
        <v>4546.24</v>
      </c>
      <c r="N1954" s="3">
        <v>3204.27</v>
      </c>
      <c r="O1954" s="3">
        <v>1341.97</v>
      </c>
      <c r="P1954" s="3" t="s">
        <v>45</v>
      </c>
    </row>
    <row r="1955" spans="1:16" x14ac:dyDescent="0.35">
      <c r="A1955" s="3" t="s">
        <v>3268</v>
      </c>
      <c r="B1955" s="3" t="s">
        <v>1471</v>
      </c>
      <c r="C1955" s="3" t="s">
        <v>89</v>
      </c>
      <c r="D1955" s="3" t="s">
        <v>19</v>
      </c>
      <c r="E1955" s="3" t="s">
        <v>20</v>
      </c>
      <c r="F1955" s="3" t="s">
        <v>21</v>
      </c>
      <c r="G1955" s="3" t="s">
        <v>22</v>
      </c>
      <c r="H1955" s="3" t="s">
        <v>83</v>
      </c>
      <c r="I1955" s="3" t="s">
        <v>542</v>
      </c>
      <c r="J1955" s="3" t="s">
        <v>154</v>
      </c>
      <c r="K1955" s="3">
        <v>3</v>
      </c>
      <c r="L1955" s="3">
        <v>20576.349999999999</v>
      </c>
      <c r="M1955" s="3">
        <v>61729.05</v>
      </c>
      <c r="N1955" s="3">
        <v>51540.27</v>
      </c>
      <c r="O1955" s="3">
        <v>10188.780000000001</v>
      </c>
      <c r="P1955" s="3" t="s">
        <v>34</v>
      </c>
    </row>
    <row r="1956" spans="1:16" x14ac:dyDescent="0.35">
      <c r="A1956" s="3" t="s">
        <v>3269</v>
      </c>
      <c r="B1956" s="3" t="s">
        <v>531</v>
      </c>
      <c r="C1956" s="3" t="s">
        <v>137</v>
      </c>
      <c r="D1956" s="3" t="s">
        <v>38</v>
      </c>
      <c r="E1956" s="3" t="s">
        <v>39</v>
      </c>
      <c r="F1956" s="3" t="s">
        <v>40</v>
      </c>
      <c r="G1956" s="3" t="s">
        <v>51</v>
      </c>
      <c r="H1956" s="3" t="s">
        <v>145</v>
      </c>
      <c r="I1956" s="3" t="s">
        <v>313</v>
      </c>
      <c r="J1956" s="3" t="s">
        <v>100</v>
      </c>
      <c r="K1956" s="3">
        <v>4</v>
      </c>
      <c r="L1956" s="3">
        <v>116.13</v>
      </c>
      <c r="M1956" s="3">
        <v>464.52</v>
      </c>
      <c r="N1956" s="3">
        <v>233.54</v>
      </c>
      <c r="O1956" s="3">
        <v>230.98</v>
      </c>
      <c r="P1956" s="3" t="s">
        <v>26</v>
      </c>
    </row>
    <row r="1957" spans="1:16" x14ac:dyDescent="0.35">
      <c r="A1957" s="3" t="s">
        <v>3270</v>
      </c>
      <c r="B1957" s="3" t="s">
        <v>536</v>
      </c>
      <c r="C1957" s="3" t="s">
        <v>18</v>
      </c>
      <c r="D1957" s="3" t="s">
        <v>58</v>
      </c>
      <c r="E1957" s="3" t="s">
        <v>65</v>
      </c>
      <c r="F1957" s="3" t="s">
        <v>66</v>
      </c>
      <c r="G1957" s="3" t="s">
        <v>51</v>
      </c>
      <c r="H1957" s="3" t="s">
        <v>145</v>
      </c>
      <c r="I1957" s="3" t="s">
        <v>1395</v>
      </c>
      <c r="J1957" s="3" t="s">
        <v>171</v>
      </c>
      <c r="K1957" s="3">
        <v>8</v>
      </c>
      <c r="L1957" s="3">
        <v>114.99</v>
      </c>
      <c r="M1957" s="3">
        <v>919.92</v>
      </c>
      <c r="N1957" s="3">
        <v>477.1</v>
      </c>
      <c r="O1957" s="3">
        <v>442.82</v>
      </c>
      <c r="P1957" s="3" t="s">
        <v>69</v>
      </c>
    </row>
    <row r="1958" spans="1:16" x14ac:dyDescent="0.35">
      <c r="A1958" s="3" t="s">
        <v>3271</v>
      </c>
      <c r="B1958" s="3" t="s">
        <v>344</v>
      </c>
      <c r="C1958" s="3" t="s">
        <v>48</v>
      </c>
      <c r="D1958" s="3" t="s">
        <v>19</v>
      </c>
      <c r="E1958" s="3" t="s">
        <v>49</v>
      </c>
      <c r="F1958" s="3" t="s">
        <v>50</v>
      </c>
      <c r="G1958" s="3" t="s">
        <v>51</v>
      </c>
      <c r="H1958" s="3" t="s">
        <v>77</v>
      </c>
      <c r="I1958" s="3" t="s">
        <v>3183</v>
      </c>
      <c r="J1958" s="3" t="s">
        <v>100</v>
      </c>
      <c r="K1958" s="3">
        <v>2</v>
      </c>
      <c r="L1958" s="3">
        <v>11865.4</v>
      </c>
      <c r="M1958" s="3">
        <v>23730.799999999999</v>
      </c>
      <c r="N1958" s="3">
        <v>18647.91</v>
      </c>
      <c r="O1958" s="3">
        <v>5082.8900000000003</v>
      </c>
      <c r="P1958" s="3" t="s">
        <v>45</v>
      </c>
    </row>
    <row r="1959" spans="1:16" x14ac:dyDescent="0.35">
      <c r="A1959" s="3" t="s">
        <v>3272</v>
      </c>
      <c r="B1959" s="3" t="s">
        <v>242</v>
      </c>
      <c r="C1959" s="3" t="s">
        <v>137</v>
      </c>
      <c r="D1959" s="3" t="s">
        <v>19</v>
      </c>
      <c r="E1959" s="3" t="s">
        <v>49</v>
      </c>
      <c r="F1959" s="3" t="s">
        <v>50</v>
      </c>
      <c r="G1959" s="3" t="s">
        <v>30</v>
      </c>
      <c r="H1959" s="3" t="s">
        <v>73</v>
      </c>
      <c r="I1959" s="3" t="s">
        <v>2947</v>
      </c>
      <c r="J1959" s="3" t="s">
        <v>25</v>
      </c>
      <c r="K1959" s="3">
        <v>1</v>
      </c>
      <c r="L1959" s="3">
        <v>3437.95</v>
      </c>
      <c r="M1959" s="3">
        <v>3437.95</v>
      </c>
      <c r="N1959" s="3">
        <v>2469.87</v>
      </c>
      <c r="O1959" s="3">
        <v>968.08</v>
      </c>
      <c r="P1959" s="3" t="s">
        <v>69</v>
      </c>
    </row>
    <row r="1960" spans="1:16" x14ac:dyDescent="0.35">
      <c r="A1960" s="3" t="s">
        <v>3273</v>
      </c>
      <c r="B1960" s="3" t="s">
        <v>1858</v>
      </c>
      <c r="C1960" s="3" t="s">
        <v>89</v>
      </c>
      <c r="D1960" s="3" t="s">
        <v>38</v>
      </c>
      <c r="E1960" s="3" t="s">
        <v>104</v>
      </c>
      <c r="F1960" s="3" t="s">
        <v>104</v>
      </c>
      <c r="G1960" s="3" t="s">
        <v>30</v>
      </c>
      <c r="H1960" s="3" t="s">
        <v>31</v>
      </c>
      <c r="I1960" s="3" t="s">
        <v>2171</v>
      </c>
      <c r="J1960" s="3" t="s">
        <v>85</v>
      </c>
      <c r="K1960" s="3">
        <v>6</v>
      </c>
      <c r="L1960" s="3">
        <v>2622.51</v>
      </c>
      <c r="M1960" s="3">
        <v>15735.06</v>
      </c>
      <c r="N1960" s="3">
        <v>11194.01</v>
      </c>
      <c r="O1960" s="3">
        <v>4541.05</v>
      </c>
      <c r="P1960" s="3" t="s">
        <v>45</v>
      </c>
    </row>
    <row r="1961" spans="1:16" x14ac:dyDescent="0.35">
      <c r="A1961" s="3" t="s">
        <v>3274</v>
      </c>
      <c r="B1961" s="3" t="s">
        <v>76</v>
      </c>
      <c r="C1961" s="3" t="s">
        <v>48</v>
      </c>
      <c r="D1961" s="3" t="s">
        <v>38</v>
      </c>
      <c r="E1961" s="3" t="s">
        <v>109</v>
      </c>
      <c r="F1961" s="3" t="s">
        <v>110</v>
      </c>
      <c r="G1961" s="3" t="s">
        <v>30</v>
      </c>
      <c r="H1961" s="3" t="s">
        <v>31</v>
      </c>
      <c r="I1961" s="3" t="s">
        <v>1986</v>
      </c>
      <c r="J1961" s="3" t="s">
        <v>54</v>
      </c>
      <c r="K1961" s="3">
        <v>3</v>
      </c>
      <c r="L1961" s="3">
        <v>3036.47</v>
      </c>
      <c r="M1961" s="3">
        <v>9109.41</v>
      </c>
      <c r="N1961" s="3">
        <v>5705.9</v>
      </c>
      <c r="O1961" s="3">
        <v>3403.51</v>
      </c>
      <c r="P1961" s="3" t="s">
        <v>69</v>
      </c>
    </row>
    <row r="1962" spans="1:16" x14ac:dyDescent="0.35">
      <c r="A1962" s="3" t="s">
        <v>3275</v>
      </c>
      <c r="B1962" s="3" t="s">
        <v>733</v>
      </c>
      <c r="C1962" s="3" t="s">
        <v>89</v>
      </c>
      <c r="D1962" s="3" t="s">
        <v>19</v>
      </c>
      <c r="E1962" s="3" t="s">
        <v>20</v>
      </c>
      <c r="F1962" s="3" t="s">
        <v>21</v>
      </c>
      <c r="G1962" s="3" t="s">
        <v>51</v>
      </c>
      <c r="H1962" s="3" t="s">
        <v>77</v>
      </c>
      <c r="I1962" s="3" t="s">
        <v>1404</v>
      </c>
      <c r="J1962" s="3" t="s">
        <v>154</v>
      </c>
      <c r="K1962" s="3">
        <v>1</v>
      </c>
      <c r="L1962" s="3">
        <v>11793.13</v>
      </c>
      <c r="M1962" s="3">
        <v>11793.13</v>
      </c>
      <c r="N1962" s="3">
        <v>9361.25</v>
      </c>
      <c r="O1962" s="3">
        <v>2431.88</v>
      </c>
      <c r="P1962" s="3" t="s">
        <v>26</v>
      </c>
    </row>
    <row r="1963" spans="1:16" x14ac:dyDescent="0.35">
      <c r="A1963" s="3" t="s">
        <v>3276</v>
      </c>
      <c r="B1963" s="3" t="s">
        <v>792</v>
      </c>
      <c r="C1963" s="3" t="s">
        <v>72</v>
      </c>
      <c r="D1963" s="3" t="s">
        <v>90</v>
      </c>
      <c r="E1963" s="3" t="s">
        <v>91</v>
      </c>
      <c r="F1963" s="3" t="s">
        <v>92</v>
      </c>
      <c r="G1963" s="3" t="s">
        <v>30</v>
      </c>
      <c r="H1963" s="3" t="s">
        <v>31</v>
      </c>
      <c r="I1963" s="3" t="s">
        <v>1114</v>
      </c>
      <c r="J1963" s="3" t="s">
        <v>79</v>
      </c>
      <c r="K1963" s="3">
        <v>3</v>
      </c>
      <c r="L1963" s="3">
        <v>2776.13</v>
      </c>
      <c r="M1963" s="3">
        <v>8328.39</v>
      </c>
      <c r="N1963" s="3">
        <v>5578.53</v>
      </c>
      <c r="O1963" s="3">
        <v>2749.86</v>
      </c>
      <c r="P1963" s="3" t="s">
        <v>69</v>
      </c>
    </row>
    <row r="1964" spans="1:16" x14ac:dyDescent="0.35">
      <c r="A1964" s="3" t="s">
        <v>3277</v>
      </c>
      <c r="B1964" s="3" t="s">
        <v>1122</v>
      </c>
      <c r="C1964" s="3" t="s">
        <v>118</v>
      </c>
      <c r="D1964" s="3" t="s">
        <v>90</v>
      </c>
      <c r="E1964" s="3" t="s">
        <v>97</v>
      </c>
      <c r="F1964" s="3" t="s">
        <v>98</v>
      </c>
      <c r="G1964" s="3" t="s">
        <v>22</v>
      </c>
      <c r="H1964" s="3" t="s">
        <v>83</v>
      </c>
      <c r="I1964" s="3" t="s">
        <v>1229</v>
      </c>
      <c r="J1964" s="3" t="s">
        <v>44</v>
      </c>
      <c r="K1964" s="3">
        <v>8</v>
      </c>
      <c r="L1964" s="3">
        <v>20158.849999999999</v>
      </c>
      <c r="M1964" s="3">
        <v>161270.79999999999</v>
      </c>
      <c r="N1964" s="3">
        <v>132728.71</v>
      </c>
      <c r="O1964" s="3">
        <v>28542.09</v>
      </c>
      <c r="P1964" s="3" t="s">
        <v>86</v>
      </c>
    </row>
    <row r="1965" spans="1:16" x14ac:dyDescent="0.35">
      <c r="A1965" s="3" t="s">
        <v>3278</v>
      </c>
      <c r="B1965" s="3" t="s">
        <v>1095</v>
      </c>
      <c r="C1965" s="3" t="s">
        <v>103</v>
      </c>
      <c r="D1965" s="3" t="s">
        <v>19</v>
      </c>
      <c r="E1965" s="3" t="s">
        <v>20</v>
      </c>
      <c r="F1965" s="3" t="s">
        <v>21</v>
      </c>
      <c r="G1965" s="3" t="s">
        <v>30</v>
      </c>
      <c r="H1965" s="3" t="s">
        <v>67</v>
      </c>
      <c r="I1965" s="3" t="s">
        <v>1286</v>
      </c>
      <c r="J1965" s="3" t="s">
        <v>154</v>
      </c>
      <c r="K1965" s="3">
        <v>8</v>
      </c>
      <c r="L1965" s="3">
        <v>9882.41</v>
      </c>
      <c r="M1965" s="3">
        <v>79059.28</v>
      </c>
      <c r="N1965" s="3">
        <v>59081.39</v>
      </c>
      <c r="O1965" s="3">
        <v>19977.89</v>
      </c>
      <c r="P1965" s="3" t="s">
        <v>69</v>
      </c>
    </row>
    <row r="1966" spans="1:16" x14ac:dyDescent="0.35">
      <c r="A1966" s="3" t="s">
        <v>3279</v>
      </c>
      <c r="B1966" s="3" t="s">
        <v>524</v>
      </c>
      <c r="C1966" s="3" t="s">
        <v>89</v>
      </c>
      <c r="D1966" s="3" t="s">
        <v>19</v>
      </c>
      <c r="E1966" s="3" t="s">
        <v>20</v>
      </c>
      <c r="F1966" s="3" t="s">
        <v>21</v>
      </c>
      <c r="G1966" s="3" t="s">
        <v>51</v>
      </c>
      <c r="H1966" s="3" t="s">
        <v>52</v>
      </c>
      <c r="I1966" s="3" t="s">
        <v>1584</v>
      </c>
      <c r="J1966" s="3" t="s">
        <v>131</v>
      </c>
      <c r="K1966" s="3">
        <v>4</v>
      </c>
      <c r="L1966" s="3">
        <v>26.68</v>
      </c>
      <c r="M1966" s="3">
        <v>106.72</v>
      </c>
      <c r="N1966" s="3">
        <v>39.65</v>
      </c>
      <c r="O1966" s="3">
        <v>67.069999999999993</v>
      </c>
      <c r="P1966" s="3" t="s">
        <v>26</v>
      </c>
    </row>
    <row r="1967" spans="1:16" x14ac:dyDescent="0.35">
      <c r="A1967" s="3" t="s">
        <v>3280</v>
      </c>
      <c r="B1967" s="3" t="s">
        <v>1255</v>
      </c>
      <c r="C1967" s="3" t="s">
        <v>72</v>
      </c>
      <c r="D1967" s="3" t="s">
        <v>19</v>
      </c>
      <c r="E1967" s="3" t="s">
        <v>49</v>
      </c>
      <c r="F1967" s="3" t="s">
        <v>50</v>
      </c>
      <c r="G1967" s="3" t="s">
        <v>30</v>
      </c>
      <c r="H1967" s="3" t="s">
        <v>31</v>
      </c>
      <c r="I1967" s="3" t="s">
        <v>447</v>
      </c>
      <c r="J1967" s="3" t="s">
        <v>33</v>
      </c>
      <c r="K1967" s="3">
        <v>1</v>
      </c>
      <c r="L1967" s="3">
        <v>2943.77</v>
      </c>
      <c r="M1967" s="3">
        <v>2943.77</v>
      </c>
      <c r="N1967" s="3">
        <v>1879.6</v>
      </c>
      <c r="O1967" s="3">
        <v>1064.17</v>
      </c>
      <c r="P1967" s="3" t="s">
        <v>45</v>
      </c>
    </row>
    <row r="1968" spans="1:16" x14ac:dyDescent="0.35">
      <c r="A1968" s="3" t="s">
        <v>3281</v>
      </c>
      <c r="B1968" s="3" t="s">
        <v>305</v>
      </c>
      <c r="C1968" s="3" t="s">
        <v>18</v>
      </c>
      <c r="D1968" s="3" t="s">
        <v>90</v>
      </c>
      <c r="E1968" s="3" t="s">
        <v>119</v>
      </c>
      <c r="F1968" s="3" t="s">
        <v>120</v>
      </c>
      <c r="G1968" s="3" t="s">
        <v>22</v>
      </c>
      <c r="H1968" s="3" t="s">
        <v>23</v>
      </c>
      <c r="I1968" s="3" t="s">
        <v>3282</v>
      </c>
      <c r="J1968" s="3" t="s">
        <v>33</v>
      </c>
      <c r="K1968" s="3">
        <v>2</v>
      </c>
      <c r="L1968" s="3">
        <v>3650.7</v>
      </c>
      <c r="M1968" s="3">
        <v>7301.4</v>
      </c>
      <c r="N1968" s="3">
        <v>4280.72</v>
      </c>
      <c r="O1968" s="3">
        <v>3020.68</v>
      </c>
      <c r="P1968" s="3" t="s">
        <v>34</v>
      </c>
    </row>
    <row r="1969" spans="1:16" x14ac:dyDescent="0.35">
      <c r="A1969" s="3" t="s">
        <v>3283</v>
      </c>
      <c r="B1969" s="3" t="s">
        <v>924</v>
      </c>
      <c r="C1969" s="3" t="s">
        <v>18</v>
      </c>
      <c r="D1969" s="3" t="s">
        <v>58</v>
      </c>
      <c r="E1969" s="3" t="s">
        <v>176</v>
      </c>
      <c r="F1969" s="3" t="s">
        <v>177</v>
      </c>
      <c r="G1969" s="3" t="s">
        <v>51</v>
      </c>
      <c r="H1969" s="3" t="s">
        <v>145</v>
      </c>
      <c r="I1969" s="3" t="s">
        <v>1323</v>
      </c>
      <c r="J1969" s="3" t="s">
        <v>25</v>
      </c>
      <c r="K1969" s="3">
        <v>3</v>
      </c>
      <c r="L1969" s="3">
        <v>121.67</v>
      </c>
      <c r="M1969" s="3">
        <v>365.01</v>
      </c>
      <c r="N1969" s="3">
        <v>183.52</v>
      </c>
      <c r="O1969" s="3">
        <v>181.49</v>
      </c>
      <c r="P1969" s="3" t="s">
        <v>86</v>
      </c>
    </row>
    <row r="1970" spans="1:16" x14ac:dyDescent="0.35">
      <c r="A1970" s="3" t="s">
        <v>3284</v>
      </c>
      <c r="B1970" s="3" t="s">
        <v>705</v>
      </c>
      <c r="C1970" s="3" t="s">
        <v>82</v>
      </c>
      <c r="D1970" s="3" t="s">
        <v>38</v>
      </c>
      <c r="E1970" s="3" t="s">
        <v>39</v>
      </c>
      <c r="F1970" s="3" t="s">
        <v>40</v>
      </c>
      <c r="G1970" s="3" t="s">
        <v>51</v>
      </c>
      <c r="H1970" s="3" t="s">
        <v>145</v>
      </c>
      <c r="I1970" s="3" t="s">
        <v>1340</v>
      </c>
      <c r="J1970" s="3" t="s">
        <v>85</v>
      </c>
      <c r="K1970" s="3">
        <v>6</v>
      </c>
      <c r="L1970" s="3">
        <v>111.04</v>
      </c>
      <c r="M1970" s="3">
        <v>666.24</v>
      </c>
      <c r="N1970" s="3">
        <v>358.17</v>
      </c>
      <c r="O1970" s="3">
        <v>308.07</v>
      </c>
      <c r="P1970" s="3" t="s">
        <v>45</v>
      </c>
    </row>
    <row r="1971" spans="1:16" x14ac:dyDescent="0.35">
      <c r="A1971" s="3" t="s">
        <v>3285</v>
      </c>
      <c r="B1971" s="3" t="s">
        <v>690</v>
      </c>
      <c r="C1971" s="3" t="s">
        <v>82</v>
      </c>
      <c r="D1971" s="3" t="s">
        <v>38</v>
      </c>
      <c r="E1971" s="3" t="s">
        <v>104</v>
      </c>
      <c r="F1971" s="3" t="s">
        <v>104</v>
      </c>
      <c r="G1971" s="3" t="s">
        <v>30</v>
      </c>
      <c r="H1971" s="3" t="s">
        <v>67</v>
      </c>
      <c r="I1971" s="3" t="s">
        <v>1323</v>
      </c>
      <c r="J1971" s="3" t="s">
        <v>100</v>
      </c>
      <c r="K1971" s="3">
        <v>4</v>
      </c>
      <c r="L1971" s="3">
        <v>8640.06</v>
      </c>
      <c r="M1971" s="3">
        <v>34560.239999999998</v>
      </c>
      <c r="N1971" s="3">
        <v>29373.9</v>
      </c>
      <c r="O1971" s="3">
        <v>5186.34</v>
      </c>
      <c r="P1971" s="3" t="s">
        <v>26</v>
      </c>
    </row>
    <row r="1972" spans="1:16" x14ac:dyDescent="0.35">
      <c r="A1972" s="3" t="s">
        <v>3286</v>
      </c>
      <c r="B1972" s="3" t="s">
        <v>1752</v>
      </c>
      <c r="C1972" s="3" t="s">
        <v>114</v>
      </c>
      <c r="D1972" s="3" t="s">
        <v>19</v>
      </c>
      <c r="E1972" s="3" t="s">
        <v>199</v>
      </c>
      <c r="F1972" s="3" t="s">
        <v>200</v>
      </c>
      <c r="G1972" s="3" t="s">
        <v>51</v>
      </c>
      <c r="H1972" s="3" t="s">
        <v>145</v>
      </c>
      <c r="I1972" s="3" t="s">
        <v>1893</v>
      </c>
      <c r="J1972" s="3" t="s">
        <v>106</v>
      </c>
      <c r="K1972" s="3">
        <v>3</v>
      </c>
      <c r="L1972" s="3">
        <v>127.78</v>
      </c>
      <c r="M1972" s="3">
        <v>383.34</v>
      </c>
      <c r="N1972" s="3">
        <v>182.84</v>
      </c>
      <c r="O1972" s="3">
        <v>200.5</v>
      </c>
      <c r="P1972" s="3" t="s">
        <v>34</v>
      </c>
    </row>
    <row r="1973" spans="1:16" x14ac:dyDescent="0.35">
      <c r="A1973" s="3" t="s">
        <v>3287</v>
      </c>
      <c r="B1973" s="3" t="s">
        <v>260</v>
      </c>
      <c r="C1973" s="3" t="s">
        <v>37</v>
      </c>
      <c r="D1973" s="3" t="s">
        <v>38</v>
      </c>
      <c r="E1973" s="3" t="s">
        <v>104</v>
      </c>
      <c r="F1973" s="3" t="s">
        <v>104</v>
      </c>
      <c r="G1973" s="3" t="s">
        <v>30</v>
      </c>
      <c r="H1973" s="3" t="s">
        <v>67</v>
      </c>
      <c r="I1973" s="3" t="s">
        <v>2882</v>
      </c>
      <c r="J1973" s="3" t="s">
        <v>85</v>
      </c>
      <c r="K1973" s="3">
        <v>5</v>
      </c>
      <c r="L1973" s="3">
        <v>9258.93</v>
      </c>
      <c r="M1973" s="3">
        <v>46294.65</v>
      </c>
      <c r="N1973" s="3">
        <v>37707.85</v>
      </c>
      <c r="O1973" s="3">
        <v>8586.7999999999993</v>
      </c>
      <c r="P1973" s="3" t="s">
        <v>69</v>
      </c>
    </row>
    <row r="1974" spans="1:16" x14ac:dyDescent="0.35">
      <c r="A1974" s="3" t="s">
        <v>3288</v>
      </c>
      <c r="B1974" s="3" t="s">
        <v>288</v>
      </c>
      <c r="C1974" s="3" t="s">
        <v>118</v>
      </c>
      <c r="D1974" s="3" t="s">
        <v>58</v>
      </c>
      <c r="E1974" s="3" t="s">
        <v>176</v>
      </c>
      <c r="F1974" s="3" t="s">
        <v>177</v>
      </c>
      <c r="G1974" s="3" t="s">
        <v>41</v>
      </c>
      <c r="H1974" s="3" t="s">
        <v>42</v>
      </c>
      <c r="I1974" s="3" t="s">
        <v>311</v>
      </c>
      <c r="J1974" s="3" t="s">
        <v>79</v>
      </c>
      <c r="K1974" s="3">
        <v>1</v>
      </c>
      <c r="L1974" s="3">
        <v>44239.519999999997</v>
      </c>
      <c r="M1974" s="3">
        <v>44239.519999999997</v>
      </c>
      <c r="N1974" s="3">
        <v>33716.949999999997</v>
      </c>
      <c r="O1974" s="3">
        <v>10522.57</v>
      </c>
      <c r="P1974" s="3" t="s">
        <v>26</v>
      </c>
    </row>
    <row r="1975" spans="1:16" x14ac:dyDescent="0.35">
      <c r="A1975" s="3" t="s">
        <v>3289</v>
      </c>
      <c r="B1975" s="3" t="s">
        <v>675</v>
      </c>
      <c r="C1975" s="3" t="s">
        <v>82</v>
      </c>
      <c r="D1975" s="3" t="s">
        <v>19</v>
      </c>
      <c r="E1975" s="3" t="s">
        <v>49</v>
      </c>
      <c r="F1975" s="3" t="s">
        <v>50</v>
      </c>
      <c r="G1975" s="3" t="s">
        <v>22</v>
      </c>
      <c r="H1975" s="3" t="s">
        <v>83</v>
      </c>
      <c r="I1975" s="3" t="s">
        <v>286</v>
      </c>
      <c r="J1975" s="3" t="s">
        <v>44</v>
      </c>
      <c r="K1975" s="3">
        <v>1</v>
      </c>
      <c r="L1975" s="3">
        <v>21285.279999999999</v>
      </c>
      <c r="M1975" s="3">
        <v>21285.279999999999</v>
      </c>
      <c r="N1975" s="3">
        <v>16606.14</v>
      </c>
      <c r="O1975" s="3">
        <v>4679.1400000000003</v>
      </c>
      <c r="P1975" s="3" t="s">
        <v>26</v>
      </c>
    </row>
    <row r="1976" spans="1:16" x14ac:dyDescent="0.35">
      <c r="A1976" s="3" t="s">
        <v>3290</v>
      </c>
      <c r="B1976" s="3" t="s">
        <v>958</v>
      </c>
      <c r="C1976" s="3" t="s">
        <v>118</v>
      </c>
      <c r="D1976" s="3" t="s">
        <v>19</v>
      </c>
      <c r="E1976" s="3" t="s">
        <v>49</v>
      </c>
      <c r="F1976" s="3" t="s">
        <v>50</v>
      </c>
      <c r="G1976" s="3" t="s">
        <v>22</v>
      </c>
      <c r="H1976" s="3" t="s">
        <v>23</v>
      </c>
      <c r="I1976" s="3" t="s">
        <v>2735</v>
      </c>
      <c r="J1976" s="3" t="s">
        <v>25</v>
      </c>
      <c r="K1976" s="3">
        <v>6</v>
      </c>
      <c r="L1976" s="3">
        <v>3384.97</v>
      </c>
      <c r="M1976" s="3">
        <v>20309.82</v>
      </c>
      <c r="N1976" s="3">
        <v>12778.19</v>
      </c>
      <c r="O1976" s="3">
        <v>7531.63</v>
      </c>
      <c r="P1976" s="3" t="s">
        <v>26</v>
      </c>
    </row>
    <row r="1977" spans="1:16" x14ac:dyDescent="0.35">
      <c r="A1977" s="3" t="s">
        <v>3291</v>
      </c>
      <c r="B1977" s="3" t="s">
        <v>415</v>
      </c>
      <c r="C1977" s="3" t="s">
        <v>18</v>
      </c>
      <c r="D1977" s="3" t="s">
        <v>19</v>
      </c>
      <c r="E1977" s="3" t="s">
        <v>199</v>
      </c>
      <c r="F1977" s="3" t="s">
        <v>200</v>
      </c>
      <c r="G1977" s="3" t="s">
        <v>41</v>
      </c>
      <c r="H1977" s="3" t="s">
        <v>138</v>
      </c>
      <c r="I1977" s="3" t="s">
        <v>1767</v>
      </c>
      <c r="J1977" s="3" t="s">
        <v>171</v>
      </c>
      <c r="K1977" s="3">
        <v>3</v>
      </c>
      <c r="L1977" s="3">
        <v>17033.59</v>
      </c>
      <c r="M1977" s="3">
        <v>51100.77</v>
      </c>
      <c r="N1977" s="3">
        <v>41008.480000000003</v>
      </c>
      <c r="O1977" s="3">
        <v>10092.290000000001</v>
      </c>
      <c r="P1977" s="3" t="s">
        <v>45</v>
      </c>
    </row>
    <row r="1978" spans="1:16" x14ac:dyDescent="0.35">
      <c r="A1978" s="3" t="s">
        <v>3292</v>
      </c>
      <c r="B1978" s="3" t="s">
        <v>604</v>
      </c>
      <c r="C1978" s="3" t="s">
        <v>118</v>
      </c>
      <c r="D1978" s="3" t="s">
        <v>19</v>
      </c>
      <c r="E1978" s="3" t="s">
        <v>20</v>
      </c>
      <c r="F1978" s="3" t="s">
        <v>21</v>
      </c>
      <c r="G1978" s="3" t="s">
        <v>30</v>
      </c>
      <c r="H1978" s="3" t="s">
        <v>73</v>
      </c>
      <c r="I1978" s="3" t="s">
        <v>1381</v>
      </c>
      <c r="J1978" s="3" t="s">
        <v>171</v>
      </c>
      <c r="K1978" s="3">
        <v>3</v>
      </c>
      <c r="L1978" s="3">
        <v>3042.64</v>
      </c>
      <c r="M1978" s="3">
        <v>9127.92</v>
      </c>
      <c r="N1978" s="3">
        <v>7216.61</v>
      </c>
      <c r="O1978" s="3">
        <v>1911.31</v>
      </c>
      <c r="P1978" s="3" t="s">
        <v>86</v>
      </c>
    </row>
    <row r="1979" spans="1:16" x14ac:dyDescent="0.35">
      <c r="A1979" s="3" t="s">
        <v>3293</v>
      </c>
      <c r="B1979" s="3" t="s">
        <v>265</v>
      </c>
      <c r="C1979" s="3" t="s">
        <v>37</v>
      </c>
      <c r="D1979" s="3" t="s">
        <v>58</v>
      </c>
      <c r="E1979" s="3" t="s">
        <v>65</v>
      </c>
      <c r="F1979" s="3" t="s">
        <v>66</v>
      </c>
      <c r="G1979" s="3" t="s">
        <v>30</v>
      </c>
      <c r="H1979" s="3" t="s">
        <v>67</v>
      </c>
      <c r="I1979" s="3" t="s">
        <v>597</v>
      </c>
      <c r="J1979" s="3" t="s">
        <v>79</v>
      </c>
      <c r="K1979" s="3">
        <v>3</v>
      </c>
      <c r="L1979" s="3">
        <v>10378.23</v>
      </c>
      <c r="M1979" s="3">
        <v>31134.69</v>
      </c>
      <c r="N1979" s="3">
        <v>23243.83</v>
      </c>
      <c r="O1979" s="3">
        <v>7890.86</v>
      </c>
      <c r="P1979" s="3" t="s">
        <v>86</v>
      </c>
    </row>
    <row r="1980" spans="1:16" x14ac:dyDescent="0.35">
      <c r="A1980" s="3" t="s">
        <v>3294</v>
      </c>
      <c r="B1980" s="3" t="s">
        <v>302</v>
      </c>
      <c r="C1980" s="3" t="s">
        <v>103</v>
      </c>
      <c r="D1980" s="3" t="s">
        <v>38</v>
      </c>
      <c r="E1980" s="3" t="s">
        <v>39</v>
      </c>
      <c r="F1980" s="3" t="s">
        <v>40</v>
      </c>
      <c r="G1980" s="3" t="s">
        <v>22</v>
      </c>
      <c r="H1980" s="3" t="s">
        <v>83</v>
      </c>
      <c r="I1980" s="3" t="s">
        <v>471</v>
      </c>
      <c r="J1980" s="3" t="s">
        <v>131</v>
      </c>
      <c r="K1980" s="3">
        <v>3</v>
      </c>
      <c r="L1980" s="3">
        <v>21990.1</v>
      </c>
      <c r="M1980" s="3">
        <v>65970.3</v>
      </c>
      <c r="N1980" s="3">
        <v>53435.05</v>
      </c>
      <c r="O1980" s="3">
        <v>12535.25</v>
      </c>
      <c r="P1980" s="3" t="s">
        <v>86</v>
      </c>
    </row>
    <row r="1981" spans="1:16" x14ac:dyDescent="0.35">
      <c r="A1981" s="3" t="s">
        <v>3295</v>
      </c>
      <c r="B1981" s="3" t="s">
        <v>1385</v>
      </c>
      <c r="C1981" s="3" t="s">
        <v>29</v>
      </c>
      <c r="D1981" s="3" t="s">
        <v>38</v>
      </c>
      <c r="E1981" s="3" t="s">
        <v>104</v>
      </c>
      <c r="F1981" s="3" t="s">
        <v>104</v>
      </c>
      <c r="G1981" s="3" t="s">
        <v>51</v>
      </c>
      <c r="H1981" s="3" t="s">
        <v>145</v>
      </c>
      <c r="I1981" s="3" t="s">
        <v>1227</v>
      </c>
      <c r="J1981" s="3" t="s">
        <v>33</v>
      </c>
      <c r="K1981" s="3">
        <v>7</v>
      </c>
      <c r="L1981" s="3">
        <v>110.5</v>
      </c>
      <c r="M1981" s="3">
        <v>773.5</v>
      </c>
      <c r="N1981" s="3">
        <v>413.01</v>
      </c>
      <c r="O1981" s="3">
        <v>360.49</v>
      </c>
      <c r="P1981" s="3" t="s">
        <v>34</v>
      </c>
    </row>
    <row r="1982" spans="1:16" x14ac:dyDescent="0.35">
      <c r="A1982" s="3" t="s">
        <v>3296</v>
      </c>
      <c r="B1982" s="3" t="s">
        <v>927</v>
      </c>
      <c r="C1982" s="3" t="s">
        <v>57</v>
      </c>
      <c r="D1982" s="3" t="s">
        <v>90</v>
      </c>
      <c r="E1982" s="3" t="s">
        <v>91</v>
      </c>
      <c r="F1982" s="3" t="s">
        <v>92</v>
      </c>
      <c r="G1982" s="3" t="s">
        <v>22</v>
      </c>
      <c r="H1982" s="3" t="s">
        <v>23</v>
      </c>
      <c r="I1982" s="3" t="s">
        <v>697</v>
      </c>
      <c r="J1982" s="3" t="s">
        <v>147</v>
      </c>
      <c r="K1982" s="3">
        <v>3</v>
      </c>
      <c r="L1982" s="3">
        <v>3637.63</v>
      </c>
      <c r="M1982" s="3">
        <v>10912.89</v>
      </c>
      <c r="N1982" s="3">
        <v>6801.81</v>
      </c>
      <c r="O1982" s="3">
        <v>4111.08</v>
      </c>
      <c r="P1982" s="3" t="s">
        <v>69</v>
      </c>
    </row>
    <row r="1983" spans="1:16" x14ac:dyDescent="0.35">
      <c r="A1983" s="3" t="s">
        <v>3297</v>
      </c>
      <c r="B1983" s="3" t="s">
        <v>129</v>
      </c>
      <c r="C1983" s="3" t="s">
        <v>37</v>
      </c>
      <c r="D1983" s="3" t="s">
        <v>38</v>
      </c>
      <c r="E1983" s="3" t="s">
        <v>39</v>
      </c>
      <c r="F1983" s="3" t="s">
        <v>40</v>
      </c>
      <c r="G1983" s="3" t="s">
        <v>51</v>
      </c>
      <c r="H1983" s="3" t="s">
        <v>77</v>
      </c>
      <c r="I1983" s="3" t="s">
        <v>3298</v>
      </c>
      <c r="J1983" s="3" t="s">
        <v>54</v>
      </c>
      <c r="K1983" s="3">
        <v>4</v>
      </c>
      <c r="L1983" s="3">
        <v>13026.95</v>
      </c>
      <c r="M1983" s="3">
        <v>52107.8</v>
      </c>
      <c r="N1983" s="3">
        <v>36736.239999999998</v>
      </c>
      <c r="O1983" s="3">
        <v>15371.56</v>
      </c>
      <c r="P1983" s="3" t="s">
        <v>86</v>
      </c>
    </row>
    <row r="1984" spans="1:16" x14ac:dyDescent="0.35">
      <c r="A1984" s="3" t="s">
        <v>3299</v>
      </c>
      <c r="B1984" s="3" t="s">
        <v>688</v>
      </c>
      <c r="C1984" s="3" t="s">
        <v>118</v>
      </c>
      <c r="D1984" s="3" t="s">
        <v>19</v>
      </c>
      <c r="E1984" s="3" t="s">
        <v>49</v>
      </c>
      <c r="F1984" s="3" t="s">
        <v>50</v>
      </c>
      <c r="G1984" s="3" t="s">
        <v>51</v>
      </c>
      <c r="H1984" s="3" t="s">
        <v>52</v>
      </c>
      <c r="I1984" s="3" t="s">
        <v>763</v>
      </c>
      <c r="J1984" s="3" t="s">
        <v>171</v>
      </c>
      <c r="K1984" s="3">
        <v>6</v>
      </c>
      <c r="L1984" s="3">
        <v>23.74</v>
      </c>
      <c r="M1984" s="3">
        <v>142.44</v>
      </c>
      <c r="N1984" s="3">
        <v>61.05</v>
      </c>
      <c r="O1984" s="3">
        <v>81.39</v>
      </c>
      <c r="P1984" s="3" t="s">
        <v>26</v>
      </c>
    </row>
    <row r="1985" spans="1:16" x14ac:dyDescent="0.35">
      <c r="A1985" s="3" t="s">
        <v>3300</v>
      </c>
      <c r="B1985" s="3" t="s">
        <v>832</v>
      </c>
      <c r="C1985" s="3" t="s">
        <v>72</v>
      </c>
      <c r="D1985" s="3" t="s">
        <v>19</v>
      </c>
      <c r="E1985" s="3" t="s">
        <v>199</v>
      </c>
      <c r="F1985" s="3" t="s">
        <v>200</v>
      </c>
      <c r="G1985" s="3" t="s">
        <v>22</v>
      </c>
      <c r="H1985" s="3" t="s">
        <v>93</v>
      </c>
      <c r="I1985" s="3" t="s">
        <v>1883</v>
      </c>
      <c r="J1985" s="3" t="s">
        <v>79</v>
      </c>
      <c r="K1985" s="3">
        <v>1</v>
      </c>
      <c r="L1985" s="3">
        <v>6878.68</v>
      </c>
      <c r="M1985" s="3">
        <v>6878.68</v>
      </c>
      <c r="N1985" s="3">
        <v>5058.26</v>
      </c>
      <c r="O1985" s="3">
        <v>1820.42</v>
      </c>
      <c r="P1985" s="3" t="s">
        <v>34</v>
      </c>
    </row>
    <row r="1986" spans="1:16" x14ac:dyDescent="0.35">
      <c r="A1986" s="3" t="s">
        <v>3301</v>
      </c>
      <c r="B1986" s="3" t="s">
        <v>344</v>
      </c>
      <c r="C1986" s="3" t="s">
        <v>48</v>
      </c>
      <c r="D1986" s="3" t="s">
        <v>90</v>
      </c>
      <c r="E1986" s="3" t="s">
        <v>97</v>
      </c>
      <c r="F1986" s="3" t="s">
        <v>98</v>
      </c>
      <c r="G1986" s="3" t="s">
        <v>41</v>
      </c>
      <c r="H1986" s="3" t="s">
        <v>138</v>
      </c>
      <c r="I1986" s="3" t="s">
        <v>359</v>
      </c>
      <c r="J1986" s="3" t="s">
        <v>85</v>
      </c>
      <c r="K1986" s="3">
        <v>6</v>
      </c>
      <c r="L1986" s="3">
        <v>18925.18</v>
      </c>
      <c r="M1986" s="3">
        <v>113551.08</v>
      </c>
      <c r="N1986" s="3">
        <v>82783.44</v>
      </c>
      <c r="O1986" s="3">
        <v>30767.64</v>
      </c>
      <c r="P1986" s="3" t="s">
        <v>34</v>
      </c>
    </row>
    <row r="1987" spans="1:16" x14ac:dyDescent="0.35">
      <c r="A1987" s="3" t="s">
        <v>3302</v>
      </c>
      <c r="B1987" s="3" t="s">
        <v>752</v>
      </c>
      <c r="C1987" s="3" t="s">
        <v>29</v>
      </c>
      <c r="D1987" s="3" t="s">
        <v>38</v>
      </c>
      <c r="E1987" s="3" t="s">
        <v>39</v>
      </c>
      <c r="F1987" s="3" t="s">
        <v>40</v>
      </c>
      <c r="G1987" s="3" t="s">
        <v>22</v>
      </c>
      <c r="H1987" s="3" t="s">
        <v>23</v>
      </c>
      <c r="I1987" s="3" t="s">
        <v>2608</v>
      </c>
      <c r="J1987" s="3" t="s">
        <v>54</v>
      </c>
      <c r="K1987" s="3">
        <v>2</v>
      </c>
      <c r="L1987" s="3">
        <v>3236.86</v>
      </c>
      <c r="M1987" s="3">
        <v>6473.72</v>
      </c>
      <c r="N1987" s="3">
        <v>4195.05</v>
      </c>
      <c r="O1987" s="3">
        <v>2278.67</v>
      </c>
      <c r="P1987" s="3" t="s">
        <v>26</v>
      </c>
    </row>
    <row r="1988" spans="1:16" x14ac:dyDescent="0.35">
      <c r="A1988" s="3" t="s">
        <v>3303</v>
      </c>
      <c r="B1988" s="3" t="s">
        <v>336</v>
      </c>
      <c r="C1988" s="3" t="s">
        <v>29</v>
      </c>
      <c r="D1988" s="3" t="s">
        <v>58</v>
      </c>
      <c r="E1988" s="3" t="s">
        <v>65</v>
      </c>
      <c r="F1988" s="3" t="s">
        <v>66</v>
      </c>
      <c r="G1988" s="3" t="s">
        <v>30</v>
      </c>
      <c r="H1988" s="3" t="s">
        <v>67</v>
      </c>
      <c r="I1988" s="3" t="s">
        <v>937</v>
      </c>
      <c r="J1988" s="3" t="s">
        <v>85</v>
      </c>
      <c r="K1988" s="3">
        <v>7</v>
      </c>
      <c r="L1988" s="3">
        <v>8799.2999999999993</v>
      </c>
      <c r="M1988" s="3">
        <v>61595.1</v>
      </c>
      <c r="N1988" s="3">
        <v>55739.22</v>
      </c>
      <c r="O1988" s="3">
        <v>5855.88</v>
      </c>
      <c r="P1988" s="3" t="s">
        <v>86</v>
      </c>
    </row>
    <row r="1989" spans="1:16" x14ac:dyDescent="0.35">
      <c r="A1989" s="3" t="s">
        <v>3304</v>
      </c>
      <c r="B1989" s="3" t="s">
        <v>866</v>
      </c>
      <c r="C1989" s="3" t="s">
        <v>72</v>
      </c>
      <c r="D1989" s="3" t="s">
        <v>90</v>
      </c>
      <c r="E1989" s="3" t="s">
        <v>97</v>
      </c>
      <c r="F1989" s="3" t="s">
        <v>98</v>
      </c>
      <c r="G1989" s="3" t="s">
        <v>22</v>
      </c>
      <c r="H1989" s="3" t="s">
        <v>93</v>
      </c>
      <c r="I1989" s="3" t="s">
        <v>1713</v>
      </c>
      <c r="J1989" s="3" t="s">
        <v>217</v>
      </c>
      <c r="K1989" s="3">
        <v>1</v>
      </c>
      <c r="L1989" s="3">
        <v>7448.18</v>
      </c>
      <c r="M1989" s="3">
        <v>7448.18</v>
      </c>
      <c r="N1989" s="3">
        <v>4867.95</v>
      </c>
      <c r="O1989" s="3">
        <v>2580.23</v>
      </c>
      <c r="P1989" s="3" t="s">
        <v>86</v>
      </c>
    </row>
    <row r="1990" spans="1:16" x14ac:dyDescent="0.35">
      <c r="A1990" s="3" t="s">
        <v>3305</v>
      </c>
      <c r="B1990" s="3" t="s">
        <v>1314</v>
      </c>
      <c r="C1990" s="3" t="s">
        <v>48</v>
      </c>
      <c r="D1990" s="3" t="s">
        <v>19</v>
      </c>
      <c r="E1990" s="3" t="s">
        <v>20</v>
      </c>
      <c r="F1990" s="3" t="s">
        <v>21</v>
      </c>
      <c r="G1990" s="3" t="s">
        <v>30</v>
      </c>
      <c r="H1990" s="3" t="s">
        <v>73</v>
      </c>
      <c r="I1990" s="3" t="s">
        <v>2278</v>
      </c>
      <c r="J1990" s="3" t="s">
        <v>161</v>
      </c>
      <c r="K1990" s="3">
        <v>8</v>
      </c>
      <c r="L1990" s="3">
        <v>2937.15</v>
      </c>
      <c r="M1990" s="3">
        <v>23497.200000000001</v>
      </c>
      <c r="N1990" s="3">
        <v>19557.509999999998</v>
      </c>
      <c r="O1990" s="3">
        <v>3939.69</v>
      </c>
      <c r="P1990" s="3" t="s">
        <v>34</v>
      </c>
    </row>
    <row r="1991" spans="1:16" x14ac:dyDescent="0.35">
      <c r="A1991" s="3" t="s">
        <v>3306</v>
      </c>
      <c r="B1991" s="3" t="s">
        <v>828</v>
      </c>
      <c r="C1991" s="3" t="s">
        <v>89</v>
      </c>
      <c r="D1991" s="3" t="s">
        <v>38</v>
      </c>
      <c r="E1991" s="3" t="s">
        <v>104</v>
      </c>
      <c r="F1991" s="3" t="s">
        <v>104</v>
      </c>
      <c r="G1991" s="3" t="s">
        <v>30</v>
      </c>
      <c r="H1991" s="3" t="s">
        <v>31</v>
      </c>
      <c r="I1991" s="3" t="s">
        <v>917</v>
      </c>
      <c r="J1991" s="3" t="s">
        <v>33</v>
      </c>
      <c r="K1991" s="3">
        <v>5</v>
      </c>
      <c r="L1991" s="3">
        <v>2916.05</v>
      </c>
      <c r="M1991" s="3">
        <v>14580.25</v>
      </c>
      <c r="N1991" s="3">
        <v>9921.5</v>
      </c>
      <c r="O1991" s="3">
        <v>4658.75</v>
      </c>
      <c r="P1991" s="3" t="s">
        <v>69</v>
      </c>
    </row>
    <row r="1992" spans="1:16" x14ac:dyDescent="0.35">
      <c r="A1992" s="3" t="s">
        <v>3307</v>
      </c>
      <c r="B1992" s="3" t="s">
        <v>1461</v>
      </c>
      <c r="C1992" s="3" t="s">
        <v>72</v>
      </c>
      <c r="D1992" s="3" t="s">
        <v>38</v>
      </c>
      <c r="E1992" s="3" t="s">
        <v>109</v>
      </c>
      <c r="F1992" s="3" t="s">
        <v>110</v>
      </c>
      <c r="G1992" s="3" t="s">
        <v>51</v>
      </c>
      <c r="H1992" s="3" t="s">
        <v>77</v>
      </c>
      <c r="I1992" s="3" t="s">
        <v>2475</v>
      </c>
      <c r="J1992" s="3" t="s">
        <v>217</v>
      </c>
      <c r="K1992" s="3">
        <v>8</v>
      </c>
      <c r="L1992" s="3">
        <v>12142.85</v>
      </c>
      <c r="M1992" s="3">
        <v>97142.8</v>
      </c>
      <c r="N1992" s="3">
        <v>70104.73</v>
      </c>
      <c r="O1992" s="3">
        <v>27038.07</v>
      </c>
      <c r="P1992" s="3" t="s">
        <v>86</v>
      </c>
    </row>
    <row r="1993" spans="1:16" x14ac:dyDescent="0.35">
      <c r="A1993" s="3" t="s">
        <v>3308</v>
      </c>
      <c r="B1993" s="3" t="s">
        <v>279</v>
      </c>
      <c r="C1993" s="3" t="s">
        <v>37</v>
      </c>
      <c r="D1993" s="3" t="s">
        <v>58</v>
      </c>
      <c r="E1993" s="3" t="s">
        <v>65</v>
      </c>
      <c r="F1993" s="3" t="s">
        <v>66</v>
      </c>
      <c r="G1993" s="3" t="s">
        <v>30</v>
      </c>
      <c r="H1993" s="3" t="s">
        <v>31</v>
      </c>
      <c r="I1993" s="3" t="s">
        <v>1576</v>
      </c>
      <c r="J1993" s="3" t="s">
        <v>100</v>
      </c>
      <c r="K1993" s="3">
        <v>7</v>
      </c>
      <c r="L1993" s="3">
        <v>2637.8</v>
      </c>
      <c r="M1993" s="3">
        <v>18464.599999999999</v>
      </c>
      <c r="N1993" s="3">
        <v>13020.43</v>
      </c>
      <c r="O1993" s="3">
        <v>5444.17</v>
      </c>
      <c r="P1993" s="3" t="s">
        <v>69</v>
      </c>
    </row>
    <row r="1994" spans="1:16" x14ac:dyDescent="0.35">
      <c r="A1994" s="3" t="s">
        <v>3309</v>
      </c>
      <c r="B1994" s="3" t="s">
        <v>828</v>
      </c>
      <c r="C1994" s="3" t="s">
        <v>89</v>
      </c>
      <c r="D1994" s="3" t="s">
        <v>90</v>
      </c>
      <c r="E1994" s="3" t="s">
        <v>97</v>
      </c>
      <c r="F1994" s="3" t="s">
        <v>98</v>
      </c>
      <c r="G1994" s="3" t="s">
        <v>30</v>
      </c>
      <c r="H1994" s="3" t="s">
        <v>73</v>
      </c>
      <c r="I1994" s="3" t="s">
        <v>2740</v>
      </c>
      <c r="J1994" s="3" t="s">
        <v>217</v>
      </c>
      <c r="K1994" s="3">
        <v>4</v>
      </c>
      <c r="L1994" s="3">
        <v>3404.87</v>
      </c>
      <c r="M1994" s="3">
        <v>13619.48</v>
      </c>
      <c r="N1994" s="3">
        <v>9652.82</v>
      </c>
      <c r="O1994" s="3">
        <v>3966.66</v>
      </c>
      <c r="P1994" s="3" t="s">
        <v>26</v>
      </c>
    </row>
    <row r="1995" spans="1:16" x14ac:dyDescent="0.35">
      <c r="A1995" s="3" t="s">
        <v>3310</v>
      </c>
      <c r="B1995" s="3" t="s">
        <v>123</v>
      </c>
      <c r="C1995" s="3" t="s">
        <v>18</v>
      </c>
      <c r="D1995" s="3" t="s">
        <v>38</v>
      </c>
      <c r="E1995" s="3" t="s">
        <v>109</v>
      </c>
      <c r="F1995" s="3" t="s">
        <v>110</v>
      </c>
      <c r="G1995" s="3" t="s">
        <v>30</v>
      </c>
      <c r="H1995" s="3" t="s">
        <v>67</v>
      </c>
      <c r="I1995" s="3" t="s">
        <v>2436</v>
      </c>
      <c r="J1995" s="3" t="s">
        <v>33</v>
      </c>
      <c r="K1995" s="3">
        <v>3</v>
      </c>
      <c r="L1995" s="3">
        <v>9065.7800000000007</v>
      </c>
      <c r="M1995" s="3">
        <v>27197.34</v>
      </c>
      <c r="N1995" s="3">
        <v>22676.92</v>
      </c>
      <c r="O1995" s="3">
        <v>4520.42</v>
      </c>
      <c r="P1995" s="3" t="s">
        <v>26</v>
      </c>
    </row>
    <row r="1996" spans="1:16" x14ac:dyDescent="0.35">
      <c r="A1996" s="3" t="s">
        <v>3311</v>
      </c>
      <c r="B1996" s="3" t="s">
        <v>599</v>
      </c>
      <c r="C1996" s="3" t="s">
        <v>82</v>
      </c>
      <c r="D1996" s="3" t="s">
        <v>58</v>
      </c>
      <c r="E1996" s="3" t="s">
        <v>65</v>
      </c>
      <c r="F1996" s="3" t="s">
        <v>66</v>
      </c>
      <c r="G1996" s="3" t="s">
        <v>30</v>
      </c>
      <c r="H1996" s="3" t="s">
        <v>73</v>
      </c>
      <c r="I1996" s="3" t="s">
        <v>1008</v>
      </c>
      <c r="J1996" s="3" t="s">
        <v>44</v>
      </c>
      <c r="K1996" s="3">
        <v>1</v>
      </c>
      <c r="L1996" s="3">
        <v>2915.88</v>
      </c>
      <c r="M1996" s="3">
        <v>2915.88</v>
      </c>
      <c r="N1996" s="3">
        <v>2324.6</v>
      </c>
      <c r="O1996" s="3">
        <v>591.28</v>
      </c>
      <c r="P1996" s="3" t="s">
        <v>26</v>
      </c>
    </row>
    <row r="1997" spans="1:16" x14ac:dyDescent="0.35">
      <c r="A1997" s="3" t="s">
        <v>3312</v>
      </c>
      <c r="B1997" s="3" t="s">
        <v>180</v>
      </c>
      <c r="C1997" s="3" t="s">
        <v>48</v>
      </c>
      <c r="D1997" s="3" t="s">
        <v>58</v>
      </c>
      <c r="E1997" s="3" t="s">
        <v>65</v>
      </c>
      <c r="F1997" s="3" t="s">
        <v>66</v>
      </c>
      <c r="G1997" s="3" t="s">
        <v>41</v>
      </c>
      <c r="H1997" s="3" t="s">
        <v>61</v>
      </c>
      <c r="I1997" s="3" t="s">
        <v>3313</v>
      </c>
      <c r="J1997" s="3" t="s">
        <v>100</v>
      </c>
      <c r="K1997" s="3">
        <v>1</v>
      </c>
      <c r="L1997" s="3">
        <v>2541.64</v>
      </c>
      <c r="M1997" s="3">
        <v>2541.64</v>
      </c>
      <c r="N1997" s="3">
        <v>1545.59</v>
      </c>
      <c r="O1997" s="3">
        <v>996.05</v>
      </c>
      <c r="P1997" s="3" t="s">
        <v>34</v>
      </c>
    </row>
    <row r="1998" spans="1:16" x14ac:dyDescent="0.35">
      <c r="A1998" s="3" t="s">
        <v>3314</v>
      </c>
      <c r="B1998" s="3" t="s">
        <v>1140</v>
      </c>
      <c r="C1998" s="3" t="s">
        <v>48</v>
      </c>
      <c r="D1998" s="3" t="s">
        <v>19</v>
      </c>
      <c r="E1998" s="3" t="s">
        <v>199</v>
      </c>
      <c r="F1998" s="3" t="s">
        <v>200</v>
      </c>
      <c r="G1998" s="3" t="s">
        <v>41</v>
      </c>
      <c r="H1998" s="3" t="s">
        <v>42</v>
      </c>
      <c r="I1998" s="3" t="s">
        <v>1561</v>
      </c>
      <c r="J1998" s="3" t="s">
        <v>44</v>
      </c>
      <c r="K1998" s="3">
        <v>8</v>
      </c>
      <c r="L1998" s="3">
        <v>48637.24</v>
      </c>
      <c r="M1998" s="3">
        <v>389097.92</v>
      </c>
      <c r="N1998" s="3">
        <v>293292.84000000003</v>
      </c>
      <c r="O1998" s="3">
        <v>95805.08</v>
      </c>
      <c r="P1998" s="3" t="s">
        <v>26</v>
      </c>
    </row>
    <row r="1999" spans="1:16" x14ac:dyDescent="0.35">
      <c r="A1999" s="3" t="s">
        <v>3315</v>
      </c>
      <c r="B1999" s="3" t="s">
        <v>1383</v>
      </c>
      <c r="C1999" s="3" t="s">
        <v>18</v>
      </c>
      <c r="D1999" s="3" t="s">
        <v>38</v>
      </c>
      <c r="E1999" s="3" t="s">
        <v>109</v>
      </c>
      <c r="F1999" s="3" t="s">
        <v>110</v>
      </c>
      <c r="G1999" s="3" t="s">
        <v>41</v>
      </c>
      <c r="H1999" s="3" t="s">
        <v>42</v>
      </c>
      <c r="I1999" s="3" t="s">
        <v>2318</v>
      </c>
      <c r="J1999" s="3" t="s">
        <v>44</v>
      </c>
      <c r="K1999" s="3">
        <v>8</v>
      </c>
      <c r="L1999" s="3">
        <v>41391.89</v>
      </c>
      <c r="M1999" s="3">
        <v>331135.12</v>
      </c>
      <c r="N1999" s="3">
        <v>269028.09000000003</v>
      </c>
      <c r="O1999" s="3">
        <v>62107.03</v>
      </c>
      <c r="P1999" s="3" t="s">
        <v>69</v>
      </c>
    </row>
    <row r="2000" spans="1:16" x14ac:dyDescent="0.35">
      <c r="A2000" s="3" t="s">
        <v>3316</v>
      </c>
      <c r="B2000" s="3" t="s">
        <v>215</v>
      </c>
      <c r="C2000" s="3" t="s">
        <v>37</v>
      </c>
      <c r="D2000" s="3" t="s">
        <v>38</v>
      </c>
      <c r="E2000" s="3" t="s">
        <v>39</v>
      </c>
      <c r="F2000" s="3" t="s">
        <v>40</v>
      </c>
      <c r="G2000" s="3" t="s">
        <v>41</v>
      </c>
      <c r="H2000" s="3" t="s">
        <v>42</v>
      </c>
      <c r="I2000" s="3" t="s">
        <v>1068</v>
      </c>
      <c r="J2000" s="3" t="s">
        <v>217</v>
      </c>
      <c r="K2000" s="3">
        <v>4</v>
      </c>
      <c r="L2000" s="3">
        <v>40622.97</v>
      </c>
      <c r="M2000" s="3">
        <v>162491.88</v>
      </c>
      <c r="N2000" s="3">
        <v>134332.01</v>
      </c>
      <c r="O2000" s="3">
        <v>28159.87</v>
      </c>
      <c r="P2000" s="3" t="s">
        <v>45</v>
      </c>
    </row>
    <row r="2001" spans="1:16" x14ac:dyDescent="0.35">
      <c r="A2001" s="3" t="s">
        <v>3317</v>
      </c>
      <c r="B2001" s="3" t="s">
        <v>1823</v>
      </c>
      <c r="C2001" s="3" t="s">
        <v>118</v>
      </c>
      <c r="D2001" s="3" t="s">
        <v>38</v>
      </c>
      <c r="E2001" s="3" t="s">
        <v>104</v>
      </c>
      <c r="F2001" s="3" t="s">
        <v>104</v>
      </c>
      <c r="G2001" s="3" t="s">
        <v>22</v>
      </c>
      <c r="H2001" s="3" t="s">
        <v>83</v>
      </c>
      <c r="I2001" s="3" t="s">
        <v>1315</v>
      </c>
      <c r="J2001" s="3" t="s">
        <v>25</v>
      </c>
      <c r="K2001" s="3">
        <v>3</v>
      </c>
      <c r="L2001" s="3">
        <v>24065.58</v>
      </c>
      <c r="M2001" s="3">
        <v>72196.740000000005</v>
      </c>
      <c r="N2001" s="3">
        <v>53518.32</v>
      </c>
      <c r="O2001" s="3">
        <v>18678.419999999998</v>
      </c>
      <c r="P2001" s="3" t="s">
        <v>86</v>
      </c>
    </row>
    <row r="2002" spans="1:16" x14ac:dyDescent="0.35">
      <c r="A2002" s="3" t="s">
        <v>3318</v>
      </c>
      <c r="B2002" s="3" t="s">
        <v>108</v>
      </c>
      <c r="C2002" s="3" t="s">
        <v>72</v>
      </c>
      <c r="D2002" s="3" t="s">
        <v>38</v>
      </c>
      <c r="E2002" s="3" t="s">
        <v>39</v>
      </c>
      <c r="F2002" s="3" t="s">
        <v>40</v>
      </c>
      <c r="G2002" s="3" t="s">
        <v>41</v>
      </c>
      <c r="H2002" s="3" t="s">
        <v>61</v>
      </c>
      <c r="I2002" s="3" t="s">
        <v>2550</v>
      </c>
      <c r="J2002" s="3" t="s">
        <v>85</v>
      </c>
      <c r="K2002" s="3">
        <v>2</v>
      </c>
      <c r="L2002" s="3">
        <v>2406.77</v>
      </c>
      <c r="M2002" s="3">
        <v>4813.54</v>
      </c>
      <c r="N2002" s="3">
        <v>3310.92</v>
      </c>
      <c r="O2002" s="3">
        <v>1502.62</v>
      </c>
      <c r="P2002" s="3" t="s">
        <v>34</v>
      </c>
    </row>
    <row r="2003" spans="1:16" x14ac:dyDescent="0.35">
      <c r="A2003" s="3" t="s">
        <v>3319</v>
      </c>
      <c r="B2003" s="3" t="s">
        <v>930</v>
      </c>
      <c r="C2003" s="3" t="s">
        <v>103</v>
      </c>
      <c r="D2003" s="3" t="s">
        <v>19</v>
      </c>
      <c r="E2003" s="3" t="s">
        <v>49</v>
      </c>
      <c r="F2003" s="3" t="s">
        <v>50</v>
      </c>
      <c r="G2003" s="3" t="s">
        <v>22</v>
      </c>
      <c r="H2003" s="3" t="s">
        <v>23</v>
      </c>
      <c r="I2003" s="3" t="s">
        <v>2769</v>
      </c>
      <c r="J2003" s="3" t="s">
        <v>161</v>
      </c>
      <c r="K2003" s="3">
        <v>6</v>
      </c>
      <c r="L2003" s="3">
        <v>3228.78</v>
      </c>
      <c r="M2003" s="3">
        <v>19372.68</v>
      </c>
      <c r="N2003" s="3">
        <v>13704.69</v>
      </c>
      <c r="O2003" s="3">
        <v>5667.99</v>
      </c>
      <c r="P2003" s="3" t="s">
        <v>86</v>
      </c>
    </row>
    <row r="2004" spans="1:16" x14ac:dyDescent="0.35">
      <c r="A2004" s="3" t="s">
        <v>3320</v>
      </c>
      <c r="B2004" s="3" t="s">
        <v>1455</v>
      </c>
      <c r="C2004" s="3" t="s">
        <v>103</v>
      </c>
      <c r="D2004" s="3" t="s">
        <v>19</v>
      </c>
      <c r="E2004" s="3" t="s">
        <v>20</v>
      </c>
      <c r="F2004" s="3" t="s">
        <v>21</v>
      </c>
      <c r="G2004" s="3" t="s">
        <v>30</v>
      </c>
      <c r="H2004" s="3" t="s">
        <v>67</v>
      </c>
      <c r="I2004" s="3" t="s">
        <v>3014</v>
      </c>
      <c r="J2004" s="3" t="s">
        <v>25</v>
      </c>
      <c r="K2004" s="3">
        <v>1</v>
      </c>
      <c r="L2004" s="3">
        <v>8955.24</v>
      </c>
      <c r="M2004" s="3">
        <v>8955.24</v>
      </c>
      <c r="N2004" s="3">
        <v>7669.25</v>
      </c>
      <c r="O2004" s="3">
        <v>1285.99</v>
      </c>
      <c r="P2004" s="3" t="s">
        <v>86</v>
      </c>
    </row>
    <row r="2005" spans="1:16" x14ac:dyDescent="0.35">
      <c r="A2005" s="3" t="s">
        <v>3321</v>
      </c>
      <c r="B2005" s="3" t="s">
        <v>117</v>
      </c>
      <c r="C2005" s="3" t="s">
        <v>118</v>
      </c>
      <c r="D2005" s="3" t="s">
        <v>90</v>
      </c>
      <c r="E2005" s="3" t="s">
        <v>91</v>
      </c>
      <c r="F2005" s="3" t="s">
        <v>92</v>
      </c>
      <c r="G2005" s="3" t="s">
        <v>41</v>
      </c>
      <c r="H2005" s="3" t="s">
        <v>138</v>
      </c>
      <c r="I2005" s="3" t="s">
        <v>2295</v>
      </c>
      <c r="J2005" s="3" t="s">
        <v>106</v>
      </c>
      <c r="K2005" s="3">
        <v>5</v>
      </c>
      <c r="L2005" s="3">
        <v>16979.95</v>
      </c>
      <c r="M2005" s="3">
        <v>84899.75</v>
      </c>
      <c r="N2005" s="3">
        <v>72138.880000000005</v>
      </c>
      <c r="O2005" s="3">
        <v>12760.87</v>
      </c>
      <c r="P2005" s="3" t="s">
        <v>69</v>
      </c>
    </row>
    <row r="2006" spans="1:16" x14ac:dyDescent="0.35">
      <c r="A2006" s="3" t="s">
        <v>3322</v>
      </c>
      <c r="B2006" s="3" t="s">
        <v>740</v>
      </c>
      <c r="C2006" s="3" t="s">
        <v>29</v>
      </c>
      <c r="D2006" s="3" t="s">
        <v>58</v>
      </c>
      <c r="E2006" s="3" t="s">
        <v>176</v>
      </c>
      <c r="F2006" s="3" t="s">
        <v>177</v>
      </c>
      <c r="G2006" s="3" t="s">
        <v>51</v>
      </c>
      <c r="H2006" s="3" t="s">
        <v>77</v>
      </c>
      <c r="I2006" s="3" t="s">
        <v>2092</v>
      </c>
      <c r="J2006" s="3" t="s">
        <v>147</v>
      </c>
      <c r="K2006" s="3">
        <v>8</v>
      </c>
      <c r="L2006" s="3">
        <v>13110.42</v>
      </c>
      <c r="M2006" s="3">
        <v>104883.36</v>
      </c>
      <c r="N2006" s="3">
        <v>73947.64</v>
      </c>
      <c r="O2006" s="3">
        <v>30935.72</v>
      </c>
      <c r="P2006" s="3" t="s">
        <v>45</v>
      </c>
    </row>
    <row r="2007" spans="1:16" x14ac:dyDescent="0.35">
      <c r="A2007" s="3" t="s">
        <v>3323</v>
      </c>
      <c r="B2007" s="3" t="s">
        <v>642</v>
      </c>
      <c r="C2007" s="3" t="s">
        <v>18</v>
      </c>
      <c r="D2007" s="3" t="s">
        <v>90</v>
      </c>
      <c r="E2007" s="3" t="s">
        <v>119</v>
      </c>
      <c r="F2007" s="3" t="s">
        <v>120</v>
      </c>
      <c r="G2007" s="3" t="s">
        <v>51</v>
      </c>
      <c r="H2007" s="3" t="s">
        <v>77</v>
      </c>
      <c r="I2007" s="3" t="s">
        <v>3238</v>
      </c>
      <c r="J2007" s="3" t="s">
        <v>79</v>
      </c>
      <c r="K2007" s="3">
        <v>5</v>
      </c>
      <c r="L2007" s="3">
        <v>11623.52</v>
      </c>
      <c r="M2007" s="3">
        <v>58117.599999999999</v>
      </c>
      <c r="N2007" s="3">
        <v>43380.74</v>
      </c>
      <c r="O2007" s="3">
        <v>14736.86</v>
      </c>
      <c r="P2007" s="3" t="s">
        <v>26</v>
      </c>
    </row>
    <row r="2008" spans="1:16" x14ac:dyDescent="0.35">
      <c r="A2008" s="3" t="s">
        <v>3324</v>
      </c>
      <c r="B2008" s="3" t="s">
        <v>886</v>
      </c>
      <c r="C2008" s="3" t="s">
        <v>48</v>
      </c>
      <c r="D2008" s="3" t="s">
        <v>90</v>
      </c>
      <c r="E2008" s="3" t="s">
        <v>97</v>
      </c>
      <c r="F2008" s="3" t="s">
        <v>98</v>
      </c>
      <c r="G2008" s="3" t="s">
        <v>22</v>
      </c>
      <c r="H2008" s="3" t="s">
        <v>83</v>
      </c>
      <c r="I2008" s="3" t="s">
        <v>1131</v>
      </c>
      <c r="J2008" s="3" t="s">
        <v>54</v>
      </c>
      <c r="K2008" s="3">
        <v>2</v>
      </c>
      <c r="L2008" s="3">
        <v>23910.43</v>
      </c>
      <c r="M2008" s="3">
        <v>47820.86</v>
      </c>
      <c r="N2008" s="3">
        <v>33124.67</v>
      </c>
      <c r="O2008" s="3">
        <v>14696.19</v>
      </c>
      <c r="P2008" s="3" t="s">
        <v>34</v>
      </c>
    </row>
    <row r="2009" spans="1:16" x14ac:dyDescent="0.35">
      <c r="A2009" s="3" t="s">
        <v>3325</v>
      </c>
      <c r="B2009" s="3" t="s">
        <v>832</v>
      </c>
      <c r="C2009" s="3" t="s">
        <v>72</v>
      </c>
      <c r="D2009" s="3" t="s">
        <v>90</v>
      </c>
      <c r="E2009" s="3" t="s">
        <v>91</v>
      </c>
      <c r="F2009" s="3" t="s">
        <v>92</v>
      </c>
      <c r="G2009" s="3" t="s">
        <v>51</v>
      </c>
      <c r="H2009" s="3" t="s">
        <v>52</v>
      </c>
      <c r="I2009" s="3" t="s">
        <v>1883</v>
      </c>
      <c r="J2009" s="3" t="s">
        <v>44</v>
      </c>
      <c r="K2009" s="3">
        <v>6</v>
      </c>
      <c r="L2009" s="3">
        <v>26.82</v>
      </c>
      <c r="M2009" s="3">
        <v>160.91999999999999</v>
      </c>
      <c r="N2009" s="3">
        <v>60.24</v>
      </c>
      <c r="O2009" s="3">
        <v>100.68</v>
      </c>
      <c r="P2009" s="3" t="s">
        <v>45</v>
      </c>
    </row>
    <row r="2010" spans="1:16" x14ac:dyDescent="0.35">
      <c r="A2010" s="3" t="s">
        <v>3326</v>
      </c>
      <c r="B2010" s="3" t="s">
        <v>102</v>
      </c>
      <c r="C2010" s="3" t="s">
        <v>103</v>
      </c>
      <c r="D2010" s="3" t="s">
        <v>90</v>
      </c>
      <c r="E2010" s="3" t="s">
        <v>91</v>
      </c>
      <c r="F2010" s="3" t="s">
        <v>92</v>
      </c>
      <c r="G2010" s="3" t="s">
        <v>30</v>
      </c>
      <c r="H2010" s="3" t="s">
        <v>73</v>
      </c>
      <c r="I2010" s="3" t="s">
        <v>3195</v>
      </c>
      <c r="J2010" s="3" t="s">
        <v>33</v>
      </c>
      <c r="K2010" s="3">
        <v>6</v>
      </c>
      <c r="L2010" s="3">
        <v>2927.8</v>
      </c>
      <c r="M2010" s="3">
        <v>17566.8</v>
      </c>
      <c r="N2010" s="3">
        <v>14399.99</v>
      </c>
      <c r="O2010" s="3">
        <v>3166.81</v>
      </c>
      <c r="P2010" s="3" t="s">
        <v>26</v>
      </c>
    </row>
    <row r="2011" spans="1:16" x14ac:dyDescent="0.35">
      <c r="A2011" s="3" t="s">
        <v>3327</v>
      </c>
      <c r="B2011" s="3" t="s">
        <v>209</v>
      </c>
      <c r="C2011" s="3" t="s">
        <v>118</v>
      </c>
      <c r="D2011" s="3" t="s">
        <v>19</v>
      </c>
      <c r="E2011" s="3" t="s">
        <v>20</v>
      </c>
      <c r="F2011" s="3" t="s">
        <v>21</v>
      </c>
      <c r="G2011" s="3" t="s">
        <v>22</v>
      </c>
      <c r="H2011" s="3" t="s">
        <v>83</v>
      </c>
      <c r="I2011" s="3" t="s">
        <v>703</v>
      </c>
      <c r="J2011" s="3" t="s">
        <v>79</v>
      </c>
      <c r="K2011" s="3">
        <v>2</v>
      </c>
      <c r="L2011" s="3">
        <v>23876.05</v>
      </c>
      <c r="M2011" s="3">
        <v>47752.1</v>
      </c>
      <c r="N2011" s="3">
        <v>33436.120000000003</v>
      </c>
      <c r="O2011" s="3">
        <v>14315.98</v>
      </c>
      <c r="P2011" s="3" t="s">
        <v>45</v>
      </c>
    </row>
    <row r="2012" spans="1:16" x14ac:dyDescent="0.35">
      <c r="A2012" s="3" t="s">
        <v>3328</v>
      </c>
      <c r="B2012" s="3" t="s">
        <v>913</v>
      </c>
      <c r="C2012" s="3" t="s">
        <v>48</v>
      </c>
      <c r="D2012" s="3" t="s">
        <v>38</v>
      </c>
      <c r="E2012" s="3" t="s">
        <v>104</v>
      </c>
      <c r="F2012" s="3" t="s">
        <v>104</v>
      </c>
      <c r="G2012" s="3" t="s">
        <v>51</v>
      </c>
      <c r="H2012" s="3" t="s">
        <v>77</v>
      </c>
      <c r="I2012" s="3" t="s">
        <v>1167</v>
      </c>
      <c r="J2012" s="3" t="s">
        <v>106</v>
      </c>
      <c r="K2012" s="3">
        <v>7</v>
      </c>
      <c r="L2012" s="3">
        <v>12969.59</v>
      </c>
      <c r="M2012" s="3">
        <v>90787.13</v>
      </c>
      <c r="N2012" s="3">
        <v>63453.760000000002</v>
      </c>
      <c r="O2012" s="3">
        <v>27333.37</v>
      </c>
      <c r="P2012" s="3" t="s">
        <v>86</v>
      </c>
    </row>
    <row r="2013" spans="1:16" x14ac:dyDescent="0.35">
      <c r="A2013" s="3" t="s">
        <v>3329</v>
      </c>
      <c r="B2013" s="3" t="s">
        <v>893</v>
      </c>
      <c r="C2013" s="3" t="s">
        <v>89</v>
      </c>
      <c r="D2013" s="3" t="s">
        <v>19</v>
      </c>
      <c r="E2013" s="3" t="s">
        <v>49</v>
      </c>
      <c r="F2013" s="3" t="s">
        <v>50</v>
      </c>
      <c r="G2013" s="3" t="s">
        <v>41</v>
      </c>
      <c r="H2013" s="3" t="s">
        <v>61</v>
      </c>
      <c r="I2013" s="3" t="s">
        <v>3260</v>
      </c>
      <c r="J2013" s="3" t="s">
        <v>154</v>
      </c>
      <c r="K2013" s="3">
        <v>2</v>
      </c>
      <c r="L2013" s="3">
        <v>2535.48</v>
      </c>
      <c r="M2013" s="3">
        <v>5070.96</v>
      </c>
      <c r="N2013" s="3">
        <v>3200.55</v>
      </c>
      <c r="O2013" s="3">
        <v>1870.41</v>
      </c>
      <c r="P2013" s="3" t="s">
        <v>45</v>
      </c>
    </row>
    <row r="2014" spans="1:16" x14ac:dyDescent="0.35">
      <c r="A2014" s="3" t="s">
        <v>3330</v>
      </c>
      <c r="B2014" s="3" t="s">
        <v>233</v>
      </c>
      <c r="C2014" s="3" t="s">
        <v>103</v>
      </c>
      <c r="D2014" s="3" t="s">
        <v>38</v>
      </c>
      <c r="E2014" s="3" t="s">
        <v>39</v>
      </c>
      <c r="F2014" s="3" t="s">
        <v>40</v>
      </c>
      <c r="G2014" s="3" t="s">
        <v>41</v>
      </c>
      <c r="H2014" s="3" t="s">
        <v>138</v>
      </c>
      <c r="I2014" s="3" t="s">
        <v>1497</v>
      </c>
      <c r="J2014" s="3" t="s">
        <v>33</v>
      </c>
      <c r="K2014" s="3">
        <v>6</v>
      </c>
      <c r="L2014" s="3">
        <v>18898</v>
      </c>
      <c r="M2014" s="3">
        <v>113388</v>
      </c>
      <c r="N2014" s="3">
        <v>79894.210000000006</v>
      </c>
      <c r="O2014" s="3">
        <v>33493.79</v>
      </c>
      <c r="P2014" s="3" t="s">
        <v>34</v>
      </c>
    </row>
    <row r="2015" spans="1:16" x14ac:dyDescent="0.35">
      <c r="A2015" s="3" t="s">
        <v>3331</v>
      </c>
      <c r="B2015" s="3" t="s">
        <v>381</v>
      </c>
      <c r="C2015" s="3" t="s">
        <v>18</v>
      </c>
      <c r="D2015" s="3" t="s">
        <v>90</v>
      </c>
      <c r="E2015" s="3" t="s">
        <v>97</v>
      </c>
      <c r="F2015" s="3" t="s">
        <v>98</v>
      </c>
      <c r="G2015" s="3" t="s">
        <v>41</v>
      </c>
      <c r="H2015" s="3" t="s">
        <v>138</v>
      </c>
      <c r="I2015" s="3" t="s">
        <v>972</v>
      </c>
      <c r="J2015" s="3" t="s">
        <v>100</v>
      </c>
      <c r="K2015" s="3">
        <v>4</v>
      </c>
      <c r="L2015" s="3">
        <v>19210.48</v>
      </c>
      <c r="M2015" s="3">
        <v>76841.919999999998</v>
      </c>
      <c r="N2015" s="3">
        <v>54133.64</v>
      </c>
      <c r="O2015" s="3">
        <v>22708.28</v>
      </c>
      <c r="P2015" s="3" t="s">
        <v>45</v>
      </c>
    </row>
    <row r="2016" spans="1:16" x14ac:dyDescent="0.35">
      <c r="A2016" s="3" t="s">
        <v>3332</v>
      </c>
      <c r="B2016" s="3" t="s">
        <v>468</v>
      </c>
      <c r="C2016" s="3" t="s">
        <v>82</v>
      </c>
      <c r="D2016" s="3" t="s">
        <v>58</v>
      </c>
      <c r="E2016" s="3" t="s">
        <v>65</v>
      </c>
      <c r="F2016" s="3" t="s">
        <v>66</v>
      </c>
      <c r="G2016" s="3" t="s">
        <v>41</v>
      </c>
      <c r="H2016" s="3" t="s">
        <v>42</v>
      </c>
      <c r="I2016" s="3" t="s">
        <v>729</v>
      </c>
      <c r="J2016" s="3" t="s">
        <v>147</v>
      </c>
      <c r="K2016" s="3">
        <v>5</v>
      </c>
      <c r="L2016" s="3">
        <v>41154.589999999997</v>
      </c>
      <c r="M2016" s="3">
        <v>205772.95</v>
      </c>
      <c r="N2016" s="3">
        <v>177900.86</v>
      </c>
      <c r="O2016" s="3">
        <v>27872.09</v>
      </c>
      <c r="P2016" s="3" t="s">
        <v>45</v>
      </c>
    </row>
    <row r="2017" spans="1:16" x14ac:dyDescent="0.35">
      <c r="A2017" s="3" t="s">
        <v>3333</v>
      </c>
      <c r="B2017" s="3" t="s">
        <v>384</v>
      </c>
      <c r="C2017" s="3" t="s">
        <v>57</v>
      </c>
      <c r="D2017" s="3" t="s">
        <v>90</v>
      </c>
      <c r="E2017" s="3" t="s">
        <v>97</v>
      </c>
      <c r="F2017" s="3" t="s">
        <v>98</v>
      </c>
      <c r="G2017" s="3" t="s">
        <v>30</v>
      </c>
      <c r="H2017" s="3" t="s">
        <v>67</v>
      </c>
      <c r="I2017" s="3" t="s">
        <v>62</v>
      </c>
      <c r="J2017" s="3" t="s">
        <v>161</v>
      </c>
      <c r="K2017" s="3">
        <v>6</v>
      </c>
      <c r="L2017" s="3">
        <v>9906.2900000000009</v>
      </c>
      <c r="M2017" s="3">
        <v>59437.74</v>
      </c>
      <c r="N2017" s="3">
        <v>43324.9</v>
      </c>
      <c r="O2017" s="3">
        <v>16112.84</v>
      </c>
      <c r="P2017" s="3" t="s">
        <v>45</v>
      </c>
    </row>
    <row r="2018" spans="1:16" x14ac:dyDescent="0.35">
      <c r="A2018" s="3" t="s">
        <v>3334</v>
      </c>
      <c r="B2018" s="3" t="s">
        <v>740</v>
      </c>
      <c r="C2018" s="3" t="s">
        <v>29</v>
      </c>
      <c r="D2018" s="3" t="s">
        <v>58</v>
      </c>
      <c r="E2018" s="3" t="s">
        <v>59</v>
      </c>
      <c r="F2018" s="3" t="s">
        <v>60</v>
      </c>
      <c r="G2018" s="3" t="s">
        <v>22</v>
      </c>
      <c r="H2018" s="3" t="s">
        <v>83</v>
      </c>
      <c r="I2018" s="3" t="s">
        <v>522</v>
      </c>
      <c r="J2018" s="3" t="s">
        <v>161</v>
      </c>
      <c r="K2018" s="3">
        <v>6</v>
      </c>
      <c r="L2018" s="3">
        <v>22657.95</v>
      </c>
      <c r="M2018" s="3">
        <v>135947.70000000001</v>
      </c>
      <c r="N2018" s="3">
        <v>106075.52</v>
      </c>
      <c r="O2018" s="3">
        <v>29872.18</v>
      </c>
      <c r="P2018" s="3" t="s">
        <v>45</v>
      </c>
    </row>
    <row r="2019" spans="1:16" x14ac:dyDescent="0.35">
      <c r="A2019" s="3" t="s">
        <v>3335</v>
      </c>
      <c r="B2019" s="3" t="s">
        <v>1733</v>
      </c>
      <c r="C2019" s="3" t="s">
        <v>137</v>
      </c>
      <c r="D2019" s="3" t="s">
        <v>38</v>
      </c>
      <c r="E2019" s="3" t="s">
        <v>39</v>
      </c>
      <c r="F2019" s="3" t="s">
        <v>40</v>
      </c>
      <c r="G2019" s="3" t="s">
        <v>51</v>
      </c>
      <c r="H2019" s="3" t="s">
        <v>77</v>
      </c>
      <c r="I2019" s="3" t="s">
        <v>2445</v>
      </c>
      <c r="J2019" s="3" t="s">
        <v>161</v>
      </c>
      <c r="K2019" s="3">
        <v>4</v>
      </c>
      <c r="L2019" s="3">
        <v>12203.8</v>
      </c>
      <c r="M2019" s="3">
        <v>48815.199999999997</v>
      </c>
      <c r="N2019" s="3">
        <v>36582.550000000003</v>
      </c>
      <c r="O2019" s="3">
        <v>12232.65</v>
      </c>
      <c r="P2019" s="3" t="s">
        <v>34</v>
      </c>
    </row>
    <row r="2020" spans="1:16" x14ac:dyDescent="0.35">
      <c r="A2020" s="3" t="s">
        <v>3336</v>
      </c>
      <c r="B2020" s="3" t="s">
        <v>108</v>
      </c>
      <c r="C2020" s="3" t="s">
        <v>72</v>
      </c>
      <c r="D2020" s="3" t="s">
        <v>90</v>
      </c>
      <c r="E2020" s="3" t="s">
        <v>119</v>
      </c>
      <c r="F2020" s="3" t="s">
        <v>120</v>
      </c>
      <c r="G2020" s="3" t="s">
        <v>22</v>
      </c>
      <c r="H2020" s="3" t="s">
        <v>93</v>
      </c>
      <c r="I2020" s="3" t="s">
        <v>1295</v>
      </c>
      <c r="J2020" s="3" t="s">
        <v>44</v>
      </c>
      <c r="K2020" s="3">
        <v>2</v>
      </c>
      <c r="L2020" s="3">
        <v>7683.14</v>
      </c>
      <c r="M2020" s="3">
        <v>15366.28</v>
      </c>
      <c r="N2020" s="3">
        <v>10336.18</v>
      </c>
      <c r="O2020" s="3">
        <v>5030.1000000000004</v>
      </c>
      <c r="P2020" s="3" t="s">
        <v>86</v>
      </c>
    </row>
    <row r="2021" spans="1:16" x14ac:dyDescent="0.35">
      <c r="A2021" s="3" t="s">
        <v>3337</v>
      </c>
      <c r="B2021" s="3" t="s">
        <v>767</v>
      </c>
      <c r="C2021" s="3" t="s">
        <v>82</v>
      </c>
      <c r="D2021" s="3" t="s">
        <v>38</v>
      </c>
      <c r="E2021" s="3" t="s">
        <v>39</v>
      </c>
      <c r="F2021" s="3" t="s">
        <v>40</v>
      </c>
      <c r="G2021" s="3" t="s">
        <v>30</v>
      </c>
      <c r="H2021" s="3" t="s">
        <v>73</v>
      </c>
      <c r="I2021" s="3" t="s">
        <v>3163</v>
      </c>
      <c r="J2021" s="3" t="s">
        <v>33</v>
      </c>
      <c r="K2021" s="3">
        <v>2</v>
      </c>
      <c r="L2021" s="3">
        <v>3399.28</v>
      </c>
      <c r="M2021" s="3">
        <v>6798.56</v>
      </c>
      <c r="N2021" s="3">
        <v>4787.67</v>
      </c>
      <c r="O2021" s="3">
        <v>2010.89</v>
      </c>
      <c r="P2021" s="3" t="s">
        <v>34</v>
      </c>
    </row>
    <row r="2022" spans="1:16" x14ac:dyDescent="0.35">
      <c r="A2022" s="3" t="s">
        <v>3338</v>
      </c>
      <c r="B2022" s="3" t="s">
        <v>1502</v>
      </c>
      <c r="C2022" s="3" t="s">
        <v>57</v>
      </c>
      <c r="D2022" s="3" t="s">
        <v>58</v>
      </c>
      <c r="E2022" s="3" t="s">
        <v>59</v>
      </c>
      <c r="F2022" s="3" t="s">
        <v>60</v>
      </c>
      <c r="G2022" s="3" t="s">
        <v>51</v>
      </c>
      <c r="H2022" s="3" t="s">
        <v>77</v>
      </c>
      <c r="I2022" s="3" t="s">
        <v>829</v>
      </c>
      <c r="J2022" s="3" t="s">
        <v>100</v>
      </c>
      <c r="K2022" s="3">
        <v>7</v>
      </c>
      <c r="L2022" s="3">
        <v>13040.05</v>
      </c>
      <c r="M2022" s="3">
        <v>91280.35</v>
      </c>
      <c r="N2022" s="3">
        <v>61428.05</v>
      </c>
      <c r="O2022" s="3">
        <v>29852.3</v>
      </c>
      <c r="P2022" s="3" t="s">
        <v>86</v>
      </c>
    </row>
    <row r="2023" spans="1:16" x14ac:dyDescent="0.35">
      <c r="A2023" s="3" t="s">
        <v>3339</v>
      </c>
      <c r="B2023" s="3" t="s">
        <v>1292</v>
      </c>
      <c r="C2023" s="3" t="s">
        <v>57</v>
      </c>
      <c r="D2023" s="3" t="s">
        <v>90</v>
      </c>
      <c r="E2023" s="3" t="s">
        <v>91</v>
      </c>
      <c r="F2023" s="3" t="s">
        <v>92</v>
      </c>
      <c r="G2023" s="3" t="s">
        <v>30</v>
      </c>
      <c r="H2023" s="3" t="s">
        <v>31</v>
      </c>
      <c r="I2023" s="3" t="s">
        <v>1690</v>
      </c>
      <c r="J2023" s="3" t="s">
        <v>106</v>
      </c>
      <c r="K2023" s="3">
        <v>4</v>
      </c>
      <c r="L2023" s="3">
        <v>2916.78</v>
      </c>
      <c r="M2023" s="3">
        <v>11667.12</v>
      </c>
      <c r="N2023" s="3">
        <v>7715.8</v>
      </c>
      <c r="O2023" s="3">
        <v>3951.32</v>
      </c>
      <c r="P2023" s="3" t="s">
        <v>26</v>
      </c>
    </row>
    <row r="2024" spans="1:16" x14ac:dyDescent="0.35">
      <c r="A2024" s="3" t="s">
        <v>3340</v>
      </c>
      <c r="B2024" s="3" t="s">
        <v>723</v>
      </c>
      <c r="C2024" s="3" t="s">
        <v>137</v>
      </c>
      <c r="D2024" s="3" t="s">
        <v>38</v>
      </c>
      <c r="E2024" s="3" t="s">
        <v>109</v>
      </c>
      <c r="F2024" s="3" t="s">
        <v>110</v>
      </c>
      <c r="G2024" s="3" t="s">
        <v>30</v>
      </c>
      <c r="H2024" s="3" t="s">
        <v>67</v>
      </c>
      <c r="I2024" s="3" t="s">
        <v>2752</v>
      </c>
      <c r="J2024" s="3" t="s">
        <v>106</v>
      </c>
      <c r="K2024" s="3">
        <v>2</v>
      </c>
      <c r="L2024" s="3">
        <v>9677.93</v>
      </c>
      <c r="M2024" s="3">
        <v>19355.86</v>
      </c>
      <c r="N2024" s="3">
        <v>14544.05</v>
      </c>
      <c r="O2024" s="3">
        <v>4811.8100000000004</v>
      </c>
      <c r="P2024" s="3" t="s">
        <v>86</v>
      </c>
    </row>
    <row r="2025" spans="1:16" x14ac:dyDescent="0.35">
      <c r="A2025" s="3" t="s">
        <v>3341</v>
      </c>
      <c r="B2025" s="3" t="s">
        <v>1136</v>
      </c>
      <c r="C2025" s="3" t="s">
        <v>118</v>
      </c>
      <c r="D2025" s="3" t="s">
        <v>38</v>
      </c>
      <c r="E2025" s="3" t="s">
        <v>109</v>
      </c>
      <c r="F2025" s="3" t="s">
        <v>110</v>
      </c>
      <c r="G2025" s="3" t="s">
        <v>41</v>
      </c>
      <c r="H2025" s="3" t="s">
        <v>138</v>
      </c>
      <c r="I2025" s="3" t="s">
        <v>1045</v>
      </c>
      <c r="J2025" s="3" t="s">
        <v>171</v>
      </c>
      <c r="K2025" s="3">
        <v>4</v>
      </c>
      <c r="L2025" s="3">
        <v>17943.37</v>
      </c>
      <c r="M2025" s="3">
        <v>71773.48</v>
      </c>
      <c r="N2025" s="3">
        <v>53790.01</v>
      </c>
      <c r="O2025" s="3">
        <v>17983.47</v>
      </c>
      <c r="P2025" s="3" t="s">
        <v>86</v>
      </c>
    </row>
    <row r="2026" spans="1:16" x14ac:dyDescent="0.35">
      <c r="A2026" s="3" t="s">
        <v>3342</v>
      </c>
      <c r="B2026" s="3" t="s">
        <v>562</v>
      </c>
      <c r="C2026" s="3" t="s">
        <v>82</v>
      </c>
      <c r="D2026" s="3" t="s">
        <v>58</v>
      </c>
      <c r="E2026" s="3" t="s">
        <v>176</v>
      </c>
      <c r="F2026" s="3" t="s">
        <v>177</v>
      </c>
      <c r="G2026" s="3" t="s">
        <v>51</v>
      </c>
      <c r="H2026" s="3" t="s">
        <v>77</v>
      </c>
      <c r="I2026" s="3" t="s">
        <v>2699</v>
      </c>
      <c r="J2026" s="3" t="s">
        <v>161</v>
      </c>
      <c r="K2026" s="3">
        <v>7</v>
      </c>
      <c r="L2026" s="3">
        <v>12946.22</v>
      </c>
      <c r="M2026" s="3">
        <v>90623.54</v>
      </c>
      <c r="N2026" s="3">
        <v>61721.34</v>
      </c>
      <c r="O2026" s="3">
        <v>28902.2</v>
      </c>
      <c r="P2026" s="3" t="s">
        <v>86</v>
      </c>
    </row>
    <row r="2027" spans="1:16" x14ac:dyDescent="0.35">
      <c r="A2027" s="3" t="s">
        <v>3343</v>
      </c>
      <c r="B2027" s="3" t="s">
        <v>1780</v>
      </c>
      <c r="C2027" s="3" t="s">
        <v>137</v>
      </c>
      <c r="D2027" s="3" t="s">
        <v>38</v>
      </c>
      <c r="E2027" s="3" t="s">
        <v>39</v>
      </c>
      <c r="F2027" s="3" t="s">
        <v>40</v>
      </c>
      <c r="G2027" s="3" t="s">
        <v>41</v>
      </c>
      <c r="H2027" s="3" t="s">
        <v>61</v>
      </c>
      <c r="I2027" s="3" t="s">
        <v>1243</v>
      </c>
      <c r="J2027" s="3" t="s">
        <v>188</v>
      </c>
      <c r="K2027" s="3">
        <v>7</v>
      </c>
      <c r="L2027" s="3">
        <v>2584.88</v>
      </c>
      <c r="M2027" s="3">
        <v>18094.16</v>
      </c>
      <c r="N2027" s="3">
        <v>11540.31</v>
      </c>
      <c r="O2027" s="3">
        <v>6553.85</v>
      </c>
      <c r="P2027" s="3" t="s">
        <v>34</v>
      </c>
    </row>
    <row r="2028" spans="1:16" x14ac:dyDescent="0.35">
      <c r="A2028" s="3" t="s">
        <v>3344</v>
      </c>
      <c r="B2028" s="3" t="s">
        <v>792</v>
      </c>
      <c r="C2028" s="3" t="s">
        <v>72</v>
      </c>
      <c r="D2028" s="3" t="s">
        <v>38</v>
      </c>
      <c r="E2028" s="3" t="s">
        <v>39</v>
      </c>
      <c r="F2028" s="3" t="s">
        <v>40</v>
      </c>
      <c r="G2028" s="3" t="s">
        <v>30</v>
      </c>
      <c r="H2028" s="3" t="s">
        <v>31</v>
      </c>
      <c r="I2028" s="3" t="s">
        <v>2376</v>
      </c>
      <c r="J2028" s="3" t="s">
        <v>161</v>
      </c>
      <c r="K2028" s="3">
        <v>2</v>
      </c>
      <c r="L2028" s="3">
        <v>2589.15</v>
      </c>
      <c r="M2028" s="3">
        <v>5178.3</v>
      </c>
      <c r="N2028" s="3">
        <v>3820.11</v>
      </c>
      <c r="O2028" s="3">
        <v>1358.19</v>
      </c>
      <c r="P2028" s="3" t="s">
        <v>34</v>
      </c>
    </row>
    <row r="2029" spans="1:16" x14ac:dyDescent="0.35">
      <c r="A2029" s="3" t="s">
        <v>3345</v>
      </c>
      <c r="B2029" s="3" t="s">
        <v>219</v>
      </c>
      <c r="C2029" s="3" t="s">
        <v>72</v>
      </c>
      <c r="D2029" s="3" t="s">
        <v>38</v>
      </c>
      <c r="E2029" s="3" t="s">
        <v>109</v>
      </c>
      <c r="F2029" s="3" t="s">
        <v>110</v>
      </c>
      <c r="G2029" s="3" t="s">
        <v>30</v>
      </c>
      <c r="H2029" s="3" t="s">
        <v>73</v>
      </c>
      <c r="I2029" s="3" t="s">
        <v>3346</v>
      </c>
      <c r="J2029" s="3" t="s">
        <v>33</v>
      </c>
      <c r="K2029" s="3">
        <v>8</v>
      </c>
      <c r="L2029" s="3">
        <v>3092.98</v>
      </c>
      <c r="M2029" s="3">
        <v>24743.84</v>
      </c>
      <c r="N2029" s="3">
        <v>19710.53</v>
      </c>
      <c r="O2029" s="3">
        <v>5033.3100000000004</v>
      </c>
      <c r="P2029" s="3" t="s">
        <v>26</v>
      </c>
    </row>
    <row r="2030" spans="1:16" x14ac:dyDescent="0.35">
      <c r="A2030" s="3" t="s">
        <v>3347</v>
      </c>
      <c r="B2030" s="3" t="s">
        <v>488</v>
      </c>
      <c r="C2030" s="3" t="s">
        <v>29</v>
      </c>
      <c r="D2030" s="3" t="s">
        <v>19</v>
      </c>
      <c r="E2030" s="3" t="s">
        <v>49</v>
      </c>
      <c r="F2030" s="3" t="s">
        <v>50</v>
      </c>
      <c r="G2030" s="3" t="s">
        <v>41</v>
      </c>
      <c r="H2030" s="3" t="s">
        <v>138</v>
      </c>
      <c r="I2030" s="3" t="s">
        <v>1078</v>
      </c>
      <c r="J2030" s="3" t="s">
        <v>147</v>
      </c>
      <c r="K2030" s="3">
        <v>3</v>
      </c>
      <c r="L2030" s="3">
        <v>17280.8</v>
      </c>
      <c r="M2030" s="3">
        <v>51842.400000000001</v>
      </c>
      <c r="N2030" s="3">
        <v>40706</v>
      </c>
      <c r="O2030" s="3">
        <v>11136.4</v>
      </c>
      <c r="P2030" s="3" t="s">
        <v>34</v>
      </c>
    </row>
    <row r="2031" spans="1:16" x14ac:dyDescent="0.35">
      <c r="A2031" s="3" t="s">
        <v>3348</v>
      </c>
      <c r="B2031" s="3" t="s">
        <v>960</v>
      </c>
      <c r="C2031" s="3" t="s">
        <v>114</v>
      </c>
      <c r="D2031" s="3" t="s">
        <v>90</v>
      </c>
      <c r="E2031" s="3" t="s">
        <v>97</v>
      </c>
      <c r="F2031" s="3" t="s">
        <v>98</v>
      </c>
      <c r="G2031" s="3" t="s">
        <v>30</v>
      </c>
      <c r="H2031" s="3" t="s">
        <v>73</v>
      </c>
      <c r="I2031" s="3" t="s">
        <v>1099</v>
      </c>
      <c r="J2031" s="3" t="s">
        <v>100</v>
      </c>
      <c r="K2031" s="3">
        <v>6</v>
      </c>
      <c r="L2031" s="3">
        <v>3224.65</v>
      </c>
      <c r="M2031" s="3">
        <v>19347.900000000001</v>
      </c>
      <c r="N2031" s="3">
        <v>14803.24</v>
      </c>
      <c r="O2031" s="3">
        <v>4544.66</v>
      </c>
      <c r="P2031" s="3" t="s">
        <v>34</v>
      </c>
    </row>
    <row r="2032" spans="1:16" x14ac:dyDescent="0.35">
      <c r="A2032" s="3" t="s">
        <v>3349</v>
      </c>
      <c r="B2032" s="3" t="s">
        <v>1337</v>
      </c>
      <c r="C2032" s="3" t="s">
        <v>48</v>
      </c>
      <c r="D2032" s="3" t="s">
        <v>38</v>
      </c>
      <c r="E2032" s="3" t="s">
        <v>104</v>
      </c>
      <c r="F2032" s="3" t="s">
        <v>104</v>
      </c>
      <c r="G2032" s="3" t="s">
        <v>22</v>
      </c>
      <c r="H2032" s="3" t="s">
        <v>23</v>
      </c>
      <c r="I2032" s="3" t="s">
        <v>1986</v>
      </c>
      <c r="J2032" s="3" t="s">
        <v>131</v>
      </c>
      <c r="K2032" s="3">
        <v>4</v>
      </c>
      <c r="L2032" s="3">
        <v>3386.94</v>
      </c>
      <c r="M2032" s="3">
        <v>13547.76</v>
      </c>
      <c r="N2032" s="3">
        <v>9094.08</v>
      </c>
      <c r="O2032" s="3">
        <v>4453.68</v>
      </c>
      <c r="P2032" s="3" t="s">
        <v>26</v>
      </c>
    </row>
    <row r="2033" spans="1:16" x14ac:dyDescent="0.35">
      <c r="A2033" s="3" t="s">
        <v>3350</v>
      </c>
      <c r="B2033" s="3" t="s">
        <v>877</v>
      </c>
      <c r="C2033" s="3" t="s">
        <v>114</v>
      </c>
      <c r="D2033" s="3" t="s">
        <v>38</v>
      </c>
      <c r="E2033" s="3" t="s">
        <v>104</v>
      </c>
      <c r="F2033" s="3" t="s">
        <v>104</v>
      </c>
      <c r="G2033" s="3" t="s">
        <v>51</v>
      </c>
      <c r="H2033" s="3" t="s">
        <v>77</v>
      </c>
      <c r="I2033" s="3" t="s">
        <v>325</v>
      </c>
      <c r="J2033" s="3" t="s">
        <v>131</v>
      </c>
      <c r="K2033" s="3">
        <v>5</v>
      </c>
      <c r="L2033" s="3">
        <v>13112.29</v>
      </c>
      <c r="M2033" s="3">
        <v>65561.45</v>
      </c>
      <c r="N2033" s="3">
        <v>47227.5</v>
      </c>
      <c r="O2033" s="3">
        <v>18333.95</v>
      </c>
      <c r="P2033" s="3" t="s">
        <v>69</v>
      </c>
    </row>
    <row r="2034" spans="1:16" x14ac:dyDescent="0.35">
      <c r="A2034" s="3" t="s">
        <v>3351</v>
      </c>
      <c r="B2034" s="3" t="s">
        <v>2156</v>
      </c>
      <c r="C2034" s="3" t="s">
        <v>114</v>
      </c>
      <c r="D2034" s="3" t="s">
        <v>58</v>
      </c>
      <c r="E2034" s="3" t="s">
        <v>59</v>
      </c>
      <c r="F2034" s="3" t="s">
        <v>60</v>
      </c>
      <c r="G2034" s="3" t="s">
        <v>41</v>
      </c>
      <c r="H2034" s="3" t="s">
        <v>61</v>
      </c>
      <c r="I2034" s="3" t="s">
        <v>1753</v>
      </c>
      <c r="J2034" s="3" t="s">
        <v>154</v>
      </c>
      <c r="K2034" s="3">
        <v>6</v>
      </c>
      <c r="L2034" s="3">
        <v>2427.7800000000002</v>
      </c>
      <c r="M2034" s="3">
        <v>14566.68</v>
      </c>
      <c r="N2034" s="3">
        <v>9198.9</v>
      </c>
      <c r="O2034" s="3">
        <v>5367.78</v>
      </c>
      <c r="P2034" s="3" t="s">
        <v>69</v>
      </c>
    </row>
    <row r="2035" spans="1:16" x14ac:dyDescent="0.35">
      <c r="A2035" s="3" t="s">
        <v>3352</v>
      </c>
      <c r="B2035" s="3" t="s">
        <v>834</v>
      </c>
      <c r="C2035" s="3" t="s">
        <v>114</v>
      </c>
      <c r="D2035" s="3" t="s">
        <v>90</v>
      </c>
      <c r="E2035" s="3" t="s">
        <v>119</v>
      </c>
      <c r="F2035" s="3" t="s">
        <v>120</v>
      </c>
      <c r="G2035" s="3" t="s">
        <v>51</v>
      </c>
      <c r="H2035" s="3" t="s">
        <v>52</v>
      </c>
      <c r="I2035" s="3" t="s">
        <v>1784</v>
      </c>
      <c r="J2035" s="3" t="s">
        <v>33</v>
      </c>
      <c r="K2035" s="3">
        <v>6</v>
      </c>
      <c r="L2035" s="3">
        <v>27.08</v>
      </c>
      <c r="M2035" s="3">
        <v>162.47999999999999</v>
      </c>
      <c r="N2035" s="3">
        <v>61.29</v>
      </c>
      <c r="O2035" s="3">
        <v>101.19</v>
      </c>
      <c r="P2035" s="3" t="s">
        <v>26</v>
      </c>
    </row>
    <row r="2036" spans="1:16" x14ac:dyDescent="0.35">
      <c r="A2036" s="3" t="s">
        <v>3353</v>
      </c>
      <c r="B2036" s="3" t="s">
        <v>358</v>
      </c>
      <c r="C2036" s="3" t="s">
        <v>72</v>
      </c>
      <c r="D2036" s="3" t="s">
        <v>58</v>
      </c>
      <c r="E2036" s="3" t="s">
        <v>176</v>
      </c>
      <c r="F2036" s="3" t="s">
        <v>177</v>
      </c>
      <c r="G2036" s="3" t="s">
        <v>41</v>
      </c>
      <c r="H2036" s="3" t="s">
        <v>42</v>
      </c>
      <c r="I2036" s="3" t="s">
        <v>2673</v>
      </c>
      <c r="J2036" s="3" t="s">
        <v>147</v>
      </c>
      <c r="K2036" s="3">
        <v>8</v>
      </c>
      <c r="L2036" s="3">
        <v>41042.68</v>
      </c>
      <c r="M2036" s="3">
        <v>328341.44</v>
      </c>
      <c r="N2036" s="3">
        <v>281623.89</v>
      </c>
      <c r="O2036" s="3">
        <v>46717.55</v>
      </c>
      <c r="P2036" s="3" t="s">
        <v>69</v>
      </c>
    </row>
    <row r="2037" spans="1:16" x14ac:dyDescent="0.35">
      <c r="A2037" s="3" t="s">
        <v>3354</v>
      </c>
      <c r="B2037" s="3" t="s">
        <v>1761</v>
      </c>
      <c r="C2037" s="3" t="s">
        <v>72</v>
      </c>
      <c r="D2037" s="3" t="s">
        <v>58</v>
      </c>
      <c r="E2037" s="3" t="s">
        <v>65</v>
      </c>
      <c r="F2037" s="3" t="s">
        <v>66</v>
      </c>
      <c r="G2037" s="3" t="s">
        <v>22</v>
      </c>
      <c r="H2037" s="3" t="s">
        <v>23</v>
      </c>
      <c r="I2037" s="3" t="s">
        <v>2763</v>
      </c>
      <c r="J2037" s="3" t="s">
        <v>161</v>
      </c>
      <c r="K2037" s="3">
        <v>3</v>
      </c>
      <c r="L2037" s="3">
        <v>3821.68</v>
      </c>
      <c r="M2037" s="3">
        <v>11465.04</v>
      </c>
      <c r="N2037" s="3">
        <v>6473.19</v>
      </c>
      <c r="O2037" s="3">
        <v>4991.8500000000004</v>
      </c>
      <c r="P2037" s="3" t="s">
        <v>69</v>
      </c>
    </row>
    <row r="2038" spans="1:16" x14ac:dyDescent="0.35">
      <c r="A2038" s="3" t="s">
        <v>3355</v>
      </c>
      <c r="B2038" s="3" t="s">
        <v>952</v>
      </c>
      <c r="C2038" s="3" t="s">
        <v>29</v>
      </c>
      <c r="D2038" s="3" t="s">
        <v>90</v>
      </c>
      <c r="E2038" s="3" t="s">
        <v>119</v>
      </c>
      <c r="F2038" s="3" t="s">
        <v>120</v>
      </c>
      <c r="G2038" s="3" t="s">
        <v>41</v>
      </c>
      <c r="H2038" s="3" t="s">
        <v>138</v>
      </c>
      <c r="I2038" s="3" t="s">
        <v>1863</v>
      </c>
      <c r="J2038" s="3" t="s">
        <v>154</v>
      </c>
      <c r="K2038" s="3">
        <v>6</v>
      </c>
      <c r="L2038" s="3">
        <v>18818.11</v>
      </c>
      <c r="M2038" s="3">
        <v>112908.66</v>
      </c>
      <c r="N2038" s="3">
        <v>83743.73</v>
      </c>
      <c r="O2038" s="3">
        <v>29164.93</v>
      </c>
      <c r="P2038" s="3" t="s">
        <v>45</v>
      </c>
    </row>
    <row r="2039" spans="1:16" x14ac:dyDescent="0.35">
      <c r="A2039" s="3" t="s">
        <v>3356</v>
      </c>
      <c r="B2039" s="3" t="s">
        <v>1455</v>
      </c>
      <c r="C2039" s="3" t="s">
        <v>103</v>
      </c>
      <c r="D2039" s="3" t="s">
        <v>38</v>
      </c>
      <c r="E2039" s="3" t="s">
        <v>39</v>
      </c>
      <c r="F2039" s="3" t="s">
        <v>40</v>
      </c>
      <c r="G2039" s="3" t="s">
        <v>41</v>
      </c>
      <c r="H2039" s="3" t="s">
        <v>42</v>
      </c>
      <c r="I2039" s="3" t="s">
        <v>3096</v>
      </c>
      <c r="J2039" s="3" t="s">
        <v>44</v>
      </c>
      <c r="K2039" s="3">
        <v>8</v>
      </c>
      <c r="L2039" s="3">
        <v>47730.95</v>
      </c>
      <c r="M2039" s="3">
        <v>381847.6</v>
      </c>
      <c r="N2039" s="3">
        <v>269444.56</v>
      </c>
      <c r="O2039" s="3">
        <v>112403.04</v>
      </c>
      <c r="P2039" s="3" t="s">
        <v>86</v>
      </c>
    </row>
    <row r="2040" spans="1:16" x14ac:dyDescent="0.35">
      <c r="A2040" s="3" t="s">
        <v>3357</v>
      </c>
      <c r="B2040" s="3" t="s">
        <v>738</v>
      </c>
      <c r="C2040" s="3" t="s">
        <v>114</v>
      </c>
      <c r="D2040" s="3" t="s">
        <v>19</v>
      </c>
      <c r="E2040" s="3" t="s">
        <v>20</v>
      </c>
      <c r="F2040" s="3" t="s">
        <v>21</v>
      </c>
      <c r="G2040" s="3" t="s">
        <v>41</v>
      </c>
      <c r="H2040" s="3" t="s">
        <v>61</v>
      </c>
      <c r="I2040" s="3" t="s">
        <v>150</v>
      </c>
      <c r="J2040" s="3" t="s">
        <v>100</v>
      </c>
      <c r="K2040" s="3">
        <v>5</v>
      </c>
      <c r="L2040" s="3">
        <v>2645.07</v>
      </c>
      <c r="M2040" s="3">
        <v>13225.35</v>
      </c>
      <c r="N2040" s="3">
        <v>8030.95</v>
      </c>
      <c r="O2040" s="3">
        <v>5194.3999999999996</v>
      </c>
      <c r="P2040" s="3" t="s">
        <v>26</v>
      </c>
    </row>
    <row r="2041" spans="1:16" x14ac:dyDescent="0.35">
      <c r="A2041" s="3" t="s">
        <v>3358</v>
      </c>
      <c r="B2041" s="3" t="s">
        <v>2343</v>
      </c>
      <c r="C2041" s="3" t="s">
        <v>103</v>
      </c>
      <c r="D2041" s="3" t="s">
        <v>90</v>
      </c>
      <c r="E2041" s="3" t="s">
        <v>97</v>
      </c>
      <c r="F2041" s="3" t="s">
        <v>98</v>
      </c>
      <c r="G2041" s="3" t="s">
        <v>30</v>
      </c>
      <c r="H2041" s="3" t="s">
        <v>73</v>
      </c>
      <c r="I2041" s="3" t="s">
        <v>3359</v>
      </c>
      <c r="J2041" s="3" t="s">
        <v>161</v>
      </c>
      <c r="K2041" s="3">
        <v>3</v>
      </c>
      <c r="L2041" s="3">
        <v>3314.68</v>
      </c>
      <c r="M2041" s="3">
        <v>9944.0400000000009</v>
      </c>
      <c r="N2041" s="3">
        <v>6865.12</v>
      </c>
      <c r="O2041" s="3">
        <v>3078.92</v>
      </c>
      <c r="P2041" s="3" t="s">
        <v>34</v>
      </c>
    </row>
    <row r="2042" spans="1:16" x14ac:dyDescent="0.35">
      <c r="A2042" s="3" t="s">
        <v>3360</v>
      </c>
      <c r="B2042" s="3" t="s">
        <v>166</v>
      </c>
      <c r="C2042" s="3" t="s">
        <v>37</v>
      </c>
      <c r="D2042" s="3" t="s">
        <v>19</v>
      </c>
      <c r="E2042" s="3" t="s">
        <v>49</v>
      </c>
      <c r="F2042" s="3" t="s">
        <v>50</v>
      </c>
      <c r="G2042" s="3" t="s">
        <v>41</v>
      </c>
      <c r="H2042" s="3" t="s">
        <v>42</v>
      </c>
      <c r="I2042" s="3" t="s">
        <v>1668</v>
      </c>
      <c r="J2042" s="3" t="s">
        <v>154</v>
      </c>
      <c r="K2042" s="3">
        <v>1</v>
      </c>
      <c r="L2042" s="3">
        <v>47168.27</v>
      </c>
      <c r="M2042" s="3">
        <v>47168.27</v>
      </c>
      <c r="N2042" s="3">
        <v>33609.21</v>
      </c>
      <c r="O2042" s="3">
        <v>13559.06</v>
      </c>
      <c r="P2042" s="3" t="s">
        <v>34</v>
      </c>
    </row>
    <row r="2043" spans="1:16" x14ac:dyDescent="0.35">
      <c r="A2043" s="3" t="s">
        <v>3361</v>
      </c>
      <c r="B2043" s="3" t="s">
        <v>921</v>
      </c>
      <c r="C2043" s="3" t="s">
        <v>103</v>
      </c>
      <c r="D2043" s="3" t="s">
        <v>90</v>
      </c>
      <c r="E2043" s="3" t="s">
        <v>119</v>
      </c>
      <c r="F2043" s="3" t="s">
        <v>120</v>
      </c>
      <c r="G2043" s="3" t="s">
        <v>30</v>
      </c>
      <c r="H2043" s="3" t="s">
        <v>73</v>
      </c>
      <c r="I2043" s="3" t="s">
        <v>1415</v>
      </c>
      <c r="J2043" s="3" t="s">
        <v>131</v>
      </c>
      <c r="K2043" s="3">
        <v>5</v>
      </c>
      <c r="L2043" s="3">
        <v>2938.19</v>
      </c>
      <c r="M2043" s="3">
        <v>14690.95</v>
      </c>
      <c r="N2043" s="3">
        <v>11562.96</v>
      </c>
      <c r="O2043" s="3">
        <v>3127.99</v>
      </c>
      <c r="P2043" s="3" t="s">
        <v>69</v>
      </c>
    </row>
    <row r="2044" spans="1:16" x14ac:dyDescent="0.35">
      <c r="A2044" s="3" t="s">
        <v>3362</v>
      </c>
      <c r="B2044" s="3" t="s">
        <v>604</v>
      </c>
      <c r="C2044" s="3" t="s">
        <v>118</v>
      </c>
      <c r="D2044" s="3" t="s">
        <v>58</v>
      </c>
      <c r="E2044" s="3" t="s">
        <v>65</v>
      </c>
      <c r="F2044" s="3" t="s">
        <v>66</v>
      </c>
      <c r="G2044" s="3" t="s">
        <v>30</v>
      </c>
      <c r="H2044" s="3" t="s">
        <v>67</v>
      </c>
      <c r="I2044" s="3" t="s">
        <v>1616</v>
      </c>
      <c r="J2044" s="3" t="s">
        <v>171</v>
      </c>
      <c r="K2044" s="3">
        <v>1</v>
      </c>
      <c r="L2044" s="3">
        <v>9387.99</v>
      </c>
      <c r="M2044" s="3">
        <v>9387.99</v>
      </c>
      <c r="N2044" s="3">
        <v>7449.35</v>
      </c>
      <c r="O2044" s="3">
        <v>1938.64</v>
      </c>
      <c r="P2044" s="3" t="s">
        <v>26</v>
      </c>
    </row>
    <row r="2045" spans="1:16" x14ac:dyDescent="0.35">
      <c r="A2045" s="3" t="s">
        <v>3363</v>
      </c>
      <c r="B2045" s="3" t="s">
        <v>230</v>
      </c>
      <c r="C2045" s="3" t="s">
        <v>118</v>
      </c>
      <c r="D2045" s="3" t="s">
        <v>58</v>
      </c>
      <c r="E2045" s="3" t="s">
        <v>59</v>
      </c>
      <c r="F2045" s="3" t="s">
        <v>60</v>
      </c>
      <c r="G2045" s="3" t="s">
        <v>41</v>
      </c>
      <c r="H2045" s="3" t="s">
        <v>42</v>
      </c>
      <c r="I2045" s="3" t="s">
        <v>2246</v>
      </c>
      <c r="J2045" s="3" t="s">
        <v>79</v>
      </c>
      <c r="K2045" s="3">
        <v>1</v>
      </c>
      <c r="L2045" s="3">
        <v>40957.94</v>
      </c>
      <c r="M2045" s="3">
        <v>40957.94</v>
      </c>
      <c r="N2045" s="3">
        <v>34580.53</v>
      </c>
      <c r="O2045" s="3">
        <v>6377.41</v>
      </c>
      <c r="P2045" s="3" t="s">
        <v>86</v>
      </c>
    </row>
    <row r="2046" spans="1:16" x14ac:dyDescent="0.35">
      <c r="A2046" s="3" t="s">
        <v>3364</v>
      </c>
      <c r="B2046" s="3" t="s">
        <v>1089</v>
      </c>
      <c r="C2046" s="3" t="s">
        <v>48</v>
      </c>
      <c r="D2046" s="3" t="s">
        <v>19</v>
      </c>
      <c r="E2046" s="3" t="s">
        <v>20</v>
      </c>
      <c r="F2046" s="3" t="s">
        <v>21</v>
      </c>
      <c r="G2046" s="3" t="s">
        <v>30</v>
      </c>
      <c r="H2046" s="3" t="s">
        <v>67</v>
      </c>
      <c r="I2046" s="3" t="s">
        <v>1907</v>
      </c>
      <c r="J2046" s="3" t="s">
        <v>79</v>
      </c>
      <c r="K2046" s="3">
        <v>3</v>
      </c>
      <c r="L2046" s="3">
        <v>9409.5300000000007</v>
      </c>
      <c r="M2046" s="3">
        <v>28228.59</v>
      </c>
      <c r="N2046" s="3">
        <v>22723.85</v>
      </c>
      <c r="O2046" s="3">
        <v>5504.74</v>
      </c>
      <c r="P2046" s="3" t="s">
        <v>45</v>
      </c>
    </row>
    <row r="2047" spans="1:16" x14ac:dyDescent="0.35">
      <c r="A2047" s="3" t="s">
        <v>3365</v>
      </c>
      <c r="B2047" s="3" t="s">
        <v>994</v>
      </c>
      <c r="C2047" s="3" t="s">
        <v>29</v>
      </c>
      <c r="D2047" s="3" t="s">
        <v>90</v>
      </c>
      <c r="E2047" s="3" t="s">
        <v>119</v>
      </c>
      <c r="F2047" s="3" t="s">
        <v>120</v>
      </c>
      <c r="G2047" s="3" t="s">
        <v>51</v>
      </c>
      <c r="H2047" s="3" t="s">
        <v>77</v>
      </c>
      <c r="I2047" s="3" t="s">
        <v>3366</v>
      </c>
      <c r="J2047" s="3" t="s">
        <v>85</v>
      </c>
      <c r="K2047" s="3">
        <v>1</v>
      </c>
      <c r="L2047" s="3">
        <v>11821.79</v>
      </c>
      <c r="M2047" s="3">
        <v>11821.79</v>
      </c>
      <c r="N2047" s="3">
        <v>9270.43</v>
      </c>
      <c r="O2047" s="3">
        <v>2551.36</v>
      </c>
      <c r="P2047" s="3" t="s">
        <v>45</v>
      </c>
    </row>
    <row r="2048" spans="1:16" x14ac:dyDescent="0.35">
      <c r="A2048" s="3" t="s">
        <v>3367</v>
      </c>
      <c r="B2048" s="3" t="s">
        <v>1999</v>
      </c>
      <c r="C2048" s="3" t="s">
        <v>114</v>
      </c>
      <c r="D2048" s="3" t="s">
        <v>19</v>
      </c>
      <c r="E2048" s="3" t="s">
        <v>20</v>
      </c>
      <c r="F2048" s="3" t="s">
        <v>21</v>
      </c>
      <c r="G2048" s="3" t="s">
        <v>30</v>
      </c>
      <c r="H2048" s="3" t="s">
        <v>31</v>
      </c>
      <c r="I2048" s="3" t="s">
        <v>724</v>
      </c>
      <c r="J2048" s="3" t="s">
        <v>85</v>
      </c>
      <c r="K2048" s="3">
        <v>5</v>
      </c>
      <c r="L2048" s="3">
        <v>2714.57</v>
      </c>
      <c r="M2048" s="3">
        <v>13572.85</v>
      </c>
      <c r="N2048" s="3">
        <v>9714.23</v>
      </c>
      <c r="O2048" s="3">
        <v>3858.62</v>
      </c>
      <c r="P2048" s="3" t="s">
        <v>86</v>
      </c>
    </row>
    <row r="2049" spans="1:16" x14ac:dyDescent="0.35">
      <c r="A2049" s="3" t="s">
        <v>3368</v>
      </c>
      <c r="B2049" s="3" t="s">
        <v>1392</v>
      </c>
      <c r="C2049" s="3" t="s">
        <v>103</v>
      </c>
      <c r="D2049" s="3" t="s">
        <v>90</v>
      </c>
      <c r="E2049" s="3" t="s">
        <v>97</v>
      </c>
      <c r="F2049" s="3" t="s">
        <v>98</v>
      </c>
      <c r="G2049" s="3" t="s">
        <v>51</v>
      </c>
      <c r="H2049" s="3" t="s">
        <v>52</v>
      </c>
      <c r="I2049" s="3" t="s">
        <v>1424</v>
      </c>
      <c r="J2049" s="3" t="s">
        <v>44</v>
      </c>
      <c r="K2049" s="3">
        <v>6</v>
      </c>
      <c r="L2049" s="3">
        <v>26.01</v>
      </c>
      <c r="M2049" s="3">
        <v>156.06</v>
      </c>
      <c r="N2049" s="3">
        <v>60.85</v>
      </c>
      <c r="O2049" s="3">
        <v>95.21</v>
      </c>
      <c r="P2049" s="3" t="s">
        <v>86</v>
      </c>
    </row>
    <row r="2050" spans="1:16" x14ac:dyDescent="0.35">
      <c r="A2050" s="3" t="s">
        <v>3369</v>
      </c>
      <c r="B2050" s="3" t="s">
        <v>599</v>
      </c>
      <c r="C2050" s="3" t="s">
        <v>82</v>
      </c>
      <c r="D2050" s="3" t="s">
        <v>19</v>
      </c>
      <c r="E2050" s="3" t="s">
        <v>199</v>
      </c>
      <c r="F2050" s="3" t="s">
        <v>200</v>
      </c>
      <c r="G2050" s="3" t="s">
        <v>30</v>
      </c>
      <c r="H2050" s="3" t="s">
        <v>31</v>
      </c>
      <c r="I2050" s="3" t="s">
        <v>1883</v>
      </c>
      <c r="J2050" s="3" t="s">
        <v>54</v>
      </c>
      <c r="K2050" s="3">
        <v>4</v>
      </c>
      <c r="L2050" s="3">
        <v>2954.4</v>
      </c>
      <c r="M2050" s="3">
        <v>11817.6</v>
      </c>
      <c r="N2050" s="3">
        <v>7897.88</v>
      </c>
      <c r="O2050" s="3">
        <v>3919.72</v>
      </c>
      <c r="P2050" s="3" t="s">
        <v>34</v>
      </c>
    </row>
    <row r="2051" spans="1:16" x14ac:dyDescent="0.35">
      <c r="A2051" s="3" t="s">
        <v>3370</v>
      </c>
      <c r="B2051" s="3" t="s">
        <v>384</v>
      </c>
      <c r="C2051" s="3" t="s">
        <v>57</v>
      </c>
      <c r="D2051" s="3" t="s">
        <v>19</v>
      </c>
      <c r="E2051" s="3" t="s">
        <v>20</v>
      </c>
      <c r="F2051" s="3" t="s">
        <v>21</v>
      </c>
      <c r="G2051" s="3" t="s">
        <v>22</v>
      </c>
      <c r="H2051" s="3" t="s">
        <v>93</v>
      </c>
      <c r="I2051" s="3" t="s">
        <v>2300</v>
      </c>
      <c r="J2051" s="3" t="s">
        <v>100</v>
      </c>
      <c r="K2051" s="3">
        <v>5</v>
      </c>
      <c r="L2051" s="3">
        <v>7397.32</v>
      </c>
      <c r="M2051" s="3">
        <v>36986.6</v>
      </c>
      <c r="N2051" s="3">
        <v>23875.16</v>
      </c>
      <c r="O2051" s="3">
        <v>13111.44</v>
      </c>
      <c r="P2051" s="3" t="s">
        <v>34</v>
      </c>
    </row>
    <row r="2052" spans="1:16" x14ac:dyDescent="0.35">
      <c r="A2052" s="3" t="s">
        <v>3371</v>
      </c>
      <c r="B2052" s="3" t="s">
        <v>699</v>
      </c>
      <c r="C2052" s="3" t="s">
        <v>137</v>
      </c>
      <c r="D2052" s="3" t="s">
        <v>90</v>
      </c>
      <c r="E2052" s="3" t="s">
        <v>97</v>
      </c>
      <c r="F2052" s="3" t="s">
        <v>98</v>
      </c>
      <c r="G2052" s="3" t="s">
        <v>22</v>
      </c>
      <c r="H2052" s="3" t="s">
        <v>93</v>
      </c>
      <c r="I2052" s="3" t="s">
        <v>3372</v>
      </c>
      <c r="J2052" s="3" t="s">
        <v>33</v>
      </c>
      <c r="K2052" s="3">
        <v>2</v>
      </c>
      <c r="L2052" s="3">
        <v>7232.69</v>
      </c>
      <c r="M2052" s="3">
        <v>14465.38</v>
      </c>
      <c r="N2052" s="3">
        <v>9615.73</v>
      </c>
      <c r="O2052" s="3">
        <v>4849.6499999999996</v>
      </c>
      <c r="P2052" s="3" t="s">
        <v>86</v>
      </c>
    </row>
    <row r="2053" spans="1:16" x14ac:dyDescent="0.35">
      <c r="A2053" s="3" t="s">
        <v>3373</v>
      </c>
      <c r="B2053" s="3" t="s">
        <v>527</v>
      </c>
      <c r="C2053" s="3" t="s">
        <v>82</v>
      </c>
      <c r="D2053" s="3" t="s">
        <v>90</v>
      </c>
      <c r="E2053" s="3" t="s">
        <v>119</v>
      </c>
      <c r="F2053" s="3" t="s">
        <v>120</v>
      </c>
      <c r="G2053" s="3" t="s">
        <v>41</v>
      </c>
      <c r="H2053" s="3" t="s">
        <v>61</v>
      </c>
      <c r="I2053" s="3" t="s">
        <v>3374</v>
      </c>
      <c r="J2053" s="3" t="s">
        <v>161</v>
      </c>
      <c r="K2053" s="3">
        <v>1</v>
      </c>
      <c r="L2053" s="3">
        <v>2582.14</v>
      </c>
      <c r="M2053" s="3">
        <v>2582.14</v>
      </c>
      <c r="N2053" s="3">
        <v>1522.93</v>
      </c>
      <c r="O2053" s="3">
        <v>1059.21</v>
      </c>
      <c r="P2053" s="3" t="s">
        <v>69</v>
      </c>
    </row>
    <row r="2054" spans="1:16" x14ac:dyDescent="0.35">
      <c r="A2054" s="3" t="s">
        <v>3375</v>
      </c>
      <c r="B2054" s="3" t="s">
        <v>251</v>
      </c>
      <c r="C2054" s="3" t="s">
        <v>37</v>
      </c>
      <c r="D2054" s="3" t="s">
        <v>90</v>
      </c>
      <c r="E2054" s="3" t="s">
        <v>97</v>
      </c>
      <c r="F2054" s="3" t="s">
        <v>98</v>
      </c>
      <c r="G2054" s="3" t="s">
        <v>30</v>
      </c>
      <c r="H2054" s="3" t="s">
        <v>31</v>
      </c>
      <c r="I2054" s="3" t="s">
        <v>928</v>
      </c>
      <c r="J2054" s="3" t="s">
        <v>131</v>
      </c>
      <c r="K2054" s="3">
        <v>4</v>
      </c>
      <c r="L2054" s="3">
        <v>2694.11</v>
      </c>
      <c r="M2054" s="3">
        <v>10776.44</v>
      </c>
      <c r="N2054" s="3">
        <v>7811.14</v>
      </c>
      <c r="O2054" s="3">
        <v>2965.3</v>
      </c>
      <c r="P2054" s="3" t="s">
        <v>45</v>
      </c>
    </row>
    <row r="2055" spans="1:16" x14ac:dyDescent="0.35">
      <c r="A2055" s="3" t="s">
        <v>3376</v>
      </c>
      <c r="B2055" s="3" t="s">
        <v>455</v>
      </c>
      <c r="C2055" s="3" t="s">
        <v>18</v>
      </c>
      <c r="D2055" s="3" t="s">
        <v>38</v>
      </c>
      <c r="E2055" s="3" t="s">
        <v>104</v>
      </c>
      <c r="F2055" s="3" t="s">
        <v>104</v>
      </c>
      <c r="G2055" s="3" t="s">
        <v>30</v>
      </c>
      <c r="H2055" s="3" t="s">
        <v>31</v>
      </c>
      <c r="I2055" s="3" t="s">
        <v>1068</v>
      </c>
      <c r="J2055" s="3" t="s">
        <v>171</v>
      </c>
      <c r="K2055" s="3">
        <v>3</v>
      </c>
      <c r="L2055" s="3">
        <v>2668.29</v>
      </c>
      <c r="M2055" s="3">
        <v>8004.87</v>
      </c>
      <c r="N2055" s="3">
        <v>5458.01</v>
      </c>
      <c r="O2055" s="3">
        <v>2546.86</v>
      </c>
      <c r="P2055" s="3" t="s">
        <v>45</v>
      </c>
    </row>
    <row r="2056" spans="1:16" x14ac:dyDescent="0.35">
      <c r="A2056" s="3" t="s">
        <v>3377</v>
      </c>
      <c r="B2056" s="3" t="s">
        <v>654</v>
      </c>
      <c r="C2056" s="3" t="s">
        <v>103</v>
      </c>
      <c r="D2056" s="3" t="s">
        <v>19</v>
      </c>
      <c r="E2056" s="3" t="s">
        <v>20</v>
      </c>
      <c r="F2056" s="3" t="s">
        <v>21</v>
      </c>
      <c r="G2056" s="3" t="s">
        <v>22</v>
      </c>
      <c r="H2056" s="3" t="s">
        <v>23</v>
      </c>
      <c r="I2056" s="3" t="s">
        <v>3378</v>
      </c>
      <c r="J2056" s="3" t="s">
        <v>154</v>
      </c>
      <c r="K2056" s="3">
        <v>6</v>
      </c>
      <c r="L2056" s="3">
        <v>3294.21</v>
      </c>
      <c r="M2056" s="3">
        <v>19765.259999999998</v>
      </c>
      <c r="N2056" s="3">
        <v>12861.44</v>
      </c>
      <c r="O2056" s="3">
        <v>6903.82</v>
      </c>
      <c r="P2056" s="3" t="s">
        <v>69</v>
      </c>
    </row>
    <row r="2057" spans="1:16" x14ac:dyDescent="0.35">
      <c r="A2057" s="3" t="s">
        <v>3379</v>
      </c>
      <c r="B2057" s="3" t="s">
        <v>555</v>
      </c>
      <c r="C2057" s="3" t="s">
        <v>137</v>
      </c>
      <c r="D2057" s="3" t="s">
        <v>58</v>
      </c>
      <c r="E2057" s="3" t="s">
        <v>65</v>
      </c>
      <c r="F2057" s="3" t="s">
        <v>66</v>
      </c>
      <c r="G2057" s="3" t="s">
        <v>51</v>
      </c>
      <c r="H2057" s="3" t="s">
        <v>77</v>
      </c>
      <c r="I2057" s="3" t="s">
        <v>1605</v>
      </c>
      <c r="J2057" s="3" t="s">
        <v>54</v>
      </c>
      <c r="K2057" s="3">
        <v>5</v>
      </c>
      <c r="L2057" s="3">
        <v>12144.5</v>
      </c>
      <c r="M2057" s="3">
        <v>60722.5</v>
      </c>
      <c r="N2057" s="3">
        <v>43476.97</v>
      </c>
      <c r="O2057" s="3">
        <v>17245.53</v>
      </c>
      <c r="P2057" s="3" t="s">
        <v>69</v>
      </c>
    </row>
    <row r="2058" spans="1:16" x14ac:dyDescent="0.35">
      <c r="A2058" s="3" t="s">
        <v>3380</v>
      </c>
      <c r="B2058" s="3" t="s">
        <v>387</v>
      </c>
      <c r="C2058" s="3" t="s">
        <v>82</v>
      </c>
      <c r="D2058" s="3" t="s">
        <v>90</v>
      </c>
      <c r="E2058" s="3" t="s">
        <v>119</v>
      </c>
      <c r="F2058" s="3" t="s">
        <v>120</v>
      </c>
      <c r="G2058" s="3" t="s">
        <v>51</v>
      </c>
      <c r="H2058" s="3" t="s">
        <v>52</v>
      </c>
      <c r="I2058" s="3" t="s">
        <v>3381</v>
      </c>
      <c r="J2058" s="3" t="s">
        <v>154</v>
      </c>
      <c r="K2058" s="3">
        <v>6</v>
      </c>
      <c r="L2058" s="3">
        <v>23.56</v>
      </c>
      <c r="M2058" s="3">
        <v>141.36000000000001</v>
      </c>
      <c r="N2058" s="3">
        <v>58.95</v>
      </c>
      <c r="O2058" s="3">
        <v>82.41</v>
      </c>
      <c r="P2058" s="3" t="s">
        <v>34</v>
      </c>
    </row>
    <row r="2059" spans="1:16" x14ac:dyDescent="0.35">
      <c r="A2059" s="3" t="s">
        <v>3382</v>
      </c>
      <c r="B2059" s="3" t="s">
        <v>219</v>
      </c>
      <c r="C2059" s="3" t="s">
        <v>72</v>
      </c>
      <c r="D2059" s="3" t="s">
        <v>38</v>
      </c>
      <c r="E2059" s="3" t="s">
        <v>39</v>
      </c>
      <c r="F2059" s="3" t="s">
        <v>40</v>
      </c>
      <c r="G2059" s="3" t="s">
        <v>41</v>
      </c>
      <c r="H2059" s="3" t="s">
        <v>61</v>
      </c>
      <c r="I2059" s="3" t="s">
        <v>1837</v>
      </c>
      <c r="J2059" s="3" t="s">
        <v>33</v>
      </c>
      <c r="K2059" s="3">
        <v>8</v>
      </c>
      <c r="L2059" s="3">
        <v>2537.34</v>
      </c>
      <c r="M2059" s="3">
        <v>20298.72</v>
      </c>
      <c r="N2059" s="3">
        <v>12335.21</v>
      </c>
      <c r="O2059" s="3">
        <v>7963.51</v>
      </c>
      <c r="P2059" s="3" t="s">
        <v>45</v>
      </c>
    </row>
    <row r="2060" spans="1:16" x14ac:dyDescent="0.35">
      <c r="A2060" s="3" t="s">
        <v>3383</v>
      </c>
      <c r="B2060" s="3" t="s">
        <v>952</v>
      </c>
      <c r="C2060" s="3" t="s">
        <v>29</v>
      </c>
      <c r="D2060" s="3" t="s">
        <v>38</v>
      </c>
      <c r="E2060" s="3" t="s">
        <v>104</v>
      </c>
      <c r="F2060" s="3" t="s">
        <v>104</v>
      </c>
      <c r="G2060" s="3" t="s">
        <v>22</v>
      </c>
      <c r="H2060" s="3" t="s">
        <v>83</v>
      </c>
      <c r="I2060" s="3" t="s">
        <v>997</v>
      </c>
      <c r="J2060" s="3" t="s">
        <v>217</v>
      </c>
      <c r="K2060" s="3">
        <v>6</v>
      </c>
      <c r="L2060" s="3">
        <v>22209.42</v>
      </c>
      <c r="M2060" s="3">
        <v>133256.51999999999</v>
      </c>
      <c r="N2060" s="3">
        <v>106748.62</v>
      </c>
      <c r="O2060" s="3">
        <v>26507.9</v>
      </c>
      <c r="P2060" s="3" t="s">
        <v>26</v>
      </c>
    </row>
    <row r="2061" spans="1:16" x14ac:dyDescent="0.35">
      <c r="A2061" s="3" t="s">
        <v>3384</v>
      </c>
      <c r="B2061" s="3" t="s">
        <v>1502</v>
      </c>
      <c r="C2061" s="3" t="s">
        <v>57</v>
      </c>
      <c r="D2061" s="3" t="s">
        <v>19</v>
      </c>
      <c r="E2061" s="3" t="s">
        <v>49</v>
      </c>
      <c r="F2061" s="3" t="s">
        <v>50</v>
      </c>
      <c r="G2061" s="3" t="s">
        <v>51</v>
      </c>
      <c r="H2061" s="3" t="s">
        <v>145</v>
      </c>
      <c r="I2061" s="3" t="s">
        <v>1206</v>
      </c>
      <c r="J2061" s="3" t="s">
        <v>131</v>
      </c>
      <c r="K2061" s="3">
        <v>5</v>
      </c>
      <c r="L2061" s="3">
        <v>128.25</v>
      </c>
      <c r="M2061" s="3">
        <v>641.25</v>
      </c>
      <c r="N2061" s="3">
        <v>307.56</v>
      </c>
      <c r="O2061" s="3">
        <v>333.69</v>
      </c>
      <c r="P2061" s="3" t="s">
        <v>86</v>
      </c>
    </row>
    <row r="2062" spans="1:16" x14ac:dyDescent="0.35">
      <c r="A2062" s="3" t="s">
        <v>3385</v>
      </c>
      <c r="B2062" s="3" t="s">
        <v>762</v>
      </c>
      <c r="C2062" s="3" t="s">
        <v>137</v>
      </c>
      <c r="D2062" s="3" t="s">
        <v>19</v>
      </c>
      <c r="E2062" s="3" t="s">
        <v>49</v>
      </c>
      <c r="F2062" s="3" t="s">
        <v>50</v>
      </c>
      <c r="G2062" s="3" t="s">
        <v>41</v>
      </c>
      <c r="H2062" s="3" t="s">
        <v>61</v>
      </c>
      <c r="I2062" s="3" t="s">
        <v>3386</v>
      </c>
      <c r="J2062" s="3" t="s">
        <v>106</v>
      </c>
      <c r="K2062" s="3">
        <v>3</v>
      </c>
      <c r="L2062" s="3">
        <v>2613.81</v>
      </c>
      <c r="M2062" s="3">
        <v>7841.43</v>
      </c>
      <c r="N2062" s="3">
        <v>4931.97</v>
      </c>
      <c r="O2062" s="3">
        <v>2909.46</v>
      </c>
      <c r="P2062" s="3" t="s">
        <v>69</v>
      </c>
    </row>
    <row r="2063" spans="1:16" x14ac:dyDescent="0.35">
      <c r="A2063" s="3" t="s">
        <v>3387</v>
      </c>
      <c r="B2063" s="3" t="s">
        <v>209</v>
      </c>
      <c r="C2063" s="3" t="s">
        <v>118</v>
      </c>
      <c r="D2063" s="3" t="s">
        <v>19</v>
      </c>
      <c r="E2063" s="3" t="s">
        <v>49</v>
      </c>
      <c r="F2063" s="3" t="s">
        <v>50</v>
      </c>
      <c r="G2063" s="3" t="s">
        <v>22</v>
      </c>
      <c r="H2063" s="3" t="s">
        <v>83</v>
      </c>
      <c r="I2063" s="3" t="s">
        <v>640</v>
      </c>
      <c r="J2063" s="3" t="s">
        <v>33</v>
      </c>
      <c r="K2063" s="3">
        <v>5</v>
      </c>
      <c r="L2063" s="3">
        <v>23538.5</v>
      </c>
      <c r="M2063" s="3">
        <v>117692.5</v>
      </c>
      <c r="N2063" s="3">
        <v>83475.509999999995</v>
      </c>
      <c r="O2063" s="3">
        <v>34216.99</v>
      </c>
      <c r="P2063" s="3" t="s">
        <v>26</v>
      </c>
    </row>
    <row r="2064" spans="1:16" x14ac:dyDescent="0.35">
      <c r="A2064" s="3" t="s">
        <v>3388</v>
      </c>
      <c r="B2064" s="3" t="s">
        <v>795</v>
      </c>
      <c r="C2064" s="3" t="s">
        <v>82</v>
      </c>
      <c r="D2064" s="3" t="s">
        <v>19</v>
      </c>
      <c r="E2064" s="3" t="s">
        <v>199</v>
      </c>
      <c r="F2064" s="3" t="s">
        <v>200</v>
      </c>
      <c r="G2064" s="3" t="s">
        <v>51</v>
      </c>
      <c r="H2064" s="3" t="s">
        <v>77</v>
      </c>
      <c r="I2064" s="3" t="s">
        <v>878</v>
      </c>
      <c r="J2064" s="3" t="s">
        <v>85</v>
      </c>
      <c r="K2064" s="3">
        <v>1</v>
      </c>
      <c r="L2064" s="3">
        <v>10805.91</v>
      </c>
      <c r="M2064" s="3">
        <v>10805.91</v>
      </c>
      <c r="N2064" s="3">
        <v>9061.43</v>
      </c>
      <c r="O2064" s="3">
        <v>1744.48</v>
      </c>
      <c r="P2064" s="3" t="s">
        <v>26</v>
      </c>
    </row>
    <row r="2065" spans="1:16" x14ac:dyDescent="0.35">
      <c r="A2065" s="3" t="s">
        <v>3389</v>
      </c>
      <c r="B2065" s="3" t="s">
        <v>336</v>
      </c>
      <c r="C2065" s="3" t="s">
        <v>29</v>
      </c>
      <c r="D2065" s="3" t="s">
        <v>90</v>
      </c>
      <c r="E2065" s="3" t="s">
        <v>119</v>
      </c>
      <c r="F2065" s="3" t="s">
        <v>120</v>
      </c>
      <c r="G2065" s="3" t="s">
        <v>22</v>
      </c>
      <c r="H2065" s="3" t="s">
        <v>93</v>
      </c>
      <c r="I2065" s="3" t="s">
        <v>2495</v>
      </c>
      <c r="J2065" s="3" t="s">
        <v>131</v>
      </c>
      <c r="K2065" s="3">
        <v>6</v>
      </c>
      <c r="L2065" s="3">
        <v>6458.61</v>
      </c>
      <c r="M2065" s="3">
        <v>38751.660000000003</v>
      </c>
      <c r="N2065" s="3">
        <v>31342.560000000001</v>
      </c>
      <c r="O2065" s="3">
        <v>7409.1</v>
      </c>
      <c r="P2065" s="3" t="s">
        <v>34</v>
      </c>
    </row>
    <row r="2066" spans="1:16" x14ac:dyDescent="0.35">
      <c r="A2066" s="3" t="s">
        <v>3390</v>
      </c>
      <c r="B2066" s="3" t="s">
        <v>702</v>
      </c>
      <c r="C2066" s="3" t="s">
        <v>57</v>
      </c>
      <c r="D2066" s="3" t="s">
        <v>90</v>
      </c>
      <c r="E2066" s="3" t="s">
        <v>91</v>
      </c>
      <c r="F2066" s="3" t="s">
        <v>92</v>
      </c>
      <c r="G2066" s="3" t="s">
        <v>51</v>
      </c>
      <c r="H2066" s="3" t="s">
        <v>145</v>
      </c>
      <c r="I2066" s="3" t="s">
        <v>3391</v>
      </c>
      <c r="J2066" s="3" t="s">
        <v>171</v>
      </c>
      <c r="K2066" s="3">
        <v>3</v>
      </c>
      <c r="L2066" s="3">
        <v>126.24</v>
      </c>
      <c r="M2066" s="3">
        <v>378.72</v>
      </c>
      <c r="N2066" s="3">
        <v>188.61</v>
      </c>
      <c r="O2066" s="3">
        <v>190.11</v>
      </c>
      <c r="P2066" s="3" t="s">
        <v>86</v>
      </c>
    </row>
    <row r="2067" spans="1:16" x14ac:dyDescent="0.35">
      <c r="A2067" s="3" t="s">
        <v>3392</v>
      </c>
      <c r="B2067" s="3" t="s">
        <v>1578</v>
      </c>
      <c r="C2067" s="3" t="s">
        <v>137</v>
      </c>
      <c r="D2067" s="3" t="s">
        <v>58</v>
      </c>
      <c r="E2067" s="3" t="s">
        <v>65</v>
      </c>
      <c r="F2067" s="3" t="s">
        <v>66</v>
      </c>
      <c r="G2067" s="3" t="s">
        <v>41</v>
      </c>
      <c r="H2067" s="3" t="s">
        <v>42</v>
      </c>
      <c r="I2067" s="3" t="s">
        <v>3393</v>
      </c>
      <c r="J2067" s="3" t="s">
        <v>44</v>
      </c>
      <c r="K2067" s="3">
        <v>2</v>
      </c>
      <c r="L2067" s="3">
        <v>47316.62</v>
      </c>
      <c r="M2067" s="3">
        <v>94633.24</v>
      </c>
      <c r="N2067" s="3">
        <v>68772.87</v>
      </c>
      <c r="O2067" s="3">
        <v>25860.37</v>
      </c>
      <c r="P2067" s="3" t="s">
        <v>34</v>
      </c>
    </row>
    <row r="2068" spans="1:16" x14ac:dyDescent="0.35">
      <c r="A2068" s="3" t="s">
        <v>3394</v>
      </c>
      <c r="B2068" s="3" t="s">
        <v>889</v>
      </c>
      <c r="C2068" s="3" t="s">
        <v>82</v>
      </c>
      <c r="D2068" s="3" t="s">
        <v>90</v>
      </c>
      <c r="E2068" s="3" t="s">
        <v>91</v>
      </c>
      <c r="F2068" s="3" t="s">
        <v>92</v>
      </c>
      <c r="G2068" s="3" t="s">
        <v>41</v>
      </c>
      <c r="H2068" s="3" t="s">
        <v>138</v>
      </c>
      <c r="I2068" s="3" t="s">
        <v>2553</v>
      </c>
      <c r="J2068" s="3" t="s">
        <v>33</v>
      </c>
      <c r="K2068" s="3">
        <v>1</v>
      </c>
      <c r="L2068" s="3">
        <v>18268.68</v>
      </c>
      <c r="M2068" s="3">
        <v>18268.68</v>
      </c>
      <c r="N2068" s="3">
        <v>13724.84</v>
      </c>
      <c r="O2068" s="3">
        <v>4543.84</v>
      </c>
      <c r="P2068" s="3" t="s">
        <v>69</v>
      </c>
    </row>
    <row r="2069" spans="1:16" x14ac:dyDescent="0.35">
      <c r="A2069" s="3" t="s">
        <v>3395</v>
      </c>
      <c r="B2069" s="3" t="s">
        <v>916</v>
      </c>
      <c r="C2069" s="3" t="s">
        <v>103</v>
      </c>
      <c r="D2069" s="3" t="s">
        <v>90</v>
      </c>
      <c r="E2069" s="3" t="s">
        <v>119</v>
      </c>
      <c r="F2069" s="3" t="s">
        <v>120</v>
      </c>
      <c r="G2069" s="3" t="s">
        <v>30</v>
      </c>
      <c r="H2069" s="3" t="s">
        <v>67</v>
      </c>
      <c r="I2069" s="3" t="s">
        <v>1592</v>
      </c>
      <c r="J2069" s="3" t="s">
        <v>131</v>
      </c>
      <c r="K2069" s="3">
        <v>2</v>
      </c>
      <c r="L2069" s="3">
        <v>9292.86</v>
      </c>
      <c r="M2069" s="3">
        <v>18585.72</v>
      </c>
      <c r="N2069" s="3">
        <v>14964.68</v>
      </c>
      <c r="O2069" s="3">
        <v>3621.04</v>
      </c>
      <c r="P2069" s="3" t="s">
        <v>45</v>
      </c>
    </row>
    <row r="2070" spans="1:16" x14ac:dyDescent="0.35">
      <c r="A2070" s="3" t="s">
        <v>3396</v>
      </c>
      <c r="B2070" s="3" t="s">
        <v>565</v>
      </c>
      <c r="C2070" s="3" t="s">
        <v>137</v>
      </c>
      <c r="D2070" s="3" t="s">
        <v>58</v>
      </c>
      <c r="E2070" s="3" t="s">
        <v>59</v>
      </c>
      <c r="F2070" s="3" t="s">
        <v>60</v>
      </c>
      <c r="G2070" s="3" t="s">
        <v>22</v>
      </c>
      <c r="H2070" s="3" t="s">
        <v>83</v>
      </c>
      <c r="I2070" s="3" t="s">
        <v>3397</v>
      </c>
      <c r="J2070" s="3" t="s">
        <v>131</v>
      </c>
      <c r="K2070" s="3">
        <v>8</v>
      </c>
      <c r="L2070" s="3">
        <v>21076.58</v>
      </c>
      <c r="M2070" s="3">
        <v>168612.64</v>
      </c>
      <c r="N2070" s="3">
        <v>141471.12</v>
      </c>
      <c r="O2070" s="3">
        <v>27141.52</v>
      </c>
      <c r="P2070" s="3" t="s">
        <v>45</v>
      </c>
    </row>
    <row r="2071" spans="1:16" x14ac:dyDescent="0.35">
      <c r="A2071" s="3" t="s">
        <v>3398</v>
      </c>
      <c r="B2071" s="3" t="s">
        <v>1360</v>
      </c>
      <c r="C2071" s="3" t="s">
        <v>72</v>
      </c>
      <c r="D2071" s="3" t="s">
        <v>19</v>
      </c>
      <c r="E2071" s="3" t="s">
        <v>20</v>
      </c>
      <c r="F2071" s="3" t="s">
        <v>21</v>
      </c>
      <c r="G2071" s="3" t="s">
        <v>41</v>
      </c>
      <c r="H2071" s="3" t="s">
        <v>61</v>
      </c>
      <c r="I2071" s="3" t="s">
        <v>597</v>
      </c>
      <c r="J2071" s="3" t="s">
        <v>106</v>
      </c>
      <c r="K2071" s="3">
        <v>3</v>
      </c>
      <c r="L2071" s="3">
        <v>2690.43</v>
      </c>
      <c r="M2071" s="3">
        <v>8071.29</v>
      </c>
      <c r="N2071" s="3">
        <v>4880.91</v>
      </c>
      <c r="O2071" s="3">
        <v>3190.38</v>
      </c>
      <c r="P2071" s="3" t="s">
        <v>34</v>
      </c>
    </row>
    <row r="2072" spans="1:16" x14ac:dyDescent="0.35">
      <c r="A2072" s="3" t="s">
        <v>3399</v>
      </c>
      <c r="B2072" s="3" t="s">
        <v>2197</v>
      </c>
      <c r="C2072" s="3" t="s">
        <v>18</v>
      </c>
      <c r="D2072" s="3" t="s">
        <v>58</v>
      </c>
      <c r="E2072" s="3" t="s">
        <v>176</v>
      </c>
      <c r="F2072" s="3" t="s">
        <v>177</v>
      </c>
      <c r="G2072" s="3" t="s">
        <v>30</v>
      </c>
      <c r="H2072" s="3" t="s">
        <v>73</v>
      </c>
      <c r="I2072" s="3" t="s">
        <v>1749</v>
      </c>
      <c r="J2072" s="3" t="s">
        <v>188</v>
      </c>
      <c r="K2072" s="3">
        <v>1</v>
      </c>
      <c r="L2072" s="3">
        <v>3169.59</v>
      </c>
      <c r="M2072" s="3">
        <v>3169.59</v>
      </c>
      <c r="N2072" s="3">
        <v>2356.83</v>
      </c>
      <c r="O2072" s="3">
        <v>812.76</v>
      </c>
      <c r="P2072" s="3" t="s">
        <v>86</v>
      </c>
    </row>
    <row r="2073" spans="1:16" x14ac:dyDescent="0.35">
      <c r="A2073" s="3" t="s">
        <v>3400</v>
      </c>
      <c r="B2073" s="3" t="s">
        <v>248</v>
      </c>
      <c r="C2073" s="3" t="s">
        <v>82</v>
      </c>
      <c r="D2073" s="3" t="s">
        <v>38</v>
      </c>
      <c r="E2073" s="3" t="s">
        <v>39</v>
      </c>
      <c r="F2073" s="3" t="s">
        <v>40</v>
      </c>
      <c r="G2073" s="3" t="s">
        <v>22</v>
      </c>
      <c r="H2073" s="3" t="s">
        <v>83</v>
      </c>
      <c r="I2073" s="3" t="s">
        <v>345</v>
      </c>
      <c r="J2073" s="3" t="s">
        <v>131</v>
      </c>
      <c r="K2073" s="3">
        <v>5</v>
      </c>
      <c r="L2073" s="3">
        <v>20983.85</v>
      </c>
      <c r="M2073" s="3">
        <v>104919.25</v>
      </c>
      <c r="N2073" s="3">
        <v>84108.44</v>
      </c>
      <c r="O2073" s="3">
        <v>20810.810000000001</v>
      </c>
      <c r="P2073" s="3" t="s">
        <v>45</v>
      </c>
    </row>
    <row r="2074" spans="1:16" x14ac:dyDescent="0.35">
      <c r="A2074" s="3" t="s">
        <v>3401</v>
      </c>
      <c r="B2074" s="3" t="s">
        <v>930</v>
      </c>
      <c r="C2074" s="3" t="s">
        <v>103</v>
      </c>
      <c r="D2074" s="3" t="s">
        <v>19</v>
      </c>
      <c r="E2074" s="3" t="s">
        <v>199</v>
      </c>
      <c r="F2074" s="3" t="s">
        <v>200</v>
      </c>
      <c r="G2074" s="3" t="s">
        <v>22</v>
      </c>
      <c r="H2074" s="3" t="s">
        <v>23</v>
      </c>
      <c r="I2074" s="3" t="s">
        <v>354</v>
      </c>
      <c r="J2074" s="3" t="s">
        <v>154</v>
      </c>
      <c r="K2074" s="3">
        <v>4</v>
      </c>
      <c r="L2074" s="3">
        <v>3600.19</v>
      </c>
      <c r="M2074" s="3">
        <v>14400.76</v>
      </c>
      <c r="N2074" s="3">
        <v>8961</v>
      </c>
      <c r="O2074" s="3">
        <v>5439.76</v>
      </c>
      <c r="P2074" s="3" t="s">
        <v>86</v>
      </c>
    </row>
    <row r="2075" spans="1:16" x14ac:dyDescent="0.35">
      <c r="A2075" s="3" t="s">
        <v>3402</v>
      </c>
      <c r="B2075" s="3" t="s">
        <v>675</v>
      </c>
      <c r="C2075" s="3" t="s">
        <v>82</v>
      </c>
      <c r="D2075" s="3" t="s">
        <v>38</v>
      </c>
      <c r="E2075" s="3" t="s">
        <v>109</v>
      </c>
      <c r="F2075" s="3" t="s">
        <v>110</v>
      </c>
      <c r="G2075" s="3" t="s">
        <v>41</v>
      </c>
      <c r="H2075" s="3" t="s">
        <v>61</v>
      </c>
      <c r="I2075" s="3" t="s">
        <v>1413</v>
      </c>
      <c r="J2075" s="3" t="s">
        <v>217</v>
      </c>
      <c r="K2075" s="3">
        <v>3</v>
      </c>
      <c r="L2075" s="3">
        <v>2692.39</v>
      </c>
      <c r="M2075" s="3">
        <v>8077.17</v>
      </c>
      <c r="N2075" s="3">
        <v>4786.32</v>
      </c>
      <c r="O2075" s="3">
        <v>3290.85</v>
      </c>
      <c r="P2075" s="3" t="s">
        <v>26</v>
      </c>
    </row>
    <row r="2076" spans="1:16" x14ac:dyDescent="0.35">
      <c r="A2076" s="3" t="s">
        <v>3403</v>
      </c>
      <c r="B2076" s="3" t="s">
        <v>974</v>
      </c>
      <c r="C2076" s="3" t="s">
        <v>29</v>
      </c>
      <c r="D2076" s="3" t="s">
        <v>19</v>
      </c>
      <c r="E2076" s="3" t="s">
        <v>199</v>
      </c>
      <c r="F2076" s="3" t="s">
        <v>200</v>
      </c>
      <c r="G2076" s="3" t="s">
        <v>30</v>
      </c>
      <c r="H2076" s="3" t="s">
        <v>67</v>
      </c>
      <c r="I2076" s="3" t="s">
        <v>1365</v>
      </c>
      <c r="J2076" s="3" t="s">
        <v>54</v>
      </c>
      <c r="K2076" s="3">
        <v>3</v>
      </c>
      <c r="L2076" s="3">
        <v>9513.4</v>
      </c>
      <c r="M2076" s="3">
        <v>28540.2</v>
      </c>
      <c r="N2076" s="3">
        <v>22038.55</v>
      </c>
      <c r="O2076" s="3">
        <v>6501.65</v>
      </c>
      <c r="P2076" s="3" t="s">
        <v>34</v>
      </c>
    </row>
    <row r="2077" spans="1:16" x14ac:dyDescent="0.35">
      <c r="A2077" s="3" t="s">
        <v>3404</v>
      </c>
      <c r="B2077" s="3" t="s">
        <v>163</v>
      </c>
      <c r="C2077" s="3" t="s">
        <v>137</v>
      </c>
      <c r="D2077" s="3" t="s">
        <v>58</v>
      </c>
      <c r="E2077" s="3" t="s">
        <v>65</v>
      </c>
      <c r="F2077" s="3" t="s">
        <v>66</v>
      </c>
      <c r="G2077" s="3" t="s">
        <v>22</v>
      </c>
      <c r="H2077" s="3" t="s">
        <v>83</v>
      </c>
      <c r="I2077" s="3" t="s">
        <v>280</v>
      </c>
      <c r="J2077" s="3" t="s">
        <v>188</v>
      </c>
      <c r="K2077" s="3">
        <v>8</v>
      </c>
      <c r="L2077" s="3">
        <v>21003.55</v>
      </c>
      <c r="M2077" s="3">
        <v>168028.4</v>
      </c>
      <c r="N2077" s="3">
        <v>131329.81</v>
      </c>
      <c r="O2077" s="3">
        <v>36698.589999999997</v>
      </c>
      <c r="P2077" s="3" t="s">
        <v>34</v>
      </c>
    </row>
    <row r="2078" spans="1:16" x14ac:dyDescent="0.35">
      <c r="A2078" s="3" t="s">
        <v>3405</v>
      </c>
      <c r="B2078" s="3" t="s">
        <v>837</v>
      </c>
      <c r="C2078" s="3" t="s">
        <v>72</v>
      </c>
      <c r="D2078" s="3" t="s">
        <v>58</v>
      </c>
      <c r="E2078" s="3" t="s">
        <v>176</v>
      </c>
      <c r="F2078" s="3" t="s">
        <v>177</v>
      </c>
      <c r="G2078" s="3" t="s">
        <v>51</v>
      </c>
      <c r="H2078" s="3" t="s">
        <v>145</v>
      </c>
      <c r="I2078" s="3" t="s">
        <v>869</v>
      </c>
      <c r="J2078" s="3" t="s">
        <v>217</v>
      </c>
      <c r="K2078" s="3">
        <v>3</v>
      </c>
      <c r="L2078" s="3">
        <v>115.96</v>
      </c>
      <c r="M2078" s="3">
        <v>347.88</v>
      </c>
      <c r="N2078" s="3">
        <v>188.63</v>
      </c>
      <c r="O2078" s="3">
        <v>159.25</v>
      </c>
      <c r="P2078" s="3" t="s">
        <v>69</v>
      </c>
    </row>
    <row r="2079" spans="1:16" x14ac:dyDescent="0.35">
      <c r="A2079" s="3" t="s">
        <v>3406</v>
      </c>
      <c r="B2079" s="3" t="s">
        <v>1464</v>
      </c>
      <c r="C2079" s="3" t="s">
        <v>137</v>
      </c>
      <c r="D2079" s="3" t="s">
        <v>38</v>
      </c>
      <c r="E2079" s="3" t="s">
        <v>104</v>
      </c>
      <c r="F2079" s="3" t="s">
        <v>104</v>
      </c>
      <c r="G2079" s="3" t="s">
        <v>30</v>
      </c>
      <c r="H2079" s="3" t="s">
        <v>31</v>
      </c>
      <c r="I2079" s="3" t="s">
        <v>2233</v>
      </c>
      <c r="J2079" s="3" t="s">
        <v>161</v>
      </c>
      <c r="K2079" s="3">
        <v>7</v>
      </c>
      <c r="L2079" s="3">
        <v>2632.68</v>
      </c>
      <c r="M2079" s="3">
        <v>18428.759999999998</v>
      </c>
      <c r="N2079" s="3">
        <v>13010.3</v>
      </c>
      <c r="O2079" s="3">
        <v>5418.46</v>
      </c>
      <c r="P2079" s="3" t="s">
        <v>69</v>
      </c>
    </row>
    <row r="2080" spans="1:16" x14ac:dyDescent="0.35">
      <c r="A2080" s="3" t="s">
        <v>3407</v>
      </c>
      <c r="B2080" s="3" t="s">
        <v>1308</v>
      </c>
      <c r="C2080" s="3" t="s">
        <v>48</v>
      </c>
      <c r="D2080" s="3" t="s">
        <v>58</v>
      </c>
      <c r="E2080" s="3" t="s">
        <v>176</v>
      </c>
      <c r="F2080" s="3" t="s">
        <v>177</v>
      </c>
      <c r="G2080" s="3" t="s">
        <v>41</v>
      </c>
      <c r="H2080" s="3" t="s">
        <v>61</v>
      </c>
      <c r="I2080" s="3" t="s">
        <v>2821</v>
      </c>
      <c r="J2080" s="3" t="s">
        <v>85</v>
      </c>
      <c r="K2080" s="3">
        <v>2</v>
      </c>
      <c r="L2080" s="3">
        <v>2391.5700000000002</v>
      </c>
      <c r="M2080" s="3">
        <v>4783.1400000000003</v>
      </c>
      <c r="N2080" s="3">
        <v>3336.7</v>
      </c>
      <c r="O2080" s="3">
        <v>1446.44</v>
      </c>
      <c r="P2080" s="3" t="s">
        <v>45</v>
      </c>
    </row>
    <row r="2081" spans="1:16" x14ac:dyDescent="0.35">
      <c r="A2081" s="3" t="s">
        <v>3408</v>
      </c>
      <c r="B2081" s="3" t="s">
        <v>832</v>
      </c>
      <c r="C2081" s="3" t="s">
        <v>72</v>
      </c>
      <c r="D2081" s="3" t="s">
        <v>58</v>
      </c>
      <c r="E2081" s="3" t="s">
        <v>65</v>
      </c>
      <c r="F2081" s="3" t="s">
        <v>66</v>
      </c>
      <c r="G2081" s="3" t="s">
        <v>30</v>
      </c>
      <c r="H2081" s="3" t="s">
        <v>73</v>
      </c>
      <c r="I2081" s="3" t="s">
        <v>2178</v>
      </c>
      <c r="J2081" s="3" t="s">
        <v>33</v>
      </c>
      <c r="K2081" s="3">
        <v>8</v>
      </c>
      <c r="L2081" s="3">
        <v>3030</v>
      </c>
      <c r="M2081" s="3">
        <v>24240</v>
      </c>
      <c r="N2081" s="3">
        <v>19973.88</v>
      </c>
      <c r="O2081" s="3">
        <v>4266.12</v>
      </c>
      <c r="P2081" s="3" t="s">
        <v>26</v>
      </c>
    </row>
    <row r="2082" spans="1:16" x14ac:dyDescent="0.35">
      <c r="A2082" s="3" t="s">
        <v>3409</v>
      </c>
      <c r="B2082" s="3" t="s">
        <v>777</v>
      </c>
      <c r="C2082" s="3" t="s">
        <v>72</v>
      </c>
      <c r="D2082" s="3" t="s">
        <v>19</v>
      </c>
      <c r="E2082" s="3" t="s">
        <v>20</v>
      </c>
      <c r="F2082" s="3" t="s">
        <v>21</v>
      </c>
      <c r="G2082" s="3" t="s">
        <v>41</v>
      </c>
      <c r="H2082" s="3" t="s">
        <v>61</v>
      </c>
      <c r="I2082" s="3" t="s">
        <v>1868</v>
      </c>
      <c r="J2082" s="3" t="s">
        <v>147</v>
      </c>
      <c r="K2082" s="3">
        <v>4</v>
      </c>
      <c r="L2082" s="3">
        <v>2744.71</v>
      </c>
      <c r="M2082" s="3">
        <v>10978.84</v>
      </c>
      <c r="N2082" s="3">
        <v>6447.28</v>
      </c>
      <c r="O2082" s="3">
        <v>4531.5600000000004</v>
      </c>
      <c r="P2082" s="3" t="s">
        <v>34</v>
      </c>
    </row>
    <row r="2083" spans="1:16" x14ac:dyDescent="0.35">
      <c r="A2083" s="3" t="s">
        <v>3410</v>
      </c>
      <c r="B2083" s="3" t="s">
        <v>282</v>
      </c>
      <c r="C2083" s="3" t="s">
        <v>114</v>
      </c>
      <c r="D2083" s="3" t="s">
        <v>19</v>
      </c>
      <c r="E2083" s="3" t="s">
        <v>20</v>
      </c>
      <c r="F2083" s="3" t="s">
        <v>21</v>
      </c>
      <c r="G2083" s="3" t="s">
        <v>41</v>
      </c>
      <c r="H2083" s="3" t="s">
        <v>42</v>
      </c>
      <c r="I2083" s="3" t="s">
        <v>1272</v>
      </c>
      <c r="J2083" s="3" t="s">
        <v>85</v>
      </c>
      <c r="K2083" s="3">
        <v>6</v>
      </c>
      <c r="L2083" s="3">
        <v>43387.27</v>
      </c>
      <c r="M2083" s="3">
        <v>260323.62</v>
      </c>
      <c r="N2083" s="3">
        <v>213388.76</v>
      </c>
      <c r="O2083" s="3">
        <v>46934.86</v>
      </c>
      <c r="P2083" s="3" t="s">
        <v>26</v>
      </c>
    </row>
    <row r="2084" spans="1:16" x14ac:dyDescent="0.35">
      <c r="A2084" s="3" t="s">
        <v>3411</v>
      </c>
      <c r="B2084" s="3" t="s">
        <v>307</v>
      </c>
      <c r="C2084" s="3" t="s">
        <v>103</v>
      </c>
      <c r="D2084" s="3" t="s">
        <v>38</v>
      </c>
      <c r="E2084" s="3" t="s">
        <v>39</v>
      </c>
      <c r="F2084" s="3" t="s">
        <v>40</v>
      </c>
      <c r="G2084" s="3" t="s">
        <v>22</v>
      </c>
      <c r="H2084" s="3" t="s">
        <v>23</v>
      </c>
      <c r="I2084" s="3" t="s">
        <v>2264</v>
      </c>
      <c r="J2084" s="3" t="s">
        <v>188</v>
      </c>
      <c r="K2084" s="3">
        <v>7</v>
      </c>
      <c r="L2084" s="3">
        <v>3679.21</v>
      </c>
      <c r="M2084" s="3">
        <v>25754.47</v>
      </c>
      <c r="N2084" s="3">
        <v>15110.93</v>
      </c>
      <c r="O2084" s="3">
        <v>10643.54</v>
      </c>
      <c r="P2084" s="3" t="s">
        <v>45</v>
      </c>
    </row>
    <row r="2085" spans="1:16" x14ac:dyDescent="0.35">
      <c r="A2085" s="3" t="s">
        <v>3412</v>
      </c>
      <c r="B2085" s="3" t="s">
        <v>395</v>
      </c>
      <c r="C2085" s="3" t="s">
        <v>29</v>
      </c>
      <c r="D2085" s="3" t="s">
        <v>38</v>
      </c>
      <c r="E2085" s="3" t="s">
        <v>39</v>
      </c>
      <c r="F2085" s="3" t="s">
        <v>40</v>
      </c>
      <c r="G2085" s="3" t="s">
        <v>30</v>
      </c>
      <c r="H2085" s="3" t="s">
        <v>73</v>
      </c>
      <c r="I2085" s="3" t="s">
        <v>1462</v>
      </c>
      <c r="J2085" s="3" t="s">
        <v>161</v>
      </c>
      <c r="K2085" s="3">
        <v>1</v>
      </c>
      <c r="L2085" s="3">
        <v>3242.42</v>
      </c>
      <c r="M2085" s="3">
        <v>3242.42</v>
      </c>
      <c r="N2085" s="3">
        <v>2293.29</v>
      </c>
      <c r="O2085" s="3">
        <v>949.13</v>
      </c>
      <c r="P2085" s="3" t="s">
        <v>45</v>
      </c>
    </row>
    <row r="2086" spans="1:16" x14ac:dyDescent="0.35">
      <c r="A2086" s="3" t="s">
        <v>3413</v>
      </c>
      <c r="B2086" s="3" t="s">
        <v>792</v>
      </c>
      <c r="C2086" s="3" t="s">
        <v>72</v>
      </c>
      <c r="D2086" s="3" t="s">
        <v>90</v>
      </c>
      <c r="E2086" s="3" t="s">
        <v>91</v>
      </c>
      <c r="F2086" s="3" t="s">
        <v>92</v>
      </c>
      <c r="G2086" s="3" t="s">
        <v>22</v>
      </c>
      <c r="H2086" s="3" t="s">
        <v>83</v>
      </c>
      <c r="I2086" s="3" t="s">
        <v>1068</v>
      </c>
      <c r="J2086" s="3" t="s">
        <v>44</v>
      </c>
      <c r="K2086" s="3">
        <v>3</v>
      </c>
      <c r="L2086" s="3">
        <v>20558.310000000001</v>
      </c>
      <c r="M2086" s="3">
        <v>61674.93</v>
      </c>
      <c r="N2086" s="3">
        <v>52882.71</v>
      </c>
      <c r="O2086" s="3">
        <v>8792.2199999999993</v>
      </c>
      <c r="P2086" s="3" t="s">
        <v>45</v>
      </c>
    </row>
    <row r="2087" spans="1:16" x14ac:dyDescent="0.35">
      <c r="A2087" s="3" t="s">
        <v>3414</v>
      </c>
      <c r="B2087" s="3" t="s">
        <v>1392</v>
      </c>
      <c r="C2087" s="3" t="s">
        <v>103</v>
      </c>
      <c r="D2087" s="3" t="s">
        <v>38</v>
      </c>
      <c r="E2087" s="3" t="s">
        <v>109</v>
      </c>
      <c r="F2087" s="3" t="s">
        <v>110</v>
      </c>
      <c r="G2087" s="3" t="s">
        <v>22</v>
      </c>
      <c r="H2087" s="3" t="s">
        <v>23</v>
      </c>
      <c r="I2087" s="3" t="s">
        <v>1231</v>
      </c>
      <c r="J2087" s="3" t="s">
        <v>25</v>
      </c>
      <c r="K2087" s="3">
        <v>7</v>
      </c>
      <c r="L2087" s="3">
        <v>3623.96</v>
      </c>
      <c r="M2087" s="3">
        <v>25367.72</v>
      </c>
      <c r="N2087" s="3">
        <v>16084.59</v>
      </c>
      <c r="O2087" s="3">
        <v>9283.1299999999992</v>
      </c>
      <c r="P2087" s="3" t="s">
        <v>34</v>
      </c>
    </row>
    <row r="2088" spans="1:16" x14ac:dyDescent="0.35">
      <c r="A2088" s="3" t="s">
        <v>3415</v>
      </c>
      <c r="B2088" s="3" t="s">
        <v>1455</v>
      </c>
      <c r="C2088" s="3" t="s">
        <v>103</v>
      </c>
      <c r="D2088" s="3" t="s">
        <v>19</v>
      </c>
      <c r="E2088" s="3" t="s">
        <v>199</v>
      </c>
      <c r="F2088" s="3" t="s">
        <v>200</v>
      </c>
      <c r="G2088" s="3" t="s">
        <v>30</v>
      </c>
      <c r="H2088" s="3" t="s">
        <v>31</v>
      </c>
      <c r="I2088" s="3" t="s">
        <v>1330</v>
      </c>
      <c r="J2088" s="3" t="s">
        <v>106</v>
      </c>
      <c r="K2088" s="3">
        <v>7</v>
      </c>
      <c r="L2088" s="3">
        <v>2877.81</v>
      </c>
      <c r="M2088" s="3">
        <v>20144.669999999998</v>
      </c>
      <c r="N2088" s="3">
        <v>13197.59</v>
      </c>
      <c r="O2088" s="3">
        <v>6947.08</v>
      </c>
      <c r="P2088" s="3" t="s">
        <v>45</v>
      </c>
    </row>
    <row r="2089" spans="1:16" x14ac:dyDescent="0.35">
      <c r="A2089" s="3" t="s">
        <v>3416</v>
      </c>
      <c r="B2089" s="3" t="s">
        <v>299</v>
      </c>
      <c r="C2089" s="3" t="s">
        <v>89</v>
      </c>
      <c r="D2089" s="3" t="s">
        <v>58</v>
      </c>
      <c r="E2089" s="3" t="s">
        <v>176</v>
      </c>
      <c r="F2089" s="3" t="s">
        <v>177</v>
      </c>
      <c r="G2089" s="3" t="s">
        <v>51</v>
      </c>
      <c r="H2089" s="3" t="s">
        <v>145</v>
      </c>
      <c r="I2089" s="3" t="s">
        <v>1258</v>
      </c>
      <c r="J2089" s="3" t="s">
        <v>100</v>
      </c>
      <c r="K2089" s="3">
        <v>7</v>
      </c>
      <c r="L2089" s="3">
        <v>131.49</v>
      </c>
      <c r="M2089" s="3">
        <v>920.43</v>
      </c>
      <c r="N2089" s="3">
        <v>413.97</v>
      </c>
      <c r="O2089" s="3">
        <v>506.46</v>
      </c>
      <c r="P2089" s="3" t="s">
        <v>34</v>
      </c>
    </row>
    <row r="2090" spans="1:16" x14ac:dyDescent="0.35">
      <c r="A2090" s="3" t="s">
        <v>3417</v>
      </c>
      <c r="B2090" s="3" t="s">
        <v>307</v>
      </c>
      <c r="C2090" s="3" t="s">
        <v>103</v>
      </c>
      <c r="D2090" s="3" t="s">
        <v>58</v>
      </c>
      <c r="E2090" s="3" t="s">
        <v>59</v>
      </c>
      <c r="F2090" s="3" t="s">
        <v>60</v>
      </c>
      <c r="G2090" s="3" t="s">
        <v>51</v>
      </c>
      <c r="H2090" s="3" t="s">
        <v>145</v>
      </c>
      <c r="I2090" s="3" t="s">
        <v>878</v>
      </c>
      <c r="J2090" s="3" t="s">
        <v>85</v>
      </c>
      <c r="K2090" s="3">
        <v>6</v>
      </c>
      <c r="L2090" s="3">
        <v>120.5</v>
      </c>
      <c r="M2090" s="3">
        <v>723</v>
      </c>
      <c r="N2090" s="3">
        <v>357.69</v>
      </c>
      <c r="O2090" s="3">
        <v>365.31</v>
      </c>
      <c r="P2090" s="3" t="s">
        <v>26</v>
      </c>
    </row>
    <row r="2091" spans="1:16" x14ac:dyDescent="0.35">
      <c r="A2091" s="3" t="s">
        <v>3418</v>
      </c>
      <c r="B2091" s="3" t="s">
        <v>828</v>
      </c>
      <c r="C2091" s="3" t="s">
        <v>89</v>
      </c>
      <c r="D2091" s="3" t="s">
        <v>90</v>
      </c>
      <c r="E2091" s="3" t="s">
        <v>119</v>
      </c>
      <c r="F2091" s="3" t="s">
        <v>120</v>
      </c>
      <c r="G2091" s="3" t="s">
        <v>41</v>
      </c>
      <c r="H2091" s="3" t="s">
        <v>42</v>
      </c>
      <c r="I2091" s="3" t="s">
        <v>105</v>
      </c>
      <c r="J2091" s="3" t="s">
        <v>171</v>
      </c>
      <c r="K2091" s="3">
        <v>5</v>
      </c>
      <c r="L2091" s="3">
        <v>40994.33</v>
      </c>
      <c r="M2091" s="3">
        <v>204971.65</v>
      </c>
      <c r="N2091" s="3">
        <v>179076.77</v>
      </c>
      <c r="O2091" s="3">
        <v>25894.880000000001</v>
      </c>
      <c r="P2091" s="3" t="s">
        <v>45</v>
      </c>
    </row>
    <row r="2092" spans="1:16" x14ac:dyDescent="0.35">
      <c r="A2092" s="3" t="s">
        <v>3419</v>
      </c>
      <c r="B2092" s="3" t="s">
        <v>618</v>
      </c>
      <c r="C2092" s="3" t="s">
        <v>72</v>
      </c>
      <c r="D2092" s="3" t="s">
        <v>38</v>
      </c>
      <c r="E2092" s="3" t="s">
        <v>39</v>
      </c>
      <c r="F2092" s="3" t="s">
        <v>40</v>
      </c>
      <c r="G2092" s="3" t="s">
        <v>51</v>
      </c>
      <c r="H2092" s="3" t="s">
        <v>145</v>
      </c>
      <c r="I2092" s="3" t="s">
        <v>3420</v>
      </c>
      <c r="J2092" s="3" t="s">
        <v>85</v>
      </c>
      <c r="K2092" s="3">
        <v>7</v>
      </c>
      <c r="L2092" s="3">
        <v>126.02</v>
      </c>
      <c r="M2092" s="3">
        <v>882.14</v>
      </c>
      <c r="N2092" s="3">
        <v>435.11</v>
      </c>
      <c r="O2092" s="3">
        <v>447.03</v>
      </c>
      <c r="P2092" s="3" t="s">
        <v>34</v>
      </c>
    </row>
    <row r="2093" spans="1:16" x14ac:dyDescent="0.35">
      <c r="A2093" s="3" t="s">
        <v>3421</v>
      </c>
      <c r="B2093" s="3" t="s">
        <v>779</v>
      </c>
      <c r="C2093" s="3" t="s">
        <v>114</v>
      </c>
      <c r="D2093" s="3" t="s">
        <v>19</v>
      </c>
      <c r="E2093" s="3" t="s">
        <v>49</v>
      </c>
      <c r="F2093" s="3" t="s">
        <v>50</v>
      </c>
      <c r="G2093" s="3" t="s">
        <v>41</v>
      </c>
      <c r="H2093" s="3" t="s">
        <v>138</v>
      </c>
      <c r="I2093" s="3" t="s">
        <v>763</v>
      </c>
      <c r="J2093" s="3" t="s">
        <v>106</v>
      </c>
      <c r="K2093" s="3">
        <v>4</v>
      </c>
      <c r="L2093" s="3">
        <v>17602.349999999999</v>
      </c>
      <c r="M2093" s="3">
        <v>70409.399999999994</v>
      </c>
      <c r="N2093" s="3">
        <v>55444.07</v>
      </c>
      <c r="O2093" s="3">
        <v>14965.33</v>
      </c>
      <c r="P2093" s="3" t="s">
        <v>26</v>
      </c>
    </row>
    <row r="2094" spans="1:16" x14ac:dyDescent="0.35">
      <c r="A2094" s="3" t="s">
        <v>3422</v>
      </c>
      <c r="B2094" s="3" t="s">
        <v>488</v>
      </c>
      <c r="C2094" s="3" t="s">
        <v>29</v>
      </c>
      <c r="D2094" s="3" t="s">
        <v>90</v>
      </c>
      <c r="E2094" s="3" t="s">
        <v>91</v>
      </c>
      <c r="F2094" s="3" t="s">
        <v>92</v>
      </c>
      <c r="G2094" s="3" t="s">
        <v>51</v>
      </c>
      <c r="H2094" s="3" t="s">
        <v>145</v>
      </c>
      <c r="I2094" s="3" t="s">
        <v>878</v>
      </c>
      <c r="J2094" s="3" t="s">
        <v>33</v>
      </c>
      <c r="K2094" s="3">
        <v>5</v>
      </c>
      <c r="L2094" s="3">
        <v>118.81</v>
      </c>
      <c r="M2094" s="3">
        <v>594.04999999999995</v>
      </c>
      <c r="N2094" s="3">
        <v>309.79000000000002</v>
      </c>
      <c r="O2094" s="3">
        <v>284.26</v>
      </c>
      <c r="P2094" s="3" t="s">
        <v>26</v>
      </c>
    </row>
    <row r="2095" spans="1:16" x14ac:dyDescent="0.35">
      <c r="A2095" s="3" t="s">
        <v>3423</v>
      </c>
      <c r="B2095" s="3" t="s">
        <v>1155</v>
      </c>
      <c r="C2095" s="3" t="s">
        <v>89</v>
      </c>
      <c r="D2095" s="3" t="s">
        <v>58</v>
      </c>
      <c r="E2095" s="3" t="s">
        <v>176</v>
      </c>
      <c r="F2095" s="3" t="s">
        <v>177</v>
      </c>
      <c r="G2095" s="3" t="s">
        <v>22</v>
      </c>
      <c r="H2095" s="3" t="s">
        <v>23</v>
      </c>
      <c r="I2095" s="3" t="s">
        <v>1147</v>
      </c>
      <c r="J2095" s="3" t="s">
        <v>85</v>
      </c>
      <c r="K2095" s="3">
        <v>7</v>
      </c>
      <c r="L2095" s="3">
        <v>3802.29</v>
      </c>
      <c r="M2095" s="3">
        <v>26616.03</v>
      </c>
      <c r="N2095" s="3">
        <v>15242.04</v>
      </c>
      <c r="O2095" s="3">
        <v>11373.99</v>
      </c>
      <c r="P2095" s="3" t="s">
        <v>34</v>
      </c>
    </row>
    <row r="2096" spans="1:16" x14ac:dyDescent="0.35">
      <c r="A2096" s="3" t="s">
        <v>3424</v>
      </c>
      <c r="B2096" s="3" t="s">
        <v>1612</v>
      </c>
      <c r="C2096" s="3" t="s">
        <v>48</v>
      </c>
      <c r="D2096" s="3" t="s">
        <v>19</v>
      </c>
      <c r="E2096" s="3" t="s">
        <v>49</v>
      </c>
      <c r="F2096" s="3" t="s">
        <v>50</v>
      </c>
      <c r="G2096" s="3" t="s">
        <v>30</v>
      </c>
      <c r="H2096" s="3" t="s">
        <v>31</v>
      </c>
      <c r="I2096" s="3" t="s">
        <v>616</v>
      </c>
      <c r="J2096" s="3" t="s">
        <v>131</v>
      </c>
      <c r="K2096" s="3">
        <v>3</v>
      </c>
      <c r="L2096" s="3">
        <v>2966.4</v>
      </c>
      <c r="M2096" s="3">
        <v>8899.2000000000007</v>
      </c>
      <c r="N2096" s="3">
        <v>5893.85</v>
      </c>
      <c r="O2096" s="3">
        <v>3005.35</v>
      </c>
      <c r="P2096" s="3" t="s">
        <v>69</v>
      </c>
    </row>
    <row r="2097" spans="1:16" x14ac:dyDescent="0.35">
      <c r="A2097" s="3" t="s">
        <v>3425</v>
      </c>
      <c r="B2097" s="3" t="s">
        <v>539</v>
      </c>
      <c r="C2097" s="3" t="s">
        <v>89</v>
      </c>
      <c r="D2097" s="3" t="s">
        <v>90</v>
      </c>
      <c r="E2097" s="3" t="s">
        <v>91</v>
      </c>
      <c r="F2097" s="3" t="s">
        <v>92</v>
      </c>
      <c r="G2097" s="3" t="s">
        <v>30</v>
      </c>
      <c r="H2097" s="3" t="s">
        <v>31</v>
      </c>
      <c r="I2097" s="3" t="s">
        <v>167</v>
      </c>
      <c r="J2097" s="3" t="s">
        <v>44</v>
      </c>
      <c r="K2097" s="3">
        <v>6</v>
      </c>
      <c r="L2097" s="3">
        <v>2599.64</v>
      </c>
      <c r="M2097" s="3">
        <v>15597.84</v>
      </c>
      <c r="N2097" s="3">
        <v>11557.98</v>
      </c>
      <c r="O2097" s="3">
        <v>4039.86</v>
      </c>
      <c r="P2097" s="3" t="s">
        <v>45</v>
      </c>
    </row>
    <row r="2098" spans="1:16" x14ac:dyDescent="0.35">
      <c r="A2098" s="3" t="s">
        <v>3426</v>
      </c>
      <c r="B2098" s="3" t="s">
        <v>911</v>
      </c>
      <c r="C2098" s="3" t="s">
        <v>72</v>
      </c>
      <c r="D2098" s="3" t="s">
        <v>58</v>
      </c>
      <c r="E2098" s="3" t="s">
        <v>65</v>
      </c>
      <c r="F2098" s="3" t="s">
        <v>66</v>
      </c>
      <c r="G2098" s="3" t="s">
        <v>51</v>
      </c>
      <c r="H2098" s="3" t="s">
        <v>145</v>
      </c>
      <c r="I2098" s="3" t="s">
        <v>1806</v>
      </c>
      <c r="J2098" s="3" t="s">
        <v>131</v>
      </c>
      <c r="K2098" s="3">
        <v>3</v>
      </c>
      <c r="L2098" s="3">
        <v>110.17</v>
      </c>
      <c r="M2098" s="3">
        <v>330.51</v>
      </c>
      <c r="N2098" s="3">
        <v>178.07</v>
      </c>
      <c r="O2098" s="3">
        <v>152.44</v>
      </c>
      <c r="P2098" s="3" t="s">
        <v>26</v>
      </c>
    </row>
    <row r="2099" spans="1:16" x14ac:dyDescent="0.35">
      <c r="A2099" s="3" t="s">
        <v>3427</v>
      </c>
      <c r="B2099" s="3" t="s">
        <v>268</v>
      </c>
      <c r="C2099" s="3" t="s">
        <v>18</v>
      </c>
      <c r="D2099" s="3" t="s">
        <v>38</v>
      </c>
      <c r="E2099" s="3" t="s">
        <v>39</v>
      </c>
      <c r="F2099" s="3" t="s">
        <v>40</v>
      </c>
      <c r="G2099" s="3" t="s">
        <v>41</v>
      </c>
      <c r="H2099" s="3" t="s">
        <v>61</v>
      </c>
      <c r="I2099" s="3" t="s">
        <v>1782</v>
      </c>
      <c r="J2099" s="3" t="s">
        <v>217</v>
      </c>
      <c r="K2099" s="3">
        <v>7</v>
      </c>
      <c r="L2099" s="3">
        <v>2356.4499999999998</v>
      </c>
      <c r="M2099" s="3">
        <v>16495.150000000001</v>
      </c>
      <c r="N2099" s="3">
        <v>11533.65</v>
      </c>
      <c r="O2099" s="3">
        <v>4961.5</v>
      </c>
      <c r="P2099" s="3" t="s">
        <v>86</v>
      </c>
    </row>
    <row r="2100" spans="1:16" x14ac:dyDescent="0.35">
      <c r="A2100" s="3" t="s">
        <v>3428</v>
      </c>
      <c r="B2100" s="3" t="s">
        <v>1301</v>
      </c>
      <c r="C2100" s="3" t="s">
        <v>18</v>
      </c>
      <c r="D2100" s="3" t="s">
        <v>38</v>
      </c>
      <c r="E2100" s="3" t="s">
        <v>109</v>
      </c>
      <c r="F2100" s="3" t="s">
        <v>110</v>
      </c>
      <c r="G2100" s="3" t="s">
        <v>22</v>
      </c>
      <c r="H2100" s="3" t="s">
        <v>93</v>
      </c>
      <c r="I2100" s="3" t="s">
        <v>578</v>
      </c>
      <c r="J2100" s="3" t="s">
        <v>131</v>
      </c>
      <c r="K2100" s="3">
        <v>2</v>
      </c>
      <c r="L2100" s="3">
        <v>6498.04</v>
      </c>
      <c r="M2100" s="3">
        <v>12996.08</v>
      </c>
      <c r="N2100" s="3">
        <v>9511.56</v>
      </c>
      <c r="O2100" s="3">
        <v>3484.52</v>
      </c>
      <c r="P2100" s="3" t="s">
        <v>34</v>
      </c>
    </row>
    <row r="2101" spans="1:16" x14ac:dyDescent="0.35">
      <c r="A2101" s="3" t="s">
        <v>3429</v>
      </c>
      <c r="B2101" s="3" t="s">
        <v>305</v>
      </c>
      <c r="C2101" s="3" t="s">
        <v>18</v>
      </c>
      <c r="D2101" s="3" t="s">
        <v>19</v>
      </c>
      <c r="E2101" s="3" t="s">
        <v>20</v>
      </c>
      <c r="F2101" s="3" t="s">
        <v>21</v>
      </c>
      <c r="G2101" s="3" t="s">
        <v>30</v>
      </c>
      <c r="H2101" s="3" t="s">
        <v>31</v>
      </c>
      <c r="I2101" s="3" t="s">
        <v>453</v>
      </c>
      <c r="J2101" s="3" t="s">
        <v>171</v>
      </c>
      <c r="K2101" s="3">
        <v>6</v>
      </c>
      <c r="L2101" s="3">
        <v>3067.05</v>
      </c>
      <c r="M2101" s="3">
        <v>18402.3</v>
      </c>
      <c r="N2101" s="3">
        <v>10988.75</v>
      </c>
      <c r="O2101" s="3">
        <v>7413.55</v>
      </c>
      <c r="P2101" s="3" t="s">
        <v>34</v>
      </c>
    </row>
    <row r="2102" spans="1:16" x14ac:dyDescent="0.35">
      <c r="A2102" s="3" t="s">
        <v>3430</v>
      </c>
      <c r="B2102" s="3" t="s">
        <v>169</v>
      </c>
      <c r="C2102" s="3" t="s">
        <v>37</v>
      </c>
      <c r="D2102" s="3" t="s">
        <v>19</v>
      </c>
      <c r="E2102" s="3" t="s">
        <v>20</v>
      </c>
      <c r="F2102" s="3" t="s">
        <v>21</v>
      </c>
      <c r="G2102" s="3" t="s">
        <v>51</v>
      </c>
      <c r="H2102" s="3" t="s">
        <v>77</v>
      </c>
      <c r="I2102" s="3" t="s">
        <v>340</v>
      </c>
      <c r="J2102" s="3" t="s">
        <v>85</v>
      </c>
      <c r="K2102" s="3">
        <v>7</v>
      </c>
      <c r="L2102" s="3">
        <v>12231.77</v>
      </c>
      <c r="M2102" s="3">
        <v>85622.39</v>
      </c>
      <c r="N2102" s="3">
        <v>60352.33</v>
      </c>
      <c r="O2102" s="3">
        <v>25270.06</v>
      </c>
      <c r="P2102" s="3" t="s">
        <v>34</v>
      </c>
    </row>
    <row r="2103" spans="1:16" x14ac:dyDescent="0.35">
      <c r="A2103" s="3" t="s">
        <v>3431</v>
      </c>
      <c r="B2103" s="3" t="s">
        <v>1276</v>
      </c>
      <c r="C2103" s="3" t="s">
        <v>37</v>
      </c>
      <c r="D2103" s="3" t="s">
        <v>58</v>
      </c>
      <c r="E2103" s="3" t="s">
        <v>65</v>
      </c>
      <c r="F2103" s="3" t="s">
        <v>66</v>
      </c>
      <c r="G2103" s="3" t="s">
        <v>41</v>
      </c>
      <c r="H2103" s="3" t="s">
        <v>61</v>
      </c>
      <c r="I2103" s="3" t="s">
        <v>584</v>
      </c>
      <c r="J2103" s="3" t="s">
        <v>54</v>
      </c>
      <c r="K2103" s="3">
        <v>7</v>
      </c>
      <c r="L2103" s="3">
        <v>2496.38</v>
      </c>
      <c r="M2103" s="3">
        <v>17474.66</v>
      </c>
      <c r="N2103" s="3">
        <v>11683.29</v>
      </c>
      <c r="O2103" s="3">
        <v>5791.37</v>
      </c>
      <c r="P2103" s="3" t="s">
        <v>69</v>
      </c>
    </row>
    <row r="2104" spans="1:16" x14ac:dyDescent="0.35">
      <c r="A2104" s="3" t="s">
        <v>3432</v>
      </c>
      <c r="B2104" s="3" t="s">
        <v>1429</v>
      </c>
      <c r="C2104" s="3" t="s">
        <v>89</v>
      </c>
      <c r="D2104" s="3" t="s">
        <v>90</v>
      </c>
      <c r="E2104" s="3" t="s">
        <v>119</v>
      </c>
      <c r="F2104" s="3" t="s">
        <v>120</v>
      </c>
      <c r="G2104" s="3" t="s">
        <v>22</v>
      </c>
      <c r="H2104" s="3" t="s">
        <v>93</v>
      </c>
      <c r="I2104" s="3" t="s">
        <v>1523</v>
      </c>
      <c r="J2104" s="3" t="s">
        <v>147</v>
      </c>
      <c r="K2104" s="3">
        <v>5</v>
      </c>
      <c r="L2104" s="3">
        <v>6547.71</v>
      </c>
      <c r="M2104" s="3">
        <v>32738.55</v>
      </c>
      <c r="N2104" s="3">
        <v>25626.38</v>
      </c>
      <c r="O2104" s="3">
        <v>7112.17</v>
      </c>
      <c r="P2104" s="3" t="s">
        <v>34</v>
      </c>
    </row>
    <row r="2105" spans="1:16" x14ac:dyDescent="0.35">
      <c r="A2105" s="3" t="s">
        <v>3433</v>
      </c>
      <c r="B2105" s="3" t="s">
        <v>787</v>
      </c>
      <c r="C2105" s="3" t="s">
        <v>37</v>
      </c>
      <c r="D2105" s="3" t="s">
        <v>19</v>
      </c>
      <c r="E2105" s="3" t="s">
        <v>199</v>
      </c>
      <c r="F2105" s="3" t="s">
        <v>200</v>
      </c>
      <c r="G2105" s="3" t="s">
        <v>30</v>
      </c>
      <c r="H2105" s="3" t="s">
        <v>73</v>
      </c>
      <c r="I2105" s="3" t="s">
        <v>1421</v>
      </c>
      <c r="J2105" s="3" t="s">
        <v>106</v>
      </c>
      <c r="K2105" s="3">
        <v>1</v>
      </c>
      <c r="L2105" s="3">
        <v>2929.31</v>
      </c>
      <c r="M2105" s="3">
        <v>2929.31</v>
      </c>
      <c r="N2105" s="3">
        <v>2473.52</v>
      </c>
      <c r="O2105" s="3">
        <v>455.79</v>
      </c>
      <c r="P2105" s="3" t="s">
        <v>34</v>
      </c>
    </row>
    <row r="2106" spans="1:16" x14ac:dyDescent="0.35">
      <c r="A2106" s="3" t="s">
        <v>3434</v>
      </c>
      <c r="B2106" s="3" t="s">
        <v>547</v>
      </c>
      <c r="C2106" s="3" t="s">
        <v>89</v>
      </c>
      <c r="D2106" s="3" t="s">
        <v>38</v>
      </c>
      <c r="E2106" s="3" t="s">
        <v>104</v>
      </c>
      <c r="F2106" s="3" t="s">
        <v>104</v>
      </c>
      <c r="G2106" s="3" t="s">
        <v>51</v>
      </c>
      <c r="H2106" s="3" t="s">
        <v>145</v>
      </c>
      <c r="I2106" s="3" t="s">
        <v>3435</v>
      </c>
      <c r="J2106" s="3" t="s">
        <v>161</v>
      </c>
      <c r="K2106" s="3">
        <v>2</v>
      </c>
      <c r="L2106" s="3">
        <v>123.87</v>
      </c>
      <c r="M2106" s="3">
        <v>247.74</v>
      </c>
      <c r="N2106" s="3">
        <v>120.96</v>
      </c>
      <c r="O2106" s="3">
        <v>126.78</v>
      </c>
      <c r="P2106" s="3" t="s">
        <v>34</v>
      </c>
    </row>
    <row r="2107" spans="1:16" x14ac:dyDescent="0.35">
      <c r="A2107" s="3" t="s">
        <v>3436</v>
      </c>
      <c r="B2107" s="3" t="s">
        <v>2801</v>
      </c>
      <c r="C2107" s="3" t="s">
        <v>29</v>
      </c>
      <c r="D2107" s="3" t="s">
        <v>38</v>
      </c>
      <c r="E2107" s="3" t="s">
        <v>104</v>
      </c>
      <c r="F2107" s="3" t="s">
        <v>104</v>
      </c>
      <c r="G2107" s="3" t="s">
        <v>22</v>
      </c>
      <c r="H2107" s="3" t="s">
        <v>83</v>
      </c>
      <c r="I2107" s="3" t="s">
        <v>625</v>
      </c>
      <c r="J2107" s="3" t="s">
        <v>217</v>
      </c>
      <c r="K2107" s="3">
        <v>3</v>
      </c>
      <c r="L2107" s="3">
        <v>21368.81</v>
      </c>
      <c r="M2107" s="3">
        <v>64106.43</v>
      </c>
      <c r="N2107" s="3">
        <v>51748.07</v>
      </c>
      <c r="O2107" s="3">
        <v>12358.36</v>
      </c>
      <c r="P2107" s="3" t="s">
        <v>26</v>
      </c>
    </row>
    <row r="2108" spans="1:16" x14ac:dyDescent="0.35">
      <c r="A2108" s="3" t="s">
        <v>3437</v>
      </c>
      <c r="B2108" s="3" t="s">
        <v>225</v>
      </c>
      <c r="C2108" s="3" t="s">
        <v>89</v>
      </c>
      <c r="D2108" s="3" t="s">
        <v>19</v>
      </c>
      <c r="E2108" s="3" t="s">
        <v>20</v>
      </c>
      <c r="F2108" s="3" t="s">
        <v>21</v>
      </c>
      <c r="G2108" s="3" t="s">
        <v>41</v>
      </c>
      <c r="H2108" s="3" t="s">
        <v>61</v>
      </c>
      <c r="I2108" s="3" t="s">
        <v>2400</v>
      </c>
      <c r="J2108" s="3" t="s">
        <v>25</v>
      </c>
      <c r="K2108" s="3">
        <v>1</v>
      </c>
      <c r="L2108" s="3">
        <v>2334.42</v>
      </c>
      <c r="M2108" s="3">
        <v>2334.42</v>
      </c>
      <c r="N2108" s="3">
        <v>1613.89</v>
      </c>
      <c r="O2108" s="3">
        <v>720.53</v>
      </c>
      <c r="P2108" s="3" t="s">
        <v>69</v>
      </c>
    </row>
    <row r="2109" spans="1:16" x14ac:dyDescent="0.35">
      <c r="A2109" s="3" t="s">
        <v>3438</v>
      </c>
      <c r="B2109" s="3" t="s">
        <v>908</v>
      </c>
      <c r="C2109" s="3" t="s">
        <v>72</v>
      </c>
      <c r="D2109" s="3" t="s">
        <v>90</v>
      </c>
      <c r="E2109" s="3" t="s">
        <v>91</v>
      </c>
      <c r="F2109" s="3" t="s">
        <v>92</v>
      </c>
      <c r="G2109" s="3" t="s">
        <v>41</v>
      </c>
      <c r="H2109" s="3" t="s">
        <v>138</v>
      </c>
      <c r="I2109" s="3" t="s">
        <v>111</v>
      </c>
      <c r="J2109" s="3" t="s">
        <v>154</v>
      </c>
      <c r="K2109" s="3">
        <v>6</v>
      </c>
      <c r="L2109" s="3">
        <v>16711.099999999999</v>
      </c>
      <c r="M2109" s="3">
        <v>100266.6</v>
      </c>
      <c r="N2109" s="3">
        <v>83732.77</v>
      </c>
      <c r="O2109" s="3">
        <v>16533.830000000002</v>
      </c>
      <c r="P2109" s="3" t="s">
        <v>86</v>
      </c>
    </row>
    <row r="2110" spans="1:16" x14ac:dyDescent="0.35">
      <c r="A2110" s="3" t="s">
        <v>3439</v>
      </c>
      <c r="B2110" s="3" t="s">
        <v>1053</v>
      </c>
      <c r="C2110" s="3" t="s">
        <v>82</v>
      </c>
      <c r="D2110" s="3" t="s">
        <v>38</v>
      </c>
      <c r="E2110" s="3" t="s">
        <v>104</v>
      </c>
      <c r="F2110" s="3" t="s">
        <v>104</v>
      </c>
      <c r="G2110" s="3" t="s">
        <v>22</v>
      </c>
      <c r="H2110" s="3" t="s">
        <v>23</v>
      </c>
      <c r="I2110" s="3" t="s">
        <v>2623</v>
      </c>
      <c r="J2110" s="3" t="s">
        <v>154</v>
      </c>
      <c r="K2110" s="3">
        <v>7</v>
      </c>
      <c r="L2110" s="3">
        <v>3273.42</v>
      </c>
      <c r="M2110" s="3">
        <v>22913.94</v>
      </c>
      <c r="N2110" s="3">
        <v>14634.12</v>
      </c>
      <c r="O2110" s="3">
        <v>8279.82</v>
      </c>
      <c r="P2110" s="3" t="s">
        <v>86</v>
      </c>
    </row>
    <row r="2111" spans="1:16" x14ac:dyDescent="0.35">
      <c r="A2111" s="3" t="s">
        <v>3440</v>
      </c>
      <c r="B2111" s="3" t="s">
        <v>123</v>
      </c>
      <c r="C2111" s="3" t="s">
        <v>18</v>
      </c>
      <c r="D2111" s="3" t="s">
        <v>58</v>
      </c>
      <c r="E2111" s="3" t="s">
        <v>176</v>
      </c>
      <c r="F2111" s="3" t="s">
        <v>177</v>
      </c>
      <c r="G2111" s="3" t="s">
        <v>30</v>
      </c>
      <c r="H2111" s="3" t="s">
        <v>67</v>
      </c>
      <c r="I2111" s="3" t="s">
        <v>1330</v>
      </c>
      <c r="J2111" s="3" t="s">
        <v>147</v>
      </c>
      <c r="K2111" s="3">
        <v>1</v>
      </c>
      <c r="L2111" s="3">
        <v>8975.2900000000009</v>
      </c>
      <c r="M2111" s="3">
        <v>8975.2900000000009</v>
      </c>
      <c r="N2111" s="3">
        <v>7664.6</v>
      </c>
      <c r="O2111" s="3">
        <v>1310.69</v>
      </c>
      <c r="P2111" s="3" t="s">
        <v>86</v>
      </c>
    </row>
    <row r="2112" spans="1:16" x14ac:dyDescent="0.35">
      <c r="A2112" s="3" t="s">
        <v>3441</v>
      </c>
      <c r="B2112" s="3" t="s">
        <v>1089</v>
      </c>
      <c r="C2112" s="3" t="s">
        <v>48</v>
      </c>
      <c r="D2112" s="3" t="s">
        <v>58</v>
      </c>
      <c r="E2112" s="3" t="s">
        <v>65</v>
      </c>
      <c r="F2112" s="3" t="s">
        <v>66</v>
      </c>
      <c r="G2112" s="3" t="s">
        <v>30</v>
      </c>
      <c r="H2112" s="3" t="s">
        <v>73</v>
      </c>
      <c r="I2112" s="3" t="s">
        <v>1256</v>
      </c>
      <c r="J2112" s="3" t="s">
        <v>147</v>
      </c>
      <c r="K2112" s="3">
        <v>6</v>
      </c>
      <c r="L2112" s="3">
        <v>3186.83</v>
      </c>
      <c r="M2112" s="3">
        <v>19120.98</v>
      </c>
      <c r="N2112" s="3">
        <v>13853.1</v>
      </c>
      <c r="O2112" s="3">
        <v>5267.88</v>
      </c>
      <c r="P2112" s="3" t="s">
        <v>45</v>
      </c>
    </row>
    <row r="2113" spans="1:16" x14ac:dyDescent="0.35">
      <c r="A2113" s="3" t="s">
        <v>3442</v>
      </c>
      <c r="B2113" s="3" t="s">
        <v>17</v>
      </c>
      <c r="C2113" s="3" t="s">
        <v>18</v>
      </c>
      <c r="D2113" s="3" t="s">
        <v>19</v>
      </c>
      <c r="E2113" s="3" t="s">
        <v>20</v>
      </c>
      <c r="F2113" s="3" t="s">
        <v>21</v>
      </c>
      <c r="G2113" s="3" t="s">
        <v>51</v>
      </c>
      <c r="H2113" s="3" t="s">
        <v>77</v>
      </c>
      <c r="I2113" s="3" t="s">
        <v>2882</v>
      </c>
      <c r="J2113" s="3" t="s">
        <v>44</v>
      </c>
      <c r="K2113" s="3">
        <v>2</v>
      </c>
      <c r="L2113" s="3">
        <v>11277.17</v>
      </c>
      <c r="M2113" s="3">
        <v>22554.34</v>
      </c>
      <c r="N2113" s="3">
        <v>17786.84</v>
      </c>
      <c r="O2113" s="3">
        <v>4767.5</v>
      </c>
      <c r="P2113" s="3" t="s">
        <v>69</v>
      </c>
    </row>
    <row r="2114" spans="1:16" x14ac:dyDescent="0.35">
      <c r="A2114" s="3" t="s">
        <v>3443</v>
      </c>
      <c r="B2114" s="3" t="s">
        <v>358</v>
      </c>
      <c r="C2114" s="3" t="s">
        <v>72</v>
      </c>
      <c r="D2114" s="3" t="s">
        <v>38</v>
      </c>
      <c r="E2114" s="3" t="s">
        <v>39</v>
      </c>
      <c r="F2114" s="3" t="s">
        <v>40</v>
      </c>
      <c r="G2114" s="3" t="s">
        <v>51</v>
      </c>
      <c r="H2114" s="3" t="s">
        <v>52</v>
      </c>
      <c r="I2114" s="3" t="s">
        <v>3444</v>
      </c>
      <c r="J2114" s="3" t="s">
        <v>217</v>
      </c>
      <c r="K2114" s="3">
        <v>8</v>
      </c>
      <c r="L2114" s="3">
        <v>23.44</v>
      </c>
      <c r="M2114" s="3">
        <v>187.52</v>
      </c>
      <c r="N2114" s="3">
        <v>76.61</v>
      </c>
      <c r="O2114" s="3">
        <v>110.91</v>
      </c>
      <c r="P2114" s="3" t="s">
        <v>86</v>
      </c>
    </row>
    <row r="2115" spans="1:16" x14ac:dyDescent="0.35">
      <c r="A2115" s="3" t="s">
        <v>3445</v>
      </c>
      <c r="B2115" s="3" t="s">
        <v>883</v>
      </c>
      <c r="C2115" s="3" t="s">
        <v>37</v>
      </c>
      <c r="D2115" s="3" t="s">
        <v>19</v>
      </c>
      <c r="E2115" s="3" t="s">
        <v>49</v>
      </c>
      <c r="F2115" s="3" t="s">
        <v>50</v>
      </c>
      <c r="G2115" s="3" t="s">
        <v>22</v>
      </c>
      <c r="H2115" s="3" t="s">
        <v>83</v>
      </c>
      <c r="I2115" s="3" t="s">
        <v>1506</v>
      </c>
      <c r="J2115" s="3" t="s">
        <v>33</v>
      </c>
      <c r="K2115" s="3">
        <v>3</v>
      </c>
      <c r="L2115" s="3">
        <v>20884.89</v>
      </c>
      <c r="M2115" s="3">
        <v>62654.67</v>
      </c>
      <c r="N2115" s="3">
        <v>50623.75</v>
      </c>
      <c r="O2115" s="3">
        <v>12030.92</v>
      </c>
      <c r="P2115" s="3" t="s">
        <v>86</v>
      </c>
    </row>
    <row r="2116" spans="1:16" x14ac:dyDescent="0.35">
      <c r="A2116" s="3" t="s">
        <v>3446</v>
      </c>
      <c r="B2116" s="3" t="s">
        <v>1182</v>
      </c>
      <c r="C2116" s="3" t="s">
        <v>48</v>
      </c>
      <c r="D2116" s="3" t="s">
        <v>38</v>
      </c>
      <c r="E2116" s="3" t="s">
        <v>104</v>
      </c>
      <c r="F2116" s="3" t="s">
        <v>104</v>
      </c>
      <c r="G2116" s="3" t="s">
        <v>22</v>
      </c>
      <c r="H2116" s="3" t="s">
        <v>23</v>
      </c>
      <c r="I2116" s="3" t="s">
        <v>2278</v>
      </c>
      <c r="J2116" s="3" t="s">
        <v>147</v>
      </c>
      <c r="K2116" s="3">
        <v>7</v>
      </c>
      <c r="L2116" s="3">
        <v>3685.94</v>
      </c>
      <c r="M2116" s="3">
        <v>25801.58</v>
      </c>
      <c r="N2116" s="3">
        <v>16127.85</v>
      </c>
      <c r="O2116" s="3">
        <v>9673.73</v>
      </c>
      <c r="P2116" s="3" t="s">
        <v>34</v>
      </c>
    </row>
    <row r="2117" spans="1:16" x14ac:dyDescent="0.35">
      <c r="A2117" s="3" t="s">
        <v>3447</v>
      </c>
      <c r="B2117" s="3" t="s">
        <v>285</v>
      </c>
      <c r="C2117" s="3" t="s">
        <v>18</v>
      </c>
      <c r="D2117" s="3" t="s">
        <v>19</v>
      </c>
      <c r="E2117" s="3" t="s">
        <v>20</v>
      </c>
      <c r="F2117" s="3" t="s">
        <v>21</v>
      </c>
      <c r="G2117" s="3" t="s">
        <v>51</v>
      </c>
      <c r="H2117" s="3" t="s">
        <v>77</v>
      </c>
      <c r="I2117" s="3" t="s">
        <v>1093</v>
      </c>
      <c r="J2117" s="3" t="s">
        <v>171</v>
      </c>
      <c r="K2117" s="3">
        <v>6</v>
      </c>
      <c r="L2117" s="3">
        <v>11716.73</v>
      </c>
      <c r="M2117" s="3">
        <v>70300.38</v>
      </c>
      <c r="N2117" s="3">
        <v>55916.44</v>
      </c>
      <c r="O2117" s="3">
        <v>14383.94</v>
      </c>
      <c r="P2117" s="3" t="s">
        <v>26</v>
      </c>
    </row>
    <row r="2118" spans="1:16" x14ac:dyDescent="0.35">
      <c r="A2118" s="3" t="s">
        <v>3448</v>
      </c>
      <c r="B2118" s="3" t="s">
        <v>64</v>
      </c>
      <c r="C2118" s="3" t="s">
        <v>57</v>
      </c>
      <c r="D2118" s="3" t="s">
        <v>19</v>
      </c>
      <c r="E2118" s="3" t="s">
        <v>49</v>
      </c>
      <c r="F2118" s="3" t="s">
        <v>50</v>
      </c>
      <c r="G2118" s="3" t="s">
        <v>51</v>
      </c>
      <c r="H2118" s="3" t="s">
        <v>145</v>
      </c>
      <c r="I2118" s="3" t="s">
        <v>3449</v>
      </c>
      <c r="J2118" s="3" t="s">
        <v>188</v>
      </c>
      <c r="K2118" s="3">
        <v>8</v>
      </c>
      <c r="L2118" s="3">
        <v>127.94</v>
      </c>
      <c r="M2118" s="3">
        <v>1023.52</v>
      </c>
      <c r="N2118" s="3">
        <v>502.81</v>
      </c>
      <c r="O2118" s="3">
        <v>520.71</v>
      </c>
      <c r="P2118" s="3" t="s">
        <v>69</v>
      </c>
    </row>
    <row r="2119" spans="1:16" x14ac:dyDescent="0.35">
      <c r="A2119" s="3" t="s">
        <v>3450</v>
      </c>
      <c r="B2119" s="3" t="s">
        <v>642</v>
      </c>
      <c r="C2119" s="3" t="s">
        <v>18</v>
      </c>
      <c r="D2119" s="3" t="s">
        <v>19</v>
      </c>
      <c r="E2119" s="3" t="s">
        <v>20</v>
      </c>
      <c r="F2119" s="3" t="s">
        <v>21</v>
      </c>
      <c r="G2119" s="3" t="s">
        <v>51</v>
      </c>
      <c r="H2119" s="3" t="s">
        <v>77</v>
      </c>
      <c r="I2119" s="3" t="s">
        <v>1508</v>
      </c>
      <c r="J2119" s="3" t="s">
        <v>44</v>
      </c>
      <c r="K2119" s="3">
        <v>7</v>
      </c>
      <c r="L2119" s="3">
        <v>10938.31</v>
      </c>
      <c r="M2119" s="3">
        <v>76568.17</v>
      </c>
      <c r="N2119" s="3">
        <v>64117.61</v>
      </c>
      <c r="O2119" s="3">
        <v>12450.56</v>
      </c>
      <c r="P2119" s="3" t="s">
        <v>45</v>
      </c>
    </row>
    <row r="2120" spans="1:16" x14ac:dyDescent="0.35">
      <c r="A2120" s="3" t="s">
        <v>3451</v>
      </c>
      <c r="B2120" s="3" t="s">
        <v>173</v>
      </c>
      <c r="C2120" s="3" t="s">
        <v>118</v>
      </c>
      <c r="D2120" s="3" t="s">
        <v>90</v>
      </c>
      <c r="E2120" s="3" t="s">
        <v>97</v>
      </c>
      <c r="F2120" s="3" t="s">
        <v>98</v>
      </c>
      <c r="G2120" s="3" t="s">
        <v>41</v>
      </c>
      <c r="H2120" s="3" t="s">
        <v>42</v>
      </c>
      <c r="I2120" s="3" t="s">
        <v>2861</v>
      </c>
      <c r="J2120" s="3" t="s">
        <v>147</v>
      </c>
      <c r="K2120" s="3">
        <v>8</v>
      </c>
      <c r="L2120" s="3">
        <v>48406.33</v>
      </c>
      <c r="M2120" s="3">
        <v>387250.64</v>
      </c>
      <c r="N2120" s="3">
        <v>277827.53000000003</v>
      </c>
      <c r="O2120" s="3">
        <v>109423.11</v>
      </c>
      <c r="P2120" s="3" t="s">
        <v>86</v>
      </c>
    </row>
    <row r="2121" spans="1:16" x14ac:dyDescent="0.35">
      <c r="A2121" s="3" t="s">
        <v>3452</v>
      </c>
      <c r="B2121" s="3" t="s">
        <v>936</v>
      </c>
      <c r="C2121" s="3" t="s">
        <v>89</v>
      </c>
      <c r="D2121" s="3" t="s">
        <v>38</v>
      </c>
      <c r="E2121" s="3" t="s">
        <v>104</v>
      </c>
      <c r="F2121" s="3" t="s">
        <v>104</v>
      </c>
      <c r="G2121" s="3" t="s">
        <v>41</v>
      </c>
      <c r="H2121" s="3" t="s">
        <v>61</v>
      </c>
      <c r="I2121" s="3" t="s">
        <v>408</v>
      </c>
      <c r="J2121" s="3" t="s">
        <v>54</v>
      </c>
      <c r="K2121" s="3">
        <v>4</v>
      </c>
      <c r="L2121" s="3">
        <v>2578.13</v>
      </c>
      <c r="M2121" s="3">
        <v>10312.52</v>
      </c>
      <c r="N2121" s="3">
        <v>6315.71</v>
      </c>
      <c r="O2121" s="3">
        <v>3996.81</v>
      </c>
      <c r="P2121" s="3" t="s">
        <v>45</v>
      </c>
    </row>
    <row r="2122" spans="1:16" x14ac:dyDescent="0.35">
      <c r="A2122" s="3" t="s">
        <v>3453</v>
      </c>
      <c r="B2122" s="3" t="s">
        <v>859</v>
      </c>
      <c r="C2122" s="3" t="s">
        <v>48</v>
      </c>
      <c r="D2122" s="3" t="s">
        <v>19</v>
      </c>
      <c r="E2122" s="3" t="s">
        <v>20</v>
      </c>
      <c r="F2122" s="3" t="s">
        <v>21</v>
      </c>
      <c r="G2122" s="3" t="s">
        <v>22</v>
      </c>
      <c r="H2122" s="3" t="s">
        <v>83</v>
      </c>
      <c r="I2122" s="3" t="s">
        <v>3454</v>
      </c>
      <c r="J2122" s="3" t="s">
        <v>85</v>
      </c>
      <c r="K2122" s="3">
        <v>3</v>
      </c>
      <c r="L2122" s="3">
        <v>23985.75</v>
      </c>
      <c r="M2122" s="3">
        <v>71957.25</v>
      </c>
      <c r="N2122" s="3">
        <v>49422.95</v>
      </c>
      <c r="O2122" s="3">
        <v>22534.3</v>
      </c>
      <c r="P2122" s="3" t="s">
        <v>45</v>
      </c>
    </row>
    <row r="2123" spans="1:16" x14ac:dyDescent="0.35">
      <c r="A2123" s="3" t="s">
        <v>3455</v>
      </c>
      <c r="B2123" s="3" t="s">
        <v>889</v>
      </c>
      <c r="C2123" s="3" t="s">
        <v>82</v>
      </c>
      <c r="D2123" s="3" t="s">
        <v>38</v>
      </c>
      <c r="E2123" s="3" t="s">
        <v>109</v>
      </c>
      <c r="F2123" s="3" t="s">
        <v>110</v>
      </c>
      <c r="G2123" s="3" t="s">
        <v>22</v>
      </c>
      <c r="H2123" s="3" t="s">
        <v>83</v>
      </c>
      <c r="I2123" s="3" t="s">
        <v>1547</v>
      </c>
      <c r="J2123" s="3" t="s">
        <v>100</v>
      </c>
      <c r="K2123" s="3">
        <v>7</v>
      </c>
      <c r="L2123" s="3">
        <v>23218.22</v>
      </c>
      <c r="M2123" s="3">
        <v>162527.54</v>
      </c>
      <c r="N2123" s="3">
        <v>116980.51</v>
      </c>
      <c r="O2123" s="3">
        <v>45547.03</v>
      </c>
      <c r="P2123" s="3" t="s">
        <v>69</v>
      </c>
    </row>
    <row r="2124" spans="1:16" x14ac:dyDescent="0.35">
      <c r="A2124" s="3" t="s">
        <v>3456</v>
      </c>
      <c r="B2124" s="3" t="s">
        <v>265</v>
      </c>
      <c r="C2124" s="3" t="s">
        <v>37</v>
      </c>
      <c r="D2124" s="3" t="s">
        <v>58</v>
      </c>
      <c r="E2124" s="3" t="s">
        <v>65</v>
      </c>
      <c r="F2124" s="3" t="s">
        <v>66</v>
      </c>
      <c r="G2124" s="3" t="s">
        <v>30</v>
      </c>
      <c r="H2124" s="3" t="s">
        <v>67</v>
      </c>
      <c r="I2124" s="3" t="s">
        <v>595</v>
      </c>
      <c r="J2124" s="3" t="s">
        <v>33</v>
      </c>
      <c r="K2124" s="3">
        <v>1</v>
      </c>
      <c r="L2124" s="3">
        <v>8599.5400000000009</v>
      </c>
      <c r="M2124" s="3">
        <v>8599.5400000000009</v>
      </c>
      <c r="N2124" s="3">
        <v>7827.27</v>
      </c>
      <c r="O2124" s="3">
        <v>772.27</v>
      </c>
      <c r="P2124" s="3" t="s">
        <v>69</v>
      </c>
    </row>
    <row r="2125" spans="1:16" x14ac:dyDescent="0.35">
      <c r="A2125" s="3" t="s">
        <v>3457</v>
      </c>
      <c r="B2125" s="3" t="s">
        <v>989</v>
      </c>
      <c r="C2125" s="3" t="s">
        <v>29</v>
      </c>
      <c r="D2125" s="3" t="s">
        <v>90</v>
      </c>
      <c r="E2125" s="3" t="s">
        <v>119</v>
      </c>
      <c r="F2125" s="3" t="s">
        <v>120</v>
      </c>
      <c r="G2125" s="3" t="s">
        <v>41</v>
      </c>
      <c r="H2125" s="3" t="s">
        <v>42</v>
      </c>
      <c r="I2125" s="3" t="s">
        <v>800</v>
      </c>
      <c r="J2125" s="3" t="s">
        <v>44</v>
      </c>
      <c r="K2125" s="3">
        <v>5</v>
      </c>
      <c r="L2125" s="3">
        <v>45155.519999999997</v>
      </c>
      <c r="M2125" s="3">
        <v>225777.6</v>
      </c>
      <c r="N2125" s="3">
        <v>178478.42</v>
      </c>
      <c r="O2125" s="3">
        <v>47299.18</v>
      </c>
      <c r="P2125" s="3" t="s">
        <v>26</v>
      </c>
    </row>
    <row r="2126" spans="1:16" x14ac:dyDescent="0.35">
      <c r="A2126" s="3" t="s">
        <v>3458</v>
      </c>
      <c r="B2126" s="3" t="s">
        <v>699</v>
      </c>
      <c r="C2126" s="3" t="s">
        <v>137</v>
      </c>
      <c r="D2126" s="3" t="s">
        <v>58</v>
      </c>
      <c r="E2126" s="3" t="s">
        <v>65</v>
      </c>
      <c r="F2126" s="3" t="s">
        <v>66</v>
      </c>
      <c r="G2126" s="3" t="s">
        <v>30</v>
      </c>
      <c r="H2126" s="3" t="s">
        <v>67</v>
      </c>
      <c r="I2126" s="3" t="s">
        <v>587</v>
      </c>
      <c r="J2126" s="3" t="s">
        <v>106</v>
      </c>
      <c r="K2126" s="3">
        <v>2</v>
      </c>
      <c r="L2126" s="3">
        <v>10249.59</v>
      </c>
      <c r="M2126" s="3">
        <v>20499.18</v>
      </c>
      <c r="N2126" s="3">
        <v>15925.13</v>
      </c>
      <c r="O2126" s="3">
        <v>4574.05</v>
      </c>
      <c r="P2126" s="3" t="s">
        <v>86</v>
      </c>
    </row>
    <row r="2127" spans="1:16" x14ac:dyDescent="0.35">
      <c r="A2127" s="3" t="s">
        <v>3459</v>
      </c>
      <c r="B2127" s="3" t="s">
        <v>807</v>
      </c>
      <c r="C2127" s="3" t="s">
        <v>72</v>
      </c>
      <c r="D2127" s="3" t="s">
        <v>19</v>
      </c>
      <c r="E2127" s="3" t="s">
        <v>20</v>
      </c>
      <c r="F2127" s="3" t="s">
        <v>21</v>
      </c>
      <c r="G2127" s="3" t="s">
        <v>22</v>
      </c>
      <c r="H2127" s="3" t="s">
        <v>93</v>
      </c>
      <c r="I2127" s="3" t="s">
        <v>3163</v>
      </c>
      <c r="J2127" s="3" t="s">
        <v>171</v>
      </c>
      <c r="K2127" s="3">
        <v>7</v>
      </c>
      <c r="L2127" s="3">
        <v>7494.13</v>
      </c>
      <c r="M2127" s="3">
        <v>52458.91</v>
      </c>
      <c r="N2127" s="3">
        <v>34889.14</v>
      </c>
      <c r="O2127" s="3">
        <v>17569.77</v>
      </c>
      <c r="P2127" s="3" t="s">
        <v>69</v>
      </c>
    </row>
    <row r="2128" spans="1:16" x14ac:dyDescent="0.35">
      <c r="A2128" s="3" t="s">
        <v>3460</v>
      </c>
      <c r="B2128" s="3" t="s">
        <v>1525</v>
      </c>
      <c r="C2128" s="3" t="s">
        <v>57</v>
      </c>
      <c r="D2128" s="3" t="s">
        <v>38</v>
      </c>
      <c r="E2128" s="3" t="s">
        <v>109</v>
      </c>
      <c r="F2128" s="3" t="s">
        <v>110</v>
      </c>
      <c r="G2128" s="3" t="s">
        <v>30</v>
      </c>
      <c r="H2128" s="3" t="s">
        <v>73</v>
      </c>
      <c r="I2128" s="3" t="s">
        <v>2160</v>
      </c>
      <c r="J2128" s="3" t="s">
        <v>25</v>
      </c>
      <c r="K2128" s="3">
        <v>7</v>
      </c>
      <c r="L2128" s="3">
        <v>3361.01</v>
      </c>
      <c r="M2128" s="3">
        <v>23527.07</v>
      </c>
      <c r="N2128" s="3">
        <v>17071.650000000001</v>
      </c>
      <c r="O2128" s="3">
        <v>6455.42</v>
      </c>
      <c r="P2128" s="3" t="s">
        <v>34</v>
      </c>
    </row>
    <row r="2129" spans="1:16" x14ac:dyDescent="0.35">
      <c r="A2129" s="3" t="s">
        <v>3461</v>
      </c>
      <c r="B2129" s="3" t="s">
        <v>586</v>
      </c>
      <c r="C2129" s="3" t="s">
        <v>57</v>
      </c>
      <c r="D2129" s="3" t="s">
        <v>19</v>
      </c>
      <c r="E2129" s="3" t="s">
        <v>20</v>
      </c>
      <c r="F2129" s="3" t="s">
        <v>21</v>
      </c>
      <c r="G2129" s="3" t="s">
        <v>30</v>
      </c>
      <c r="H2129" s="3" t="s">
        <v>73</v>
      </c>
      <c r="I2129" s="3" t="s">
        <v>1137</v>
      </c>
      <c r="J2129" s="3" t="s">
        <v>161</v>
      </c>
      <c r="K2129" s="3">
        <v>4</v>
      </c>
      <c r="L2129" s="3">
        <v>3278.39</v>
      </c>
      <c r="M2129" s="3">
        <v>13113.56</v>
      </c>
      <c r="N2129" s="3">
        <v>9890.5400000000009</v>
      </c>
      <c r="O2129" s="3">
        <v>3223.02</v>
      </c>
      <c r="P2129" s="3" t="s">
        <v>45</v>
      </c>
    </row>
    <row r="2130" spans="1:16" x14ac:dyDescent="0.35">
      <c r="A2130" s="3" t="s">
        <v>3462</v>
      </c>
      <c r="B2130" s="3" t="s">
        <v>1455</v>
      </c>
      <c r="C2130" s="3" t="s">
        <v>103</v>
      </c>
      <c r="D2130" s="3" t="s">
        <v>38</v>
      </c>
      <c r="E2130" s="3" t="s">
        <v>104</v>
      </c>
      <c r="F2130" s="3" t="s">
        <v>104</v>
      </c>
      <c r="G2130" s="3" t="s">
        <v>30</v>
      </c>
      <c r="H2130" s="3" t="s">
        <v>31</v>
      </c>
      <c r="I2130" s="3" t="s">
        <v>1022</v>
      </c>
      <c r="J2130" s="3" t="s">
        <v>154</v>
      </c>
      <c r="K2130" s="3">
        <v>8</v>
      </c>
      <c r="L2130" s="3">
        <v>2792.93</v>
      </c>
      <c r="M2130" s="3">
        <v>22343.439999999999</v>
      </c>
      <c r="N2130" s="3">
        <v>14507.11</v>
      </c>
      <c r="O2130" s="3">
        <v>7836.33</v>
      </c>
      <c r="P2130" s="3" t="s">
        <v>34</v>
      </c>
    </row>
    <row r="2131" spans="1:16" x14ac:dyDescent="0.35">
      <c r="A2131" s="3" t="s">
        <v>3463</v>
      </c>
      <c r="B2131" s="3" t="s">
        <v>1455</v>
      </c>
      <c r="C2131" s="3" t="s">
        <v>103</v>
      </c>
      <c r="D2131" s="3" t="s">
        <v>19</v>
      </c>
      <c r="E2131" s="3" t="s">
        <v>199</v>
      </c>
      <c r="F2131" s="3" t="s">
        <v>200</v>
      </c>
      <c r="G2131" s="3" t="s">
        <v>51</v>
      </c>
      <c r="H2131" s="3" t="s">
        <v>77</v>
      </c>
      <c r="I2131" s="3" t="s">
        <v>99</v>
      </c>
      <c r="J2131" s="3" t="s">
        <v>106</v>
      </c>
      <c r="K2131" s="3">
        <v>5</v>
      </c>
      <c r="L2131" s="3">
        <v>11754.92</v>
      </c>
      <c r="M2131" s="3">
        <v>58774.6</v>
      </c>
      <c r="N2131" s="3">
        <v>43583.78</v>
      </c>
      <c r="O2131" s="3">
        <v>15190.82</v>
      </c>
      <c r="P2131" s="3" t="s">
        <v>86</v>
      </c>
    </row>
    <row r="2132" spans="1:16" x14ac:dyDescent="0.35">
      <c r="A2132" s="3" t="s">
        <v>3464</v>
      </c>
      <c r="B2132" s="3" t="s">
        <v>834</v>
      </c>
      <c r="C2132" s="3" t="s">
        <v>114</v>
      </c>
      <c r="D2132" s="3" t="s">
        <v>58</v>
      </c>
      <c r="E2132" s="3" t="s">
        <v>65</v>
      </c>
      <c r="F2132" s="3" t="s">
        <v>66</v>
      </c>
      <c r="G2132" s="3" t="s">
        <v>51</v>
      </c>
      <c r="H2132" s="3" t="s">
        <v>77</v>
      </c>
      <c r="I2132" s="3" t="s">
        <v>2721</v>
      </c>
      <c r="J2132" s="3" t="s">
        <v>33</v>
      </c>
      <c r="K2132" s="3">
        <v>8</v>
      </c>
      <c r="L2132" s="3">
        <v>10960.23</v>
      </c>
      <c r="M2132" s="3">
        <v>87681.84</v>
      </c>
      <c r="N2132" s="3">
        <v>72894.98</v>
      </c>
      <c r="O2132" s="3">
        <v>14786.86</v>
      </c>
      <c r="P2132" s="3" t="s">
        <v>34</v>
      </c>
    </row>
    <row r="2133" spans="1:16" x14ac:dyDescent="0.35">
      <c r="A2133" s="3" t="s">
        <v>3465</v>
      </c>
      <c r="B2133" s="3" t="s">
        <v>852</v>
      </c>
      <c r="C2133" s="3" t="s">
        <v>118</v>
      </c>
      <c r="D2133" s="3" t="s">
        <v>90</v>
      </c>
      <c r="E2133" s="3" t="s">
        <v>97</v>
      </c>
      <c r="F2133" s="3" t="s">
        <v>98</v>
      </c>
      <c r="G2133" s="3" t="s">
        <v>41</v>
      </c>
      <c r="H2133" s="3" t="s">
        <v>61</v>
      </c>
      <c r="I2133" s="3" t="s">
        <v>1685</v>
      </c>
      <c r="J2133" s="3" t="s">
        <v>217</v>
      </c>
      <c r="K2133" s="3">
        <v>6</v>
      </c>
      <c r="L2133" s="3">
        <v>2390.38</v>
      </c>
      <c r="M2133" s="3">
        <v>14342.28</v>
      </c>
      <c r="N2133" s="3">
        <v>9281.15</v>
      </c>
      <c r="O2133" s="3">
        <v>5061.13</v>
      </c>
      <c r="P2133" s="3" t="s">
        <v>69</v>
      </c>
    </row>
    <row r="2134" spans="1:16" x14ac:dyDescent="0.35">
      <c r="A2134" s="3" t="s">
        <v>3466</v>
      </c>
      <c r="B2134" s="3" t="s">
        <v>1294</v>
      </c>
      <c r="C2134" s="3" t="s">
        <v>118</v>
      </c>
      <c r="D2134" s="3" t="s">
        <v>19</v>
      </c>
      <c r="E2134" s="3" t="s">
        <v>49</v>
      </c>
      <c r="F2134" s="3" t="s">
        <v>50</v>
      </c>
      <c r="G2134" s="3" t="s">
        <v>41</v>
      </c>
      <c r="H2134" s="3" t="s">
        <v>42</v>
      </c>
      <c r="I2134" s="3" t="s">
        <v>167</v>
      </c>
      <c r="J2134" s="3" t="s">
        <v>217</v>
      </c>
      <c r="K2134" s="3">
        <v>6</v>
      </c>
      <c r="L2134" s="3">
        <v>42497.93</v>
      </c>
      <c r="M2134" s="3">
        <v>254987.58</v>
      </c>
      <c r="N2134" s="3">
        <v>218241.54</v>
      </c>
      <c r="O2134" s="3">
        <v>36746.04</v>
      </c>
      <c r="P2134" s="3" t="s">
        <v>45</v>
      </c>
    </row>
    <row r="2135" spans="1:16" x14ac:dyDescent="0.35">
      <c r="A2135" s="3" t="s">
        <v>3467</v>
      </c>
      <c r="B2135" s="3" t="s">
        <v>2222</v>
      </c>
      <c r="C2135" s="3" t="s">
        <v>89</v>
      </c>
      <c r="D2135" s="3" t="s">
        <v>38</v>
      </c>
      <c r="E2135" s="3" t="s">
        <v>104</v>
      </c>
      <c r="F2135" s="3" t="s">
        <v>104</v>
      </c>
      <c r="G2135" s="3" t="s">
        <v>30</v>
      </c>
      <c r="H2135" s="3" t="s">
        <v>31</v>
      </c>
      <c r="I2135" s="3" t="s">
        <v>1330</v>
      </c>
      <c r="J2135" s="3" t="s">
        <v>25</v>
      </c>
      <c r="K2135" s="3">
        <v>6</v>
      </c>
      <c r="L2135" s="3">
        <v>2633.53</v>
      </c>
      <c r="M2135" s="3">
        <v>15801.18</v>
      </c>
      <c r="N2135" s="3">
        <v>11068.99</v>
      </c>
      <c r="O2135" s="3">
        <v>4732.1899999999996</v>
      </c>
      <c r="P2135" s="3" t="s">
        <v>34</v>
      </c>
    </row>
    <row r="2136" spans="1:16" x14ac:dyDescent="0.35">
      <c r="A2136" s="3" t="s">
        <v>3468</v>
      </c>
      <c r="B2136" s="3" t="s">
        <v>1766</v>
      </c>
      <c r="C2136" s="3" t="s">
        <v>48</v>
      </c>
      <c r="D2136" s="3" t="s">
        <v>58</v>
      </c>
      <c r="E2136" s="3" t="s">
        <v>176</v>
      </c>
      <c r="F2136" s="3" t="s">
        <v>177</v>
      </c>
      <c r="G2136" s="3" t="s">
        <v>30</v>
      </c>
      <c r="H2136" s="3" t="s">
        <v>31</v>
      </c>
      <c r="I2136" s="3" t="s">
        <v>1645</v>
      </c>
      <c r="J2136" s="3" t="s">
        <v>54</v>
      </c>
      <c r="K2136" s="3">
        <v>5</v>
      </c>
      <c r="L2136" s="3">
        <v>2589.61</v>
      </c>
      <c r="M2136" s="3">
        <v>12948.05</v>
      </c>
      <c r="N2136" s="3">
        <v>9708.33</v>
      </c>
      <c r="O2136" s="3">
        <v>3239.72</v>
      </c>
      <c r="P2136" s="3" t="s">
        <v>69</v>
      </c>
    </row>
    <row r="2137" spans="1:16" x14ac:dyDescent="0.35">
      <c r="A2137" s="3" t="s">
        <v>3469</v>
      </c>
      <c r="B2137" s="3" t="s">
        <v>1898</v>
      </c>
      <c r="C2137" s="3" t="s">
        <v>29</v>
      </c>
      <c r="D2137" s="3" t="s">
        <v>19</v>
      </c>
      <c r="E2137" s="3" t="s">
        <v>199</v>
      </c>
      <c r="F2137" s="3" t="s">
        <v>200</v>
      </c>
      <c r="G2137" s="3" t="s">
        <v>30</v>
      </c>
      <c r="H2137" s="3" t="s">
        <v>73</v>
      </c>
      <c r="I2137" s="3" t="s">
        <v>2254</v>
      </c>
      <c r="J2137" s="3" t="s">
        <v>154</v>
      </c>
      <c r="K2137" s="3">
        <v>8</v>
      </c>
      <c r="L2137" s="3">
        <v>3456.99</v>
      </c>
      <c r="M2137" s="3">
        <v>27655.919999999998</v>
      </c>
      <c r="N2137" s="3">
        <v>20121.89</v>
      </c>
      <c r="O2137" s="3">
        <v>7534.03</v>
      </c>
      <c r="P2137" s="3" t="s">
        <v>26</v>
      </c>
    </row>
    <row r="2138" spans="1:16" x14ac:dyDescent="0.35">
      <c r="A2138" s="3" t="s">
        <v>3470</v>
      </c>
      <c r="B2138" s="3" t="s">
        <v>1552</v>
      </c>
      <c r="C2138" s="3" t="s">
        <v>114</v>
      </c>
      <c r="D2138" s="3" t="s">
        <v>90</v>
      </c>
      <c r="E2138" s="3" t="s">
        <v>119</v>
      </c>
      <c r="F2138" s="3" t="s">
        <v>120</v>
      </c>
      <c r="G2138" s="3" t="s">
        <v>51</v>
      </c>
      <c r="H2138" s="3" t="s">
        <v>52</v>
      </c>
      <c r="I2138" s="3" t="s">
        <v>1004</v>
      </c>
      <c r="J2138" s="3" t="s">
        <v>171</v>
      </c>
      <c r="K2138" s="3">
        <v>4</v>
      </c>
      <c r="L2138" s="3">
        <v>23.24</v>
      </c>
      <c r="M2138" s="3">
        <v>92.96</v>
      </c>
      <c r="N2138" s="3">
        <v>38.24</v>
      </c>
      <c r="O2138" s="3">
        <v>54.72</v>
      </c>
      <c r="P2138" s="3" t="s">
        <v>34</v>
      </c>
    </row>
    <row r="2139" spans="1:16" x14ac:dyDescent="0.35">
      <c r="A2139" s="3" t="s">
        <v>3471</v>
      </c>
      <c r="B2139" s="3" t="s">
        <v>499</v>
      </c>
      <c r="C2139" s="3" t="s">
        <v>103</v>
      </c>
      <c r="D2139" s="3" t="s">
        <v>38</v>
      </c>
      <c r="E2139" s="3" t="s">
        <v>104</v>
      </c>
      <c r="F2139" s="3" t="s">
        <v>104</v>
      </c>
      <c r="G2139" s="3" t="s">
        <v>41</v>
      </c>
      <c r="H2139" s="3" t="s">
        <v>138</v>
      </c>
      <c r="I2139" s="3" t="s">
        <v>3472</v>
      </c>
      <c r="J2139" s="3" t="s">
        <v>44</v>
      </c>
      <c r="K2139" s="3">
        <v>5</v>
      </c>
      <c r="L2139" s="3">
        <v>17671.73</v>
      </c>
      <c r="M2139" s="3">
        <v>88358.65</v>
      </c>
      <c r="N2139" s="3">
        <v>70786.649999999994</v>
      </c>
      <c r="O2139" s="3">
        <v>17572</v>
      </c>
      <c r="P2139" s="3" t="s">
        <v>34</v>
      </c>
    </row>
    <row r="2140" spans="1:16" x14ac:dyDescent="0.35">
      <c r="A2140" s="3" t="s">
        <v>3473</v>
      </c>
      <c r="B2140" s="3" t="s">
        <v>1383</v>
      </c>
      <c r="C2140" s="3" t="s">
        <v>18</v>
      </c>
      <c r="D2140" s="3" t="s">
        <v>19</v>
      </c>
      <c r="E2140" s="3" t="s">
        <v>20</v>
      </c>
      <c r="F2140" s="3" t="s">
        <v>21</v>
      </c>
      <c r="G2140" s="3" t="s">
        <v>51</v>
      </c>
      <c r="H2140" s="3" t="s">
        <v>145</v>
      </c>
      <c r="I2140" s="3" t="s">
        <v>2885</v>
      </c>
      <c r="J2140" s="3" t="s">
        <v>131</v>
      </c>
      <c r="K2140" s="3">
        <v>4</v>
      </c>
      <c r="L2140" s="3">
        <v>111.32</v>
      </c>
      <c r="M2140" s="3">
        <v>445.28</v>
      </c>
      <c r="N2140" s="3">
        <v>235.65</v>
      </c>
      <c r="O2140" s="3">
        <v>209.63</v>
      </c>
      <c r="P2140" s="3" t="s">
        <v>34</v>
      </c>
    </row>
    <row r="2141" spans="1:16" x14ac:dyDescent="0.35">
      <c r="A2141" s="3" t="s">
        <v>3474</v>
      </c>
      <c r="B2141" s="3" t="s">
        <v>136</v>
      </c>
      <c r="C2141" s="3" t="s">
        <v>137</v>
      </c>
      <c r="D2141" s="3" t="s">
        <v>58</v>
      </c>
      <c r="E2141" s="3" t="s">
        <v>65</v>
      </c>
      <c r="F2141" s="3" t="s">
        <v>66</v>
      </c>
      <c r="G2141" s="3" t="s">
        <v>22</v>
      </c>
      <c r="H2141" s="3" t="s">
        <v>23</v>
      </c>
      <c r="I2141" s="3" t="s">
        <v>1773</v>
      </c>
      <c r="J2141" s="3" t="s">
        <v>171</v>
      </c>
      <c r="K2141" s="3">
        <v>2</v>
      </c>
      <c r="L2141" s="3">
        <v>3571.45</v>
      </c>
      <c r="M2141" s="3">
        <v>7142.9</v>
      </c>
      <c r="N2141" s="3">
        <v>4313.2</v>
      </c>
      <c r="O2141" s="3">
        <v>2829.7</v>
      </c>
      <c r="P2141" s="3" t="s">
        <v>26</v>
      </c>
    </row>
    <row r="2142" spans="1:16" x14ac:dyDescent="0.35">
      <c r="A2142" s="3" t="s">
        <v>3475</v>
      </c>
      <c r="B2142" s="3" t="s">
        <v>802</v>
      </c>
      <c r="C2142" s="3" t="s">
        <v>118</v>
      </c>
      <c r="D2142" s="3" t="s">
        <v>90</v>
      </c>
      <c r="E2142" s="3" t="s">
        <v>91</v>
      </c>
      <c r="F2142" s="3" t="s">
        <v>92</v>
      </c>
      <c r="G2142" s="3" t="s">
        <v>51</v>
      </c>
      <c r="H2142" s="3" t="s">
        <v>77</v>
      </c>
      <c r="I2142" s="3" t="s">
        <v>1241</v>
      </c>
      <c r="J2142" s="3" t="s">
        <v>100</v>
      </c>
      <c r="K2142" s="3">
        <v>3</v>
      </c>
      <c r="L2142" s="3">
        <v>10900.99</v>
      </c>
      <c r="M2142" s="3">
        <v>32702.97</v>
      </c>
      <c r="N2142" s="3">
        <v>26847.57</v>
      </c>
      <c r="O2142" s="3">
        <v>5855.4</v>
      </c>
      <c r="P2142" s="3" t="s">
        <v>69</v>
      </c>
    </row>
    <row r="2143" spans="1:16" x14ac:dyDescent="0.35">
      <c r="A2143" s="3" t="s">
        <v>3476</v>
      </c>
      <c r="B2143" s="3" t="s">
        <v>624</v>
      </c>
      <c r="C2143" s="3" t="s">
        <v>18</v>
      </c>
      <c r="D2143" s="3" t="s">
        <v>90</v>
      </c>
      <c r="E2143" s="3" t="s">
        <v>119</v>
      </c>
      <c r="F2143" s="3" t="s">
        <v>120</v>
      </c>
      <c r="G2143" s="3" t="s">
        <v>30</v>
      </c>
      <c r="H2143" s="3" t="s">
        <v>73</v>
      </c>
      <c r="I2143" s="3" t="s">
        <v>2752</v>
      </c>
      <c r="J2143" s="3" t="s">
        <v>154</v>
      </c>
      <c r="K2143" s="3">
        <v>3</v>
      </c>
      <c r="L2143" s="3">
        <v>3275.13</v>
      </c>
      <c r="M2143" s="3">
        <v>9825.39</v>
      </c>
      <c r="N2143" s="3">
        <v>7495.18</v>
      </c>
      <c r="O2143" s="3">
        <v>2330.21</v>
      </c>
      <c r="P2143" s="3" t="s">
        <v>86</v>
      </c>
    </row>
    <row r="2144" spans="1:16" x14ac:dyDescent="0.35">
      <c r="A2144" s="3" t="s">
        <v>3477</v>
      </c>
      <c r="B2144" s="3" t="s">
        <v>979</v>
      </c>
      <c r="C2144" s="3" t="s">
        <v>103</v>
      </c>
      <c r="D2144" s="3" t="s">
        <v>58</v>
      </c>
      <c r="E2144" s="3" t="s">
        <v>59</v>
      </c>
      <c r="F2144" s="3" t="s">
        <v>60</v>
      </c>
      <c r="G2144" s="3" t="s">
        <v>51</v>
      </c>
      <c r="H2144" s="3" t="s">
        <v>77</v>
      </c>
      <c r="I2144" s="3" t="s">
        <v>1111</v>
      </c>
      <c r="J2144" s="3" t="s">
        <v>131</v>
      </c>
      <c r="K2144" s="3">
        <v>8</v>
      </c>
      <c r="L2144" s="3">
        <v>11012.43</v>
      </c>
      <c r="M2144" s="3">
        <v>88099.44</v>
      </c>
      <c r="N2144" s="3">
        <v>73781.23</v>
      </c>
      <c r="O2144" s="3">
        <v>14318.21</v>
      </c>
      <c r="P2144" s="3" t="s">
        <v>34</v>
      </c>
    </row>
    <row r="2145" spans="1:16" x14ac:dyDescent="0.35">
      <c r="A2145" s="3" t="s">
        <v>3478</v>
      </c>
      <c r="B2145" s="3" t="s">
        <v>1525</v>
      </c>
      <c r="C2145" s="3" t="s">
        <v>57</v>
      </c>
      <c r="D2145" s="3" t="s">
        <v>38</v>
      </c>
      <c r="E2145" s="3" t="s">
        <v>104</v>
      </c>
      <c r="F2145" s="3" t="s">
        <v>104</v>
      </c>
      <c r="G2145" s="3" t="s">
        <v>22</v>
      </c>
      <c r="H2145" s="3" t="s">
        <v>93</v>
      </c>
      <c r="I2145" s="3" t="s">
        <v>3479</v>
      </c>
      <c r="J2145" s="3" t="s">
        <v>100</v>
      </c>
      <c r="K2145" s="3">
        <v>2</v>
      </c>
      <c r="L2145" s="3">
        <v>6705.26</v>
      </c>
      <c r="M2145" s="3">
        <v>13410.52</v>
      </c>
      <c r="N2145" s="3">
        <v>10321.049999999999</v>
      </c>
      <c r="O2145" s="3">
        <v>3089.47</v>
      </c>
      <c r="P2145" s="3" t="s">
        <v>45</v>
      </c>
    </row>
    <row r="2146" spans="1:16" x14ac:dyDescent="0.35">
      <c r="A2146" s="3" t="s">
        <v>3480</v>
      </c>
      <c r="B2146" s="3" t="s">
        <v>333</v>
      </c>
      <c r="C2146" s="3" t="s">
        <v>118</v>
      </c>
      <c r="D2146" s="3" t="s">
        <v>58</v>
      </c>
      <c r="E2146" s="3" t="s">
        <v>176</v>
      </c>
      <c r="F2146" s="3" t="s">
        <v>177</v>
      </c>
      <c r="G2146" s="3" t="s">
        <v>41</v>
      </c>
      <c r="H2146" s="3" t="s">
        <v>138</v>
      </c>
      <c r="I2146" s="3" t="s">
        <v>1217</v>
      </c>
      <c r="J2146" s="3" t="s">
        <v>154</v>
      </c>
      <c r="K2146" s="3">
        <v>5</v>
      </c>
      <c r="L2146" s="3">
        <v>17045.330000000002</v>
      </c>
      <c r="M2146" s="3">
        <v>85226.65</v>
      </c>
      <c r="N2146" s="3">
        <v>67984.23</v>
      </c>
      <c r="O2146" s="3">
        <v>17242.419999999998</v>
      </c>
      <c r="P2146" s="3" t="s">
        <v>69</v>
      </c>
    </row>
    <row r="2147" spans="1:16" x14ac:dyDescent="0.35">
      <c r="A2147" s="3" t="s">
        <v>3481</v>
      </c>
      <c r="B2147" s="3" t="s">
        <v>3482</v>
      </c>
      <c r="C2147" s="3" t="s">
        <v>57</v>
      </c>
      <c r="D2147" s="3" t="s">
        <v>90</v>
      </c>
      <c r="E2147" s="3" t="s">
        <v>91</v>
      </c>
      <c r="F2147" s="3" t="s">
        <v>92</v>
      </c>
      <c r="G2147" s="3" t="s">
        <v>22</v>
      </c>
      <c r="H2147" s="3" t="s">
        <v>23</v>
      </c>
      <c r="I2147" s="3" t="s">
        <v>622</v>
      </c>
      <c r="J2147" s="3" t="s">
        <v>217</v>
      </c>
      <c r="K2147" s="3">
        <v>6</v>
      </c>
      <c r="L2147" s="3">
        <v>3780.58</v>
      </c>
      <c r="M2147" s="3">
        <v>22683.48</v>
      </c>
      <c r="N2147" s="3">
        <v>13085.28</v>
      </c>
      <c r="O2147" s="3">
        <v>9598.2000000000007</v>
      </c>
      <c r="P2147" s="3" t="s">
        <v>34</v>
      </c>
    </row>
    <row r="2148" spans="1:16" x14ac:dyDescent="0.35">
      <c r="A2148" s="3" t="s">
        <v>3483</v>
      </c>
      <c r="B2148" s="3" t="s">
        <v>924</v>
      </c>
      <c r="C2148" s="3" t="s">
        <v>18</v>
      </c>
      <c r="D2148" s="3" t="s">
        <v>90</v>
      </c>
      <c r="E2148" s="3" t="s">
        <v>119</v>
      </c>
      <c r="F2148" s="3" t="s">
        <v>120</v>
      </c>
      <c r="G2148" s="3" t="s">
        <v>41</v>
      </c>
      <c r="H2148" s="3" t="s">
        <v>42</v>
      </c>
      <c r="I2148" s="3" t="s">
        <v>1658</v>
      </c>
      <c r="J2148" s="3" t="s">
        <v>79</v>
      </c>
      <c r="K2148" s="3">
        <v>1</v>
      </c>
      <c r="L2148" s="3">
        <v>46480.13</v>
      </c>
      <c r="M2148" s="3">
        <v>46480.13</v>
      </c>
      <c r="N2148" s="3">
        <v>36597.43</v>
      </c>
      <c r="O2148" s="3">
        <v>9882.7000000000007</v>
      </c>
      <c r="P2148" s="3" t="s">
        <v>45</v>
      </c>
    </row>
    <row r="2149" spans="1:16" x14ac:dyDescent="0.35">
      <c r="A2149" s="3" t="s">
        <v>3484</v>
      </c>
      <c r="B2149" s="3" t="s">
        <v>407</v>
      </c>
      <c r="C2149" s="3" t="s">
        <v>48</v>
      </c>
      <c r="D2149" s="3" t="s">
        <v>19</v>
      </c>
      <c r="E2149" s="3" t="s">
        <v>49</v>
      </c>
      <c r="F2149" s="3" t="s">
        <v>50</v>
      </c>
      <c r="G2149" s="3" t="s">
        <v>22</v>
      </c>
      <c r="H2149" s="3" t="s">
        <v>23</v>
      </c>
      <c r="I2149" s="3" t="s">
        <v>3485</v>
      </c>
      <c r="J2149" s="3" t="s">
        <v>147</v>
      </c>
      <c r="K2149" s="3">
        <v>4</v>
      </c>
      <c r="L2149" s="3">
        <v>3312.24</v>
      </c>
      <c r="M2149" s="3">
        <v>13248.96</v>
      </c>
      <c r="N2149" s="3">
        <v>8789.59</v>
      </c>
      <c r="O2149" s="3">
        <v>4459.37</v>
      </c>
      <c r="P2149" s="3" t="s">
        <v>26</v>
      </c>
    </row>
    <row r="2150" spans="1:16" x14ac:dyDescent="0.35">
      <c r="A2150" s="3" t="s">
        <v>3486</v>
      </c>
      <c r="B2150" s="3" t="s">
        <v>183</v>
      </c>
      <c r="C2150" s="3" t="s">
        <v>114</v>
      </c>
      <c r="D2150" s="3" t="s">
        <v>58</v>
      </c>
      <c r="E2150" s="3" t="s">
        <v>65</v>
      </c>
      <c r="F2150" s="3" t="s">
        <v>66</v>
      </c>
      <c r="G2150" s="3" t="s">
        <v>41</v>
      </c>
      <c r="H2150" s="3" t="s">
        <v>61</v>
      </c>
      <c r="I2150" s="3" t="s">
        <v>3487</v>
      </c>
      <c r="J2150" s="3" t="s">
        <v>33</v>
      </c>
      <c r="K2150" s="3">
        <v>2</v>
      </c>
      <c r="L2150" s="3">
        <v>2543.42</v>
      </c>
      <c r="M2150" s="3">
        <v>5086.84</v>
      </c>
      <c r="N2150" s="3">
        <v>3179.71</v>
      </c>
      <c r="O2150" s="3">
        <v>1907.13</v>
      </c>
      <c r="P2150" s="3" t="s">
        <v>45</v>
      </c>
    </row>
    <row r="2151" spans="1:16" x14ac:dyDescent="0.35">
      <c r="A2151" s="3" t="s">
        <v>3488</v>
      </c>
      <c r="B2151" s="3" t="s">
        <v>1997</v>
      </c>
      <c r="C2151" s="3" t="s">
        <v>114</v>
      </c>
      <c r="D2151" s="3" t="s">
        <v>58</v>
      </c>
      <c r="E2151" s="3" t="s">
        <v>59</v>
      </c>
      <c r="F2151" s="3" t="s">
        <v>60</v>
      </c>
      <c r="G2151" s="3" t="s">
        <v>22</v>
      </c>
      <c r="H2151" s="3" t="s">
        <v>93</v>
      </c>
      <c r="I2151" s="3" t="s">
        <v>3489</v>
      </c>
      <c r="J2151" s="3" t="s">
        <v>147</v>
      </c>
      <c r="K2151" s="3">
        <v>8</v>
      </c>
      <c r="L2151" s="3">
        <v>6693.91</v>
      </c>
      <c r="M2151" s="3">
        <v>53551.28</v>
      </c>
      <c r="N2151" s="3">
        <v>41180.9</v>
      </c>
      <c r="O2151" s="3">
        <v>12370.38</v>
      </c>
      <c r="P2151" s="3" t="s">
        <v>69</v>
      </c>
    </row>
    <row r="2152" spans="1:16" x14ac:dyDescent="0.35">
      <c r="A2152" s="3" t="s">
        <v>3490</v>
      </c>
      <c r="B2152" s="3" t="s">
        <v>621</v>
      </c>
      <c r="C2152" s="3" t="s">
        <v>118</v>
      </c>
      <c r="D2152" s="3" t="s">
        <v>38</v>
      </c>
      <c r="E2152" s="3" t="s">
        <v>104</v>
      </c>
      <c r="F2152" s="3" t="s">
        <v>104</v>
      </c>
      <c r="G2152" s="3" t="s">
        <v>41</v>
      </c>
      <c r="H2152" s="3" t="s">
        <v>61</v>
      </c>
      <c r="I2152" s="3" t="s">
        <v>277</v>
      </c>
      <c r="J2152" s="3" t="s">
        <v>44</v>
      </c>
      <c r="K2152" s="3">
        <v>7</v>
      </c>
      <c r="L2152" s="3">
        <v>2480.7600000000002</v>
      </c>
      <c r="M2152" s="3">
        <v>17365.32</v>
      </c>
      <c r="N2152" s="3">
        <v>11148.64</v>
      </c>
      <c r="O2152" s="3">
        <v>6216.68</v>
      </c>
      <c r="P2152" s="3" t="s">
        <v>69</v>
      </c>
    </row>
    <row r="2153" spans="1:16" x14ac:dyDescent="0.35">
      <c r="A2153" s="3" t="s">
        <v>3491</v>
      </c>
      <c r="B2153" s="3" t="s">
        <v>265</v>
      </c>
      <c r="C2153" s="3" t="s">
        <v>37</v>
      </c>
      <c r="D2153" s="3" t="s">
        <v>38</v>
      </c>
      <c r="E2153" s="3" t="s">
        <v>39</v>
      </c>
      <c r="F2153" s="3" t="s">
        <v>40</v>
      </c>
      <c r="G2153" s="3" t="s">
        <v>41</v>
      </c>
      <c r="H2153" s="3" t="s">
        <v>138</v>
      </c>
      <c r="I2153" s="3" t="s">
        <v>115</v>
      </c>
      <c r="J2153" s="3" t="s">
        <v>161</v>
      </c>
      <c r="K2153" s="3">
        <v>5</v>
      </c>
      <c r="L2153" s="3">
        <v>16905.689999999999</v>
      </c>
      <c r="M2153" s="3">
        <v>84528.45</v>
      </c>
      <c r="N2153" s="3">
        <v>73045.86</v>
      </c>
      <c r="O2153" s="3">
        <v>11482.59</v>
      </c>
      <c r="P2153" s="3" t="s">
        <v>45</v>
      </c>
    </row>
    <row r="2154" spans="1:16" x14ac:dyDescent="0.35">
      <c r="A2154" s="3" t="s">
        <v>3492</v>
      </c>
      <c r="B2154" s="3" t="s">
        <v>2480</v>
      </c>
      <c r="C2154" s="3" t="s">
        <v>37</v>
      </c>
      <c r="D2154" s="3" t="s">
        <v>38</v>
      </c>
      <c r="E2154" s="3" t="s">
        <v>39</v>
      </c>
      <c r="F2154" s="3" t="s">
        <v>40</v>
      </c>
      <c r="G2154" s="3" t="s">
        <v>22</v>
      </c>
      <c r="H2154" s="3" t="s">
        <v>93</v>
      </c>
      <c r="I2154" s="3" t="s">
        <v>3435</v>
      </c>
      <c r="J2154" s="3" t="s">
        <v>85</v>
      </c>
      <c r="K2154" s="3">
        <v>5</v>
      </c>
      <c r="L2154" s="3">
        <v>7598.48</v>
      </c>
      <c r="M2154" s="3">
        <v>37992.400000000001</v>
      </c>
      <c r="N2154" s="3">
        <v>24251.8</v>
      </c>
      <c r="O2154" s="3">
        <v>13740.6</v>
      </c>
      <c r="P2154" s="3" t="s">
        <v>26</v>
      </c>
    </row>
    <row r="2155" spans="1:16" x14ac:dyDescent="0.35">
      <c r="A2155" s="3" t="s">
        <v>3493</v>
      </c>
      <c r="B2155" s="3" t="s">
        <v>1912</v>
      </c>
      <c r="C2155" s="3" t="s">
        <v>137</v>
      </c>
      <c r="D2155" s="3" t="s">
        <v>90</v>
      </c>
      <c r="E2155" s="3" t="s">
        <v>91</v>
      </c>
      <c r="F2155" s="3" t="s">
        <v>92</v>
      </c>
      <c r="G2155" s="3" t="s">
        <v>22</v>
      </c>
      <c r="H2155" s="3" t="s">
        <v>23</v>
      </c>
      <c r="I2155" s="3" t="s">
        <v>2608</v>
      </c>
      <c r="J2155" s="3" t="s">
        <v>79</v>
      </c>
      <c r="K2155" s="3">
        <v>8</v>
      </c>
      <c r="L2155" s="3">
        <v>3263.7</v>
      </c>
      <c r="M2155" s="3">
        <v>26109.599999999999</v>
      </c>
      <c r="N2155" s="3">
        <v>18408.32</v>
      </c>
      <c r="O2155" s="3">
        <v>7701.28</v>
      </c>
      <c r="P2155" s="3" t="s">
        <v>86</v>
      </c>
    </row>
    <row r="2156" spans="1:16" x14ac:dyDescent="0.35">
      <c r="A2156" s="3" t="s">
        <v>3494</v>
      </c>
      <c r="B2156" s="3" t="s">
        <v>678</v>
      </c>
      <c r="C2156" s="3" t="s">
        <v>137</v>
      </c>
      <c r="D2156" s="3" t="s">
        <v>38</v>
      </c>
      <c r="E2156" s="3" t="s">
        <v>39</v>
      </c>
      <c r="F2156" s="3" t="s">
        <v>40</v>
      </c>
      <c r="G2156" s="3" t="s">
        <v>51</v>
      </c>
      <c r="H2156" s="3" t="s">
        <v>52</v>
      </c>
      <c r="I2156" s="3" t="s">
        <v>1959</v>
      </c>
      <c r="J2156" s="3" t="s">
        <v>25</v>
      </c>
      <c r="K2156" s="3">
        <v>7</v>
      </c>
      <c r="L2156" s="3">
        <v>22.78</v>
      </c>
      <c r="M2156" s="3">
        <v>159.46</v>
      </c>
      <c r="N2156" s="3">
        <v>66.739999999999995</v>
      </c>
      <c r="O2156" s="3">
        <v>92.72</v>
      </c>
      <c r="P2156" s="3" t="s">
        <v>86</v>
      </c>
    </row>
    <row r="2157" spans="1:16" x14ac:dyDescent="0.35">
      <c r="A2157" s="3" t="s">
        <v>3495</v>
      </c>
      <c r="B2157" s="3" t="s">
        <v>2801</v>
      </c>
      <c r="C2157" s="3" t="s">
        <v>29</v>
      </c>
      <c r="D2157" s="3" t="s">
        <v>38</v>
      </c>
      <c r="E2157" s="3" t="s">
        <v>39</v>
      </c>
      <c r="F2157" s="3" t="s">
        <v>40</v>
      </c>
      <c r="G2157" s="3" t="s">
        <v>41</v>
      </c>
      <c r="H2157" s="3" t="s">
        <v>138</v>
      </c>
      <c r="I2157" s="3" t="s">
        <v>78</v>
      </c>
      <c r="J2157" s="3" t="s">
        <v>54</v>
      </c>
      <c r="K2157" s="3">
        <v>1</v>
      </c>
      <c r="L2157" s="3">
        <v>19077.32</v>
      </c>
      <c r="M2157" s="3">
        <v>19077.32</v>
      </c>
      <c r="N2157" s="3">
        <v>14420.65</v>
      </c>
      <c r="O2157" s="3">
        <v>4656.67</v>
      </c>
      <c r="P2157" s="3" t="s">
        <v>69</v>
      </c>
    </row>
    <row r="2158" spans="1:16" x14ac:dyDescent="0.35">
      <c r="A2158" s="3" t="s">
        <v>3496</v>
      </c>
      <c r="B2158" s="3" t="s">
        <v>239</v>
      </c>
      <c r="C2158" s="3" t="s">
        <v>72</v>
      </c>
      <c r="D2158" s="3" t="s">
        <v>19</v>
      </c>
      <c r="E2158" s="3" t="s">
        <v>20</v>
      </c>
      <c r="F2158" s="3" t="s">
        <v>21</v>
      </c>
      <c r="G2158" s="3" t="s">
        <v>22</v>
      </c>
      <c r="H2158" s="3" t="s">
        <v>93</v>
      </c>
      <c r="I2158" s="3" t="s">
        <v>2083</v>
      </c>
      <c r="J2158" s="3" t="s">
        <v>131</v>
      </c>
      <c r="K2158" s="3">
        <v>8</v>
      </c>
      <c r="L2158" s="3">
        <v>7181.88</v>
      </c>
      <c r="M2158" s="3">
        <v>57455.040000000001</v>
      </c>
      <c r="N2158" s="3">
        <v>41407.35</v>
      </c>
      <c r="O2158" s="3">
        <v>16047.69</v>
      </c>
      <c r="P2158" s="3" t="s">
        <v>34</v>
      </c>
    </row>
    <row r="2159" spans="1:16" x14ac:dyDescent="0.35">
      <c r="A2159" s="3" t="s">
        <v>3497</v>
      </c>
      <c r="B2159" s="3" t="s">
        <v>268</v>
      </c>
      <c r="C2159" s="3" t="s">
        <v>18</v>
      </c>
      <c r="D2159" s="3" t="s">
        <v>38</v>
      </c>
      <c r="E2159" s="3" t="s">
        <v>109</v>
      </c>
      <c r="F2159" s="3" t="s">
        <v>110</v>
      </c>
      <c r="G2159" s="3" t="s">
        <v>41</v>
      </c>
      <c r="H2159" s="3" t="s">
        <v>42</v>
      </c>
      <c r="I2159" s="3" t="s">
        <v>2513</v>
      </c>
      <c r="J2159" s="3" t="s">
        <v>44</v>
      </c>
      <c r="K2159" s="3">
        <v>4</v>
      </c>
      <c r="L2159" s="3">
        <v>41122.620000000003</v>
      </c>
      <c r="M2159" s="3">
        <v>164490.48000000001</v>
      </c>
      <c r="N2159" s="3">
        <v>145499.53</v>
      </c>
      <c r="O2159" s="3">
        <v>18990.95</v>
      </c>
      <c r="P2159" s="3" t="s">
        <v>45</v>
      </c>
    </row>
    <row r="2160" spans="1:16" x14ac:dyDescent="0.35">
      <c r="A2160" s="3" t="s">
        <v>3498</v>
      </c>
      <c r="B2160" s="3" t="s">
        <v>1733</v>
      </c>
      <c r="C2160" s="3" t="s">
        <v>137</v>
      </c>
      <c r="D2160" s="3" t="s">
        <v>19</v>
      </c>
      <c r="E2160" s="3" t="s">
        <v>199</v>
      </c>
      <c r="F2160" s="3" t="s">
        <v>200</v>
      </c>
      <c r="G2160" s="3" t="s">
        <v>30</v>
      </c>
      <c r="H2160" s="3" t="s">
        <v>67</v>
      </c>
      <c r="I2160" s="3" t="s">
        <v>3499</v>
      </c>
      <c r="J2160" s="3" t="s">
        <v>85</v>
      </c>
      <c r="K2160" s="3">
        <v>5</v>
      </c>
      <c r="L2160" s="3">
        <v>9319.2000000000007</v>
      </c>
      <c r="M2160" s="3">
        <v>46596</v>
      </c>
      <c r="N2160" s="3">
        <v>37608.980000000003</v>
      </c>
      <c r="O2160" s="3">
        <v>8987.02</v>
      </c>
      <c r="P2160" s="3" t="s">
        <v>45</v>
      </c>
    </row>
    <row r="2161" spans="1:16" x14ac:dyDescent="0.35">
      <c r="A2161" s="3" t="s">
        <v>3500</v>
      </c>
      <c r="B2161" s="3" t="s">
        <v>777</v>
      </c>
      <c r="C2161" s="3" t="s">
        <v>72</v>
      </c>
      <c r="D2161" s="3" t="s">
        <v>19</v>
      </c>
      <c r="E2161" s="3" t="s">
        <v>20</v>
      </c>
      <c r="F2161" s="3" t="s">
        <v>21</v>
      </c>
      <c r="G2161" s="3" t="s">
        <v>51</v>
      </c>
      <c r="H2161" s="3" t="s">
        <v>145</v>
      </c>
      <c r="I2161" s="3" t="s">
        <v>3501</v>
      </c>
      <c r="J2161" s="3" t="s">
        <v>217</v>
      </c>
      <c r="K2161" s="3">
        <v>4</v>
      </c>
      <c r="L2161" s="3">
        <v>108.97</v>
      </c>
      <c r="M2161" s="3">
        <v>435.88</v>
      </c>
      <c r="N2161" s="3">
        <v>245.59</v>
      </c>
      <c r="O2161" s="3">
        <v>190.29</v>
      </c>
      <c r="P2161" s="3" t="s">
        <v>34</v>
      </c>
    </row>
    <row r="2162" spans="1:16" x14ac:dyDescent="0.35">
      <c r="A2162" s="3" t="s">
        <v>3502</v>
      </c>
      <c r="B2162" s="3" t="s">
        <v>880</v>
      </c>
      <c r="C2162" s="3" t="s">
        <v>114</v>
      </c>
      <c r="D2162" s="3" t="s">
        <v>19</v>
      </c>
      <c r="E2162" s="3" t="s">
        <v>20</v>
      </c>
      <c r="F2162" s="3" t="s">
        <v>21</v>
      </c>
      <c r="G2162" s="3" t="s">
        <v>41</v>
      </c>
      <c r="H2162" s="3" t="s">
        <v>61</v>
      </c>
      <c r="I2162" s="3" t="s">
        <v>1808</v>
      </c>
      <c r="J2162" s="3" t="s">
        <v>171</v>
      </c>
      <c r="K2162" s="3">
        <v>2</v>
      </c>
      <c r="L2162" s="3">
        <v>2571.7800000000002</v>
      </c>
      <c r="M2162" s="3">
        <v>5143.5600000000004</v>
      </c>
      <c r="N2162" s="3">
        <v>3144.48</v>
      </c>
      <c r="O2162" s="3">
        <v>1999.08</v>
      </c>
      <c r="P2162" s="3" t="s">
        <v>34</v>
      </c>
    </row>
    <row r="2163" spans="1:16" x14ac:dyDescent="0.35">
      <c r="A2163" s="3" t="s">
        <v>3503</v>
      </c>
      <c r="B2163" s="3" t="s">
        <v>1113</v>
      </c>
      <c r="C2163" s="3" t="s">
        <v>82</v>
      </c>
      <c r="D2163" s="3" t="s">
        <v>38</v>
      </c>
      <c r="E2163" s="3" t="s">
        <v>104</v>
      </c>
      <c r="F2163" s="3" t="s">
        <v>104</v>
      </c>
      <c r="G2163" s="3" t="s">
        <v>41</v>
      </c>
      <c r="H2163" s="3" t="s">
        <v>61</v>
      </c>
      <c r="I2163" s="3" t="s">
        <v>160</v>
      </c>
      <c r="J2163" s="3" t="s">
        <v>161</v>
      </c>
      <c r="K2163" s="3">
        <v>2</v>
      </c>
      <c r="L2163" s="3">
        <v>2372.56</v>
      </c>
      <c r="M2163" s="3">
        <v>4745.12</v>
      </c>
      <c r="N2163" s="3">
        <v>3350.13</v>
      </c>
      <c r="O2163" s="3">
        <v>1394.99</v>
      </c>
      <c r="P2163" s="3" t="s">
        <v>34</v>
      </c>
    </row>
    <row r="2164" spans="1:16" x14ac:dyDescent="0.35">
      <c r="A2164" s="3" t="s">
        <v>3504</v>
      </c>
      <c r="B2164" s="3" t="s">
        <v>242</v>
      </c>
      <c r="C2164" s="3" t="s">
        <v>137</v>
      </c>
      <c r="D2164" s="3" t="s">
        <v>58</v>
      </c>
      <c r="E2164" s="3" t="s">
        <v>176</v>
      </c>
      <c r="F2164" s="3" t="s">
        <v>177</v>
      </c>
      <c r="G2164" s="3" t="s">
        <v>30</v>
      </c>
      <c r="H2164" s="3" t="s">
        <v>31</v>
      </c>
      <c r="I2164" s="3" t="s">
        <v>3161</v>
      </c>
      <c r="J2164" s="3" t="s">
        <v>147</v>
      </c>
      <c r="K2164" s="3">
        <v>4</v>
      </c>
      <c r="L2164" s="3">
        <v>2958.01</v>
      </c>
      <c r="M2164" s="3">
        <v>11832.04</v>
      </c>
      <c r="N2164" s="3">
        <v>7940.66</v>
      </c>
      <c r="O2164" s="3">
        <v>3891.38</v>
      </c>
      <c r="P2164" s="3" t="s">
        <v>34</v>
      </c>
    </row>
    <row r="2165" spans="1:16" x14ac:dyDescent="0.35">
      <c r="A2165" s="3" t="s">
        <v>3505</v>
      </c>
      <c r="B2165" s="3" t="s">
        <v>949</v>
      </c>
      <c r="C2165" s="3" t="s">
        <v>18</v>
      </c>
      <c r="D2165" s="3" t="s">
        <v>19</v>
      </c>
      <c r="E2165" s="3" t="s">
        <v>20</v>
      </c>
      <c r="F2165" s="3" t="s">
        <v>21</v>
      </c>
      <c r="G2165" s="3" t="s">
        <v>41</v>
      </c>
      <c r="H2165" s="3" t="s">
        <v>61</v>
      </c>
      <c r="I2165" s="3" t="s">
        <v>3506</v>
      </c>
      <c r="J2165" s="3" t="s">
        <v>131</v>
      </c>
      <c r="K2165" s="3">
        <v>7</v>
      </c>
      <c r="L2165" s="3">
        <v>2680.89</v>
      </c>
      <c r="M2165" s="3">
        <v>18766.23</v>
      </c>
      <c r="N2165" s="3">
        <v>11208.61</v>
      </c>
      <c r="O2165" s="3">
        <v>7557.62</v>
      </c>
      <c r="P2165" s="3" t="s">
        <v>34</v>
      </c>
    </row>
    <row r="2166" spans="1:16" x14ac:dyDescent="0.35">
      <c r="A2166" s="3" t="s">
        <v>3507</v>
      </c>
      <c r="B2166" s="3" t="s">
        <v>1435</v>
      </c>
      <c r="C2166" s="3" t="s">
        <v>137</v>
      </c>
      <c r="D2166" s="3" t="s">
        <v>58</v>
      </c>
      <c r="E2166" s="3" t="s">
        <v>65</v>
      </c>
      <c r="F2166" s="3" t="s">
        <v>66</v>
      </c>
      <c r="G2166" s="3" t="s">
        <v>22</v>
      </c>
      <c r="H2166" s="3" t="s">
        <v>23</v>
      </c>
      <c r="I2166" s="3" t="s">
        <v>824</v>
      </c>
      <c r="J2166" s="3" t="s">
        <v>188</v>
      </c>
      <c r="K2166" s="3">
        <v>5</v>
      </c>
      <c r="L2166" s="3">
        <v>3390</v>
      </c>
      <c r="M2166" s="3">
        <v>16950</v>
      </c>
      <c r="N2166" s="3">
        <v>10551.45</v>
      </c>
      <c r="O2166" s="3">
        <v>6398.55</v>
      </c>
      <c r="P2166" s="3" t="s">
        <v>26</v>
      </c>
    </row>
    <row r="2167" spans="1:16" x14ac:dyDescent="0.35">
      <c r="A2167" s="3" t="s">
        <v>3508</v>
      </c>
      <c r="B2167" s="3" t="s">
        <v>1644</v>
      </c>
      <c r="C2167" s="3" t="s">
        <v>118</v>
      </c>
      <c r="D2167" s="3" t="s">
        <v>19</v>
      </c>
      <c r="E2167" s="3" t="s">
        <v>20</v>
      </c>
      <c r="F2167" s="3" t="s">
        <v>21</v>
      </c>
      <c r="G2167" s="3" t="s">
        <v>30</v>
      </c>
      <c r="H2167" s="3" t="s">
        <v>73</v>
      </c>
      <c r="I2167" s="3" t="s">
        <v>1637</v>
      </c>
      <c r="J2167" s="3" t="s">
        <v>44</v>
      </c>
      <c r="K2167" s="3">
        <v>2</v>
      </c>
      <c r="L2167" s="3">
        <v>2956.48</v>
      </c>
      <c r="M2167" s="3">
        <v>5912.96</v>
      </c>
      <c r="N2167" s="3">
        <v>4613.7299999999996</v>
      </c>
      <c r="O2167" s="3">
        <v>1299.23</v>
      </c>
      <c r="P2167" s="3" t="s">
        <v>86</v>
      </c>
    </row>
    <row r="2168" spans="1:16" x14ac:dyDescent="0.35">
      <c r="A2168" s="3" t="s">
        <v>3509</v>
      </c>
      <c r="B2168" s="3" t="s">
        <v>1910</v>
      </c>
      <c r="C2168" s="3" t="s">
        <v>29</v>
      </c>
      <c r="D2168" s="3" t="s">
        <v>58</v>
      </c>
      <c r="E2168" s="3" t="s">
        <v>176</v>
      </c>
      <c r="F2168" s="3" t="s">
        <v>177</v>
      </c>
      <c r="G2168" s="3" t="s">
        <v>30</v>
      </c>
      <c r="H2168" s="3" t="s">
        <v>67</v>
      </c>
      <c r="I2168" s="3" t="s">
        <v>1114</v>
      </c>
      <c r="J2168" s="3" t="s">
        <v>25</v>
      </c>
      <c r="K2168" s="3">
        <v>2</v>
      </c>
      <c r="L2168" s="3">
        <v>9056.3700000000008</v>
      </c>
      <c r="M2168" s="3">
        <v>18112.740000000002</v>
      </c>
      <c r="N2168" s="3">
        <v>14965.02</v>
      </c>
      <c r="O2168" s="3">
        <v>3147.72</v>
      </c>
      <c r="P2168" s="3" t="s">
        <v>86</v>
      </c>
    </row>
    <row r="2169" spans="1:16" x14ac:dyDescent="0.35">
      <c r="A2169" s="3" t="s">
        <v>3510</v>
      </c>
      <c r="B2169" s="3" t="s">
        <v>1471</v>
      </c>
      <c r="C2169" s="3" t="s">
        <v>89</v>
      </c>
      <c r="D2169" s="3" t="s">
        <v>58</v>
      </c>
      <c r="E2169" s="3" t="s">
        <v>59</v>
      </c>
      <c r="F2169" s="3" t="s">
        <v>60</v>
      </c>
      <c r="G2169" s="3" t="s">
        <v>22</v>
      </c>
      <c r="H2169" s="3" t="s">
        <v>23</v>
      </c>
      <c r="I2169" s="3" t="s">
        <v>1253</v>
      </c>
      <c r="J2169" s="3" t="s">
        <v>131</v>
      </c>
      <c r="K2169" s="3">
        <v>3</v>
      </c>
      <c r="L2169" s="3">
        <v>3514.02</v>
      </c>
      <c r="M2169" s="3">
        <v>10542.06</v>
      </c>
      <c r="N2169" s="3">
        <v>6854.4</v>
      </c>
      <c r="O2169" s="3">
        <v>3687.66</v>
      </c>
      <c r="P2169" s="3" t="s">
        <v>86</v>
      </c>
    </row>
    <row r="2170" spans="1:16" x14ac:dyDescent="0.35">
      <c r="A2170" s="3" t="s">
        <v>3511</v>
      </c>
      <c r="B2170" s="3" t="s">
        <v>911</v>
      </c>
      <c r="C2170" s="3" t="s">
        <v>72</v>
      </c>
      <c r="D2170" s="3" t="s">
        <v>58</v>
      </c>
      <c r="E2170" s="3" t="s">
        <v>59</v>
      </c>
      <c r="F2170" s="3" t="s">
        <v>60</v>
      </c>
      <c r="G2170" s="3" t="s">
        <v>51</v>
      </c>
      <c r="H2170" s="3" t="s">
        <v>77</v>
      </c>
      <c r="I2170" s="3" t="s">
        <v>3074</v>
      </c>
      <c r="J2170" s="3" t="s">
        <v>54</v>
      </c>
      <c r="K2170" s="3">
        <v>1</v>
      </c>
      <c r="L2170" s="3">
        <v>12626.37</v>
      </c>
      <c r="M2170" s="3">
        <v>12626.37</v>
      </c>
      <c r="N2170" s="3">
        <v>9280.09</v>
      </c>
      <c r="O2170" s="3">
        <v>3346.28</v>
      </c>
      <c r="P2170" s="3" t="s">
        <v>86</v>
      </c>
    </row>
    <row r="2171" spans="1:16" x14ac:dyDescent="0.35">
      <c r="A2171" s="3" t="s">
        <v>3512</v>
      </c>
      <c r="B2171" s="3" t="s">
        <v>438</v>
      </c>
      <c r="C2171" s="3" t="s">
        <v>89</v>
      </c>
      <c r="D2171" s="3" t="s">
        <v>19</v>
      </c>
      <c r="E2171" s="3" t="s">
        <v>20</v>
      </c>
      <c r="F2171" s="3" t="s">
        <v>21</v>
      </c>
      <c r="G2171" s="3" t="s">
        <v>51</v>
      </c>
      <c r="H2171" s="3" t="s">
        <v>77</v>
      </c>
      <c r="I2171" s="3" t="s">
        <v>1896</v>
      </c>
      <c r="J2171" s="3" t="s">
        <v>25</v>
      </c>
      <c r="K2171" s="3">
        <v>5</v>
      </c>
      <c r="L2171" s="3">
        <v>11792.84</v>
      </c>
      <c r="M2171" s="3">
        <v>58964.2</v>
      </c>
      <c r="N2171" s="3">
        <v>43256.09</v>
      </c>
      <c r="O2171" s="3">
        <v>15708.11</v>
      </c>
      <c r="P2171" s="3" t="s">
        <v>69</v>
      </c>
    </row>
    <row r="2172" spans="1:16" x14ac:dyDescent="0.35">
      <c r="A2172" s="3" t="s">
        <v>3513</v>
      </c>
      <c r="B2172" s="3" t="s">
        <v>802</v>
      </c>
      <c r="C2172" s="3" t="s">
        <v>118</v>
      </c>
      <c r="D2172" s="3" t="s">
        <v>38</v>
      </c>
      <c r="E2172" s="3" t="s">
        <v>104</v>
      </c>
      <c r="F2172" s="3" t="s">
        <v>104</v>
      </c>
      <c r="G2172" s="3" t="s">
        <v>22</v>
      </c>
      <c r="H2172" s="3" t="s">
        <v>93</v>
      </c>
      <c r="I2172" s="3" t="s">
        <v>2623</v>
      </c>
      <c r="J2172" s="3" t="s">
        <v>188</v>
      </c>
      <c r="K2172" s="3">
        <v>5</v>
      </c>
      <c r="L2172" s="3">
        <v>7096.94</v>
      </c>
      <c r="M2172" s="3">
        <v>35484.699999999997</v>
      </c>
      <c r="N2172" s="3">
        <v>23949.68</v>
      </c>
      <c r="O2172" s="3">
        <v>11535.02</v>
      </c>
      <c r="P2172" s="3" t="s">
        <v>26</v>
      </c>
    </row>
    <row r="2173" spans="1:16" x14ac:dyDescent="0.35">
      <c r="A2173" s="3" t="s">
        <v>3514</v>
      </c>
      <c r="B2173" s="3" t="s">
        <v>916</v>
      </c>
      <c r="C2173" s="3" t="s">
        <v>103</v>
      </c>
      <c r="D2173" s="3" t="s">
        <v>38</v>
      </c>
      <c r="E2173" s="3" t="s">
        <v>39</v>
      </c>
      <c r="F2173" s="3" t="s">
        <v>40</v>
      </c>
      <c r="G2173" s="3" t="s">
        <v>51</v>
      </c>
      <c r="H2173" s="3" t="s">
        <v>52</v>
      </c>
      <c r="I2173" s="3" t="s">
        <v>1830</v>
      </c>
      <c r="J2173" s="3" t="s">
        <v>100</v>
      </c>
      <c r="K2173" s="3">
        <v>4</v>
      </c>
      <c r="L2173" s="3">
        <v>23.31</v>
      </c>
      <c r="M2173" s="3">
        <v>93.24</v>
      </c>
      <c r="N2173" s="3">
        <v>39.43</v>
      </c>
      <c r="O2173" s="3">
        <v>53.81</v>
      </c>
      <c r="P2173" s="3" t="s">
        <v>69</v>
      </c>
    </row>
    <row r="2174" spans="1:16" x14ac:dyDescent="0.35">
      <c r="A2174" s="3" t="s">
        <v>3515</v>
      </c>
      <c r="B2174" s="3" t="s">
        <v>1546</v>
      </c>
      <c r="C2174" s="3" t="s">
        <v>82</v>
      </c>
      <c r="D2174" s="3" t="s">
        <v>19</v>
      </c>
      <c r="E2174" s="3" t="s">
        <v>199</v>
      </c>
      <c r="F2174" s="3" t="s">
        <v>200</v>
      </c>
      <c r="G2174" s="3" t="s">
        <v>22</v>
      </c>
      <c r="H2174" s="3" t="s">
        <v>93</v>
      </c>
      <c r="I2174" s="3" t="s">
        <v>3516</v>
      </c>
      <c r="J2174" s="3" t="s">
        <v>154</v>
      </c>
      <c r="K2174" s="3">
        <v>8</v>
      </c>
      <c r="L2174" s="3">
        <v>7525.17</v>
      </c>
      <c r="M2174" s="3">
        <v>60201.36</v>
      </c>
      <c r="N2174" s="3">
        <v>38176.339999999997</v>
      </c>
      <c r="O2174" s="3">
        <v>22025.02</v>
      </c>
      <c r="P2174" s="3" t="s">
        <v>45</v>
      </c>
    </row>
    <row r="2175" spans="1:16" x14ac:dyDescent="0.35">
      <c r="A2175" s="3" t="s">
        <v>3517</v>
      </c>
      <c r="B2175" s="3" t="s">
        <v>916</v>
      </c>
      <c r="C2175" s="3" t="s">
        <v>103</v>
      </c>
      <c r="D2175" s="3" t="s">
        <v>58</v>
      </c>
      <c r="E2175" s="3" t="s">
        <v>59</v>
      </c>
      <c r="F2175" s="3" t="s">
        <v>60</v>
      </c>
      <c r="G2175" s="3" t="s">
        <v>22</v>
      </c>
      <c r="H2175" s="3" t="s">
        <v>23</v>
      </c>
      <c r="I2175" s="3" t="s">
        <v>2967</v>
      </c>
      <c r="J2175" s="3" t="s">
        <v>171</v>
      </c>
      <c r="K2175" s="3">
        <v>3</v>
      </c>
      <c r="L2175" s="3">
        <v>3175.53</v>
      </c>
      <c r="M2175" s="3">
        <v>9526.59</v>
      </c>
      <c r="N2175" s="3">
        <v>6498.37</v>
      </c>
      <c r="O2175" s="3">
        <v>3028.22</v>
      </c>
      <c r="P2175" s="3" t="s">
        <v>86</v>
      </c>
    </row>
    <row r="2176" spans="1:16" x14ac:dyDescent="0.35">
      <c r="A2176" s="3" t="s">
        <v>3518</v>
      </c>
      <c r="B2176" s="3" t="s">
        <v>1752</v>
      </c>
      <c r="C2176" s="3" t="s">
        <v>114</v>
      </c>
      <c r="D2176" s="3" t="s">
        <v>58</v>
      </c>
      <c r="E2176" s="3" t="s">
        <v>176</v>
      </c>
      <c r="F2176" s="3" t="s">
        <v>177</v>
      </c>
      <c r="G2176" s="3" t="s">
        <v>41</v>
      </c>
      <c r="H2176" s="3" t="s">
        <v>42</v>
      </c>
      <c r="I2176" s="3" t="s">
        <v>184</v>
      </c>
      <c r="J2176" s="3" t="s">
        <v>131</v>
      </c>
      <c r="K2176" s="3">
        <v>7</v>
      </c>
      <c r="L2176" s="3">
        <v>45199.39</v>
      </c>
      <c r="M2176" s="3">
        <v>316395.73</v>
      </c>
      <c r="N2176" s="3">
        <v>246476.82</v>
      </c>
      <c r="O2176" s="3">
        <v>69918.91</v>
      </c>
      <c r="P2176" s="3" t="s">
        <v>86</v>
      </c>
    </row>
    <row r="2177" spans="1:16" x14ac:dyDescent="0.35">
      <c r="A2177" s="3" t="s">
        <v>3519</v>
      </c>
      <c r="B2177" s="3" t="s">
        <v>351</v>
      </c>
      <c r="C2177" s="3" t="s">
        <v>114</v>
      </c>
      <c r="D2177" s="3" t="s">
        <v>19</v>
      </c>
      <c r="E2177" s="3" t="s">
        <v>49</v>
      </c>
      <c r="F2177" s="3" t="s">
        <v>50</v>
      </c>
      <c r="G2177" s="3" t="s">
        <v>22</v>
      </c>
      <c r="H2177" s="3" t="s">
        <v>23</v>
      </c>
      <c r="I2177" s="3" t="s">
        <v>905</v>
      </c>
      <c r="J2177" s="3" t="s">
        <v>131</v>
      </c>
      <c r="K2177" s="3">
        <v>5</v>
      </c>
      <c r="L2177" s="3">
        <v>3646.85</v>
      </c>
      <c r="M2177" s="3">
        <v>18234.25</v>
      </c>
      <c r="N2177" s="3">
        <v>11433.89</v>
      </c>
      <c r="O2177" s="3">
        <v>6800.36</v>
      </c>
      <c r="P2177" s="3" t="s">
        <v>45</v>
      </c>
    </row>
    <row r="2178" spans="1:16" x14ac:dyDescent="0.35">
      <c r="A2178" s="3" t="s">
        <v>3520</v>
      </c>
      <c r="B2178" s="3" t="s">
        <v>133</v>
      </c>
      <c r="C2178" s="3" t="s">
        <v>18</v>
      </c>
      <c r="D2178" s="3" t="s">
        <v>90</v>
      </c>
      <c r="E2178" s="3" t="s">
        <v>97</v>
      </c>
      <c r="F2178" s="3" t="s">
        <v>98</v>
      </c>
      <c r="G2178" s="3" t="s">
        <v>30</v>
      </c>
      <c r="H2178" s="3" t="s">
        <v>73</v>
      </c>
      <c r="I2178" s="3" t="s">
        <v>514</v>
      </c>
      <c r="J2178" s="3" t="s">
        <v>154</v>
      </c>
      <c r="K2178" s="3">
        <v>1</v>
      </c>
      <c r="L2178" s="3">
        <v>3348.17</v>
      </c>
      <c r="M2178" s="3">
        <v>3348.17</v>
      </c>
      <c r="N2178" s="3">
        <v>2330.8000000000002</v>
      </c>
      <c r="O2178" s="3">
        <v>1017.37</v>
      </c>
      <c r="P2178" s="3" t="s">
        <v>26</v>
      </c>
    </row>
    <row r="2179" spans="1:16" x14ac:dyDescent="0.35">
      <c r="A2179" s="3" t="s">
        <v>3521</v>
      </c>
      <c r="B2179" s="3" t="s">
        <v>612</v>
      </c>
      <c r="C2179" s="3" t="s">
        <v>57</v>
      </c>
      <c r="D2179" s="3" t="s">
        <v>58</v>
      </c>
      <c r="E2179" s="3" t="s">
        <v>176</v>
      </c>
      <c r="F2179" s="3" t="s">
        <v>177</v>
      </c>
      <c r="G2179" s="3" t="s">
        <v>51</v>
      </c>
      <c r="H2179" s="3" t="s">
        <v>77</v>
      </c>
      <c r="I2179" s="3" t="s">
        <v>210</v>
      </c>
      <c r="J2179" s="3" t="s">
        <v>44</v>
      </c>
      <c r="K2179" s="3">
        <v>5</v>
      </c>
      <c r="L2179" s="3">
        <v>13158.09</v>
      </c>
      <c r="M2179" s="3">
        <v>65790.45</v>
      </c>
      <c r="N2179" s="3">
        <v>46658.38</v>
      </c>
      <c r="O2179" s="3">
        <v>19132.07</v>
      </c>
      <c r="P2179" s="3" t="s">
        <v>69</v>
      </c>
    </row>
    <row r="2180" spans="1:16" x14ac:dyDescent="0.35">
      <c r="A2180" s="3" t="s">
        <v>3522</v>
      </c>
      <c r="B2180" s="3" t="s">
        <v>539</v>
      </c>
      <c r="C2180" s="3" t="s">
        <v>89</v>
      </c>
      <c r="D2180" s="3" t="s">
        <v>38</v>
      </c>
      <c r="E2180" s="3" t="s">
        <v>104</v>
      </c>
      <c r="F2180" s="3" t="s">
        <v>104</v>
      </c>
      <c r="G2180" s="3" t="s">
        <v>51</v>
      </c>
      <c r="H2180" s="3" t="s">
        <v>52</v>
      </c>
      <c r="I2180" s="3" t="s">
        <v>184</v>
      </c>
      <c r="J2180" s="3" t="s">
        <v>54</v>
      </c>
      <c r="K2180" s="3">
        <v>4</v>
      </c>
      <c r="L2180" s="3">
        <v>26.24</v>
      </c>
      <c r="M2180" s="3">
        <v>104.96</v>
      </c>
      <c r="N2180" s="3">
        <v>40</v>
      </c>
      <c r="O2180" s="3">
        <v>64.959999999999994</v>
      </c>
      <c r="P2180" s="3" t="s">
        <v>45</v>
      </c>
    </row>
    <row r="2181" spans="1:16" x14ac:dyDescent="0.35">
      <c r="A2181" s="3" t="s">
        <v>3523</v>
      </c>
      <c r="B2181" s="3" t="s">
        <v>787</v>
      </c>
      <c r="C2181" s="3" t="s">
        <v>37</v>
      </c>
      <c r="D2181" s="3" t="s">
        <v>38</v>
      </c>
      <c r="E2181" s="3" t="s">
        <v>39</v>
      </c>
      <c r="F2181" s="3" t="s">
        <v>40</v>
      </c>
      <c r="G2181" s="3" t="s">
        <v>30</v>
      </c>
      <c r="H2181" s="3" t="s">
        <v>67</v>
      </c>
      <c r="I2181" s="3" t="s">
        <v>3524</v>
      </c>
      <c r="J2181" s="3" t="s">
        <v>131</v>
      </c>
      <c r="K2181" s="3">
        <v>1</v>
      </c>
      <c r="L2181" s="3">
        <v>9973.57</v>
      </c>
      <c r="M2181" s="3">
        <v>9973.57</v>
      </c>
      <c r="N2181" s="3">
        <v>7509.58</v>
      </c>
      <c r="O2181" s="3">
        <v>2463.9899999999998</v>
      </c>
      <c r="P2181" s="3" t="s">
        <v>69</v>
      </c>
    </row>
    <row r="2182" spans="1:16" x14ac:dyDescent="0.35">
      <c r="A2182" s="3" t="s">
        <v>3525</v>
      </c>
      <c r="B2182" s="3" t="s">
        <v>960</v>
      </c>
      <c r="C2182" s="3" t="s">
        <v>114</v>
      </c>
      <c r="D2182" s="3" t="s">
        <v>90</v>
      </c>
      <c r="E2182" s="3" t="s">
        <v>91</v>
      </c>
      <c r="F2182" s="3" t="s">
        <v>92</v>
      </c>
      <c r="G2182" s="3" t="s">
        <v>22</v>
      </c>
      <c r="H2182" s="3" t="s">
        <v>93</v>
      </c>
      <c r="I2182" s="3" t="s">
        <v>3526</v>
      </c>
      <c r="J2182" s="3" t="s">
        <v>33</v>
      </c>
      <c r="K2182" s="3">
        <v>4</v>
      </c>
      <c r="L2182" s="3">
        <v>7477.36</v>
      </c>
      <c r="M2182" s="3">
        <v>29909.439999999999</v>
      </c>
      <c r="N2182" s="3">
        <v>19619.62</v>
      </c>
      <c r="O2182" s="3">
        <v>10289.82</v>
      </c>
      <c r="P2182" s="3" t="s">
        <v>34</v>
      </c>
    </row>
    <row r="2183" spans="1:16" x14ac:dyDescent="0.35">
      <c r="A2183" s="3" t="s">
        <v>3527</v>
      </c>
      <c r="B2183" s="3" t="s">
        <v>607</v>
      </c>
      <c r="C2183" s="3" t="s">
        <v>114</v>
      </c>
      <c r="D2183" s="3" t="s">
        <v>90</v>
      </c>
      <c r="E2183" s="3" t="s">
        <v>91</v>
      </c>
      <c r="F2183" s="3" t="s">
        <v>92</v>
      </c>
      <c r="G2183" s="3" t="s">
        <v>51</v>
      </c>
      <c r="H2183" s="3" t="s">
        <v>77</v>
      </c>
      <c r="I2183" s="3" t="s">
        <v>3528</v>
      </c>
      <c r="J2183" s="3" t="s">
        <v>106</v>
      </c>
      <c r="K2183" s="3">
        <v>4</v>
      </c>
      <c r="L2183" s="3">
        <v>11569.34</v>
      </c>
      <c r="M2183" s="3">
        <v>46277.36</v>
      </c>
      <c r="N2183" s="3">
        <v>35871.19</v>
      </c>
      <c r="O2183" s="3">
        <v>10406.17</v>
      </c>
      <c r="P2183" s="3" t="s">
        <v>45</v>
      </c>
    </row>
    <row r="2184" spans="1:16" x14ac:dyDescent="0.35">
      <c r="A2184" s="3" t="s">
        <v>3529</v>
      </c>
      <c r="B2184" s="3" t="s">
        <v>373</v>
      </c>
      <c r="C2184" s="3" t="s">
        <v>137</v>
      </c>
      <c r="D2184" s="3" t="s">
        <v>38</v>
      </c>
      <c r="E2184" s="3" t="s">
        <v>39</v>
      </c>
      <c r="F2184" s="3" t="s">
        <v>40</v>
      </c>
      <c r="G2184" s="3" t="s">
        <v>22</v>
      </c>
      <c r="H2184" s="3" t="s">
        <v>93</v>
      </c>
      <c r="I2184" s="3" t="s">
        <v>1970</v>
      </c>
      <c r="J2184" s="3" t="s">
        <v>54</v>
      </c>
      <c r="K2184" s="3">
        <v>8</v>
      </c>
      <c r="L2184" s="3">
        <v>7001.38</v>
      </c>
      <c r="M2184" s="3">
        <v>56011.040000000001</v>
      </c>
      <c r="N2184" s="3">
        <v>39071.74</v>
      </c>
      <c r="O2184" s="3">
        <v>16939.3</v>
      </c>
      <c r="P2184" s="3" t="s">
        <v>26</v>
      </c>
    </row>
    <row r="2185" spans="1:16" x14ac:dyDescent="0.35">
      <c r="A2185" s="3" t="s">
        <v>3530</v>
      </c>
      <c r="B2185" s="3" t="s">
        <v>570</v>
      </c>
      <c r="C2185" s="3" t="s">
        <v>18</v>
      </c>
      <c r="D2185" s="3" t="s">
        <v>19</v>
      </c>
      <c r="E2185" s="3" t="s">
        <v>20</v>
      </c>
      <c r="F2185" s="3" t="s">
        <v>21</v>
      </c>
      <c r="G2185" s="3" t="s">
        <v>51</v>
      </c>
      <c r="H2185" s="3" t="s">
        <v>77</v>
      </c>
      <c r="I2185" s="3" t="s">
        <v>78</v>
      </c>
      <c r="J2185" s="3" t="s">
        <v>161</v>
      </c>
      <c r="K2185" s="3">
        <v>5</v>
      </c>
      <c r="L2185" s="3">
        <v>12063.8</v>
      </c>
      <c r="M2185" s="3">
        <v>60319</v>
      </c>
      <c r="N2185" s="3">
        <v>45975.38</v>
      </c>
      <c r="O2185" s="3">
        <v>14343.62</v>
      </c>
      <c r="P2185" s="3" t="s">
        <v>45</v>
      </c>
    </row>
    <row r="2186" spans="1:16" x14ac:dyDescent="0.35">
      <c r="A2186" s="3" t="s">
        <v>3531</v>
      </c>
      <c r="B2186" s="3" t="s">
        <v>144</v>
      </c>
      <c r="C2186" s="3" t="s">
        <v>37</v>
      </c>
      <c r="D2186" s="3" t="s">
        <v>38</v>
      </c>
      <c r="E2186" s="3" t="s">
        <v>104</v>
      </c>
      <c r="F2186" s="3" t="s">
        <v>104</v>
      </c>
      <c r="G2186" s="3" t="s">
        <v>30</v>
      </c>
      <c r="H2186" s="3" t="s">
        <v>31</v>
      </c>
      <c r="I2186" s="3" t="s">
        <v>3532</v>
      </c>
      <c r="J2186" s="3" t="s">
        <v>171</v>
      </c>
      <c r="K2186" s="3">
        <v>8</v>
      </c>
      <c r="L2186" s="3">
        <v>2847.53</v>
      </c>
      <c r="M2186" s="3">
        <v>22780.240000000002</v>
      </c>
      <c r="N2186" s="3">
        <v>14858.39</v>
      </c>
      <c r="O2186" s="3">
        <v>7921.85</v>
      </c>
      <c r="P2186" s="3" t="s">
        <v>86</v>
      </c>
    </row>
    <row r="2187" spans="1:16" x14ac:dyDescent="0.35">
      <c r="A2187" s="3" t="s">
        <v>3533</v>
      </c>
      <c r="B2187" s="3" t="s">
        <v>407</v>
      </c>
      <c r="C2187" s="3" t="s">
        <v>48</v>
      </c>
      <c r="D2187" s="3" t="s">
        <v>38</v>
      </c>
      <c r="E2187" s="3" t="s">
        <v>109</v>
      </c>
      <c r="F2187" s="3" t="s">
        <v>110</v>
      </c>
      <c r="G2187" s="3" t="s">
        <v>22</v>
      </c>
      <c r="H2187" s="3" t="s">
        <v>23</v>
      </c>
      <c r="I2187" s="3" t="s">
        <v>2665</v>
      </c>
      <c r="J2187" s="3" t="s">
        <v>171</v>
      </c>
      <c r="K2187" s="3">
        <v>2</v>
      </c>
      <c r="L2187" s="3">
        <v>3708.01</v>
      </c>
      <c r="M2187" s="3">
        <v>7416.02</v>
      </c>
      <c r="N2187" s="3">
        <v>4235.1400000000003</v>
      </c>
      <c r="O2187" s="3">
        <v>3180.88</v>
      </c>
      <c r="P2187" s="3" t="s">
        <v>86</v>
      </c>
    </row>
    <row r="2188" spans="1:16" x14ac:dyDescent="0.35">
      <c r="A2188" s="3" t="s">
        <v>3534</v>
      </c>
      <c r="B2188" s="3" t="s">
        <v>302</v>
      </c>
      <c r="C2188" s="3" t="s">
        <v>103</v>
      </c>
      <c r="D2188" s="3" t="s">
        <v>58</v>
      </c>
      <c r="E2188" s="3" t="s">
        <v>59</v>
      </c>
      <c r="F2188" s="3" t="s">
        <v>60</v>
      </c>
      <c r="G2188" s="3" t="s">
        <v>22</v>
      </c>
      <c r="H2188" s="3" t="s">
        <v>23</v>
      </c>
      <c r="I2188" s="3" t="s">
        <v>780</v>
      </c>
      <c r="J2188" s="3" t="s">
        <v>171</v>
      </c>
      <c r="K2188" s="3">
        <v>4</v>
      </c>
      <c r="L2188" s="3">
        <v>3349.88</v>
      </c>
      <c r="M2188" s="3">
        <v>13399.52</v>
      </c>
      <c r="N2188" s="3">
        <v>8808.44</v>
      </c>
      <c r="O2188" s="3">
        <v>4591.08</v>
      </c>
      <c r="P2188" s="3" t="s">
        <v>45</v>
      </c>
    </row>
    <row r="2189" spans="1:16" x14ac:dyDescent="0.35">
      <c r="A2189" s="3" t="s">
        <v>3535</v>
      </c>
      <c r="B2189" s="3" t="s">
        <v>305</v>
      </c>
      <c r="C2189" s="3" t="s">
        <v>18</v>
      </c>
      <c r="D2189" s="3" t="s">
        <v>38</v>
      </c>
      <c r="E2189" s="3" t="s">
        <v>104</v>
      </c>
      <c r="F2189" s="3" t="s">
        <v>104</v>
      </c>
      <c r="G2189" s="3" t="s">
        <v>41</v>
      </c>
      <c r="H2189" s="3" t="s">
        <v>42</v>
      </c>
      <c r="I2189" s="3" t="s">
        <v>2547</v>
      </c>
      <c r="J2189" s="3" t="s">
        <v>33</v>
      </c>
      <c r="K2189" s="3">
        <v>6</v>
      </c>
      <c r="L2189" s="3">
        <v>43443.06</v>
      </c>
      <c r="M2189" s="3">
        <v>260658.36</v>
      </c>
      <c r="N2189" s="3">
        <v>214216.14</v>
      </c>
      <c r="O2189" s="3">
        <v>46442.22</v>
      </c>
      <c r="P2189" s="3" t="s">
        <v>26</v>
      </c>
    </row>
    <row r="2190" spans="1:16" x14ac:dyDescent="0.35">
      <c r="A2190" s="3" t="s">
        <v>3536</v>
      </c>
      <c r="B2190" s="3" t="s">
        <v>1053</v>
      </c>
      <c r="C2190" s="3" t="s">
        <v>82</v>
      </c>
      <c r="D2190" s="3" t="s">
        <v>90</v>
      </c>
      <c r="E2190" s="3" t="s">
        <v>91</v>
      </c>
      <c r="F2190" s="3" t="s">
        <v>92</v>
      </c>
      <c r="G2190" s="3" t="s">
        <v>30</v>
      </c>
      <c r="H2190" s="3" t="s">
        <v>67</v>
      </c>
      <c r="I2190" s="3" t="s">
        <v>1334</v>
      </c>
      <c r="J2190" s="3" t="s">
        <v>106</v>
      </c>
      <c r="K2190" s="3">
        <v>3</v>
      </c>
      <c r="L2190" s="3">
        <v>10365.84</v>
      </c>
      <c r="M2190" s="3">
        <v>31097.52</v>
      </c>
      <c r="N2190" s="3">
        <v>22114.2</v>
      </c>
      <c r="O2190" s="3">
        <v>8983.32</v>
      </c>
      <c r="P2190" s="3" t="s">
        <v>69</v>
      </c>
    </row>
    <row r="2191" spans="1:16" x14ac:dyDescent="0.35">
      <c r="A2191" s="3" t="s">
        <v>3537</v>
      </c>
      <c r="B2191" s="3" t="s">
        <v>117</v>
      </c>
      <c r="C2191" s="3" t="s">
        <v>118</v>
      </c>
      <c r="D2191" s="3" t="s">
        <v>19</v>
      </c>
      <c r="E2191" s="3" t="s">
        <v>49</v>
      </c>
      <c r="F2191" s="3" t="s">
        <v>50</v>
      </c>
      <c r="G2191" s="3" t="s">
        <v>41</v>
      </c>
      <c r="H2191" s="3" t="s">
        <v>42</v>
      </c>
      <c r="I2191" s="3" t="s">
        <v>3227</v>
      </c>
      <c r="J2191" s="3" t="s">
        <v>54</v>
      </c>
      <c r="K2191" s="3">
        <v>6</v>
      </c>
      <c r="L2191" s="3">
        <v>48584.91</v>
      </c>
      <c r="M2191" s="3">
        <v>291509.46000000002</v>
      </c>
      <c r="N2191" s="3">
        <v>216121.94</v>
      </c>
      <c r="O2191" s="3">
        <v>75387.520000000004</v>
      </c>
      <c r="P2191" s="3" t="s">
        <v>69</v>
      </c>
    </row>
    <row r="2192" spans="1:16" x14ac:dyDescent="0.35">
      <c r="A2192" s="3" t="s">
        <v>3538</v>
      </c>
      <c r="B2192" s="3" t="s">
        <v>779</v>
      </c>
      <c r="C2192" s="3" t="s">
        <v>114</v>
      </c>
      <c r="D2192" s="3" t="s">
        <v>19</v>
      </c>
      <c r="E2192" s="3" t="s">
        <v>199</v>
      </c>
      <c r="F2192" s="3" t="s">
        <v>200</v>
      </c>
      <c r="G2192" s="3" t="s">
        <v>51</v>
      </c>
      <c r="H2192" s="3" t="s">
        <v>77</v>
      </c>
      <c r="I2192" s="3" t="s">
        <v>1379</v>
      </c>
      <c r="J2192" s="3" t="s">
        <v>154</v>
      </c>
      <c r="K2192" s="3">
        <v>5</v>
      </c>
      <c r="L2192" s="3">
        <v>11330.03</v>
      </c>
      <c r="M2192" s="3">
        <v>56650.15</v>
      </c>
      <c r="N2192" s="3">
        <v>43299.89</v>
      </c>
      <c r="O2192" s="3">
        <v>13350.26</v>
      </c>
      <c r="P2192" s="3" t="s">
        <v>86</v>
      </c>
    </row>
    <row r="2193" spans="1:16" x14ac:dyDescent="0.35">
      <c r="A2193" s="3" t="s">
        <v>3539</v>
      </c>
      <c r="B2193" s="3" t="s">
        <v>1018</v>
      </c>
      <c r="C2193" s="3" t="s">
        <v>37</v>
      </c>
      <c r="D2193" s="3" t="s">
        <v>58</v>
      </c>
      <c r="E2193" s="3" t="s">
        <v>59</v>
      </c>
      <c r="F2193" s="3" t="s">
        <v>60</v>
      </c>
      <c r="G2193" s="3" t="s">
        <v>41</v>
      </c>
      <c r="H2193" s="3" t="s">
        <v>61</v>
      </c>
      <c r="I2193" s="3" t="s">
        <v>3532</v>
      </c>
      <c r="J2193" s="3" t="s">
        <v>44</v>
      </c>
      <c r="K2193" s="3">
        <v>6</v>
      </c>
      <c r="L2193" s="3">
        <v>2745.82</v>
      </c>
      <c r="M2193" s="3">
        <v>16474.919999999998</v>
      </c>
      <c r="N2193" s="3">
        <v>9728.43</v>
      </c>
      <c r="O2193" s="3">
        <v>6746.49</v>
      </c>
      <c r="P2193" s="3" t="s">
        <v>69</v>
      </c>
    </row>
    <row r="2194" spans="1:16" x14ac:dyDescent="0.35">
      <c r="A2194" s="3" t="s">
        <v>3540</v>
      </c>
      <c r="B2194" s="3" t="s">
        <v>819</v>
      </c>
      <c r="C2194" s="3" t="s">
        <v>89</v>
      </c>
      <c r="D2194" s="3" t="s">
        <v>90</v>
      </c>
      <c r="E2194" s="3" t="s">
        <v>97</v>
      </c>
      <c r="F2194" s="3" t="s">
        <v>98</v>
      </c>
      <c r="G2194" s="3" t="s">
        <v>22</v>
      </c>
      <c r="H2194" s="3" t="s">
        <v>93</v>
      </c>
      <c r="I2194" s="3" t="s">
        <v>1208</v>
      </c>
      <c r="J2194" s="3" t="s">
        <v>100</v>
      </c>
      <c r="K2194" s="3">
        <v>2</v>
      </c>
      <c r="L2194" s="3">
        <v>6656.54</v>
      </c>
      <c r="M2194" s="3">
        <v>13313.08</v>
      </c>
      <c r="N2194" s="3">
        <v>9541.7999999999993</v>
      </c>
      <c r="O2194" s="3">
        <v>3771.28</v>
      </c>
      <c r="P2194" s="3" t="s">
        <v>69</v>
      </c>
    </row>
    <row r="2195" spans="1:16" x14ac:dyDescent="0.35">
      <c r="A2195" s="3" t="s">
        <v>3541</v>
      </c>
      <c r="B2195" s="3" t="s">
        <v>324</v>
      </c>
      <c r="C2195" s="3" t="s">
        <v>29</v>
      </c>
      <c r="D2195" s="3" t="s">
        <v>38</v>
      </c>
      <c r="E2195" s="3" t="s">
        <v>109</v>
      </c>
      <c r="F2195" s="3" t="s">
        <v>110</v>
      </c>
      <c r="G2195" s="3" t="s">
        <v>51</v>
      </c>
      <c r="H2195" s="3" t="s">
        <v>52</v>
      </c>
      <c r="I2195" s="3" t="s">
        <v>1975</v>
      </c>
      <c r="J2195" s="3" t="s">
        <v>25</v>
      </c>
      <c r="K2195" s="3">
        <v>5</v>
      </c>
      <c r="L2195" s="3">
        <v>27.06</v>
      </c>
      <c r="M2195" s="3">
        <v>135.30000000000001</v>
      </c>
      <c r="N2195" s="3">
        <v>49.95</v>
      </c>
      <c r="O2195" s="3">
        <v>85.35</v>
      </c>
      <c r="P2195" s="3" t="s">
        <v>86</v>
      </c>
    </row>
    <row r="2196" spans="1:16" x14ac:dyDescent="0.35">
      <c r="A2196" s="3" t="s">
        <v>3542</v>
      </c>
      <c r="B2196" s="3" t="s">
        <v>911</v>
      </c>
      <c r="C2196" s="3" t="s">
        <v>72</v>
      </c>
      <c r="D2196" s="3" t="s">
        <v>38</v>
      </c>
      <c r="E2196" s="3" t="s">
        <v>104</v>
      </c>
      <c r="F2196" s="3" t="s">
        <v>104</v>
      </c>
      <c r="G2196" s="3" t="s">
        <v>41</v>
      </c>
      <c r="H2196" s="3" t="s">
        <v>138</v>
      </c>
      <c r="I2196" s="3" t="s">
        <v>721</v>
      </c>
      <c r="J2196" s="3" t="s">
        <v>79</v>
      </c>
      <c r="K2196" s="3">
        <v>4</v>
      </c>
      <c r="L2196" s="3">
        <v>18613.39</v>
      </c>
      <c r="M2196" s="3">
        <v>74453.56</v>
      </c>
      <c r="N2196" s="3">
        <v>55850.5</v>
      </c>
      <c r="O2196" s="3">
        <v>18603.060000000001</v>
      </c>
      <c r="P2196" s="3" t="s">
        <v>45</v>
      </c>
    </row>
    <row r="2197" spans="1:16" x14ac:dyDescent="0.35">
      <c r="A2197" s="3" t="s">
        <v>3543</v>
      </c>
      <c r="B2197" s="3" t="s">
        <v>712</v>
      </c>
      <c r="C2197" s="3" t="s">
        <v>37</v>
      </c>
      <c r="D2197" s="3" t="s">
        <v>19</v>
      </c>
      <c r="E2197" s="3" t="s">
        <v>49</v>
      </c>
      <c r="F2197" s="3" t="s">
        <v>50</v>
      </c>
      <c r="G2197" s="3" t="s">
        <v>41</v>
      </c>
      <c r="H2197" s="3" t="s">
        <v>42</v>
      </c>
      <c r="I2197" s="3" t="s">
        <v>1093</v>
      </c>
      <c r="J2197" s="3" t="s">
        <v>25</v>
      </c>
      <c r="K2197" s="3">
        <v>6</v>
      </c>
      <c r="L2197" s="3">
        <v>42989.440000000002</v>
      </c>
      <c r="M2197" s="3">
        <v>257936.64000000001</v>
      </c>
      <c r="N2197" s="3">
        <v>214767.51</v>
      </c>
      <c r="O2197" s="3">
        <v>43169.13</v>
      </c>
      <c r="P2197" s="3" t="s">
        <v>26</v>
      </c>
    </row>
    <row r="2198" spans="1:16" x14ac:dyDescent="0.35">
      <c r="A2198" s="3" t="s">
        <v>3544</v>
      </c>
      <c r="B2198" s="3" t="s">
        <v>1392</v>
      </c>
      <c r="C2198" s="3" t="s">
        <v>103</v>
      </c>
      <c r="D2198" s="3" t="s">
        <v>90</v>
      </c>
      <c r="E2198" s="3" t="s">
        <v>97</v>
      </c>
      <c r="F2198" s="3" t="s">
        <v>98</v>
      </c>
      <c r="G2198" s="3" t="s">
        <v>30</v>
      </c>
      <c r="H2198" s="3" t="s">
        <v>31</v>
      </c>
      <c r="I2198" s="3" t="s">
        <v>2449</v>
      </c>
      <c r="J2198" s="3" t="s">
        <v>131</v>
      </c>
      <c r="K2198" s="3">
        <v>8</v>
      </c>
      <c r="L2198" s="3">
        <v>2904.34</v>
      </c>
      <c r="M2198" s="3">
        <v>23234.720000000001</v>
      </c>
      <c r="N2198" s="3">
        <v>14539.33</v>
      </c>
      <c r="O2198" s="3">
        <v>8695.39</v>
      </c>
      <c r="P2198" s="3" t="s">
        <v>69</v>
      </c>
    </row>
    <row r="2199" spans="1:16" x14ac:dyDescent="0.35">
      <c r="A2199" s="3" t="s">
        <v>3545</v>
      </c>
      <c r="B2199" s="3" t="s">
        <v>28</v>
      </c>
      <c r="C2199" s="3" t="s">
        <v>29</v>
      </c>
      <c r="D2199" s="3" t="s">
        <v>90</v>
      </c>
      <c r="E2199" s="3" t="s">
        <v>97</v>
      </c>
      <c r="F2199" s="3" t="s">
        <v>98</v>
      </c>
      <c r="G2199" s="3" t="s">
        <v>41</v>
      </c>
      <c r="H2199" s="3" t="s">
        <v>42</v>
      </c>
      <c r="I2199" s="3" t="s">
        <v>3546</v>
      </c>
      <c r="J2199" s="3" t="s">
        <v>154</v>
      </c>
      <c r="K2199" s="3">
        <v>6</v>
      </c>
      <c r="L2199" s="3">
        <v>44316.3</v>
      </c>
      <c r="M2199" s="3">
        <v>265897.8</v>
      </c>
      <c r="N2199" s="3">
        <v>206211.84</v>
      </c>
      <c r="O2199" s="3">
        <v>59685.96</v>
      </c>
      <c r="P2199" s="3" t="s">
        <v>69</v>
      </c>
    </row>
    <row r="2200" spans="1:16" x14ac:dyDescent="0.35">
      <c r="A2200" s="3" t="s">
        <v>3547</v>
      </c>
      <c r="B2200" s="3" t="s">
        <v>740</v>
      </c>
      <c r="C2200" s="3" t="s">
        <v>29</v>
      </c>
      <c r="D2200" s="3" t="s">
        <v>38</v>
      </c>
      <c r="E2200" s="3" t="s">
        <v>104</v>
      </c>
      <c r="F2200" s="3" t="s">
        <v>104</v>
      </c>
      <c r="G2200" s="3" t="s">
        <v>30</v>
      </c>
      <c r="H2200" s="3" t="s">
        <v>67</v>
      </c>
      <c r="I2200" s="3" t="s">
        <v>3548</v>
      </c>
      <c r="J2200" s="3" t="s">
        <v>25</v>
      </c>
      <c r="K2200" s="3">
        <v>8</v>
      </c>
      <c r="L2200" s="3">
        <v>8635</v>
      </c>
      <c r="M2200" s="3">
        <v>69080</v>
      </c>
      <c r="N2200" s="3">
        <v>63758.54</v>
      </c>
      <c r="O2200" s="3">
        <v>5321.46</v>
      </c>
      <c r="P2200" s="3" t="s">
        <v>86</v>
      </c>
    </row>
    <row r="2201" spans="1:16" x14ac:dyDescent="0.35">
      <c r="A2201" s="3" t="s">
        <v>3549</v>
      </c>
      <c r="B2201" s="3" t="s">
        <v>1527</v>
      </c>
      <c r="C2201" s="3" t="s">
        <v>114</v>
      </c>
      <c r="D2201" s="3" t="s">
        <v>58</v>
      </c>
      <c r="E2201" s="3" t="s">
        <v>176</v>
      </c>
      <c r="F2201" s="3" t="s">
        <v>177</v>
      </c>
      <c r="G2201" s="3" t="s">
        <v>51</v>
      </c>
      <c r="H2201" s="3" t="s">
        <v>52</v>
      </c>
      <c r="I2201" s="3" t="s">
        <v>2171</v>
      </c>
      <c r="J2201" s="3" t="s">
        <v>188</v>
      </c>
      <c r="K2201" s="3">
        <v>5</v>
      </c>
      <c r="L2201" s="3">
        <v>26.68</v>
      </c>
      <c r="M2201" s="3">
        <v>133.4</v>
      </c>
      <c r="N2201" s="3">
        <v>49.94</v>
      </c>
      <c r="O2201" s="3">
        <v>83.46</v>
      </c>
      <c r="P2201" s="3" t="s">
        <v>86</v>
      </c>
    </row>
    <row r="2202" spans="1:16" x14ac:dyDescent="0.35">
      <c r="A2202" s="3" t="s">
        <v>3550</v>
      </c>
      <c r="B2202" s="3" t="s">
        <v>880</v>
      </c>
      <c r="C2202" s="3" t="s">
        <v>114</v>
      </c>
      <c r="D2202" s="3" t="s">
        <v>38</v>
      </c>
      <c r="E2202" s="3" t="s">
        <v>104</v>
      </c>
      <c r="F2202" s="3" t="s">
        <v>104</v>
      </c>
      <c r="G2202" s="3" t="s">
        <v>51</v>
      </c>
      <c r="H2202" s="3" t="s">
        <v>77</v>
      </c>
      <c r="I2202" s="3" t="s">
        <v>540</v>
      </c>
      <c r="J2202" s="3" t="s">
        <v>79</v>
      </c>
      <c r="K2202" s="3">
        <v>1</v>
      </c>
      <c r="L2202" s="3">
        <v>12695.82</v>
      </c>
      <c r="M2202" s="3">
        <v>12695.82</v>
      </c>
      <c r="N2202" s="3">
        <v>9173.57</v>
      </c>
      <c r="O2202" s="3">
        <v>3522.25</v>
      </c>
      <c r="P2202" s="3" t="s">
        <v>69</v>
      </c>
    </row>
    <row r="2203" spans="1:16" x14ac:dyDescent="0.35">
      <c r="A2203" s="3" t="s">
        <v>3551</v>
      </c>
      <c r="B2203" s="3" t="s">
        <v>717</v>
      </c>
      <c r="C2203" s="3" t="s">
        <v>114</v>
      </c>
      <c r="D2203" s="3" t="s">
        <v>58</v>
      </c>
      <c r="E2203" s="3" t="s">
        <v>59</v>
      </c>
      <c r="F2203" s="3" t="s">
        <v>60</v>
      </c>
      <c r="G2203" s="3" t="s">
        <v>30</v>
      </c>
      <c r="H2203" s="3" t="s">
        <v>31</v>
      </c>
      <c r="I2203" s="3" t="s">
        <v>62</v>
      </c>
      <c r="J2203" s="3" t="s">
        <v>79</v>
      </c>
      <c r="K2203" s="3">
        <v>4</v>
      </c>
      <c r="L2203" s="3">
        <v>3010.31</v>
      </c>
      <c r="M2203" s="3">
        <v>12041.24</v>
      </c>
      <c r="N2203" s="3">
        <v>7291.33</v>
      </c>
      <c r="O2203" s="3">
        <v>4749.91</v>
      </c>
      <c r="P2203" s="3" t="s">
        <v>86</v>
      </c>
    </row>
    <row r="2204" spans="1:16" x14ac:dyDescent="0.35">
      <c r="A2204" s="3" t="s">
        <v>3552</v>
      </c>
      <c r="B2204" s="3" t="s">
        <v>429</v>
      </c>
      <c r="C2204" s="3" t="s">
        <v>137</v>
      </c>
      <c r="D2204" s="3" t="s">
        <v>90</v>
      </c>
      <c r="E2204" s="3" t="s">
        <v>97</v>
      </c>
      <c r="F2204" s="3" t="s">
        <v>98</v>
      </c>
      <c r="G2204" s="3" t="s">
        <v>22</v>
      </c>
      <c r="H2204" s="3" t="s">
        <v>83</v>
      </c>
      <c r="I2204" s="3" t="s">
        <v>744</v>
      </c>
      <c r="J2204" s="3" t="s">
        <v>131</v>
      </c>
      <c r="K2204" s="3">
        <v>4</v>
      </c>
      <c r="L2204" s="3">
        <v>20034.939999999999</v>
      </c>
      <c r="M2204" s="3">
        <v>80139.759999999995</v>
      </c>
      <c r="N2204" s="3">
        <v>69252.649999999994</v>
      </c>
      <c r="O2204" s="3">
        <v>10887.11</v>
      </c>
      <c r="P2204" s="3" t="s">
        <v>26</v>
      </c>
    </row>
    <row r="2205" spans="1:16" x14ac:dyDescent="0.35">
      <c r="A2205" s="3" t="s">
        <v>3553</v>
      </c>
      <c r="B2205" s="3" t="s">
        <v>455</v>
      </c>
      <c r="C2205" s="3" t="s">
        <v>18</v>
      </c>
      <c r="D2205" s="3" t="s">
        <v>38</v>
      </c>
      <c r="E2205" s="3" t="s">
        <v>39</v>
      </c>
      <c r="F2205" s="3" t="s">
        <v>40</v>
      </c>
      <c r="G2205" s="3" t="s">
        <v>22</v>
      </c>
      <c r="H2205" s="3" t="s">
        <v>93</v>
      </c>
      <c r="I2205" s="3" t="s">
        <v>1002</v>
      </c>
      <c r="J2205" s="3" t="s">
        <v>79</v>
      </c>
      <c r="K2205" s="3">
        <v>1</v>
      </c>
      <c r="L2205" s="3">
        <v>7264.34</v>
      </c>
      <c r="M2205" s="3">
        <v>7264.34</v>
      </c>
      <c r="N2205" s="3">
        <v>5115.0200000000004</v>
      </c>
      <c r="O2205" s="3">
        <v>2149.3200000000002</v>
      </c>
      <c r="P2205" s="3" t="s">
        <v>34</v>
      </c>
    </row>
    <row r="2206" spans="1:16" x14ac:dyDescent="0.35">
      <c r="A2206" s="3" t="s">
        <v>3554</v>
      </c>
      <c r="B2206" s="3" t="s">
        <v>468</v>
      </c>
      <c r="C2206" s="3" t="s">
        <v>82</v>
      </c>
      <c r="D2206" s="3" t="s">
        <v>19</v>
      </c>
      <c r="E2206" s="3" t="s">
        <v>20</v>
      </c>
      <c r="F2206" s="3" t="s">
        <v>21</v>
      </c>
      <c r="G2206" s="3" t="s">
        <v>30</v>
      </c>
      <c r="H2206" s="3" t="s">
        <v>73</v>
      </c>
      <c r="I2206" s="3" t="s">
        <v>961</v>
      </c>
      <c r="J2206" s="3" t="s">
        <v>154</v>
      </c>
      <c r="K2206" s="3">
        <v>8</v>
      </c>
      <c r="L2206" s="3">
        <v>2958.74</v>
      </c>
      <c r="M2206" s="3">
        <v>23669.919999999998</v>
      </c>
      <c r="N2206" s="3">
        <v>19515.8</v>
      </c>
      <c r="O2206" s="3">
        <v>4154.12</v>
      </c>
      <c r="P2206" s="3" t="s">
        <v>86</v>
      </c>
    </row>
    <row r="2207" spans="1:16" x14ac:dyDescent="0.35">
      <c r="A2207" s="3" t="s">
        <v>3555</v>
      </c>
      <c r="B2207" s="3" t="s">
        <v>1667</v>
      </c>
      <c r="C2207" s="3" t="s">
        <v>48</v>
      </c>
      <c r="D2207" s="3" t="s">
        <v>38</v>
      </c>
      <c r="E2207" s="3" t="s">
        <v>104</v>
      </c>
      <c r="F2207" s="3" t="s">
        <v>104</v>
      </c>
      <c r="G2207" s="3" t="s">
        <v>41</v>
      </c>
      <c r="H2207" s="3" t="s">
        <v>138</v>
      </c>
      <c r="I2207" s="3" t="s">
        <v>706</v>
      </c>
      <c r="J2207" s="3" t="s">
        <v>188</v>
      </c>
      <c r="K2207" s="3">
        <v>5</v>
      </c>
      <c r="L2207" s="3">
        <v>18929.75</v>
      </c>
      <c r="M2207" s="3">
        <v>94648.75</v>
      </c>
      <c r="N2207" s="3">
        <v>70023.34</v>
      </c>
      <c r="O2207" s="3">
        <v>24625.41</v>
      </c>
      <c r="P2207" s="3" t="s">
        <v>45</v>
      </c>
    </row>
    <row r="2208" spans="1:16" x14ac:dyDescent="0.35">
      <c r="A2208" s="3" t="s">
        <v>3556</v>
      </c>
      <c r="B2208" s="3" t="s">
        <v>265</v>
      </c>
      <c r="C2208" s="3" t="s">
        <v>37</v>
      </c>
      <c r="D2208" s="3" t="s">
        <v>58</v>
      </c>
      <c r="E2208" s="3" t="s">
        <v>59</v>
      </c>
      <c r="F2208" s="3" t="s">
        <v>60</v>
      </c>
      <c r="G2208" s="3" t="s">
        <v>41</v>
      </c>
      <c r="H2208" s="3" t="s">
        <v>42</v>
      </c>
      <c r="I2208" s="3" t="s">
        <v>800</v>
      </c>
      <c r="J2208" s="3" t="s">
        <v>188</v>
      </c>
      <c r="K2208" s="3">
        <v>2</v>
      </c>
      <c r="L2208" s="3">
        <v>42089.96</v>
      </c>
      <c r="M2208" s="3">
        <v>84179.92</v>
      </c>
      <c r="N2208" s="3">
        <v>66960.23</v>
      </c>
      <c r="O2208" s="3">
        <v>17219.689999999999</v>
      </c>
      <c r="P2208" s="3" t="s">
        <v>34</v>
      </c>
    </row>
    <row r="2209" spans="1:16" x14ac:dyDescent="0.35">
      <c r="A2209" s="3" t="s">
        <v>3557</v>
      </c>
      <c r="B2209" s="3" t="s">
        <v>559</v>
      </c>
      <c r="C2209" s="3" t="s">
        <v>89</v>
      </c>
      <c r="D2209" s="3" t="s">
        <v>90</v>
      </c>
      <c r="E2209" s="3" t="s">
        <v>119</v>
      </c>
      <c r="F2209" s="3" t="s">
        <v>120</v>
      </c>
      <c r="G2209" s="3" t="s">
        <v>30</v>
      </c>
      <c r="H2209" s="3" t="s">
        <v>73</v>
      </c>
      <c r="I2209" s="3" t="s">
        <v>316</v>
      </c>
      <c r="J2209" s="3" t="s">
        <v>79</v>
      </c>
      <c r="K2209" s="3">
        <v>5</v>
      </c>
      <c r="L2209" s="3">
        <v>3006.22</v>
      </c>
      <c r="M2209" s="3">
        <v>15031.1</v>
      </c>
      <c r="N2209" s="3">
        <v>11561.14</v>
      </c>
      <c r="O2209" s="3">
        <v>3469.96</v>
      </c>
      <c r="P2209" s="3" t="s">
        <v>86</v>
      </c>
    </row>
    <row r="2210" spans="1:16" x14ac:dyDescent="0.35">
      <c r="A2210" s="3" t="s">
        <v>3558</v>
      </c>
      <c r="B2210" s="3" t="s">
        <v>452</v>
      </c>
      <c r="C2210" s="3" t="s">
        <v>114</v>
      </c>
      <c r="D2210" s="3" t="s">
        <v>38</v>
      </c>
      <c r="E2210" s="3" t="s">
        <v>104</v>
      </c>
      <c r="F2210" s="3" t="s">
        <v>104</v>
      </c>
      <c r="G2210" s="3" t="s">
        <v>41</v>
      </c>
      <c r="H2210" s="3" t="s">
        <v>42</v>
      </c>
      <c r="I2210" s="3" t="s">
        <v>2483</v>
      </c>
      <c r="J2210" s="3" t="s">
        <v>154</v>
      </c>
      <c r="K2210" s="3">
        <v>5</v>
      </c>
      <c r="L2210" s="3">
        <v>48665.38</v>
      </c>
      <c r="M2210" s="3">
        <v>243326.9</v>
      </c>
      <c r="N2210" s="3">
        <v>168848.66</v>
      </c>
      <c r="O2210" s="3">
        <v>74478.240000000005</v>
      </c>
      <c r="P2210" s="3" t="s">
        <v>69</v>
      </c>
    </row>
    <row r="2211" spans="1:16" x14ac:dyDescent="0.35">
      <c r="A2211" s="3" t="s">
        <v>3559</v>
      </c>
      <c r="B2211" s="3" t="s">
        <v>583</v>
      </c>
      <c r="C2211" s="3" t="s">
        <v>89</v>
      </c>
      <c r="D2211" s="3" t="s">
        <v>58</v>
      </c>
      <c r="E2211" s="3" t="s">
        <v>176</v>
      </c>
      <c r="F2211" s="3" t="s">
        <v>177</v>
      </c>
      <c r="G2211" s="3" t="s">
        <v>51</v>
      </c>
      <c r="H2211" s="3" t="s">
        <v>52</v>
      </c>
      <c r="I2211" s="3" t="s">
        <v>1227</v>
      </c>
      <c r="J2211" s="3" t="s">
        <v>100</v>
      </c>
      <c r="K2211" s="3">
        <v>4</v>
      </c>
      <c r="L2211" s="3">
        <v>26.51</v>
      </c>
      <c r="M2211" s="3">
        <v>106.04</v>
      </c>
      <c r="N2211" s="3">
        <v>39.58</v>
      </c>
      <c r="O2211" s="3">
        <v>66.459999999999994</v>
      </c>
      <c r="P2211" s="3" t="s">
        <v>34</v>
      </c>
    </row>
    <row r="2212" spans="1:16" x14ac:dyDescent="0.35">
      <c r="A2212" s="3" t="s">
        <v>3560</v>
      </c>
      <c r="B2212" s="3" t="s">
        <v>1578</v>
      </c>
      <c r="C2212" s="3" t="s">
        <v>137</v>
      </c>
      <c r="D2212" s="3" t="s">
        <v>19</v>
      </c>
      <c r="E2212" s="3" t="s">
        <v>199</v>
      </c>
      <c r="F2212" s="3" t="s">
        <v>200</v>
      </c>
      <c r="G2212" s="3" t="s">
        <v>30</v>
      </c>
      <c r="H2212" s="3" t="s">
        <v>73</v>
      </c>
      <c r="I2212" s="3" t="s">
        <v>884</v>
      </c>
      <c r="J2212" s="3" t="s">
        <v>131</v>
      </c>
      <c r="K2212" s="3">
        <v>7</v>
      </c>
      <c r="L2212" s="3">
        <v>2943.86</v>
      </c>
      <c r="M2212" s="3">
        <v>20607.02</v>
      </c>
      <c r="N2212" s="3">
        <v>16645.97</v>
      </c>
      <c r="O2212" s="3">
        <v>3961.05</v>
      </c>
      <c r="P2212" s="3" t="s">
        <v>69</v>
      </c>
    </row>
    <row r="2213" spans="1:16" x14ac:dyDescent="0.35">
      <c r="A2213" s="3" t="s">
        <v>3561</v>
      </c>
      <c r="B2213" s="3" t="s">
        <v>1360</v>
      </c>
      <c r="C2213" s="3" t="s">
        <v>72</v>
      </c>
      <c r="D2213" s="3" t="s">
        <v>90</v>
      </c>
      <c r="E2213" s="3" t="s">
        <v>97</v>
      </c>
      <c r="F2213" s="3" t="s">
        <v>98</v>
      </c>
      <c r="G2213" s="3" t="s">
        <v>41</v>
      </c>
      <c r="H2213" s="3" t="s">
        <v>138</v>
      </c>
      <c r="I2213" s="3" t="s">
        <v>3562</v>
      </c>
      <c r="J2213" s="3" t="s">
        <v>54</v>
      </c>
      <c r="K2213" s="3">
        <v>4</v>
      </c>
      <c r="L2213" s="3">
        <v>19190.919999999998</v>
      </c>
      <c r="M2213" s="3">
        <v>76763.679999999993</v>
      </c>
      <c r="N2213" s="3">
        <v>55172</v>
      </c>
      <c r="O2213" s="3">
        <v>21591.68</v>
      </c>
      <c r="P2213" s="3" t="s">
        <v>34</v>
      </c>
    </row>
    <row r="2214" spans="1:16" x14ac:dyDescent="0.35">
      <c r="A2214" s="3" t="s">
        <v>3563</v>
      </c>
      <c r="B2214" s="3" t="s">
        <v>1898</v>
      </c>
      <c r="C2214" s="3" t="s">
        <v>29</v>
      </c>
      <c r="D2214" s="3" t="s">
        <v>19</v>
      </c>
      <c r="E2214" s="3" t="s">
        <v>199</v>
      </c>
      <c r="F2214" s="3" t="s">
        <v>200</v>
      </c>
      <c r="G2214" s="3" t="s">
        <v>22</v>
      </c>
      <c r="H2214" s="3" t="s">
        <v>93</v>
      </c>
      <c r="I2214" s="3" t="s">
        <v>1878</v>
      </c>
      <c r="J2214" s="3" t="s">
        <v>85</v>
      </c>
      <c r="K2214" s="3">
        <v>3</v>
      </c>
      <c r="L2214" s="3">
        <v>7136.23</v>
      </c>
      <c r="M2214" s="3">
        <v>21408.69</v>
      </c>
      <c r="N2214" s="3">
        <v>15712.77</v>
      </c>
      <c r="O2214" s="3">
        <v>5695.92</v>
      </c>
      <c r="P2214" s="3" t="s">
        <v>26</v>
      </c>
    </row>
    <row r="2215" spans="1:16" x14ac:dyDescent="0.35">
      <c r="A2215" s="3" t="s">
        <v>3564</v>
      </c>
      <c r="B2215" s="3" t="s">
        <v>682</v>
      </c>
      <c r="C2215" s="3" t="s">
        <v>114</v>
      </c>
      <c r="D2215" s="3" t="s">
        <v>38</v>
      </c>
      <c r="E2215" s="3" t="s">
        <v>104</v>
      </c>
      <c r="F2215" s="3" t="s">
        <v>104</v>
      </c>
      <c r="G2215" s="3" t="s">
        <v>51</v>
      </c>
      <c r="H2215" s="3" t="s">
        <v>77</v>
      </c>
      <c r="I2215" s="3" t="s">
        <v>2595</v>
      </c>
      <c r="J2215" s="3" t="s">
        <v>25</v>
      </c>
      <c r="K2215" s="3">
        <v>3</v>
      </c>
      <c r="L2215" s="3">
        <v>11553.8</v>
      </c>
      <c r="M2215" s="3">
        <v>34661.4</v>
      </c>
      <c r="N2215" s="3">
        <v>25958.959999999999</v>
      </c>
      <c r="O2215" s="3">
        <v>8702.44</v>
      </c>
      <c r="P2215" s="3" t="s">
        <v>34</v>
      </c>
    </row>
    <row r="2216" spans="1:16" x14ac:dyDescent="0.35">
      <c r="A2216" s="3" t="s">
        <v>3565</v>
      </c>
      <c r="B2216" s="3" t="s">
        <v>1427</v>
      </c>
      <c r="C2216" s="3" t="s">
        <v>29</v>
      </c>
      <c r="D2216" s="3" t="s">
        <v>19</v>
      </c>
      <c r="E2216" s="3" t="s">
        <v>20</v>
      </c>
      <c r="F2216" s="3" t="s">
        <v>21</v>
      </c>
      <c r="G2216" s="3" t="s">
        <v>22</v>
      </c>
      <c r="H2216" s="3" t="s">
        <v>93</v>
      </c>
      <c r="I2216" s="3" t="s">
        <v>1270</v>
      </c>
      <c r="J2216" s="3" t="s">
        <v>44</v>
      </c>
      <c r="K2216" s="3">
        <v>8</v>
      </c>
      <c r="L2216" s="3">
        <v>6860.41</v>
      </c>
      <c r="M2216" s="3">
        <v>54883.28</v>
      </c>
      <c r="N2216" s="3">
        <v>41197.339999999997</v>
      </c>
      <c r="O2216" s="3">
        <v>13685.94</v>
      </c>
      <c r="P2216" s="3" t="s">
        <v>26</v>
      </c>
    </row>
    <row r="2217" spans="1:16" x14ac:dyDescent="0.35">
      <c r="A2217" s="3" t="s">
        <v>3566</v>
      </c>
      <c r="B2217" s="3" t="s">
        <v>2969</v>
      </c>
      <c r="C2217" s="3" t="s">
        <v>137</v>
      </c>
      <c r="D2217" s="3" t="s">
        <v>38</v>
      </c>
      <c r="E2217" s="3" t="s">
        <v>109</v>
      </c>
      <c r="F2217" s="3" t="s">
        <v>110</v>
      </c>
      <c r="G2217" s="3" t="s">
        <v>41</v>
      </c>
      <c r="H2217" s="3" t="s">
        <v>138</v>
      </c>
      <c r="I2217" s="3" t="s">
        <v>595</v>
      </c>
      <c r="J2217" s="3" t="s">
        <v>147</v>
      </c>
      <c r="K2217" s="3">
        <v>6</v>
      </c>
      <c r="L2217" s="3">
        <v>17444.43</v>
      </c>
      <c r="M2217" s="3">
        <v>104666.58</v>
      </c>
      <c r="N2217" s="3">
        <v>81020.2</v>
      </c>
      <c r="O2217" s="3">
        <v>23646.38</v>
      </c>
      <c r="P2217" s="3" t="s">
        <v>45</v>
      </c>
    </row>
    <row r="2218" spans="1:16" x14ac:dyDescent="0.35">
      <c r="A2218" s="3" t="s">
        <v>3567</v>
      </c>
      <c r="B2218" s="3" t="s">
        <v>415</v>
      </c>
      <c r="C2218" s="3" t="s">
        <v>18</v>
      </c>
      <c r="D2218" s="3" t="s">
        <v>90</v>
      </c>
      <c r="E2218" s="3" t="s">
        <v>97</v>
      </c>
      <c r="F2218" s="3" t="s">
        <v>98</v>
      </c>
      <c r="G2218" s="3" t="s">
        <v>41</v>
      </c>
      <c r="H2218" s="3" t="s">
        <v>138</v>
      </c>
      <c r="I2218" s="3" t="s">
        <v>896</v>
      </c>
      <c r="J2218" s="3" t="s">
        <v>147</v>
      </c>
      <c r="K2218" s="3">
        <v>3</v>
      </c>
      <c r="L2218" s="3">
        <v>18949.54</v>
      </c>
      <c r="M2218" s="3">
        <v>56848.62</v>
      </c>
      <c r="N2218" s="3">
        <v>43539.6</v>
      </c>
      <c r="O2218" s="3">
        <v>13309.02</v>
      </c>
      <c r="P2218" s="3" t="s">
        <v>69</v>
      </c>
    </row>
    <row r="2219" spans="1:16" x14ac:dyDescent="0.35">
      <c r="A2219" s="3" t="s">
        <v>3568</v>
      </c>
      <c r="B2219" s="3" t="s">
        <v>102</v>
      </c>
      <c r="C2219" s="3" t="s">
        <v>103</v>
      </c>
      <c r="D2219" s="3" t="s">
        <v>19</v>
      </c>
      <c r="E2219" s="3" t="s">
        <v>199</v>
      </c>
      <c r="F2219" s="3" t="s">
        <v>200</v>
      </c>
      <c r="G2219" s="3" t="s">
        <v>22</v>
      </c>
      <c r="H2219" s="3" t="s">
        <v>23</v>
      </c>
      <c r="I2219" s="3" t="s">
        <v>2921</v>
      </c>
      <c r="J2219" s="3" t="s">
        <v>100</v>
      </c>
      <c r="K2219" s="3">
        <v>7</v>
      </c>
      <c r="L2219" s="3">
        <v>3538.44</v>
      </c>
      <c r="M2219" s="3">
        <v>24769.08</v>
      </c>
      <c r="N2219" s="3">
        <v>15364.8</v>
      </c>
      <c r="O2219" s="3">
        <v>9404.2800000000007</v>
      </c>
      <c r="P2219" s="3" t="s">
        <v>69</v>
      </c>
    </row>
    <row r="2220" spans="1:16" x14ac:dyDescent="0.35">
      <c r="A2220" s="3" t="s">
        <v>3569</v>
      </c>
      <c r="B2220" s="3" t="s">
        <v>1502</v>
      </c>
      <c r="C2220" s="3" t="s">
        <v>57</v>
      </c>
      <c r="D2220" s="3" t="s">
        <v>90</v>
      </c>
      <c r="E2220" s="3" t="s">
        <v>97</v>
      </c>
      <c r="F2220" s="3" t="s">
        <v>98</v>
      </c>
      <c r="G2220" s="3" t="s">
        <v>22</v>
      </c>
      <c r="H2220" s="3" t="s">
        <v>23</v>
      </c>
      <c r="I2220" s="3" t="s">
        <v>529</v>
      </c>
      <c r="J2220" s="3" t="s">
        <v>44</v>
      </c>
      <c r="K2220" s="3">
        <v>3</v>
      </c>
      <c r="L2220" s="3">
        <v>3600.61</v>
      </c>
      <c r="M2220" s="3">
        <v>10801.83</v>
      </c>
      <c r="N2220" s="3">
        <v>6403.65</v>
      </c>
      <c r="O2220" s="3">
        <v>4398.18</v>
      </c>
      <c r="P2220" s="3" t="s">
        <v>86</v>
      </c>
    </row>
    <row r="2221" spans="1:16" x14ac:dyDescent="0.35">
      <c r="A2221" s="3" t="s">
        <v>3570</v>
      </c>
      <c r="B2221" s="3" t="s">
        <v>889</v>
      </c>
      <c r="C2221" s="3" t="s">
        <v>82</v>
      </c>
      <c r="D2221" s="3" t="s">
        <v>58</v>
      </c>
      <c r="E2221" s="3" t="s">
        <v>176</v>
      </c>
      <c r="F2221" s="3" t="s">
        <v>177</v>
      </c>
      <c r="G2221" s="3" t="s">
        <v>30</v>
      </c>
      <c r="H2221" s="3" t="s">
        <v>31</v>
      </c>
      <c r="I2221" s="3" t="s">
        <v>368</v>
      </c>
      <c r="J2221" s="3" t="s">
        <v>85</v>
      </c>
      <c r="K2221" s="3">
        <v>3</v>
      </c>
      <c r="L2221" s="3">
        <v>2909.86</v>
      </c>
      <c r="M2221" s="3">
        <v>8729.58</v>
      </c>
      <c r="N2221" s="3">
        <v>5931.03</v>
      </c>
      <c r="O2221" s="3">
        <v>2798.55</v>
      </c>
      <c r="P2221" s="3" t="s">
        <v>45</v>
      </c>
    </row>
    <row r="2222" spans="1:16" x14ac:dyDescent="0.35">
      <c r="A2222" s="3" t="s">
        <v>3571</v>
      </c>
      <c r="B2222" s="3" t="s">
        <v>612</v>
      </c>
      <c r="C2222" s="3" t="s">
        <v>57</v>
      </c>
      <c r="D2222" s="3" t="s">
        <v>38</v>
      </c>
      <c r="E2222" s="3" t="s">
        <v>104</v>
      </c>
      <c r="F2222" s="3" t="s">
        <v>104</v>
      </c>
      <c r="G2222" s="3" t="s">
        <v>51</v>
      </c>
      <c r="H2222" s="3" t="s">
        <v>52</v>
      </c>
      <c r="I2222" s="3" t="s">
        <v>2661</v>
      </c>
      <c r="J2222" s="3" t="s">
        <v>147</v>
      </c>
      <c r="K2222" s="3">
        <v>5</v>
      </c>
      <c r="L2222" s="3">
        <v>25.31</v>
      </c>
      <c r="M2222" s="3">
        <v>126.55</v>
      </c>
      <c r="N2222" s="3">
        <v>49.01</v>
      </c>
      <c r="O2222" s="3">
        <v>77.540000000000006</v>
      </c>
      <c r="P2222" s="3" t="s">
        <v>69</v>
      </c>
    </row>
    <row r="2223" spans="1:16" x14ac:dyDescent="0.35">
      <c r="A2223" s="3" t="s">
        <v>3572</v>
      </c>
      <c r="B2223" s="3" t="s">
        <v>782</v>
      </c>
      <c r="C2223" s="3" t="s">
        <v>114</v>
      </c>
      <c r="D2223" s="3" t="s">
        <v>58</v>
      </c>
      <c r="E2223" s="3" t="s">
        <v>176</v>
      </c>
      <c r="F2223" s="3" t="s">
        <v>177</v>
      </c>
      <c r="G2223" s="3" t="s">
        <v>30</v>
      </c>
      <c r="H2223" s="3" t="s">
        <v>67</v>
      </c>
      <c r="I2223" s="3" t="s">
        <v>1351</v>
      </c>
      <c r="J2223" s="3" t="s">
        <v>147</v>
      </c>
      <c r="K2223" s="3">
        <v>7</v>
      </c>
      <c r="L2223" s="3">
        <v>9599.31</v>
      </c>
      <c r="M2223" s="3">
        <v>67195.17</v>
      </c>
      <c r="N2223" s="3">
        <v>52184.97</v>
      </c>
      <c r="O2223" s="3">
        <v>15010.2</v>
      </c>
      <c r="P2223" s="3" t="s">
        <v>86</v>
      </c>
    </row>
    <row r="2224" spans="1:16" x14ac:dyDescent="0.35">
      <c r="A2224" s="3" t="s">
        <v>3573</v>
      </c>
      <c r="B2224" s="3" t="s">
        <v>2222</v>
      </c>
      <c r="C2224" s="3" t="s">
        <v>89</v>
      </c>
      <c r="D2224" s="3" t="s">
        <v>90</v>
      </c>
      <c r="E2224" s="3" t="s">
        <v>97</v>
      </c>
      <c r="F2224" s="3" t="s">
        <v>98</v>
      </c>
      <c r="G2224" s="3" t="s">
        <v>51</v>
      </c>
      <c r="H2224" s="3" t="s">
        <v>77</v>
      </c>
      <c r="I2224" s="3" t="s">
        <v>450</v>
      </c>
      <c r="J2224" s="3" t="s">
        <v>171</v>
      </c>
      <c r="K2224" s="3">
        <v>7</v>
      </c>
      <c r="L2224" s="3">
        <v>12444.28</v>
      </c>
      <c r="M2224" s="3">
        <v>87109.96</v>
      </c>
      <c r="N2224" s="3">
        <v>60820.29</v>
      </c>
      <c r="O2224" s="3">
        <v>26289.67</v>
      </c>
      <c r="P2224" s="3" t="s">
        <v>86</v>
      </c>
    </row>
    <row r="2225" spans="1:16" x14ac:dyDescent="0.35">
      <c r="A2225" s="3" t="s">
        <v>3574</v>
      </c>
      <c r="B2225" s="3" t="s">
        <v>2580</v>
      </c>
      <c r="C2225" s="3" t="s">
        <v>37</v>
      </c>
      <c r="D2225" s="3" t="s">
        <v>58</v>
      </c>
      <c r="E2225" s="3" t="s">
        <v>65</v>
      </c>
      <c r="F2225" s="3" t="s">
        <v>66</v>
      </c>
      <c r="G2225" s="3" t="s">
        <v>51</v>
      </c>
      <c r="H2225" s="3" t="s">
        <v>77</v>
      </c>
      <c r="I2225" s="3" t="s">
        <v>1443</v>
      </c>
      <c r="J2225" s="3" t="s">
        <v>161</v>
      </c>
      <c r="K2225" s="3">
        <v>3</v>
      </c>
      <c r="L2225" s="3">
        <v>10879.35</v>
      </c>
      <c r="M2225" s="3">
        <v>32638.05</v>
      </c>
      <c r="N2225" s="3">
        <v>26913.8</v>
      </c>
      <c r="O2225" s="3">
        <v>5724.25</v>
      </c>
      <c r="P2225" s="3" t="s">
        <v>86</v>
      </c>
    </row>
    <row r="2226" spans="1:16" x14ac:dyDescent="0.35">
      <c r="A2226" s="3" t="s">
        <v>3575</v>
      </c>
      <c r="B2226" s="3" t="s">
        <v>1780</v>
      </c>
      <c r="C2226" s="3" t="s">
        <v>137</v>
      </c>
      <c r="D2226" s="3" t="s">
        <v>58</v>
      </c>
      <c r="E2226" s="3" t="s">
        <v>65</v>
      </c>
      <c r="F2226" s="3" t="s">
        <v>66</v>
      </c>
      <c r="G2226" s="3" t="s">
        <v>51</v>
      </c>
      <c r="H2226" s="3" t="s">
        <v>145</v>
      </c>
      <c r="I2226" s="3" t="s">
        <v>1070</v>
      </c>
      <c r="J2226" s="3" t="s">
        <v>25</v>
      </c>
      <c r="K2226" s="3">
        <v>1</v>
      </c>
      <c r="L2226" s="3">
        <v>109.51</v>
      </c>
      <c r="M2226" s="3">
        <v>109.51</v>
      </c>
      <c r="N2226" s="3">
        <v>57.2</v>
      </c>
      <c r="O2226" s="3">
        <v>52.31</v>
      </c>
      <c r="P2226" s="3" t="s">
        <v>45</v>
      </c>
    </row>
    <row r="2227" spans="1:16" x14ac:dyDescent="0.35">
      <c r="A2227" s="3" t="s">
        <v>3576</v>
      </c>
      <c r="B2227" s="3" t="s">
        <v>478</v>
      </c>
      <c r="C2227" s="3" t="s">
        <v>82</v>
      </c>
      <c r="D2227" s="3" t="s">
        <v>90</v>
      </c>
      <c r="E2227" s="3" t="s">
        <v>97</v>
      </c>
      <c r="F2227" s="3" t="s">
        <v>98</v>
      </c>
      <c r="G2227" s="3" t="s">
        <v>41</v>
      </c>
      <c r="H2227" s="3" t="s">
        <v>138</v>
      </c>
      <c r="I2227" s="3" t="s">
        <v>1349</v>
      </c>
      <c r="J2227" s="3" t="s">
        <v>161</v>
      </c>
      <c r="K2227" s="3">
        <v>3</v>
      </c>
      <c r="L2227" s="3">
        <v>16323.99</v>
      </c>
      <c r="M2227" s="3">
        <v>48971.97</v>
      </c>
      <c r="N2227" s="3">
        <v>40302.589999999997</v>
      </c>
      <c r="O2227" s="3">
        <v>8669.3799999999992</v>
      </c>
      <c r="P2227" s="3" t="s">
        <v>45</v>
      </c>
    </row>
    <row r="2228" spans="1:16" x14ac:dyDescent="0.35">
      <c r="A2228" s="3" t="s">
        <v>3577</v>
      </c>
      <c r="B2228" s="3" t="s">
        <v>351</v>
      </c>
      <c r="C2228" s="3" t="s">
        <v>114</v>
      </c>
      <c r="D2228" s="3" t="s">
        <v>90</v>
      </c>
      <c r="E2228" s="3" t="s">
        <v>119</v>
      </c>
      <c r="F2228" s="3" t="s">
        <v>120</v>
      </c>
      <c r="G2228" s="3" t="s">
        <v>51</v>
      </c>
      <c r="H2228" s="3" t="s">
        <v>52</v>
      </c>
      <c r="I2228" s="3" t="s">
        <v>667</v>
      </c>
      <c r="J2228" s="3" t="s">
        <v>217</v>
      </c>
      <c r="K2228" s="3">
        <v>2</v>
      </c>
      <c r="L2228" s="3">
        <v>24.99</v>
      </c>
      <c r="M2228" s="3">
        <v>49.98</v>
      </c>
      <c r="N2228" s="3">
        <v>20.84</v>
      </c>
      <c r="O2228" s="3">
        <v>29.14</v>
      </c>
      <c r="P2228" s="3" t="s">
        <v>69</v>
      </c>
    </row>
    <row r="2229" spans="1:16" x14ac:dyDescent="0.35">
      <c r="A2229" s="3" t="s">
        <v>3578</v>
      </c>
      <c r="B2229" s="3" t="s">
        <v>580</v>
      </c>
      <c r="C2229" s="3" t="s">
        <v>57</v>
      </c>
      <c r="D2229" s="3" t="s">
        <v>19</v>
      </c>
      <c r="E2229" s="3" t="s">
        <v>20</v>
      </c>
      <c r="F2229" s="3" t="s">
        <v>21</v>
      </c>
      <c r="G2229" s="3" t="s">
        <v>41</v>
      </c>
      <c r="H2229" s="3" t="s">
        <v>138</v>
      </c>
      <c r="I2229" s="3" t="s">
        <v>2318</v>
      </c>
      <c r="J2229" s="3" t="s">
        <v>188</v>
      </c>
      <c r="K2229" s="3">
        <v>3</v>
      </c>
      <c r="L2229" s="3">
        <v>16616.45</v>
      </c>
      <c r="M2229" s="3">
        <v>49849.35</v>
      </c>
      <c r="N2229" s="3">
        <v>41635.51</v>
      </c>
      <c r="O2229" s="3">
        <v>8213.84</v>
      </c>
      <c r="P2229" s="3" t="s">
        <v>26</v>
      </c>
    </row>
    <row r="2230" spans="1:16" x14ac:dyDescent="0.35">
      <c r="A2230" s="3" t="s">
        <v>3579</v>
      </c>
      <c r="B2230" s="3" t="s">
        <v>1385</v>
      </c>
      <c r="C2230" s="3" t="s">
        <v>29</v>
      </c>
      <c r="D2230" s="3" t="s">
        <v>19</v>
      </c>
      <c r="E2230" s="3" t="s">
        <v>20</v>
      </c>
      <c r="F2230" s="3" t="s">
        <v>21</v>
      </c>
      <c r="G2230" s="3" t="s">
        <v>30</v>
      </c>
      <c r="H2230" s="3" t="s">
        <v>73</v>
      </c>
      <c r="I2230" s="3" t="s">
        <v>985</v>
      </c>
      <c r="J2230" s="3" t="s">
        <v>154</v>
      </c>
      <c r="K2230" s="3">
        <v>7</v>
      </c>
      <c r="L2230" s="3">
        <v>3289.43</v>
      </c>
      <c r="M2230" s="3">
        <v>23026.01</v>
      </c>
      <c r="N2230" s="3">
        <v>17254.29</v>
      </c>
      <c r="O2230" s="3">
        <v>5771.72</v>
      </c>
      <c r="P2230" s="3" t="s">
        <v>34</v>
      </c>
    </row>
    <row r="2231" spans="1:16" x14ac:dyDescent="0.35">
      <c r="A2231" s="3" t="s">
        <v>3580</v>
      </c>
      <c r="B2231" s="3" t="s">
        <v>880</v>
      </c>
      <c r="C2231" s="3" t="s">
        <v>114</v>
      </c>
      <c r="D2231" s="3" t="s">
        <v>90</v>
      </c>
      <c r="E2231" s="3" t="s">
        <v>91</v>
      </c>
      <c r="F2231" s="3" t="s">
        <v>92</v>
      </c>
      <c r="G2231" s="3" t="s">
        <v>51</v>
      </c>
      <c r="H2231" s="3" t="s">
        <v>77</v>
      </c>
      <c r="I2231" s="3" t="s">
        <v>2833</v>
      </c>
      <c r="J2231" s="3" t="s">
        <v>131</v>
      </c>
      <c r="K2231" s="3">
        <v>6</v>
      </c>
      <c r="L2231" s="3">
        <v>11192.46</v>
      </c>
      <c r="M2231" s="3">
        <v>67154.759999999995</v>
      </c>
      <c r="N2231" s="3">
        <v>55660.160000000003</v>
      </c>
      <c r="O2231" s="3">
        <v>11494.6</v>
      </c>
      <c r="P2231" s="3" t="s">
        <v>26</v>
      </c>
    </row>
    <row r="2232" spans="1:16" x14ac:dyDescent="0.35">
      <c r="A2232" s="3" t="s">
        <v>3581</v>
      </c>
      <c r="B2232" s="3" t="s">
        <v>230</v>
      </c>
      <c r="C2232" s="3" t="s">
        <v>118</v>
      </c>
      <c r="D2232" s="3" t="s">
        <v>19</v>
      </c>
      <c r="E2232" s="3" t="s">
        <v>49</v>
      </c>
      <c r="F2232" s="3" t="s">
        <v>50</v>
      </c>
      <c r="G2232" s="3" t="s">
        <v>22</v>
      </c>
      <c r="H2232" s="3" t="s">
        <v>23</v>
      </c>
      <c r="I2232" s="3" t="s">
        <v>1859</v>
      </c>
      <c r="J2232" s="3" t="s">
        <v>171</v>
      </c>
      <c r="K2232" s="3">
        <v>6</v>
      </c>
      <c r="L2232" s="3">
        <v>3645.02</v>
      </c>
      <c r="M2232" s="3">
        <v>21870.12</v>
      </c>
      <c r="N2232" s="3">
        <v>13003.03</v>
      </c>
      <c r="O2232" s="3">
        <v>8867.09</v>
      </c>
      <c r="P2232" s="3" t="s">
        <v>26</v>
      </c>
    </row>
    <row r="2233" spans="1:16" x14ac:dyDescent="0.35">
      <c r="A2233" s="3" t="s">
        <v>3582</v>
      </c>
      <c r="B2233" s="3" t="s">
        <v>607</v>
      </c>
      <c r="C2233" s="3" t="s">
        <v>114</v>
      </c>
      <c r="D2233" s="3" t="s">
        <v>90</v>
      </c>
      <c r="E2233" s="3" t="s">
        <v>97</v>
      </c>
      <c r="F2233" s="3" t="s">
        <v>98</v>
      </c>
      <c r="G2233" s="3" t="s">
        <v>41</v>
      </c>
      <c r="H2233" s="3" t="s">
        <v>138</v>
      </c>
      <c r="I2233" s="3" t="s">
        <v>694</v>
      </c>
      <c r="J2233" s="3" t="s">
        <v>106</v>
      </c>
      <c r="K2233" s="3">
        <v>5</v>
      </c>
      <c r="L2233" s="3">
        <v>17714.71</v>
      </c>
      <c r="M2233" s="3">
        <v>88573.55</v>
      </c>
      <c r="N2233" s="3">
        <v>72767.97</v>
      </c>
      <c r="O2233" s="3">
        <v>15805.58</v>
      </c>
      <c r="P2233" s="3" t="s">
        <v>26</v>
      </c>
    </row>
    <row r="2234" spans="1:16" x14ac:dyDescent="0.35">
      <c r="A2234" s="3" t="s">
        <v>3583</v>
      </c>
      <c r="B2234" s="3" t="s">
        <v>1202</v>
      </c>
      <c r="C2234" s="3" t="s">
        <v>118</v>
      </c>
      <c r="D2234" s="3" t="s">
        <v>38</v>
      </c>
      <c r="E2234" s="3" t="s">
        <v>39</v>
      </c>
      <c r="F2234" s="3" t="s">
        <v>40</v>
      </c>
      <c r="G2234" s="3" t="s">
        <v>30</v>
      </c>
      <c r="H2234" s="3" t="s">
        <v>67</v>
      </c>
      <c r="I2234" s="3" t="s">
        <v>2595</v>
      </c>
      <c r="J2234" s="3" t="s">
        <v>171</v>
      </c>
      <c r="K2234" s="3">
        <v>8</v>
      </c>
      <c r="L2234" s="3">
        <v>10144.030000000001</v>
      </c>
      <c r="M2234" s="3">
        <v>81152.240000000005</v>
      </c>
      <c r="N2234" s="3">
        <v>61342.89</v>
      </c>
      <c r="O2234" s="3">
        <v>19809.349999999999</v>
      </c>
      <c r="P2234" s="3" t="s">
        <v>86</v>
      </c>
    </row>
    <row r="2235" spans="1:16" x14ac:dyDescent="0.35">
      <c r="A2235" s="3" t="s">
        <v>3584</v>
      </c>
      <c r="B2235" s="3" t="s">
        <v>239</v>
      </c>
      <c r="C2235" s="3" t="s">
        <v>72</v>
      </c>
      <c r="D2235" s="3" t="s">
        <v>90</v>
      </c>
      <c r="E2235" s="3" t="s">
        <v>97</v>
      </c>
      <c r="F2235" s="3" t="s">
        <v>98</v>
      </c>
      <c r="G2235" s="3" t="s">
        <v>30</v>
      </c>
      <c r="H2235" s="3" t="s">
        <v>67</v>
      </c>
      <c r="I2235" s="3" t="s">
        <v>1855</v>
      </c>
      <c r="J2235" s="3" t="s">
        <v>131</v>
      </c>
      <c r="K2235" s="3">
        <v>2</v>
      </c>
      <c r="L2235" s="3">
        <v>9140.9599999999991</v>
      </c>
      <c r="M2235" s="3">
        <v>18281.919999999998</v>
      </c>
      <c r="N2235" s="3">
        <v>14925.06</v>
      </c>
      <c r="O2235" s="3">
        <v>3356.86</v>
      </c>
      <c r="P2235" s="3" t="s">
        <v>69</v>
      </c>
    </row>
    <row r="2236" spans="1:16" x14ac:dyDescent="0.35">
      <c r="A2236" s="3" t="s">
        <v>3585</v>
      </c>
      <c r="B2236" s="3" t="s">
        <v>1092</v>
      </c>
      <c r="C2236" s="3" t="s">
        <v>103</v>
      </c>
      <c r="D2236" s="3" t="s">
        <v>19</v>
      </c>
      <c r="E2236" s="3" t="s">
        <v>20</v>
      </c>
      <c r="F2236" s="3" t="s">
        <v>21</v>
      </c>
      <c r="G2236" s="3" t="s">
        <v>51</v>
      </c>
      <c r="H2236" s="3" t="s">
        <v>52</v>
      </c>
      <c r="I2236" s="3" t="s">
        <v>2228</v>
      </c>
      <c r="J2236" s="3" t="s">
        <v>131</v>
      </c>
      <c r="K2236" s="3">
        <v>1</v>
      </c>
      <c r="L2236" s="3">
        <v>27.09</v>
      </c>
      <c r="M2236" s="3">
        <v>27.09</v>
      </c>
      <c r="N2236" s="3">
        <v>10.17</v>
      </c>
      <c r="O2236" s="3">
        <v>16.920000000000002</v>
      </c>
      <c r="P2236" s="3" t="s">
        <v>69</v>
      </c>
    </row>
    <row r="2237" spans="1:16" x14ac:dyDescent="0.35">
      <c r="A2237" s="3" t="s">
        <v>3586</v>
      </c>
      <c r="B2237" s="3" t="s">
        <v>88</v>
      </c>
      <c r="C2237" s="3" t="s">
        <v>89</v>
      </c>
      <c r="D2237" s="3" t="s">
        <v>19</v>
      </c>
      <c r="E2237" s="3" t="s">
        <v>20</v>
      </c>
      <c r="F2237" s="3" t="s">
        <v>21</v>
      </c>
      <c r="G2237" s="3" t="s">
        <v>22</v>
      </c>
      <c r="H2237" s="3" t="s">
        <v>83</v>
      </c>
      <c r="I2237" s="3" t="s">
        <v>3587</v>
      </c>
      <c r="J2237" s="3" t="s">
        <v>25</v>
      </c>
      <c r="K2237" s="3">
        <v>3</v>
      </c>
      <c r="L2237" s="3">
        <v>20585.759999999998</v>
      </c>
      <c r="M2237" s="3">
        <v>61757.279999999999</v>
      </c>
      <c r="N2237" s="3">
        <v>50057.02</v>
      </c>
      <c r="O2237" s="3">
        <v>11700.26</v>
      </c>
      <c r="P2237" s="3" t="s">
        <v>45</v>
      </c>
    </row>
    <row r="2238" spans="1:16" x14ac:dyDescent="0.35">
      <c r="A2238" s="3" t="s">
        <v>3588</v>
      </c>
      <c r="B2238" s="3" t="s">
        <v>1042</v>
      </c>
      <c r="C2238" s="3" t="s">
        <v>118</v>
      </c>
      <c r="D2238" s="3" t="s">
        <v>38</v>
      </c>
      <c r="E2238" s="3" t="s">
        <v>39</v>
      </c>
      <c r="F2238" s="3" t="s">
        <v>40</v>
      </c>
      <c r="G2238" s="3" t="s">
        <v>41</v>
      </c>
      <c r="H2238" s="3" t="s">
        <v>138</v>
      </c>
      <c r="I2238" s="3" t="s">
        <v>2366</v>
      </c>
      <c r="J2238" s="3" t="s">
        <v>79</v>
      </c>
      <c r="K2238" s="3">
        <v>8</v>
      </c>
      <c r="L2238" s="3">
        <v>18567.82</v>
      </c>
      <c r="M2238" s="3">
        <v>148542.56</v>
      </c>
      <c r="N2238" s="3">
        <v>114135.82</v>
      </c>
      <c r="O2238" s="3">
        <v>34406.74</v>
      </c>
      <c r="P2238" s="3" t="s">
        <v>69</v>
      </c>
    </row>
    <row r="2239" spans="1:16" x14ac:dyDescent="0.35">
      <c r="A2239" s="3" t="s">
        <v>3589</v>
      </c>
      <c r="B2239" s="3" t="s">
        <v>1255</v>
      </c>
      <c r="C2239" s="3" t="s">
        <v>72</v>
      </c>
      <c r="D2239" s="3" t="s">
        <v>58</v>
      </c>
      <c r="E2239" s="3" t="s">
        <v>176</v>
      </c>
      <c r="F2239" s="3" t="s">
        <v>177</v>
      </c>
      <c r="G2239" s="3" t="s">
        <v>41</v>
      </c>
      <c r="H2239" s="3" t="s">
        <v>61</v>
      </c>
      <c r="I2239" s="3" t="s">
        <v>1539</v>
      </c>
      <c r="J2239" s="3" t="s">
        <v>217</v>
      </c>
      <c r="K2239" s="3">
        <v>5</v>
      </c>
      <c r="L2239" s="3">
        <v>2525.5700000000002</v>
      </c>
      <c r="M2239" s="3">
        <v>12627.85</v>
      </c>
      <c r="N2239" s="3">
        <v>8276.66</v>
      </c>
      <c r="O2239" s="3">
        <v>4351.1899999999996</v>
      </c>
      <c r="P2239" s="3" t="s">
        <v>86</v>
      </c>
    </row>
    <row r="2240" spans="1:16" x14ac:dyDescent="0.35">
      <c r="A2240" s="3" t="s">
        <v>3590</v>
      </c>
      <c r="B2240" s="3" t="s">
        <v>580</v>
      </c>
      <c r="C2240" s="3" t="s">
        <v>57</v>
      </c>
      <c r="D2240" s="3" t="s">
        <v>38</v>
      </c>
      <c r="E2240" s="3" t="s">
        <v>104</v>
      </c>
      <c r="F2240" s="3" t="s">
        <v>104</v>
      </c>
      <c r="G2240" s="3" t="s">
        <v>51</v>
      </c>
      <c r="H2240" s="3" t="s">
        <v>77</v>
      </c>
      <c r="I2240" s="3" t="s">
        <v>803</v>
      </c>
      <c r="J2240" s="3" t="s">
        <v>217</v>
      </c>
      <c r="K2240" s="3">
        <v>8</v>
      </c>
      <c r="L2240" s="3">
        <v>10920.77</v>
      </c>
      <c r="M2240" s="3">
        <v>87366.16</v>
      </c>
      <c r="N2240" s="3">
        <v>74960.740000000005</v>
      </c>
      <c r="O2240" s="3">
        <v>12405.42</v>
      </c>
      <c r="P2240" s="3" t="s">
        <v>34</v>
      </c>
    </row>
    <row r="2241" spans="1:16" x14ac:dyDescent="0.35">
      <c r="A2241" s="3" t="s">
        <v>3591</v>
      </c>
      <c r="B2241" s="3" t="s">
        <v>1342</v>
      </c>
      <c r="C2241" s="3" t="s">
        <v>82</v>
      </c>
      <c r="D2241" s="3" t="s">
        <v>90</v>
      </c>
      <c r="E2241" s="3" t="s">
        <v>91</v>
      </c>
      <c r="F2241" s="3" t="s">
        <v>92</v>
      </c>
      <c r="G2241" s="3" t="s">
        <v>41</v>
      </c>
      <c r="H2241" s="3" t="s">
        <v>42</v>
      </c>
      <c r="I2241" s="3" t="s">
        <v>3592</v>
      </c>
      <c r="J2241" s="3" t="s">
        <v>147</v>
      </c>
      <c r="K2241" s="3">
        <v>2</v>
      </c>
      <c r="L2241" s="3">
        <v>47362.94</v>
      </c>
      <c r="M2241" s="3">
        <v>94725.88</v>
      </c>
      <c r="N2241" s="3">
        <v>68801.53</v>
      </c>
      <c r="O2241" s="3">
        <v>25924.35</v>
      </c>
      <c r="P2241" s="3" t="s">
        <v>69</v>
      </c>
    </row>
    <row r="2242" spans="1:16" x14ac:dyDescent="0.35">
      <c r="A2242" s="3" t="s">
        <v>3593</v>
      </c>
      <c r="B2242" s="3" t="s">
        <v>376</v>
      </c>
      <c r="C2242" s="3" t="s">
        <v>37</v>
      </c>
      <c r="D2242" s="3" t="s">
        <v>90</v>
      </c>
      <c r="E2242" s="3" t="s">
        <v>119</v>
      </c>
      <c r="F2242" s="3" t="s">
        <v>120</v>
      </c>
      <c r="G2242" s="3" t="s">
        <v>51</v>
      </c>
      <c r="H2242" s="3" t="s">
        <v>77</v>
      </c>
      <c r="I2242" s="3" t="s">
        <v>3034</v>
      </c>
      <c r="J2242" s="3" t="s">
        <v>131</v>
      </c>
      <c r="K2242" s="3">
        <v>1</v>
      </c>
      <c r="L2242" s="3">
        <v>11053.44</v>
      </c>
      <c r="M2242" s="3">
        <v>11053.44</v>
      </c>
      <c r="N2242" s="3">
        <v>8965.44</v>
      </c>
      <c r="O2242" s="3">
        <v>2088</v>
      </c>
      <c r="P2242" s="3" t="s">
        <v>26</v>
      </c>
    </row>
    <row r="2243" spans="1:16" x14ac:dyDescent="0.35">
      <c r="A2243" s="3" t="s">
        <v>3594</v>
      </c>
      <c r="B2243" s="3" t="s">
        <v>17</v>
      </c>
      <c r="C2243" s="3" t="s">
        <v>18</v>
      </c>
      <c r="D2243" s="3" t="s">
        <v>90</v>
      </c>
      <c r="E2243" s="3" t="s">
        <v>97</v>
      </c>
      <c r="F2243" s="3" t="s">
        <v>98</v>
      </c>
      <c r="G2243" s="3" t="s">
        <v>41</v>
      </c>
      <c r="H2243" s="3" t="s">
        <v>61</v>
      </c>
      <c r="I2243" s="3" t="s">
        <v>475</v>
      </c>
      <c r="J2243" s="3" t="s">
        <v>33</v>
      </c>
      <c r="K2243" s="3">
        <v>7</v>
      </c>
      <c r="L2243" s="3">
        <v>2342.54</v>
      </c>
      <c r="M2243" s="3">
        <v>16397.78</v>
      </c>
      <c r="N2243" s="3">
        <v>10900.43</v>
      </c>
      <c r="O2243" s="3">
        <v>5497.35</v>
      </c>
      <c r="P2243" s="3" t="s">
        <v>69</v>
      </c>
    </row>
    <row r="2244" spans="1:16" x14ac:dyDescent="0.35">
      <c r="A2244" s="3" t="s">
        <v>3595</v>
      </c>
      <c r="B2244" s="3" t="s">
        <v>859</v>
      </c>
      <c r="C2244" s="3" t="s">
        <v>48</v>
      </c>
      <c r="D2244" s="3" t="s">
        <v>38</v>
      </c>
      <c r="E2244" s="3" t="s">
        <v>39</v>
      </c>
      <c r="F2244" s="3" t="s">
        <v>40</v>
      </c>
      <c r="G2244" s="3" t="s">
        <v>22</v>
      </c>
      <c r="H2244" s="3" t="s">
        <v>83</v>
      </c>
      <c r="I2244" s="3" t="s">
        <v>2647</v>
      </c>
      <c r="J2244" s="3" t="s">
        <v>79</v>
      </c>
      <c r="K2244" s="3">
        <v>4</v>
      </c>
      <c r="L2244" s="3">
        <v>21266.65</v>
      </c>
      <c r="M2244" s="3">
        <v>85066.6</v>
      </c>
      <c r="N2244" s="3">
        <v>70358.880000000005</v>
      </c>
      <c r="O2244" s="3">
        <v>14707.72</v>
      </c>
      <c r="P2244" s="3" t="s">
        <v>34</v>
      </c>
    </row>
    <row r="2245" spans="1:16" x14ac:dyDescent="0.35">
      <c r="A2245" s="3" t="s">
        <v>3596</v>
      </c>
      <c r="B2245" s="3" t="s">
        <v>712</v>
      </c>
      <c r="C2245" s="3" t="s">
        <v>37</v>
      </c>
      <c r="D2245" s="3" t="s">
        <v>38</v>
      </c>
      <c r="E2245" s="3" t="s">
        <v>109</v>
      </c>
      <c r="F2245" s="3" t="s">
        <v>110</v>
      </c>
      <c r="G2245" s="3" t="s">
        <v>41</v>
      </c>
      <c r="H2245" s="3" t="s">
        <v>42</v>
      </c>
      <c r="I2245" s="3" t="s">
        <v>2381</v>
      </c>
      <c r="J2245" s="3" t="s">
        <v>33</v>
      </c>
      <c r="K2245" s="3">
        <v>6</v>
      </c>
      <c r="L2245" s="3">
        <v>49058.6</v>
      </c>
      <c r="M2245" s="3">
        <v>294351.59999999998</v>
      </c>
      <c r="N2245" s="3">
        <v>199846.35</v>
      </c>
      <c r="O2245" s="3">
        <v>94505.25</v>
      </c>
      <c r="P2245" s="3" t="s">
        <v>45</v>
      </c>
    </row>
    <row r="2246" spans="1:16" x14ac:dyDescent="0.35">
      <c r="A2246" s="3" t="s">
        <v>3597</v>
      </c>
      <c r="B2246" s="3" t="s">
        <v>559</v>
      </c>
      <c r="C2246" s="3" t="s">
        <v>89</v>
      </c>
      <c r="D2246" s="3" t="s">
        <v>38</v>
      </c>
      <c r="E2246" s="3" t="s">
        <v>109</v>
      </c>
      <c r="F2246" s="3" t="s">
        <v>110</v>
      </c>
      <c r="G2246" s="3" t="s">
        <v>30</v>
      </c>
      <c r="H2246" s="3" t="s">
        <v>31</v>
      </c>
      <c r="I2246" s="3" t="s">
        <v>1920</v>
      </c>
      <c r="J2246" s="3" t="s">
        <v>100</v>
      </c>
      <c r="K2246" s="3">
        <v>1</v>
      </c>
      <c r="L2246" s="3">
        <v>2849.12</v>
      </c>
      <c r="M2246" s="3">
        <v>2849.12</v>
      </c>
      <c r="N2246" s="3">
        <v>1826.77</v>
      </c>
      <c r="O2246" s="3">
        <v>1022.35</v>
      </c>
      <c r="P2246" s="3" t="s">
        <v>34</v>
      </c>
    </row>
    <row r="2247" spans="1:16" x14ac:dyDescent="0.35">
      <c r="A2247" s="3" t="s">
        <v>3598</v>
      </c>
      <c r="B2247" s="3" t="s">
        <v>443</v>
      </c>
      <c r="C2247" s="3" t="s">
        <v>57</v>
      </c>
      <c r="D2247" s="3" t="s">
        <v>58</v>
      </c>
      <c r="E2247" s="3" t="s">
        <v>176</v>
      </c>
      <c r="F2247" s="3" t="s">
        <v>177</v>
      </c>
      <c r="G2247" s="3" t="s">
        <v>51</v>
      </c>
      <c r="H2247" s="3" t="s">
        <v>145</v>
      </c>
      <c r="I2247" s="3" t="s">
        <v>2219</v>
      </c>
      <c r="J2247" s="3" t="s">
        <v>154</v>
      </c>
      <c r="K2247" s="3">
        <v>4</v>
      </c>
      <c r="L2247" s="3">
        <v>127.63</v>
      </c>
      <c r="M2247" s="3">
        <v>510.52</v>
      </c>
      <c r="N2247" s="3">
        <v>230.22</v>
      </c>
      <c r="O2247" s="3">
        <v>280.3</v>
      </c>
      <c r="P2247" s="3" t="s">
        <v>86</v>
      </c>
    </row>
    <row r="2248" spans="1:16" x14ac:dyDescent="0.35">
      <c r="A2248" s="3" t="s">
        <v>3599</v>
      </c>
      <c r="B2248" s="3" t="s">
        <v>779</v>
      </c>
      <c r="C2248" s="3" t="s">
        <v>114</v>
      </c>
      <c r="D2248" s="3" t="s">
        <v>38</v>
      </c>
      <c r="E2248" s="3" t="s">
        <v>104</v>
      </c>
      <c r="F2248" s="3" t="s">
        <v>104</v>
      </c>
      <c r="G2248" s="3" t="s">
        <v>41</v>
      </c>
      <c r="H2248" s="3" t="s">
        <v>61</v>
      </c>
      <c r="I2248" s="3" t="s">
        <v>403</v>
      </c>
      <c r="J2248" s="3" t="s">
        <v>131</v>
      </c>
      <c r="K2248" s="3">
        <v>8</v>
      </c>
      <c r="L2248" s="3">
        <v>2731.75</v>
      </c>
      <c r="M2248" s="3">
        <v>21854</v>
      </c>
      <c r="N2248" s="3">
        <v>12354.56</v>
      </c>
      <c r="O2248" s="3">
        <v>9499.44</v>
      </c>
      <c r="P2248" s="3" t="s">
        <v>69</v>
      </c>
    </row>
    <row r="2249" spans="1:16" x14ac:dyDescent="0.35">
      <c r="A2249" s="3" t="s">
        <v>3600</v>
      </c>
      <c r="B2249" s="3" t="s">
        <v>974</v>
      </c>
      <c r="C2249" s="3" t="s">
        <v>29</v>
      </c>
      <c r="D2249" s="3" t="s">
        <v>58</v>
      </c>
      <c r="E2249" s="3" t="s">
        <v>65</v>
      </c>
      <c r="F2249" s="3" t="s">
        <v>66</v>
      </c>
      <c r="G2249" s="3" t="s">
        <v>30</v>
      </c>
      <c r="H2249" s="3" t="s">
        <v>73</v>
      </c>
      <c r="I2249" s="3" t="s">
        <v>1722</v>
      </c>
      <c r="J2249" s="3" t="s">
        <v>171</v>
      </c>
      <c r="K2249" s="3">
        <v>5</v>
      </c>
      <c r="L2249" s="3">
        <v>3472.76</v>
      </c>
      <c r="M2249" s="3">
        <v>17363.8</v>
      </c>
      <c r="N2249" s="3">
        <v>12250.22</v>
      </c>
      <c r="O2249" s="3">
        <v>5113.58</v>
      </c>
      <c r="P2249" s="3" t="s">
        <v>34</v>
      </c>
    </row>
    <row r="2250" spans="1:16" x14ac:dyDescent="0.35">
      <c r="A2250" s="3" t="s">
        <v>3601</v>
      </c>
      <c r="B2250" s="3" t="s">
        <v>924</v>
      </c>
      <c r="C2250" s="3" t="s">
        <v>18</v>
      </c>
      <c r="D2250" s="3" t="s">
        <v>90</v>
      </c>
      <c r="E2250" s="3" t="s">
        <v>97</v>
      </c>
      <c r="F2250" s="3" t="s">
        <v>98</v>
      </c>
      <c r="G2250" s="3" t="s">
        <v>41</v>
      </c>
      <c r="H2250" s="3" t="s">
        <v>42</v>
      </c>
      <c r="I2250" s="3" t="s">
        <v>2441</v>
      </c>
      <c r="J2250" s="3" t="s">
        <v>161</v>
      </c>
      <c r="K2250" s="3">
        <v>3</v>
      </c>
      <c r="L2250" s="3">
        <v>46144.12</v>
      </c>
      <c r="M2250" s="3">
        <v>138432.35999999999</v>
      </c>
      <c r="N2250" s="3">
        <v>106173.48</v>
      </c>
      <c r="O2250" s="3">
        <v>32258.880000000001</v>
      </c>
      <c r="P2250" s="3" t="s">
        <v>69</v>
      </c>
    </row>
    <row r="2251" spans="1:16" x14ac:dyDescent="0.35">
      <c r="A2251" s="3" t="s">
        <v>3602</v>
      </c>
      <c r="B2251" s="3" t="s">
        <v>228</v>
      </c>
      <c r="C2251" s="3" t="s">
        <v>114</v>
      </c>
      <c r="D2251" s="3" t="s">
        <v>90</v>
      </c>
      <c r="E2251" s="3" t="s">
        <v>97</v>
      </c>
      <c r="F2251" s="3" t="s">
        <v>98</v>
      </c>
      <c r="G2251" s="3" t="s">
        <v>41</v>
      </c>
      <c r="H2251" s="3" t="s">
        <v>138</v>
      </c>
      <c r="I2251" s="3" t="s">
        <v>3077</v>
      </c>
      <c r="J2251" s="3" t="s">
        <v>33</v>
      </c>
      <c r="K2251" s="3">
        <v>8</v>
      </c>
      <c r="L2251" s="3">
        <v>18237.11</v>
      </c>
      <c r="M2251" s="3">
        <v>145896.88</v>
      </c>
      <c r="N2251" s="3">
        <v>115797.23</v>
      </c>
      <c r="O2251" s="3">
        <v>30099.65</v>
      </c>
      <c r="P2251" s="3" t="s">
        <v>86</v>
      </c>
    </row>
    <row r="2252" spans="1:16" x14ac:dyDescent="0.35">
      <c r="A2252" s="3" t="s">
        <v>3603</v>
      </c>
      <c r="B2252" s="3" t="s">
        <v>852</v>
      </c>
      <c r="C2252" s="3" t="s">
        <v>118</v>
      </c>
      <c r="D2252" s="3" t="s">
        <v>90</v>
      </c>
      <c r="E2252" s="3" t="s">
        <v>91</v>
      </c>
      <c r="F2252" s="3" t="s">
        <v>92</v>
      </c>
      <c r="G2252" s="3" t="s">
        <v>51</v>
      </c>
      <c r="H2252" s="3" t="s">
        <v>52</v>
      </c>
      <c r="I2252" s="3" t="s">
        <v>1883</v>
      </c>
      <c r="J2252" s="3" t="s">
        <v>54</v>
      </c>
      <c r="K2252" s="3">
        <v>8</v>
      </c>
      <c r="L2252" s="3">
        <v>22.91</v>
      </c>
      <c r="M2252" s="3">
        <v>183.28</v>
      </c>
      <c r="N2252" s="3">
        <v>76.2</v>
      </c>
      <c r="O2252" s="3">
        <v>107.08</v>
      </c>
      <c r="P2252" s="3" t="s">
        <v>86</v>
      </c>
    </row>
    <row r="2253" spans="1:16" x14ac:dyDescent="0.35">
      <c r="A2253" s="3" t="s">
        <v>3604</v>
      </c>
      <c r="B2253" s="3" t="s">
        <v>840</v>
      </c>
      <c r="C2253" s="3" t="s">
        <v>57</v>
      </c>
      <c r="D2253" s="3" t="s">
        <v>19</v>
      </c>
      <c r="E2253" s="3" t="s">
        <v>49</v>
      </c>
      <c r="F2253" s="3" t="s">
        <v>50</v>
      </c>
      <c r="G2253" s="3" t="s">
        <v>41</v>
      </c>
      <c r="H2253" s="3" t="s">
        <v>42</v>
      </c>
      <c r="I2253" s="3" t="s">
        <v>1784</v>
      </c>
      <c r="J2253" s="3" t="s">
        <v>217</v>
      </c>
      <c r="K2253" s="3">
        <v>5</v>
      </c>
      <c r="L2253" s="3">
        <v>43774.94</v>
      </c>
      <c r="M2253" s="3">
        <v>218874.7</v>
      </c>
      <c r="N2253" s="3">
        <v>167030.74</v>
      </c>
      <c r="O2253" s="3">
        <v>51843.96</v>
      </c>
      <c r="P2253" s="3" t="s">
        <v>34</v>
      </c>
    </row>
    <row r="2254" spans="1:16" x14ac:dyDescent="0.35">
      <c r="A2254" s="3" t="s">
        <v>3605</v>
      </c>
      <c r="B2254" s="3" t="s">
        <v>924</v>
      </c>
      <c r="C2254" s="3" t="s">
        <v>18</v>
      </c>
      <c r="D2254" s="3" t="s">
        <v>58</v>
      </c>
      <c r="E2254" s="3" t="s">
        <v>59</v>
      </c>
      <c r="F2254" s="3" t="s">
        <v>60</v>
      </c>
      <c r="G2254" s="3" t="s">
        <v>30</v>
      </c>
      <c r="H2254" s="3" t="s">
        <v>73</v>
      </c>
      <c r="I2254" s="3" t="s">
        <v>706</v>
      </c>
      <c r="J2254" s="3" t="s">
        <v>33</v>
      </c>
      <c r="K2254" s="3">
        <v>5</v>
      </c>
      <c r="L2254" s="3">
        <v>2947.61</v>
      </c>
      <c r="M2254" s="3">
        <v>14738.05</v>
      </c>
      <c r="N2254" s="3">
        <v>11893.37</v>
      </c>
      <c r="O2254" s="3">
        <v>2844.68</v>
      </c>
      <c r="P2254" s="3" t="s">
        <v>34</v>
      </c>
    </row>
    <row r="2255" spans="1:16" x14ac:dyDescent="0.35">
      <c r="A2255" s="3" t="s">
        <v>3606</v>
      </c>
      <c r="B2255" s="3" t="s">
        <v>2222</v>
      </c>
      <c r="C2255" s="3" t="s">
        <v>89</v>
      </c>
      <c r="D2255" s="3" t="s">
        <v>58</v>
      </c>
      <c r="E2255" s="3" t="s">
        <v>176</v>
      </c>
      <c r="F2255" s="3" t="s">
        <v>177</v>
      </c>
      <c r="G2255" s="3" t="s">
        <v>22</v>
      </c>
      <c r="H2255" s="3" t="s">
        <v>93</v>
      </c>
      <c r="I2255" s="3" t="s">
        <v>3607</v>
      </c>
      <c r="J2255" s="3" t="s">
        <v>25</v>
      </c>
      <c r="K2255" s="3">
        <v>4</v>
      </c>
      <c r="L2255" s="3">
        <v>6686.78</v>
      </c>
      <c r="M2255" s="3">
        <v>26747.119999999999</v>
      </c>
      <c r="N2255" s="3">
        <v>20199.63</v>
      </c>
      <c r="O2255" s="3">
        <v>6547.49</v>
      </c>
      <c r="P2255" s="3" t="s">
        <v>26</v>
      </c>
    </row>
    <row r="2256" spans="1:16" x14ac:dyDescent="0.35">
      <c r="A2256" s="3" t="s">
        <v>3608</v>
      </c>
      <c r="B2256" s="3" t="s">
        <v>792</v>
      </c>
      <c r="C2256" s="3" t="s">
        <v>72</v>
      </c>
      <c r="D2256" s="3" t="s">
        <v>90</v>
      </c>
      <c r="E2256" s="3" t="s">
        <v>119</v>
      </c>
      <c r="F2256" s="3" t="s">
        <v>120</v>
      </c>
      <c r="G2256" s="3" t="s">
        <v>51</v>
      </c>
      <c r="H2256" s="3" t="s">
        <v>77</v>
      </c>
      <c r="I2256" s="3" t="s">
        <v>1038</v>
      </c>
      <c r="J2256" s="3" t="s">
        <v>85</v>
      </c>
      <c r="K2256" s="3">
        <v>1</v>
      </c>
      <c r="L2256" s="3">
        <v>12859.62</v>
      </c>
      <c r="M2256" s="3">
        <v>12859.62</v>
      </c>
      <c r="N2256" s="3">
        <v>8675.33</v>
      </c>
      <c r="O2256" s="3">
        <v>4184.29</v>
      </c>
      <c r="P2256" s="3" t="s">
        <v>86</v>
      </c>
    </row>
    <row r="2257" spans="1:16" x14ac:dyDescent="0.35">
      <c r="A2257" s="3" t="s">
        <v>3609</v>
      </c>
      <c r="B2257" s="3" t="s">
        <v>1912</v>
      </c>
      <c r="C2257" s="3" t="s">
        <v>137</v>
      </c>
      <c r="D2257" s="3" t="s">
        <v>19</v>
      </c>
      <c r="E2257" s="3" t="s">
        <v>199</v>
      </c>
      <c r="F2257" s="3" t="s">
        <v>200</v>
      </c>
      <c r="G2257" s="3" t="s">
        <v>41</v>
      </c>
      <c r="H2257" s="3" t="s">
        <v>61</v>
      </c>
      <c r="I2257" s="3" t="s">
        <v>1630</v>
      </c>
      <c r="J2257" s="3" t="s">
        <v>188</v>
      </c>
      <c r="K2257" s="3">
        <v>3</v>
      </c>
      <c r="L2257" s="3">
        <v>2555.7399999999998</v>
      </c>
      <c r="M2257" s="3">
        <v>7667.22</v>
      </c>
      <c r="N2257" s="3">
        <v>4645.3900000000003</v>
      </c>
      <c r="O2257" s="3">
        <v>3021.83</v>
      </c>
      <c r="P2257" s="3" t="s">
        <v>45</v>
      </c>
    </row>
    <row r="2258" spans="1:16" x14ac:dyDescent="0.35">
      <c r="A2258" s="3" t="s">
        <v>3610</v>
      </c>
      <c r="B2258" s="3" t="s">
        <v>1294</v>
      </c>
      <c r="C2258" s="3" t="s">
        <v>118</v>
      </c>
      <c r="D2258" s="3" t="s">
        <v>38</v>
      </c>
      <c r="E2258" s="3" t="s">
        <v>39</v>
      </c>
      <c r="F2258" s="3" t="s">
        <v>40</v>
      </c>
      <c r="G2258" s="3" t="s">
        <v>22</v>
      </c>
      <c r="H2258" s="3" t="s">
        <v>23</v>
      </c>
      <c r="I2258" s="3" t="s">
        <v>43</v>
      </c>
      <c r="J2258" s="3" t="s">
        <v>44</v>
      </c>
      <c r="K2258" s="3">
        <v>3</v>
      </c>
      <c r="L2258" s="3">
        <v>3375.14</v>
      </c>
      <c r="M2258" s="3">
        <v>10125.42</v>
      </c>
      <c r="N2258" s="3">
        <v>6404.86</v>
      </c>
      <c r="O2258" s="3">
        <v>3720.56</v>
      </c>
      <c r="P2258" s="3" t="s">
        <v>86</v>
      </c>
    </row>
    <row r="2259" spans="1:16" x14ac:dyDescent="0.35">
      <c r="A2259" s="3" t="s">
        <v>3611</v>
      </c>
      <c r="B2259" s="3" t="s">
        <v>152</v>
      </c>
      <c r="C2259" s="3" t="s">
        <v>57</v>
      </c>
      <c r="D2259" s="3" t="s">
        <v>38</v>
      </c>
      <c r="E2259" s="3" t="s">
        <v>104</v>
      </c>
      <c r="F2259" s="3" t="s">
        <v>104</v>
      </c>
      <c r="G2259" s="3" t="s">
        <v>30</v>
      </c>
      <c r="H2259" s="3" t="s">
        <v>31</v>
      </c>
      <c r="I2259" s="3" t="s">
        <v>1340</v>
      </c>
      <c r="J2259" s="3" t="s">
        <v>106</v>
      </c>
      <c r="K2259" s="3">
        <v>6</v>
      </c>
      <c r="L2259" s="3">
        <v>2746.36</v>
      </c>
      <c r="M2259" s="3">
        <v>16478.16</v>
      </c>
      <c r="N2259" s="3">
        <v>10871.84</v>
      </c>
      <c r="O2259" s="3">
        <v>5606.32</v>
      </c>
      <c r="P2259" s="3" t="s">
        <v>86</v>
      </c>
    </row>
    <row r="2260" spans="1:16" x14ac:dyDescent="0.35">
      <c r="A2260" s="3" t="s">
        <v>3612</v>
      </c>
      <c r="B2260" s="3" t="s">
        <v>2222</v>
      </c>
      <c r="C2260" s="3" t="s">
        <v>89</v>
      </c>
      <c r="D2260" s="3" t="s">
        <v>38</v>
      </c>
      <c r="E2260" s="3" t="s">
        <v>39</v>
      </c>
      <c r="F2260" s="3" t="s">
        <v>40</v>
      </c>
      <c r="G2260" s="3" t="s">
        <v>30</v>
      </c>
      <c r="H2260" s="3" t="s">
        <v>67</v>
      </c>
      <c r="I2260" s="3" t="s">
        <v>146</v>
      </c>
      <c r="J2260" s="3" t="s">
        <v>217</v>
      </c>
      <c r="K2260" s="3">
        <v>8</v>
      </c>
      <c r="L2260" s="3">
        <v>10113.540000000001</v>
      </c>
      <c r="M2260" s="3">
        <v>80908.320000000007</v>
      </c>
      <c r="N2260" s="3">
        <v>61617.18</v>
      </c>
      <c r="O2260" s="3">
        <v>19291.14</v>
      </c>
      <c r="P2260" s="3" t="s">
        <v>86</v>
      </c>
    </row>
    <row r="2261" spans="1:16" x14ac:dyDescent="0.35">
      <c r="A2261" s="3" t="s">
        <v>3613</v>
      </c>
      <c r="B2261" s="3" t="s">
        <v>2028</v>
      </c>
      <c r="C2261" s="3" t="s">
        <v>137</v>
      </c>
      <c r="D2261" s="3" t="s">
        <v>38</v>
      </c>
      <c r="E2261" s="3" t="s">
        <v>109</v>
      </c>
      <c r="F2261" s="3" t="s">
        <v>110</v>
      </c>
      <c r="G2261" s="3" t="s">
        <v>41</v>
      </c>
      <c r="H2261" s="3" t="s">
        <v>138</v>
      </c>
      <c r="I2261" s="3" t="s">
        <v>1111</v>
      </c>
      <c r="J2261" s="3" t="s">
        <v>85</v>
      </c>
      <c r="K2261" s="3">
        <v>8</v>
      </c>
      <c r="L2261" s="3">
        <v>17818.13</v>
      </c>
      <c r="M2261" s="3">
        <v>142545.04</v>
      </c>
      <c r="N2261" s="3">
        <v>114413.16</v>
      </c>
      <c r="O2261" s="3">
        <v>28131.88</v>
      </c>
      <c r="P2261" s="3" t="s">
        <v>86</v>
      </c>
    </row>
    <row r="2262" spans="1:16" x14ac:dyDescent="0.35">
      <c r="A2262" s="3" t="s">
        <v>3614</v>
      </c>
      <c r="B2262" s="3" t="s">
        <v>123</v>
      </c>
      <c r="C2262" s="3" t="s">
        <v>18</v>
      </c>
      <c r="D2262" s="3" t="s">
        <v>58</v>
      </c>
      <c r="E2262" s="3" t="s">
        <v>65</v>
      </c>
      <c r="F2262" s="3" t="s">
        <v>66</v>
      </c>
      <c r="G2262" s="3" t="s">
        <v>51</v>
      </c>
      <c r="H2262" s="3" t="s">
        <v>145</v>
      </c>
      <c r="I2262" s="3" t="s">
        <v>3615</v>
      </c>
      <c r="J2262" s="3" t="s">
        <v>131</v>
      </c>
      <c r="K2262" s="3">
        <v>5</v>
      </c>
      <c r="L2262" s="3">
        <v>128.78</v>
      </c>
      <c r="M2262" s="3">
        <v>643.9</v>
      </c>
      <c r="N2262" s="3">
        <v>311.18</v>
      </c>
      <c r="O2262" s="3">
        <v>332.72</v>
      </c>
      <c r="P2262" s="3" t="s">
        <v>34</v>
      </c>
    </row>
    <row r="2263" spans="1:16" x14ac:dyDescent="0.35">
      <c r="A2263" s="3" t="s">
        <v>3616</v>
      </c>
      <c r="B2263" s="3" t="s">
        <v>547</v>
      </c>
      <c r="C2263" s="3" t="s">
        <v>89</v>
      </c>
      <c r="D2263" s="3" t="s">
        <v>38</v>
      </c>
      <c r="E2263" s="3" t="s">
        <v>104</v>
      </c>
      <c r="F2263" s="3" t="s">
        <v>104</v>
      </c>
      <c r="G2263" s="3" t="s">
        <v>41</v>
      </c>
      <c r="H2263" s="3" t="s">
        <v>138</v>
      </c>
      <c r="I2263" s="3" t="s">
        <v>3617</v>
      </c>
      <c r="J2263" s="3" t="s">
        <v>100</v>
      </c>
      <c r="K2263" s="3">
        <v>5</v>
      </c>
      <c r="L2263" s="3">
        <v>16730.36</v>
      </c>
      <c r="M2263" s="3">
        <v>83651.8</v>
      </c>
      <c r="N2263" s="3">
        <v>72296.740000000005</v>
      </c>
      <c r="O2263" s="3">
        <v>11355.06</v>
      </c>
      <c r="P2263" s="3" t="s">
        <v>86</v>
      </c>
    </row>
    <row r="2264" spans="1:16" x14ac:dyDescent="0.35">
      <c r="A2264" s="3" t="s">
        <v>3618</v>
      </c>
      <c r="B2264" s="3" t="s">
        <v>2089</v>
      </c>
      <c r="C2264" s="3" t="s">
        <v>29</v>
      </c>
      <c r="D2264" s="3" t="s">
        <v>90</v>
      </c>
      <c r="E2264" s="3" t="s">
        <v>119</v>
      </c>
      <c r="F2264" s="3" t="s">
        <v>120</v>
      </c>
      <c r="G2264" s="3" t="s">
        <v>41</v>
      </c>
      <c r="H2264" s="3" t="s">
        <v>61</v>
      </c>
      <c r="I2264" s="3" t="s">
        <v>3489</v>
      </c>
      <c r="J2264" s="3" t="s">
        <v>106</v>
      </c>
      <c r="K2264" s="3">
        <v>1</v>
      </c>
      <c r="L2264" s="3">
        <v>2540.1999999999998</v>
      </c>
      <c r="M2264" s="3">
        <v>2540.1999999999998</v>
      </c>
      <c r="N2264" s="3">
        <v>1657.51</v>
      </c>
      <c r="O2264" s="3">
        <v>882.69</v>
      </c>
      <c r="P2264" s="3" t="s">
        <v>45</v>
      </c>
    </row>
    <row r="2265" spans="1:16" x14ac:dyDescent="0.35">
      <c r="A2265" s="3" t="s">
        <v>3619</v>
      </c>
      <c r="B2265" s="3" t="s">
        <v>2227</v>
      </c>
      <c r="C2265" s="3" t="s">
        <v>72</v>
      </c>
      <c r="D2265" s="3" t="s">
        <v>19</v>
      </c>
      <c r="E2265" s="3" t="s">
        <v>20</v>
      </c>
      <c r="F2265" s="3" t="s">
        <v>21</v>
      </c>
      <c r="G2265" s="3" t="s">
        <v>22</v>
      </c>
      <c r="H2265" s="3" t="s">
        <v>23</v>
      </c>
      <c r="I2265" s="3" t="s">
        <v>150</v>
      </c>
      <c r="J2265" s="3" t="s">
        <v>161</v>
      </c>
      <c r="K2265" s="3">
        <v>1</v>
      </c>
      <c r="L2265" s="3">
        <v>3497.43</v>
      </c>
      <c r="M2265" s="3">
        <v>3497.43</v>
      </c>
      <c r="N2265" s="3">
        <v>2187.19</v>
      </c>
      <c r="O2265" s="3">
        <v>1310.24</v>
      </c>
      <c r="P2265" s="3" t="s">
        <v>69</v>
      </c>
    </row>
    <row r="2266" spans="1:16" x14ac:dyDescent="0.35">
      <c r="A2266" s="3" t="s">
        <v>3620</v>
      </c>
      <c r="B2266" s="3" t="s">
        <v>654</v>
      </c>
      <c r="C2266" s="3" t="s">
        <v>103</v>
      </c>
      <c r="D2266" s="3" t="s">
        <v>90</v>
      </c>
      <c r="E2266" s="3" t="s">
        <v>97</v>
      </c>
      <c r="F2266" s="3" t="s">
        <v>98</v>
      </c>
      <c r="G2266" s="3" t="s">
        <v>30</v>
      </c>
      <c r="H2266" s="3" t="s">
        <v>31</v>
      </c>
      <c r="I2266" s="3" t="s">
        <v>2686</v>
      </c>
      <c r="J2266" s="3" t="s">
        <v>85</v>
      </c>
      <c r="K2266" s="3">
        <v>6</v>
      </c>
      <c r="L2266" s="3">
        <v>2925.09</v>
      </c>
      <c r="M2266" s="3">
        <v>17550.54</v>
      </c>
      <c r="N2266" s="3">
        <v>11962.91</v>
      </c>
      <c r="O2266" s="3">
        <v>5587.63</v>
      </c>
      <c r="P2266" s="3" t="s">
        <v>86</v>
      </c>
    </row>
    <row r="2267" spans="1:16" x14ac:dyDescent="0.35">
      <c r="A2267" s="3" t="s">
        <v>3621</v>
      </c>
      <c r="B2267" s="3" t="s">
        <v>412</v>
      </c>
      <c r="C2267" s="3" t="s">
        <v>48</v>
      </c>
      <c r="D2267" s="3" t="s">
        <v>38</v>
      </c>
      <c r="E2267" s="3" t="s">
        <v>39</v>
      </c>
      <c r="F2267" s="3" t="s">
        <v>40</v>
      </c>
      <c r="G2267" s="3" t="s">
        <v>41</v>
      </c>
      <c r="H2267" s="3" t="s">
        <v>138</v>
      </c>
      <c r="I2267" s="3" t="s">
        <v>1054</v>
      </c>
      <c r="J2267" s="3" t="s">
        <v>154</v>
      </c>
      <c r="K2267" s="3">
        <v>2</v>
      </c>
      <c r="L2267" s="3">
        <v>19595.38</v>
      </c>
      <c r="M2267" s="3">
        <v>39190.76</v>
      </c>
      <c r="N2267" s="3">
        <v>27500.86</v>
      </c>
      <c r="O2267" s="3">
        <v>11689.9</v>
      </c>
      <c r="P2267" s="3" t="s">
        <v>26</v>
      </c>
    </row>
    <row r="2268" spans="1:16" x14ac:dyDescent="0.35">
      <c r="A2268" s="3" t="s">
        <v>3622</v>
      </c>
      <c r="B2268" s="3" t="s">
        <v>373</v>
      </c>
      <c r="C2268" s="3" t="s">
        <v>137</v>
      </c>
      <c r="D2268" s="3" t="s">
        <v>90</v>
      </c>
      <c r="E2268" s="3" t="s">
        <v>119</v>
      </c>
      <c r="F2268" s="3" t="s">
        <v>120</v>
      </c>
      <c r="G2268" s="3" t="s">
        <v>51</v>
      </c>
      <c r="H2268" s="3" t="s">
        <v>145</v>
      </c>
      <c r="I2268" s="3" t="s">
        <v>337</v>
      </c>
      <c r="J2268" s="3" t="s">
        <v>188</v>
      </c>
      <c r="K2268" s="3">
        <v>7</v>
      </c>
      <c r="L2268" s="3">
        <v>122.66</v>
      </c>
      <c r="M2268" s="3">
        <v>858.62</v>
      </c>
      <c r="N2268" s="3">
        <v>437.53</v>
      </c>
      <c r="O2268" s="3">
        <v>421.09</v>
      </c>
      <c r="P2268" s="3" t="s">
        <v>69</v>
      </c>
    </row>
    <row r="2269" spans="1:16" x14ac:dyDescent="0.35">
      <c r="A2269" s="3" t="s">
        <v>3623</v>
      </c>
      <c r="B2269" s="3" t="s">
        <v>1299</v>
      </c>
      <c r="C2269" s="3" t="s">
        <v>82</v>
      </c>
      <c r="D2269" s="3" t="s">
        <v>19</v>
      </c>
      <c r="E2269" s="3" t="s">
        <v>199</v>
      </c>
      <c r="F2269" s="3" t="s">
        <v>200</v>
      </c>
      <c r="G2269" s="3" t="s">
        <v>51</v>
      </c>
      <c r="H2269" s="3" t="s">
        <v>77</v>
      </c>
      <c r="I2269" s="3" t="s">
        <v>491</v>
      </c>
      <c r="J2269" s="3" t="s">
        <v>85</v>
      </c>
      <c r="K2269" s="3">
        <v>7</v>
      </c>
      <c r="L2269" s="3">
        <v>13103.39</v>
      </c>
      <c r="M2269" s="3">
        <v>91723.73</v>
      </c>
      <c r="N2269" s="3">
        <v>64861.68</v>
      </c>
      <c r="O2269" s="3">
        <v>26862.05</v>
      </c>
      <c r="P2269" s="3" t="s">
        <v>45</v>
      </c>
    </row>
    <row r="2270" spans="1:16" x14ac:dyDescent="0.35">
      <c r="A2270" s="3" t="s">
        <v>3624</v>
      </c>
      <c r="B2270" s="3" t="s">
        <v>1082</v>
      </c>
      <c r="C2270" s="3" t="s">
        <v>114</v>
      </c>
      <c r="D2270" s="3" t="s">
        <v>58</v>
      </c>
      <c r="E2270" s="3" t="s">
        <v>65</v>
      </c>
      <c r="F2270" s="3" t="s">
        <v>66</v>
      </c>
      <c r="G2270" s="3" t="s">
        <v>22</v>
      </c>
      <c r="H2270" s="3" t="s">
        <v>83</v>
      </c>
      <c r="I2270" s="3" t="s">
        <v>820</v>
      </c>
      <c r="J2270" s="3" t="s">
        <v>85</v>
      </c>
      <c r="K2270" s="3">
        <v>8</v>
      </c>
      <c r="L2270" s="3">
        <v>23797.27</v>
      </c>
      <c r="M2270" s="3">
        <v>190378.16</v>
      </c>
      <c r="N2270" s="3">
        <v>141422.87</v>
      </c>
      <c r="O2270" s="3">
        <v>48955.29</v>
      </c>
      <c r="P2270" s="3" t="s">
        <v>26</v>
      </c>
    </row>
    <row r="2271" spans="1:16" x14ac:dyDescent="0.35">
      <c r="A2271" s="3" t="s">
        <v>3625</v>
      </c>
      <c r="B2271" s="3" t="s">
        <v>1644</v>
      </c>
      <c r="C2271" s="3" t="s">
        <v>118</v>
      </c>
      <c r="D2271" s="3" t="s">
        <v>90</v>
      </c>
      <c r="E2271" s="3" t="s">
        <v>91</v>
      </c>
      <c r="F2271" s="3" t="s">
        <v>92</v>
      </c>
      <c r="G2271" s="3" t="s">
        <v>51</v>
      </c>
      <c r="H2271" s="3" t="s">
        <v>77</v>
      </c>
      <c r="I2271" s="3" t="s">
        <v>724</v>
      </c>
      <c r="J2271" s="3" t="s">
        <v>171</v>
      </c>
      <c r="K2271" s="3">
        <v>7</v>
      </c>
      <c r="L2271" s="3">
        <v>11484.93</v>
      </c>
      <c r="M2271" s="3">
        <v>80394.509999999995</v>
      </c>
      <c r="N2271" s="3">
        <v>60677.16</v>
      </c>
      <c r="O2271" s="3">
        <v>19717.349999999999</v>
      </c>
      <c r="P2271" s="3" t="s">
        <v>45</v>
      </c>
    </row>
    <row r="2272" spans="1:16" x14ac:dyDescent="0.35">
      <c r="A2272" s="3" t="s">
        <v>3626</v>
      </c>
      <c r="B2272" s="3" t="s">
        <v>2086</v>
      </c>
      <c r="C2272" s="3" t="s">
        <v>72</v>
      </c>
      <c r="D2272" s="3" t="s">
        <v>38</v>
      </c>
      <c r="E2272" s="3" t="s">
        <v>39</v>
      </c>
      <c r="F2272" s="3" t="s">
        <v>40</v>
      </c>
      <c r="G2272" s="3" t="s">
        <v>51</v>
      </c>
      <c r="H2272" s="3" t="s">
        <v>52</v>
      </c>
      <c r="I2272" s="3" t="s">
        <v>3374</v>
      </c>
      <c r="J2272" s="3" t="s">
        <v>54</v>
      </c>
      <c r="K2272" s="3">
        <v>3</v>
      </c>
      <c r="L2272" s="3">
        <v>25.24</v>
      </c>
      <c r="M2272" s="3">
        <v>75.72</v>
      </c>
      <c r="N2272" s="3">
        <v>31.32</v>
      </c>
      <c r="O2272" s="3">
        <v>44.4</v>
      </c>
      <c r="P2272" s="3" t="s">
        <v>45</v>
      </c>
    </row>
    <row r="2273" spans="1:16" x14ac:dyDescent="0.35">
      <c r="A2273" s="3" t="s">
        <v>3627</v>
      </c>
      <c r="B2273" s="3" t="s">
        <v>1872</v>
      </c>
      <c r="C2273" s="3" t="s">
        <v>82</v>
      </c>
      <c r="D2273" s="3" t="s">
        <v>38</v>
      </c>
      <c r="E2273" s="3" t="s">
        <v>39</v>
      </c>
      <c r="F2273" s="3" t="s">
        <v>40</v>
      </c>
      <c r="G2273" s="3" t="s">
        <v>41</v>
      </c>
      <c r="H2273" s="3" t="s">
        <v>42</v>
      </c>
      <c r="I2273" s="3" t="s">
        <v>1782</v>
      </c>
      <c r="J2273" s="3" t="s">
        <v>25</v>
      </c>
      <c r="K2273" s="3">
        <v>3</v>
      </c>
      <c r="L2273" s="3">
        <v>45048.65</v>
      </c>
      <c r="M2273" s="3">
        <v>135145.95000000001</v>
      </c>
      <c r="N2273" s="3">
        <v>110138.86</v>
      </c>
      <c r="O2273" s="3">
        <v>25007.09</v>
      </c>
      <c r="P2273" s="3" t="s">
        <v>69</v>
      </c>
    </row>
    <row r="2274" spans="1:16" x14ac:dyDescent="0.35">
      <c r="A2274" s="3" t="s">
        <v>3628</v>
      </c>
      <c r="B2274" s="3" t="s">
        <v>1525</v>
      </c>
      <c r="C2274" s="3" t="s">
        <v>57</v>
      </c>
      <c r="D2274" s="3" t="s">
        <v>38</v>
      </c>
      <c r="E2274" s="3" t="s">
        <v>104</v>
      </c>
      <c r="F2274" s="3" t="s">
        <v>104</v>
      </c>
      <c r="G2274" s="3" t="s">
        <v>22</v>
      </c>
      <c r="H2274" s="3" t="s">
        <v>83</v>
      </c>
      <c r="I2274" s="3" t="s">
        <v>2647</v>
      </c>
      <c r="J2274" s="3" t="s">
        <v>79</v>
      </c>
      <c r="K2274" s="3">
        <v>5</v>
      </c>
      <c r="L2274" s="3">
        <v>23390.1</v>
      </c>
      <c r="M2274" s="3">
        <v>116950.5</v>
      </c>
      <c r="N2274" s="3">
        <v>84993.91</v>
      </c>
      <c r="O2274" s="3">
        <v>31956.59</v>
      </c>
      <c r="P2274" s="3" t="s">
        <v>26</v>
      </c>
    </row>
    <row r="2275" spans="1:16" x14ac:dyDescent="0.35">
      <c r="A2275" s="3" t="s">
        <v>3629</v>
      </c>
      <c r="B2275" s="3" t="s">
        <v>271</v>
      </c>
      <c r="C2275" s="3" t="s">
        <v>82</v>
      </c>
      <c r="D2275" s="3" t="s">
        <v>38</v>
      </c>
      <c r="E2275" s="3" t="s">
        <v>39</v>
      </c>
      <c r="F2275" s="3" t="s">
        <v>40</v>
      </c>
      <c r="G2275" s="3" t="s">
        <v>22</v>
      </c>
      <c r="H2275" s="3" t="s">
        <v>23</v>
      </c>
      <c r="I2275" s="3" t="s">
        <v>405</v>
      </c>
      <c r="J2275" s="3" t="s">
        <v>131</v>
      </c>
      <c r="K2275" s="3">
        <v>4</v>
      </c>
      <c r="L2275" s="3">
        <v>3843.17</v>
      </c>
      <c r="M2275" s="3">
        <v>15372.68</v>
      </c>
      <c r="N2275" s="3">
        <v>8969.35</v>
      </c>
      <c r="O2275" s="3">
        <v>6403.33</v>
      </c>
      <c r="P2275" s="3" t="s">
        <v>69</v>
      </c>
    </row>
    <row r="2276" spans="1:16" x14ac:dyDescent="0.35">
      <c r="A2276" s="3" t="s">
        <v>3630</v>
      </c>
      <c r="B2276" s="3" t="s">
        <v>757</v>
      </c>
      <c r="C2276" s="3" t="s">
        <v>137</v>
      </c>
      <c r="D2276" s="3" t="s">
        <v>19</v>
      </c>
      <c r="E2276" s="3" t="s">
        <v>49</v>
      </c>
      <c r="F2276" s="3" t="s">
        <v>50</v>
      </c>
      <c r="G2276" s="3" t="s">
        <v>51</v>
      </c>
      <c r="H2276" s="3" t="s">
        <v>145</v>
      </c>
      <c r="I2276" s="3" t="s">
        <v>3631</v>
      </c>
      <c r="J2276" s="3" t="s">
        <v>154</v>
      </c>
      <c r="K2276" s="3">
        <v>5</v>
      </c>
      <c r="L2276" s="3">
        <v>131.47</v>
      </c>
      <c r="M2276" s="3">
        <v>657.35</v>
      </c>
      <c r="N2276" s="3">
        <v>293.55</v>
      </c>
      <c r="O2276" s="3">
        <v>363.8</v>
      </c>
      <c r="P2276" s="3" t="s">
        <v>69</v>
      </c>
    </row>
    <row r="2277" spans="1:16" x14ac:dyDescent="0.35">
      <c r="A2277" s="3" t="s">
        <v>3632</v>
      </c>
      <c r="B2277" s="3" t="s">
        <v>1423</v>
      </c>
      <c r="C2277" s="3" t="s">
        <v>37</v>
      </c>
      <c r="D2277" s="3" t="s">
        <v>38</v>
      </c>
      <c r="E2277" s="3" t="s">
        <v>104</v>
      </c>
      <c r="F2277" s="3" t="s">
        <v>104</v>
      </c>
      <c r="G2277" s="3" t="s">
        <v>30</v>
      </c>
      <c r="H2277" s="3" t="s">
        <v>73</v>
      </c>
      <c r="I2277" s="3" t="s">
        <v>3633</v>
      </c>
      <c r="J2277" s="3" t="s">
        <v>54</v>
      </c>
      <c r="K2277" s="3">
        <v>5</v>
      </c>
      <c r="L2277" s="3">
        <v>3249.82</v>
      </c>
      <c r="M2277" s="3">
        <v>16249.1</v>
      </c>
      <c r="N2277" s="3">
        <v>12088.92</v>
      </c>
      <c r="O2277" s="3">
        <v>4160.18</v>
      </c>
      <c r="P2277" s="3" t="s">
        <v>45</v>
      </c>
    </row>
    <row r="2278" spans="1:16" x14ac:dyDescent="0.35">
      <c r="A2278" s="3" t="s">
        <v>3634</v>
      </c>
      <c r="B2278" s="3" t="s">
        <v>1623</v>
      </c>
      <c r="C2278" s="3" t="s">
        <v>29</v>
      </c>
      <c r="D2278" s="3" t="s">
        <v>58</v>
      </c>
      <c r="E2278" s="3" t="s">
        <v>176</v>
      </c>
      <c r="F2278" s="3" t="s">
        <v>177</v>
      </c>
      <c r="G2278" s="3" t="s">
        <v>51</v>
      </c>
      <c r="H2278" s="3" t="s">
        <v>52</v>
      </c>
      <c r="I2278" s="3" t="s">
        <v>1547</v>
      </c>
      <c r="J2278" s="3" t="s">
        <v>44</v>
      </c>
      <c r="K2278" s="3">
        <v>5</v>
      </c>
      <c r="L2278" s="3">
        <v>25.16</v>
      </c>
      <c r="M2278" s="3">
        <v>125.8</v>
      </c>
      <c r="N2278" s="3">
        <v>52.04</v>
      </c>
      <c r="O2278" s="3">
        <v>73.760000000000005</v>
      </c>
      <c r="P2278" s="3" t="s">
        <v>45</v>
      </c>
    </row>
    <row r="2279" spans="1:16" x14ac:dyDescent="0.35">
      <c r="A2279" s="3" t="s">
        <v>3635</v>
      </c>
      <c r="B2279" s="3" t="s">
        <v>661</v>
      </c>
      <c r="C2279" s="3" t="s">
        <v>114</v>
      </c>
      <c r="D2279" s="3" t="s">
        <v>19</v>
      </c>
      <c r="E2279" s="3" t="s">
        <v>20</v>
      </c>
      <c r="F2279" s="3" t="s">
        <v>21</v>
      </c>
      <c r="G2279" s="3" t="s">
        <v>41</v>
      </c>
      <c r="H2279" s="3" t="s">
        <v>61</v>
      </c>
      <c r="I2279" s="3" t="s">
        <v>481</v>
      </c>
      <c r="J2279" s="3" t="s">
        <v>25</v>
      </c>
      <c r="K2279" s="3">
        <v>7</v>
      </c>
      <c r="L2279" s="3">
        <v>2389.33</v>
      </c>
      <c r="M2279" s="3">
        <v>16725.310000000001</v>
      </c>
      <c r="N2279" s="3">
        <v>11139.96</v>
      </c>
      <c r="O2279" s="3">
        <v>5585.35</v>
      </c>
      <c r="P2279" s="3" t="s">
        <v>86</v>
      </c>
    </row>
    <row r="2280" spans="1:16" x14ac:dyDescent="0.35">
      <c r="A2280" s="3" t="s">
        <v>3636</v>
      </c>
      <c r="B2280" s="3" t="s">
        <v>586</v>
      </c>
      <c r="C2280" s="3" t="s">
        <v>57</v>
      </c>
      <c r="D2280" s="3" t="s">
        <v>38</v>
      </c>
      <c r="E2280" s="3" t="s">
        <v>104</v>
      </c>
      <c r="F2280" s="3" t="s">
        <v>104</v>
      </c>
      <c r="G2280" s="3" t="s">
        <v>51</v>
      </c>
      <c r="H2280" s="3" t="s">
        <v>145</v>
      </c>
      <c r="I2280" s="3" t="s">
        <v>670</v>
      </c>
      <c r="J2280" s="3" t="s">
        <v>106</v>
      </c>
      <c r="K2280" s="3">
        <v>6</v>
      </c>
      <c r="L2280" s="3">
        <v>117.63</v>
      </c>
      <c r="M2280" s="3">
        <v>705.78</v>
      </c>
      <c r="N2280" s="3">
        <v>350.91</v>
      </c>
      <c r="O2280" s="3">
        <v>354.87</v>
      </c>
      <c r="P2280" s="3" t="s">
        <v>45</v>
      </c>
    </row>
    <row r="2281" spans="1:16" x14ac:dyDescent="0.35">
      <c r="A2281" s="3" t="s">
        <v>3637</v>
      </c>
      <c r="B2281" s="3" t="s">
        <v>987</v>
      </c>
      <c r="C2281" s="3" t="s">
        <v>82</v>
      </c>
      <c r="D2281" s="3" t="s">
        <v>58</v>
      </c>
      <c r="E2281" s="3" t="s">
        <v>59</v>
      </c>
      <c r="F2281" s="3" t="s">
        <v>60</v>
      </c>
      <c r="G2281" s="3" t="s">
        <v>51</v>
      </c>
      <c r="H2281" s="3" t="s">
        <v>52</v>
      </c>
      <c r="I2281" s="3" t="s">
        <v>905</v>
      </c>
      <c r="J2281" s="3" t="s">
        <v>106</v>
      </c>
      <c r="K2281" s="3">
        <v>3</v>
      </c>
      <c r="L2281" s="3">
        <v>27.04</v>
      </c>
      <c r="M2281" s="3">
        <v>81.12</v>
      </c>
      <c r="N2281" s="3">
        <v>30</v>
      </c>
      <c r="O2281" s="3">
        <v>51.12</v>
      </c>
      <c r="P2281" s="3" t="s">
        <v>86</v>
      </c>
    </row>
    <row r="2282" spans="1:16" x14ac:dyDescent="0.35">
      <c r="A2282" s="3" t="s">
        <v>3638</v>
      </c>
      <c r="B2282" s="3" t="s">
        <v>392</v>
      </c>
      <c r="C2282" s="3" t="s">
        <v>103</v>
      </c>
      <c r="D2282" s="3" t="s">
        <v>58</v>
      </c>
      <c r="E2282" s="3" t="s">
        <v>59</v>
      </c>
      <c r="F2282" s="3" t="s">
        <v>60</v>
      </c>
      <c r="G2282" s="3" t="s">
        <v>51</v>
      </c>
      <c r="H2282" s="3" t="s">
        <v>145</v>
      </c>
      <c r="I2282" s="3" t="s">
        <v>2500</v>
      </c>
      <c r="J2282" s="3" t="s">
        <v>100</v>
      </c>
      <c r="K2282" s="3">
        <v>2</v>
      </c>
      <c r="L2282" s="3">
        <v>124.34</v>
      </c>
      <c r="M2282" s="3">
        <v>248.68</v>
      </c>
      <c r="N2282" s="3">
        <v>118.07</v>
      </c>
      <c r="O2282" s="3">
        <v>130.61000000000001</v>
      </c>
      <c r="P2282" s="3" t="s">
        <v>86</v>
      </c>
    </row>
    <row r="2283" spans="1:16" x14ac:dyDescent="0.35">
      <c r="A2283" s="3" t="s">
        <v>3639</v>
      </c>
      <c r="B2283" s="3" t="s">
        <v>370</v>
      </c>
      <c r="C2283" s="3" t="s">
        <v>137</v>
      </c>
      <c r="D2283" s="3" t="s">
        <v>19</v>
      </c>
      <c r="E2283" s="3" t="s">
        <v>49</v>
      </c>
      <c r="F2283" s="3" t="s">
        <v>50</v>
      </c>
      <c r="G2283" s="3" t="s">
        <v>30</v>
      </c>
      <c r="H2283" s="3" t="s">
        <v>67</v>
      </c>
      <c r="I2283" s="3" t="s">
        <v>3061</v>
      </c>
      <c r="J2283" s="3" t="s">
        <v>85</v>
      </c>
      <c r="K2283" s="3">
        <v>7</v>
      </c>
      <c r="L2283" s="3">
        <v>8823.4500000000007</v>
      </c>
      <c r="M2283" s="3">
        <v>61764.15</v>
      </c>
      <c r="N2283" s="3">
        <v>51147.16</v>
      </c>
      <c r="O2283" s="3">
        <v>10616.99</v>
      </c>
      <c r="P2283" s="3" t="s">
        <v>26</v>
      </c>
    </row>
    <row r="2284" spans="1:16" x14ac:dyDescent="0.35">
      <c r="A2284" s="3" t="s">
        <v>3640</v>
      </c>
      <c r="B2284" s="3" t="s">
        <v>527</v>
      </c>
      <c r="C2284" s="3" t="s">
        <v>82</v>
      </c>
      <c r="D2284" s="3" t="s">
        <v>58</v>
      </c>
      <c r="E2284" s="3" t="s">
        <v>65</v>
      </c>
      <c r="F2284" s="3" t="s">
        <v>66</v>
      </c>
      <c r="G2284" s="3" t="s">
        <v>22</v>
      </c>
      <c r="H2284" s="3" t="s">
        <v>93</v>
      </c>
      <c r="I2284" s="3" t="s">
        <v>1286</v>
      </c>
      <c r="J2284" s="3" t="s">
        <v>131</v>
      </c>
      <c r="K2284" s="3">
        <v>8</v>
      </c>
      <c r="L2284" s="3">
        <v>7581.9</v>
      </c>
      <c r="M2284" s="3">
        <v>60655.199999999997</v>
      </c>
      <c r="N2284" s="3">
        <v>40231.379999999997</v>
      </c>
      <c r="O2284" s="3">
        <v>20423.82</v>
      </c>
      <c r="P2284" s="3" t="s">
        <v>26</v>
      </c>
    </row>
    <row r="2285" spans="1:16" x14ac:dyDescent="0.35">
      <c r="A2285" s="3" t="s">
        <v>3641</v>
      </c>
      <c r="B2285" s="3" t="s">
        <v>524</v>
      </c>
      <c r="C2285" s="3" t="s">
        <v>89</v>
      </c>
      <c r="D2285" s="3" t="s">
        <v>38</v>
      </c>
      <c r="E2285" s="3" t="s">
        <v>104</v>
      </c>
      <c r="F2285" s="3" t="s">
        <v>104</v>
      </c>
      <c r="G2285" s="3" t="s">
        <v>30</v>
      </c>
      <c r="H2285" s="3" t="s">
        <v>31</v>
      </c>
      <c r="I2285" s="3" t="s">
        <v>3642</v>
      </c>
      <c r="J2285" s="3" t="s">
        <v>85</v>
      </c>
      <c r="K2285" s="3">
        <v>5</v>
      </c>
      <c r="L2285" s="3">
        <v>3062.5</v>
      </c>
      <c r="M2285" s="3">
        <v>15312.5</v>
      </c>
      <c r="N2285" s="3">
        <v>9086.8700000000008</v>
      </c>
      <c r="O2285" s="3">
        <v>6225.63</v>
      </c>
      <c r="P2285" s="3" t="s">
        <v>34</v>
      </c>
    </row>
    <row r="2286" spans="1:16" x14ac:dyDescent="0.35">
      <c r="A2286" s="3" t="s">
        <v>3643</v>
      </c>
      <c r="B2286" s="3" t="s">
        <v>412</v>
      </c>
      <c r="C2286" s="3" t="s">
        <v>48</v>
      </c>
      <c r="D2286" s="3" t="s">
        <v>58</v>
      </c>
      <c r="E2286" s="3" t="s">
        <v>176</v>
      </c>
      <c r="F2286" s="3" t="s">
        <v>177</v>
      </c>
      <c r="G2286" s="3" t="s">
        <v>22</v>
      </c>
      <c r="H2286" s="3" t="s">
        <v>93</v>
      </c>
      <c r="I2286" s="3" t="s">
        <v>763</v>
      </c>
      <c r="J2286" s="3" t="s">
        <v>85</v>
      </c>
      <c r="K2286" s="3">
        <v>6</v>
      </c>
      <c r="L2286" s="3">
        <v>6376.48</v>
      </c>
      <c r="M2286" s="3">
        <v>38258.879999999997</v>
      </c>
      <c r="N2286" s="3">
        <v>31071.200000000001</v>
      </c>
      <c r="O2286" s="3">
        <v>7187.68</v>
      </c>
      <c r="P2286" s="3" t="s">
        <v>45</v>
      </c>
    </row>
    <row r="2287" spans="1:16" x14ac:dyDescent="0.35">
      <c r="A2287" s="3" t="s">
        <v>3644</v>
      </c>
      <c r="B2287" s="3" t="s">
        <v>2365</v>
      </c>
      <c r="C2287" s="3" t="s">
        <v>57</v>
      </c>
      <c r="D2287" s="3" t="s">
        <v>19</v>
      </c>
      <c r="E2287" s="3" t="s">
        <v>49</v>
      </c>
      <c r="F2287" s="3" t="s">
        <v>50</v>
      </c>
      <c r="G2287" s="3" t="s">
        <v>30</v>
      </c>
      <c r="H2287" s="3" t="s">
        <v>67</v>
      </c>
      <c r="I2287" s="3" t="s">
        <v>2439</v>
      </c>
      <c r="J2287" s="3" t="s">
        <v>106</v>
      </c>
      <c r="K2287" s="3">
        <v>1</v>
      </c>
      <c r="L2287" s="3">
        <v>10439.5</v>
      </c>
      <c r="M2287" s="3">
        <v>10439.5</v>
      </c>
      <c r="N2287" s="3">
        <v>7527.8</v>
      </c>
      <c r="O2287" s="3">
        <v>2911.7</v>
      </c>
      <c r="P2287" s="3" t="s">
        <v>86</v>
      </c>
    </row>
    <row r="2288" spans="1:16" x14ac:dyDescent="0.35">
      <c r="A2288" s="3" t="s">
        <v>3645</v>
      </c>
      <c r="B2288" s="3" t="s">
        <v>1752</v>
      </c>
      <c r="C2288" s="3" t="s">
        <v>114</v>
      </c>
      <c r="D2288" s="3" t="s">
        <v>58</v>
      </c>
      <c r="E2288" s="3" t="s">
        <v>176</v>
      </c>
      <c r="F2288" s="3" t="s">
        <v>177</v>
      </c>
      <c r="G2288" s="3" t="s">
        <v>30</v>
      </c>
      <c r="H2288" s="3" t="s">
        <v>73</v>
      </c>
      <c r="I2288" s="3" t="s">
        <v>584</v>
      </c>
      <c r="J2288" s="3" t="s">
        <v>154</v>
      </c>
      <c r="K2288" s="3">
        <v>2</v>
      </c>
      <c r="L2288" s="3">
        <v>3326.16</v>
      </c>
      <c r="M2288" s="3">
        <v>6652.32</v>
      </c>
      <c r="N2288" s="3">
        <v>4838.8999999999996</v>
      </c>
      <c r="O2288" s="3">
        <v>1813.42</v>
      </c>
      <c r="P2288" s="3" t="s">
        <v>34</v>
      </c>
    </row>
    <row r="2289" spans="1:16" x14ac:dyDescent="0.35">
      <c r="A2289" s="3" t="s">
        <v>3646</v>
      </c>
      <c r="B2289" s="3" t="s">
        <v>183</v>
      </c>
      <c r="C2289" s="3" t="s">
        <v>114</v>
      </c>
      <c r="D2289" s="3" t="s">
        <v>38</v>
      </c>
      <c r="E2289" s="3" t="s">
        <v>109</v>
      </c>
      <c r="F2289" s="3" t="s">
        <v>110</v>
      </c>
      <c r="G2289" s="3" t="s">
        <v>51</v>
      </c>
      <c r="H2289" s="3" t="s">
        <v>52</v>
      </c>
      <c r="I2289" s="3" t="s">
        <v>2290</v>
      </c>
      <c r="J2289" s="3" t="s">
        <v>188</v>
      </c>
      <c r="K2289" s="3">
        <v>8</v>
      </c>
      <c r="L2289" s="3">
        <v>24.4</v>
      </c>
      <c r="M2289" s="3">
        <v>195.2</v>
      </c>
      <c r="N2289" s="3">
        <v>79.900000000000006</v>
      </c>
      <c r="O2289" s="3">
        <v>115.3</v>
      </c>
      <c r="P2289" s="3" t="s">
        <v>26</v>
      </c>
    </row>
    <row r="2290" spans="1:16" x14ac:dyDescent="0.35">
      <c r="A2290" s="3" t="s">
        <v>3647</v>
      </c>
      <c r="B2290" s="3" t="s">
        <v>64</v>
      </c>
      <c r="C2290" s="3" t="s">
        <v>57</v>
      </c>
      <c r="D2290" s="3" t="s">
        <v>19</v>
      </c>
      <c r="E2290" s="3" t="s">
        <v>49</v>
      </c>
      <c r="F2290" s="3" t="s">
        <v>50</v>
      </c>
      <c r="G2290" s="3" t="s">
        <v>51</v>
      </c>
      <c r="H2290" s="3" t="s">
        <v>52</v>
      </c>
      <c r="I2290" s="3" t="s">
        <v>697</v>
      </c>
      <c r="J2290" s="3" t="s">
        <v>106</v>
      </c>
      <c r="K2290" s="3">
        <v>2</v>
      </c>
      <c r="L2290" s="3">
        <v>22.89</v>
      </c>
      <c r="M2290" s="3">
        <v>45.78</v>
      </c>
      <c r="N2290" s="3">
        <v>20.75</v>
      </c>
      <c r="O2290" s="3">
        <v>25.03</v>
      </c>
      <c r="P2290" s="3" t="s">
        <v>69</v>
      </c>
    </row>
    <row r="2291" spans="1:16" x14ac:dyDescent="0.35">
      <c r="A2291" s="3" t="s">
        <v>3648</v>
      </c>
      <c r="B2291" s="3" t="s">
        <v>81</v>
      </c>
      <c r="C2291" s="3" t="s">
        <v>82</v>
      </c>
      <c r="D2291" s="3" t="s">
        <v>19</v>
      </c>
      <c r="E2291" s="3" t="s">
        <v>49</v>
      </c>
      <c r="F2291" s="3" t="s">
        <v>50</v>
      </c>
      <c r="G2291" s="3" t="s">
        <v>51</v>
      </c>
      <c r="H2291" s="3" t="s">
        <v>52</v>
      </c>
      <c r="I2291" s="3" t="s">
        <v>812</v>
      </c>
      <c r="J2291" s="3" t="s">
        <v>171</v>
      </c>
      <c r="K2291" s="3">
        <v>8</v>
      </c>
      <c r="L2291" s="3">
        <v>22.85</v>
      </c>
      <c r="M2291" s="3">
        <v>182.8</v>
      </c>
      <c r="N2291" s="3">
        <v>80.77</v>
      </c>
      <c r="O2291" s="3">
        <v>102.03</v>
      </c>
      <c r="P2291" s="3" t="s">
        <v>34</v>
      </c>
    </row>
    <row r="2292" spans="1:16" x14ac:dyDescent="0.35">
      <c r="A2292" s="3" t="s">
        <v>3649</v>
      </c>
      <c r="B2292" s="3" t="s">
        <v>927</v>
      </c>
      <c r="C2292" s="3" t="s">
        <v>57</v>
      </c>
      <c r="D2292" s="3" t="s">
        <v>38</v>
      </c>
      <c r="E2292" s="3" t="s">
        <v>104</v>
      </c>
      <c r="F2292" s="3" t="s">
        <v>104</v>
      </c>
      <c r="G2292" s="3" t="s">
        <v>41</v>
      </c>
      <c r="H2292" s="3" t="s">
        <v>138</v>
      </c>
      <c r="I2292" s="3" t="s">
        <v>3227</v>
      </c>
      <c r="J2292" s="3" t="s">
        <v>131</v>
      </c>
      <c r="K2292" s="3">
        <v>7</v>
      </c>
      <c r="L2292" s="3">
        <v>17338.28</v>
      </c>
      <c r="M2292" s="3">
        <v>121367.96</v>
      </c>
      <c r="N2292" s="3">
        <v>97309.15</v>
      </c>
      <c r="O2292" s="3">
        <v>24058.81</v>
      </c>
      <c r="P2292" s="3" t="s">
        <v>86</v>
      </c>
    </row>
    <row r="2293" spans="1:16" x14ac:dyDescent="0.35">
      <c r="A2293" s="3" t="s">
        <v>3650</v>
      </c>
      <c r="B2293" s="3" t="s">
        <v>1435</v>
      </c>
      <c r="C2293" s="3" t="s">
        <v>137</v>
      </c>
      <c r="D2293" s="3" t="s">
        <v>19</v>
      </c>
      <c r="E2293" s="3" t="s">
        <v>49</v>
      </c>
      <c r="F2293" s="3" t="s">
        <v>50</v>
      </c>
      <c r="G2293" s="3" t="s">
        <v>41</v>
      </c>
      <c r="H2293" s="3" t="s">
        <v>42</v>
      </c>
      <c r="I2293" s="3" t="s">
        <v>983</v>
      </c>
      <c r="J2293" s="3" t="s">
        <v>154</v>
      </c>
      <c r="K2293" s="3">
        <v>3</v>
      </c>
      <c r="L2293" s="3">
        <v>45995.66</v>
      </c>
      <c r="M2293" s="3">
        <v>137986.98000000001</v>
      </c>
      <c r="N2293" s="3">
        <v>106346</v>
      </c>
      <c r="O2293" s="3">
        <v>31640.98</v>
      </c>
      <c r="P2293" s="3" t="s">
        <v>45</v>
      </c>
    </row>
    <row r="2294" spans="1:16" x14ac:dyDescent="0.35">
      <c r="A2294" s="3" t="s">
        <v>3651</v>
      </c>
      <c r="B2294" s="3" t="s">
        <v>539</v>
      </c>
      <c r="C2294" s="3" t="s">
        <v>89</v>
      </c>
      <c r="D2294" s="3" t="s">
        <v>90</v>
      </c>
      <c r="E2294" s="3" t="s">
        <v>91</v>
      </c>
      <c r="F2294" s="3" t="s">
        <v>92</v>
      </c>
      <c r="G2294" s="3" t="s">
        <v>30</v>
      </c>
      <c r="H2294" s="3" t="s">
        <v>31</v>
      </c>
      <c r="I2294" s="3" t="s">
        <v>1469</v>
      </c>
      <c r="J2294" s="3" t="s">
        <v>171</v>
      </c>
      <c r="K2294" s="3">
        <v>1</v>
      </c>
      <c r="L2294" s="3">
        <v>2585.87</v>
      </c>
      <c r="M2294" s="3">
        <v>2585.87</v>
      </c>
      <c r="N2294" s="3">
        <v>1810.21</v>
      </c>
      <c r="O2294" s="3">
        <v>775.66</v>
      </c>
      <c r="P2294" s="3" t="s">
        <v>45</v>
      </c>
    </row>
    <row r="2295" spans="1:16" x14ac:dyDescent="0.35">
      <c r="A2295" s="3" t="s">
        <v>3652</v>
      </c>
      <c r="B2295" s="3" t="s">
        <v>485</v>
      </c>
      <c r="C2295" s="3" t="s">
        <v>114</v>
      </c>
      <c r="D2295" s="3" t="s">
        <v>19</v>
      </c>
      <c r="E2295" s="3" t="s">
        <v>49</v>
      </c>
      <c r="F2295" s="3" t="s">
        <v>50</v>
      </c>
      <c r="G2295" s="3" t="s">
        <v>30</v>
      </c>
      <c r="H2295" s="3" t="s">
        <v>67</v>
      </c>
      <c r="I2295" s="3" t="s">
        <v>418</v>
      </c>
      <c r="J2295" s="3" t="s">
        <v>100</v>
      </c>
      <c r="K2295" s="3">
        <v>5</v>
      </c>
      <c r="L2295" s="3">
        <v>10115.84</v>
      </c>
      <c r="M2295" s="3">
        <v>50579.199999999997</v>
      </c>
      <c r="N2295" s="3">
        <v>39752.07</v>
      </c>
      <c r="O2295" s="3">
        <v>10827.13</v>
      </c>
      <c r="P2295" s="3" t="s">
        <v>45</v>
      </c>
    </row>
    <row r="2296" spans="1:16" x14ac:dyDescent="0.35">
      <c r="A2296" s="3" t="s">
        <v>3653</v>
      </c>
      <c r="B2296" s="3" t="s">
        <v>310</v>
      </c>
      <c r="C2296" s="3" t="s">
        <v>37</v>
      </c>
      <c r="D2296" s="3" t="s">
        <v>19</v>
      </c>
      <c r="E2296" s="3" t="s">
        <v>20</v>
      </c>
      <c r="F2296" s="3" t="s">
        <v>21</v>
      </c>
      <c r="G2296" s="3" t="s">
        <v>22</v>
      </c>
      <c r="H2296" s="3" t="s">
        <v>83</v>
      </c>
      <c r="I2296" s="3" t="s">
        <v>1481</v>
      </c>
      <c r="J2296" s="3" t="s">
        <v>25</v>
      </c>
      <c r="K2296" s="3">
        <v>2</v>
      </c>
      <c r="L2296" s="3">
        <v>24053.73</v>
      </c>
      <c r="M2296" s="3">
        <v>48107.46</v>
      </c>
      <c r="N2296" s="3">
        <v>32907.760000000002</v>
      </c>
      <c r="O2296" s="3">
        <v>15199.7</v>
      </c>
      <c r="P2296" s="3" t="s">
        <v>34</v>
      </c>
    </row>
    <row r="2297" spans="1:16" x14ac:dyDescent="0.35">
      <c r="A2297" s="3" t="s">
        <v>3654</v>
      </c>
      <c r="B2297" s="3" t="s">
        <v>2365</v>
      </c>
      <c r="C2297" s="3" t="s">
        <v>57</v>
      </c>
      <c r="D2297" s="3" t="s">
        <v>19</v>
      </c>
      <c r="E2297" s="3" t="s">
        <v>49</v>
      </c>
      <c r="F2297" s="3" t="s">
        <v>50</v>
      </c>
      <c r="G2297" s="3" t="s">
        <v>41</v>
      </c>
      <c r="H2297" s="3" t="s">
        <v>138</v>
      </c>
      <c r="I2297" s="3" t="s">
        <v>2967</v>
      </c>
      <c r="J2297" s="3" t="s">
        <v>217</v>
      </c>
      <c r="K2297" s="3">
        <v>6</v>
      </c>
      <c r="L2297" s="3">
        <v>18391.7</v>
      </c>
      <c r="M2297" s="3">
        <v>110350.2</v>
      </c>
      <c r="N2297" s="3">
        <v>80708.289999999994</v>
      </c>
      <c r="O2297" s="3">
        <v>29641.91</v>
      </c>
      <c r="P2297" s="3" t="s">
        <v>34</v>
      </c>
    </row>
    <row r="2298" spans="1:16" x14ac:dyDescent="0.35">
      <c r="A2298" s="3" t="s">
        <v>3655</v>
      </c>
      <c r="B2298" s="3" t="s">
        <v>1578</v>
      </c>
      <c r="C2298" s="3" t="s">
        <v>137</v>
      </c>
      <c r="D2298" s="3" t="s">
        <v>38</v>
      </c>
      <c r="E2298" s="3" t="s">
        <v>109</v>
      </c>
      <c r="F2298" s="3" t="s">
        <v>110</v>
      </c>
      <c r="G2298" s="3" t="s">
        <v>30</v>
      </c>
      <c r="H2298" s="3" t="s">
        <v>73</v>
      </c>
      <c r="I2298" s="3" t="s">
        <v>354</v>
      </c>
      <c r="J2298" s="3" t="s">
        <v>85</v>
      </c>
      <c r="K2298" s="3">
        <v>2</v>
      </c>
      <c r="L2298" s="3">
        <v>3399.93</v>
      </c>
      <c r="M2298" s="3">
        <v>6799.86</v>
      </c>
      <c r="N2298" s="3">
        <v>4981.49</v>
      </c>
      <c r="O2298" s="3">
        <v>1818.37</v>
      </c>
      <c r="P2298" s="3" t="s">
        <v>26</v>
      </c>
    </row>
    <row r="2299" spans="1:16" x14ac:dyDescent="0.35">
      <c r="A2299" s="3" t="s">
        <v>3656</v>
      </c>
      <c r="B2299" s="3" t="s">
        <v>1872</v>
      </c>
      <c r="C2299" s="3" t="s">
        <v>82</v>
      </c>
      <c r="D2299" s="3" t="s">
        <v>19</v>
      </c>
      <c r="E2299" s="3" t="s">
        <v>49</v>
      </c>
      <c r="F2299" s="3" t="s">
        <v>50</v>
      </c>
      <c r="G2299" s="3" t="s">
        <v>51</v>
      </c>
      <c r="H2299" s="3" t="s">
        <v>145</v>
      </c>
      <c r="I2299" s="3" t="s">
        <v>1868</v>
      </c>
      <c r="J2299" s="3" t="s">
        <v>33</v>
      </c>
      <c r="K2299" s="3">
        <v>5</v>
      </c>
      <c r="L2299" s="3">
        <v>112.73</v>
      </c>
      <c r="M2299" s="3">
        <v>563.65</v>
      </c>
      <c r="N2299" s="3">
        <v>289.35000000000002</v>
      </c>
      <c r="O2299" s="3">
        <v>274.3</v>
      </c>
      <c r="P2299" s="3" t="s">
        <v>69</v>
      </c>
    </row>
    <row r="2300" spans="1:16" x14ac:dyDescent="0.35">
      <c r="A2300" s="3" t="s">
        <v>3657</v>
      </c>
      <c r="B2300" s="3" t="s">
        <v>1704</v>
      </c>
      <c r="C2300" s="3" t="s">
        <v>48</v>
      </c>
      <c r="D2300" s="3" t="s">
        <v>58</v>
      </c>
      <c r="E2300" s="3" t="s">
        <v>176</v>
      </c>
      <c r="F2300" s="3" t="s">
        <v>177</v>
      </c>
      <c r="G2300" s="3" t="s">
        <v>30</v>
      </c>
      <c r="H2300" s="3" t="s">
        <v>67</v>
      </c>
      <c r="I2300" s="3" t="s">
        <v>1705</v>
      </c>
      <c r="J2300" s="3" t="s">
        <v>100</v>
      </c>
      <c r="K2300" s="3">
        <v>3</v>
      </c>
      <c r="L2300" s="3">
        <v>9545.7199999999993</v>
      </c>
      <c r="M2300" s="3">
        <v>28637.16</v>
      </c>
      <c r="N2300" s="3">
        <v>22456.9</v>
      </c>
      <c r="O2300" s="3">
        <v>6180.26</v>
      </c>
      <c r="P2300" s="3" t="s">
        <v>26</v>
      </c>
    </row>
    <row r="2301" spans="1:16" x14ac:dyDescent="0.35">
      <c r="A2301" s="3" t="s">
        <v>3658</v>
      </c>
      <c r="B2301" s="3" t="s">
        <v>1471</v>
      </c>
      <c r="C2301" s="3" t="s">
        <v>89</v>
      </c>
      <c r="D2301" s="3" t="s">
        <v>58</v>
      </c>
      <c r="E2301" s="3" t="s">
        <v>59</v>
      </c>
      <c r="F2301" s="3" t="s">
        <v>60</v>
      </c>
      <c r="G2301" s="3" t="s">
        <v>22</v>
      </c>
      <c r="H2301" s="3" t="s">
        <v>93</v>
      </c>
      <c r="I2301" s="3" t="s">
        <v>1395</v>
      </c>
      <c r="J2301" s="3" t="s">
        <v>131</v>
      </c>
      <c r="K2301" s="3">
        <v>4</v>
      </c>
      <c r="L2301" s="3">
        <v>6348.73</v>
      </c>
      <c r="M2301" s="3">
        <v>25394.92</v>
      </c>
      <c r="N2301" s="3">
        <v>20250.38</v>
      </c>
      <c r="O2301" s="3">
        <v>5144.54</v>
      </c>
      <c r="P2301" s="3" t="s">
        <v>86</v>
      </c>
    </row>
    <row r="2302" spans="1:16" x14ac:dyDescent="0.35">
      <c r="A2302" s="3" t="s">
        <v>3659</v>
      </c>
      <c r="B2302" s="3" t="s">
        <v>690</v>
      </c>
      <c r="C2302" s="3" t="s">
        <v>82</v>
      </c>
      <c r="D2302" s="3" t="s">
        <v>38</v>
      </c>
      <c r="E2302" s="3" t="s">
        <v>109</v>
      </c>
      <c r="F2302" s="3" t="s">
        <v>110</v>
      </c>
      <c r="G2302" s="3" t="s">
        <v>30</v>
      </c>
      <c r="H2302" s="3" t="s">
        <v>67</v>
      </c>
      <c r="I2302" s="3" t="s">
        <v>3660</v>
      </c>
      <c r="J2302" s="3" t="s">
        <v>217</v>
      </c>
      <c r="K2302" s="3">
        <v>2</v>
      </c>
      <c r="L2302" s="3">
        <v>9175.7900000000009</v>
      </c>
      <c r="M2302" s="3">
        <v>18351.580000000002</v>
      </c>
      <c r="N2302" s="3">
        <v>15316.82</v>
      </c>
      <c r="O2302" s="3">
        <v>3034.76</v>
      </c>
      <c r="P2302" s="3" t="s">
        <v>26</v>
      </c>
    </row>
    <row r="2303" spans="1:16" x14ac:dyDescent="0.35">
      <c r="A2303" s="3" t="s">
        <v>3661</v>
      </c>
      <c r="B2303" s="3" t="s">
        <v>1187</v>
      </c>
      <c r="C2303" s="3" t="s">
        <v>18</v>
      </c>
      <c r="D2303" s="3" t="s">
        <v>90</v>
      </c>
      <c r="E2303" s="3" t="s">
        <v>97</v>
      </c>
      <c r="F2303" s="3" t="s">
        <v>98</v>
      </c>
      <c r="G2303" s="3" t="s">
        <v>51</v>
      </c>
      <c r="H2303" s="3" t="s">
        <v>77</v>
      </c>
      <c r="I2303" s="3" t="s">
        <v>2417</v>
      </c>
      <c r="J2303" s="3" t="s">
        <v>147</v>
      </c>
      <c r="K2303" s="3">
        <v>3</v>
      </c>
      <c r="L2303" s="3">
        <v>12096.76</v>
      </c>
      <c r="M2303" s="3">
        <v>36290.28</v>
      </c>
      <c r="N2303" s="3">
        <v>25935.83</v>
      </c>
      <c r="O2303" s="3">
        <v>10354.450000000001</v>
      </c>
      <c r="P2303" s="3" t="s">
        <v>86</v>
      </c>
    </row>
    <row r="2304" spans="1:16" x14ac:dyDescent="0.35">
      <c r="A2304" s="3" t="s">
        <v>3662</v>
      </c>
      <c r="B2304" s="3" t="s">
        <v>682</v>
      </c>
      <c r="C2304" s="3" t="s">
        <v>114</v>
      </c>
      <c r="D2304" s="3" t="s">
        <v>38</v>
      </c>
      <c r="E2304" s="3" t="s">
        <v>39</v>
      </c>
      <c r="F2304" s="3" t="s">
        <v>40</v>
      </c>
      <c r="G2304" s="3" t="s">
        <v>41</v>
      </c>
      <c r="H2304" s="3" t="s">
        <v>42</v>
      </c>
      <c r="I2304" s="3" t="s">
        <v>365</v>
      </c>
      <c r="J2304" s="3" t="s">
        <v>100</v>
      </c>
      <c r="K2304" s="3">
        <v>1</v>
      </c>
      <c r="L2304" s="3">
        <v>44956.51</v>
      </c>
      <c r="M2304" s="3">
        <v>44956.51</v>
      </c>
      <c r="N2304" s="3">
        <v>33950.81</v>
      </c>
      <c r="O2304" s="3">
        <v>11005.7</v>
      </c>
      <c r="P2304" s="3" t="s">
        <v>69</v>
      </c>
    </row>
    <row r="2305" spans="1:16" x14ac:dyDescent="0.35">
      <c r="A2305" s="3" t="s">
        <v>3663</v>
      </c>
      <c r="B2305" s="3" t="s">
        <v>880</v>
      </c>
      <c r="C2305" s="3" t="s">
        <v>114</v>
      </c>
      <c r="D2305" s="3" t="s">
        <v>38</v>
      </c>
      <c r="E2305" s="3" t="s">
        <v>104</v>
      </c>
      <c r="F2305" s="3" t="s">
        <v>104</v>
      </c>
      <c r="G2305" s="3" t="s">
        <v>22</v>
      </c>
      <c r="H2305" s="3" t="s">
        <v>93</v>
      </c>
      <c r="I2305" s="3" t="s">
        <v>2300</v>
      </c>
      <c r="J2305" s="3" t="s">
        <v>79</v>
      </c>
      <c r="K2305" s="3">
        <v>2</v>
      </c>
      <c r="L2305" s="3">
        <v>6809.09</v>
      </c>
      <c r="M2305" s="3">
        <v>13618.18</v>
      </c>
      <c r="N2305" s="3">
        <v>10216.98</v>
      </c>
      <c r="O2305" s="3">
        <v>3401.2</v>
      </c>
      <c r="P2305" s="3" t="s">
        <v>34</v>
      </c>
    </row>
    <row r="2306" spans="1:16" x14ac:dyDescent="0.35">
      <c r="A2306" s="3" t="s">
        <v>3664</v>
      </c>
      <c r="B2306" s="3" t="s">
        <v>1142</v>
      </c>
      <c r="C2306" s="3" t="s">
        <v>37</v>
      </c>
      <c r="D2306" s="3" t="s">
        <v>19</v>
      </c>
      <c r="E2306" s="3" t="s">
        <v>20</v>
      </c>
      <c r="F2306" s="3" t="s">
        <v>21</v>
      </c>
      <c r="G2306" s="3" t="s">
        <v>41</v>
      </c>
      <c r="H2306" s="3" t="s">
        <v>61</v>
      </c>
      <c r="I2306" s="3" t="s">
        <v>1630</v>
      </c>
      <c r="J2306" s="3" t="s">
        <v>217</v>
      </c>
      <c r="K2306" s="3">
        <v>2</v>
      </c>
      <c r="L2306" s="3">
        <v>2534.69</v>
      </c>
      <c r="M2306" s="3">
        <v>5069.38</v>
      </c>
      <c r="N2306" s="3">
        <v>3206.79</v>
      </c>
      <c r="O2306" s="3">
        <v>1862.59</v>
      </c>
      <c r="P2306" s="3" t="s">
        <v>45</v>
      </c>
    </row>
    <row r="2307" spans="1:16" x14ac:dyDescent="0.35">
      <c r="A2307" s="3" t="s">
        <v>3665</v>
      </c>
      <c r="B2307" s="3" t="s">
        <v>847</v>
      </c>
      <c r="C2307" s="3" t="s">
        <v>89</v>
      </c>
      <c r="D2307" s="3" t="s">
        <v>58</v>
      </c>
      <c r="E2307" s="3" t="s">
        <v>176</v>
      </c>
      <c r="F2307" s="3" t="s">
        <v>177</v>
      </c>
      <c r="G2307" s="3" t="s">
        <v>41</v>
      </c>
      <c r="H2307" s="3" t="s">
        <v>138</v>
      </c>
      <c r="I2307" s="3" t="s">
        <v>597</v>
      </c>
      <c r="J2307" s="3" t="s">
        <v>54</v>
      </c>
      <c r="K2307" s="3">
        <v>3</v>
      </c>
      <c r="L2307" s="3">
        <v>19401.84</v>
      </c>
      <c r="M2307" s="3">
        <v>58205.52</v>
      </c>
      <c r="N2307" s="3">
        <v>42314.66</v>
      </c>
      <c r="O2307" s="3">
        <v>15890.86</v>
      </c>
      <c r="P2307" s="3" t="s">
        <v>69</v>
      </c>
    </row>
    <row r="2308" spans="1:16" x14ac:dyDescent="0.35">
      <c r="A2308" s="3" t="s">
        <v>3666</v>
      </c>
      <c r="B2308" s="3" t="s">
        <v>96</v>
      </c>
      <c r="C2308" s="3" t="s">
        <v>48</v>
      </c>
      <c r="D2308" s="3" t="s">
        <v>38</v>
      </c>
      <c r="E2308" s="3" t="s">
        <v>39</v>
      </c>
      <c r="F2308" s="3" t="s">
        <v>40</v>
      </c>
      <c r="G2308" s="3" t="s">
        <v>22</v>
      </c>
      <c r="H2308" s="3" t="s">
        <v>93</v>
      </c>
      <c r="I2308" s="3" t="s">
        <v>573</v>
      </c>
      <c r="J2308" s="3" t="s">
        <v>154</v>
      </c>
      <c r="K2308" s="3">
        <v>2</v>
      </c>
      <c r="L2308" s="3">
        <v>6698.08</v>
      </c>
      <c r="M2308" s="3">
        <v>13396.16</v>
      </c>
      <c r="N2308" s="3">
        <v>9896.33</v>
      </c>
      <c r="O2308" s="3">
        <v>3499.83</v>
      </c>
      <c r="P2308" s="3" t="s">
        <v>69</v>
      </c>
    </row>
    <row r="2309" spans="1:16" x14ac:dyDescent="0.35">
      <c r="A2309" s="3" t="s">
        <v>3667</v>
      </c>
      <c r="B2309" s="3" t="s">
        <v>502</v>
      </c>
      <c r="C2309" s="3" t="s">
        <v>48</v>
      </c>
      <c r="D2309" s="3" t="s">
        <v>58</v>
      </c>
      <c r="E2309" s="3" t="s">
        <v>59</v>
      </c>
      <c r="F2309" s="3" t="s">
        <v>60</v>
      </c>
      <c r="G2309" s="3" t="s">
        <v>30</v>
      </c>
      <c r="H2309" s="3" t="s">
        <v>67</v>
      </c>
      <c r="I2309" s="3" t="s">
        <v>2428</v>
      </c>
      <c r="J2309" s="3" t="s">
        <v>33</v>
      </c>
      <c r="K2309" s="3">
        <v>1</v>
      </c>
      <c r="L2309" s="3">
        <v>10345.59</v>
      </c>
      <c r="M2309" s="3">
        <v>10345.59</v>
      </c>
      <c r="N2309" s="3">
        <v>7518.46</v>
      </c>
      <c r="O2309" s="3">
        <v>2827.13</v>
      </c>
      <c r="P2309" s="3" t="s">
        <v>34</v>
      </c>
    </row>
    <row r="2310" spans="1:16" x14ac:dyDescent="0.35">
      <c r="A2310" s="3" t="s">
        <v>3668</v>
      </c>
      <c r="B2310" s="3" t="s">
        <v>1461</v>
      </c>
      <c r="C2310" s="3" t="s">
        <v>72</v>
      </c>
      <c r="D2310" s="3" t="s">
        <v>19</v>
      </c>
      <c r="E2310" s="3" t="s">
        <v>49</v>
      </c>
      <c r="F2310" s="3" t="s">
        <v>50</v>
      </c>
      <c r="G2310" s="3" t="s">
        <v>22</v>
      </c>
      <c r="H2310" s="3" t="s">
        <v>23</v>
      </c>
      <c r="I2310" s="3" t="s">
        <v>884</v>
      </c>
      <c r="J2310" s="3" t="s">
        <v>79</v>
      </c>
      <c r="K2310" s="3">
        <v>1</v>
      </c>
      <c r="L2310" s="3">
        <v>3543.9</v>
      </c>
      <c r="M2310" s="3">
        <v>3543.9</v>
      </c>
      <c r="N2310" s="3">
        <v>2203.48</v>
      </c>
      <c r="O2310" s="3">
        <v>1340.42</v>
      </c>
      <c r="P2310" s="3" t="s">
        <v>34</v>
      </c>
    </row>
    <row r="2311" spans="1:16" x14ac:dyDescent="0.35">
      <c r="A2311" s="3" t="s">
        <v>3669</v>
      </c>
      <c r="B2311" s="3" t="s">
        <v>180</v>
      </c>
      <c r="C2311" s="3" t="s">
        <v>48</v>
      </c>
      <c r="D2311" s="3" t="s">
        <v>58</v>
      </c>
      <c r="E2311" s="3" t="s">
        <v>65</v>
      </c>
      <c r="F2311" s="3" t="s">
        <v>66</v>
      </c>
      <c r="G2311" s="3" t="s">
        <v>22</v>
      </c>
      <c r="H2311" s="3" t="s">
        <v>83</v>
      </c>
      <c r="I2311" s="3" t="s">
        <v>2485</v>
      </c>
      <c r="J2311" s="3" t="s">
        <v>188</v>
      </c>
      <c r="K2311" s="3">
        <v>5</v>
      </c>
      <c r="L2311" s="3">
        <v>22655.64</v>
      </c>
      <c r="M2311" s="3">
        <v>113278.2</v>
      </c>
      <c r="N2311" s="3">
        <v>85918.96</v>
      </c>
      <c r="O2311" s="3">
        <v>27359.24</v>
      </c>
      <c r="P2311" s="3" t="s">
        <v>69</v>
      </c>
    </row>
    <row r="2312" spans="1:16" x14ac:dyDescent="0.35">
      <c r="A2312" s="3" t="s">
        <v>3670</v>
      </c>
      <c r="B2312" s="3" t="s">
        <v>1031</v>
      </c>
      <c r="C2312" s="3" t="s">
        <v>82</v>
      </c>
      <c r="D2312" s="3" t="s">
        <v>19</v>
      </c>
      <c r="E2312" s="3" t="s">
        <v>49</v>
      </c>
      <c r="F2312" s="3" t="s">
        <v>50</v>
      </c>
      <c r="G2312" s="3" t="s">
        <v>22</v>
      </c>
      <c r="H2312" s="3" t="s">
        <v>93</v>
      </c>
      <c r="I2312" s="3" t="s">
        <v>1900</v>
      </c>
      <c r="J2312" s="3" t="s">
        <v>79</v>
      </c>
      <c r="K2312" s="3">
        <v>1</v>
      </c>
      <c r="L2312" s="3">
        <v>6992.93</v>
      </c>
      <c r="M2312" s="3">
        <v>6992.93</v>
      </c>
      <c r="N2312" s="3">
        <v>5015.42</v>
      </c>
      <c r="O2312" s="3">
        <v>1977.51</v>
      </c>
      <c r="P2312" s="3" t="s">
        <v>86</v>
      </c>
    </row>
    <row r="2313" spans="1:16" x14ac:dyDescent="0.35">
      <c r="A2313" s="3" t="s">
        <v>3671</v>
      </c>
      <c r="B2313" s="3" t="s">
        <v>777</v>
      </c>
      <c r="C2313" s="3" t="s">
        <v>72</v>
      </c>
      <c r="D2313" s="3" t="s">
        <v>19</v>
      </c>
      <c r="E2313" s="3" t="s">
        <v>49</v>
      </c>
      <c r="F2313" s="3" t="s">
        <v>50</v>
      </c>
      <c r="G2313" s="3" t="s">
        <v>51</v>
      </c>
      <c r="H2313" s="3" t="s">
        <v>77</v>
      </c>
      <c r="I2313" s="3" t="s">
        <v>1114</v>
      </c>
      <c r="J2313" s="3" t="s">
        <v>154</v>
      </c>
      <c r="K2313" s="3">
        <v>3</v>
      </c>
      <c r="L2313" s="3">
        <v>11356.86</v>
      </c>
      <c r="M2313" s="3">
        <v>34070.58</v>
      </c>
      <c r="N2313" s="3">
        <v>26987.29</v>
      </c>
      <c r="O2313" s="3">
        <v>7083.29</v>
      </c>
      <c r="P2313" s="3" t="s">
        <v>45</v>
      </c>
    </row>
    <row r="2314" spans="1:16" x14ac:dyDescent="0.35">
      <c r="A2314" s="3" t="s">
        <v>3672</v>
      </c>
      <c r="B2314" s="3" t="s">
        <v>555</v>
      </c>
      <c r="C2314" s="3" t="s">
        <v>137</v>
      </c>
      <c r="D2314" s="3" t="s">
        <v>58</v>
      </c>
      <c r="E2314" s="3" t="s">
        <v>176</v>
      </c>
      <c r="F2314" s="3" t="s">
        <v>177</v>
      </c>
      <c r="G2314" s="3" t="s">
        <v>51</v>
      </c>
      <c r="H2314" s="3" t="s">
        <v>145</v>
      </c>
      <c r="I2314" s="3" t="s">
        <v>286</v>
      </c>
      <c r="J2314" s="3" t="s">
        <v>147</v>
      </c>
      <c r="K2314" s="3">
        <v>1</v>
      </c>
      <c r="L2314" s="3">
        <v>114.92</v>
      </c>
      <c r="M2314" s="3">
        <v>114.92</v>
      </c>
      <c r="N2314" s="3">
        <v>59.3</v>
      </c>
      <c r="O2314" s="3">
        <v>55.62</v>
      </c>
      <c r="P2314" s="3" t="s">
        <v>69</v>
      </c>
    </row>
    <row r="2315" spans="1:16" x14ac:dyDescent="0.35">
      <c r="A2315" s="3" t="s">
        <v>3673</v>
      </c>
      <c r="B2315" s="3" t="s">
        <v>245</v>
      </c>
      <c r="C2315" s="3" t="s">
        <v>29</v>
      </c>
      <c r="D2315" s="3" t="s">
        <v>58</v>
      </c>
      <c r="E2315" s="3" t="s">
        <v>176</v>
      </c>
      <c r="F2315" s="3" t="s">
        <v>177</v>
      </c>
      <c r="G2315" s="3" t="s">
        <v>51</v>
      </c>
      <c r="H2315" s="3" t="s">
        <v>52</v>
      </c>
      <c r="I2315" s="3" t="s">
        <v>1478</v>
      </c>
      <c r="J2315" s="3" t="s">
        <v>154</v>
      </c>
      <c r="K2315" s="3">
        <v>1</v>
      </c>
      <c r="L2315" s="3">
        <v>24.48</v>
      </c>
      <c r="M2315" s="3">
        <v>24.48</v>
      </c>
      <c r="N2315" s="3">
        <v>9.7899999999999991</v>
      </c>
      <c r="O2315" s="3">
        <v>14.69</v>
      </c>
      <c r="P2315" s="3" t="s">
        <v>34</v>
      </c>
    </row>
    <row r="2316" spans="1:16" x14ac:dyDescent="0.35">
      <c r="A2316" s="3" t="s">
        <v>3674</v>
      </c>
      <c r="B2316" s="3" t="s">
        <v>1089</v>
      </c>
      <c r="C2316" s="3" t="s">
        <v>48</v>
      </c>
      <c r="D2316" s="3" t="s">
        <v>38</v>
      </c>
      <c r="E2316" s="3" t="s">
        <v>104</v>
      </c>
      <c r="F2316" s="3" t="s">
        <v>104</v>
      </c>
      <c r="G2316" s="3" t="s">
        <v>30</v>
      </c>
      <c r="H2316" s="3" t="s">
        <v>31</v>
      </c>
      <c r="I2316" s="3" t="s">
        <v>405</v>
      </c>
      <c r="J2316" s="3" t="s">
        <v>171</v>
      </c>
      <c r="K2316" s="3">
        <v>4</v>
      </c>
      <c r="L2316" s="3">
        <v>2857.09</v>
      </c>
      <c r="M2316" s="3">
        <v>11428.36</v>
      </c>
      <c r="N2316" s="3">
        <v>7250.42</v>
      </c>
      <c r="O2316" s="3">
        <v>4177.9399999999996</v>
      </c>
      <c r="P2316" s="3" t="s">
        <v>69</v>
      </c>
    </row>
    <row r="2317" spans="1:16" x14ac:dyDescent="0.35">
      <c r="A2317" s="3" t="s">
        <v>3675</v>
      </c>
      <c r="B2317" s="3" t="s">
        <v>195</v>
      </c>
      <c r="C2317" s="3" t="s">
        <v>18</v>
      </c>
      <c r="D2317" s="3" t="s">
        <v>19</v>
      </c>
      <c r="E2317" s="3" t="s">
        <v>199</v>
      </c>
      <c r="F2317" s="3" t="s">
        <v>200</v>
      </c>
      <c r="G2317" s="3" t="s">
        <v>30</v>
      </c>
      <c r="H2317" s="3" t="s">
        <v>73</v>
      </c>
      <c r="I2317" s="3" t="s">
        <v>934</v>
      </c>
      <c r="J2317" s="3" t="s">
        <v>161</v>
      </c>
      <c r="K2317" s="3">
        <v>7</v>
      </c>
      <c r="L2317" s="3">
        <v>3315.05</v>
      </c>
      <c r="M2317" s="3">
        <v>23205.35</v>
      </c>
      <c r="N2317" s="3">
        <v>17520.32</v>
      </c>
      <c r="O2317" s="3">
        <v>5685.03</v>
      </c>
      <c r="P2317" s="3" t="s">
        <v>26</v>
      </c>
    </row>
    <row r="2318" spans="1:16" x14ac:dyDescent="0.35">
      <c r="A2318" s="3" t="s">
        <v>3676</v>
      </c>
      <c r="B2318" s="3" t="s">
        <v>642</v>
      </c>
      <c r="C2318" s="3" t="s">
        <v>18</v>
      </c>
      <c r="D2318" s="3" t="s">
        <v>19</v>
      </c>
      <c r="E2318" s="3" t="s">
        <v>199</v>
      </c>
      <c r="F2318" s="3" t="s">
        <v>200</v>
      </c>
      <c r="G2318" s="3" t="s">
        <v>30</v>
      </c>
      <c r="H2318" s="3" t="s">
        <v>73</v>
      </c>
      <c r="I2318" s="3" t="s">
        <v>2288</v>
      </c>
      <c r="J2318" s="3" t="s">
        <v>79</v>
      </c>
      <c r="K2318" s="3">
        <v>2</v>
      </c>
      <c r="L2318" s="3">
        <v>3020.02</v>
      </c>
      <c r="M2318" s="3">
        <v>6040.04</v>
      </c>
      <c r="N2318" s="3">
        <v>4733.09</v>
      </c>
      <c r="O2318" s="3">
        <v>1306.95</v>
      </c>
      <c r="P2318" s="3" t="s">
        <v>86</v>
      </c>
    </row>
    <row r="2319" spans="1:16" x14ac:dyDescent="0.35">
      <c r="A2319" s="3" t="s">
        <v>3677</v>
      </c>
      <c r="B2319" s="3" t="s">
        <v>351</v>
      </c>
      <c r="C2319" s="3" t="s">
        <v>114</v>
      </c>
      <c r="D2319" s="3" t="s">
        <v>58</v>
      </c>
      <c r="E2319" s="3" t="s">
        <v>176</v>
      </c>
      <c r="F2319" s="3" t="s">
        <v>177</v>
      </c>
      <c r="G2319" s="3" t="s">
        <v>51</v>
      </c>
      <c r="H2319" s="3" t="s">
        <v>145</v>
      </c>
      <c r="I2319" s="3" t="s">
        <v>2376</v>
      </c>
      <c r="J2319" s="3" t="s">
        <v>131</v>
      </c>
      <c r="K2319" s="3">
        <v>5</v>
      </c>
      <c r="L2319" s="3">
        <v>122.73</v>
      </c>
      <c r="M2319" s="3">
        <v>613.65</v>
      </c>
      <c r="N2319" s="3">
        <v>295.49</v>
      </c>
      <c r="O2319" s="3">
        <v>318.16000000000003</v>
      </c>
      <c r="P2319" s="3" t="s">
        <v>69</v>
      </c>
    </row>
    <row r="2320" spans="1:16" x14ac:dyDescent="0.35">
      <c r="A2320" s="3" t="s">
        <v>3678</v>
      </c>
      <c r="B2320" s="3" t="s">
        <v>828</v>
      </c>
      <c r="C2320" s="3" t="s">
        <v>89</v>
      </c>
      <c r="D2320" s="3" t="s">
        <v>58</v>
      </c>
      <c r="E2320" s="3" t="s">
        <v>176</v>
      </c>
      <c r="F2320" s="3" t="s">
        <v>177</v>
      </c>
      <c r="G2320" s="3" t="s">
        <v>22</v>
      </c>
      <c r="H2320" s="3" t="s">
        <v>93</v>
      </c>
      <c r="I2320" s="3" t="s">
        <v>1744</v>
      </c>
      <c r="J2320" s="3" t="s">
        <v>25</v>
      </c>
      <c r="K2320" s="3">
        <v>3</v>
      </c>
      <c r="L2320" s="3">
        <v>6531.55</v>
      </c>
      <c r="M2320" s="3">
        <v>19594.650000000001</v>
      </c>
      <c r="N2320" s="3">
        <v>14282.21</v>
      </c>
      <c r="O2320" s="3">
        <v>5312.44</v>
      </c>
      <c r="P2320" s="3" t="s">
        <v>34</v>
      </c>
    </row>
    <row r="2321" spans="1:16" x14ac:dyDescent="0.35">
      <c r="A2321" s="3" t="s">
        <v>3679</v>
      </c>
      <c r="B2321" s="3" t="s">
        <v>1216</v>
      </c>
      <c r="C2321" s="3" t="s">
        <v>114</v>
      </c>
      <c r="D2321" s="3" t="s">
        <v>19</v>
      </c>
      <c r="E2321" s="3" t="s">
        <v>199</v>
      </c>
      <c r="F2321" s="3" t="s">
        <v>200</v>
      </c>
      <c r="G2321" s="3" t="s">
        <v>51</v>
      </c>
      <c r="H2321" s="3" t="s">
        <v>77</v>
      </c>
      <c r="I2321" s="3" t="s">
        <v>413</v>
      </c>
      <c r="J2321" s="3" t="s">
        <v>44</v>
      </c>
      <c r="K2321" s="3">
        <v>1</v>
      </c>
      <c r="L2321" s="3">
        <v>12100.08</v>
      </c>
      <c r="M2321" s="3">
        <v>12100.08</v>
      </c>
      <c r="N2321" s="3">
        <v>9256.5</v>
      </c>
      <c r="O2321" s="3">
        <v>2843.58</v>
      </c>
      <c r="P2321" s="3" t="s">
        <v>26</v>
      </c>
    </row>
    <row r="2322" spans="1:16" x14ac:dyDescent="0.35">
      <c r="A2322" s="3" t="s">
        <v>3680</v>
      </c>
      <c r="B2322" s="3" t="s">
        <v>361</v>
      </c>
      <c r="C2322" s="3" t="s">
        <v>137</v>
      </c>
      <c r="D2322" s="3" t="s">
        <v>90</v>
      </c>
      <c r="E2322" s="3" t="s">
        <v>119</v>
      </c>
      <c r="F2322" s="3" t="s">
        <v>120</v>
      </c>
      <c r="G2322" s="3" t="s">
        <v>41</v>
      </c>
      <c r="H2322" s="3" t="s">
        <v>42</v>
      </c>
      <c r="I2322" s="3" t="s">
        <v>3444</v>
      </c>
      <c r="J2322" s="3" t="s">
        <v>25</v>
      </c>
      <c r="K2322" s="3">
        <v>1</v>
      </c>
      <c r="L2322" s="3">
        <v>45446.53</v>
      </c>
      <c r="M2322" s="3">
        <v>45446.53</v>
      </c>
      <c r="N2322" s="3">
        <v>34292.089999999997</v>
      </c>
      <c r="O2322" s="3">
        <v>11154.44</v>
      </c>
      <c r="P2322" s="3" t="s">
        <v>34</v>
      </c>
    </row>
    <row r="2323" spans="1:16" x14ac:dyDescent="0.35">
      <c r="A2323" s="3" t="s">
        <v>3681</v>
      </c>
      <c r="B2323" s="3" t="s">
        <v>705</v>
      </c>
      <c r="C2323" s="3" t="s">
        <v>82</v>
      </c>
      <c r="D2323" s="3" t="s">
        <v>90</v>
      </c>
      <c r="E2323" s="3" t="s">
        <v>97</v>
      </c>
      <c r="F2323" s="3" t="s">
        <v>98</v>
      </c>
      <c r="G2323" s="3" t="s">
        <v>30</v>
      </c>
      <c r="H2323" s="3" t="s">
        <v>31</v>
      </c>
      <c r="I2323" s="3" t="s">
        <v>3682</v>
      </c>
      <c r="J2323" s="3" t="s">
        <v>161</v>
      </c>
      <c r="K2323" s="3">
        <v>3</v>
      </c>
      <c r="L2323" s="3">
        <v>2633.87</v>
      </c>
      <c r="M2323" s="3">
        <v>7901.61</v>
      </c>
      <c r="N2323" s="3">
        <v>5809.55</v>
      </c>
      <c r="O2323" s="3">
        <v>2092.06</v>
      </c>
      <c r="P2323" s="3" t="s">
        <v>69</v>
      </c>
    </row>
    <row r="2324" spans="1:16" x14ac:dyDescent="0.35">
      <c r="A2324" s="3" t="s">
        <v>3683</v>
      </c>
      <c r="B2324" s="3" t="s">
        <v>1766</v>
      </c>
      <c r="C2324" s="3" t="s">
        <v>48</v>
      </c>
      <c r="D2324" s="3" t="s">
        <v>90</v>
      </c>
      <c r="E2324" s="3" t="s">
        <v>119</v>
      </c>
      <c r="F2324" s="3" t="s">
        <v>120</v>
      </c>
      <c r="G2324" s="3" t="s">
        <v>51</v>
      </c>
      <c r="H2324" s="3" t="s">
        <v>145</v>
      </c>
      <c r="I2324" s="3" t="s">
        <v>269</v>
      </c>
      <c r="J2324" s="3" t="s">
        <v>44</v>
      </c>
      <c r="K2324" s="3">
        <v>3</v>
      </c>
      <c r="L2324" s="3">
        <v>111.6</v>
      </c>
      <c r="M2324" s="3">
        <v>334.8</v>
      </c>
      <c r="N2324" s="3">
        <v>179.86</v>
      </c>
      <c r="O2324" s="3">
        <v>154.94</v>
      </c>
      <c r="P2324" s="3" t="s">
        <v>69</v>
      </c>
    </row>
    <row r="2325" spans="1:16" x14ac:dyDescent="0.35">
      <c r="A2325" s="3" t="s">
        <v>3684</v>
      </c>
      <c r="B2325" s="3" t="s">
        <v>1021</v>
      </c>
      <c r="C2325" s="3" t="s">
        <v>82</v>
      </c>
      <c r="D2325" s="3" t="s">
        <v>19</v>
      </c>
      <c r="E2325" s="3" t="s">
        <v>49</v>
      </c>
      <c r="F2325" s="3" t="s">
        <v>50</v>
      </c>
      <c r="G2325" s="3" t="s">
        <v>41</v>
      </c>
      <c r="H2325" s="3" t="s">
        <v>138</v>
      </c>
      <c r="I2325" s="3" t="s">
        <v>3685</v>
      </c>
      <c r="J2325" s="3" t="s">
        <v>85</v>
      </c>
      <c r="K2325" s="3">
        <v>2</v>
      </c>
      <c r="L2325" s="3">
        <v>18161.759999999998</v>
      </c>
      <c r="M2325" s="3">
        <v>36323.519999999997</v>
      </c>
      <c r="N2325" s="3">
        <v>28361.34</v>
      </c>
      <c r="O2325" s="3">
        <v>7962.18</v>
      </c>
      <c r="P2325" s="3" t="s">
        <v>34</v>
      </c>
    </row>
    <row r="2326" spans="1:16" x14ac:dyDescent="0.35">
      <c r="A2326" s="3" t="s">
        <v>3686</v>
      </c>
      <c r="B2326" s="3" t="s">
        <v>1113</v>
      </c>
      <c r="C2326" s="3" t="s">
        <v>82</v>
      </c>
      <c r="D2326" s="3" t="s">
        <v>90</v>
      </c>
      <c r="E2326" s="3" t="s">
        <v>97</v>
      </c>
      <c r="F2326" s="3" t="s">
        <v>98</v>
      </c>
      <c r="G2326" s="3" t="s">
        <v>41</v>
      </c>
      <c r="H2326" s="3" t="s">
        <v>61</v>
      </c>
      <c r="I2326" s="3" t="s">
        <v>1356</v>
      </c>
      <c r="J2326" s="3" t="s">
        <v>171</v>
      </c>
      <c r="K2326" s="3">
        <v>3</v>
      </c>
      <c r="L2326" s="3">
        <v>2709.81</v>
      </c>
      <c r="M2326" s="3">
        <v>8129.43</v>
      </c>
      <c r="N2326" s="3">
        <v>4634.17</v>
      </c>
      <c r="O2326" s="3">
        <v>3495.26</v>
      </c>
      <c r="P2326" s="3" t="s">
        <v>34</v>
      </c>
    </row>
    <row r="2327" spans="1:16" x14ac:dyDescent="0.35">
      <c r="A2327" s="3" t="s">
        <v>3687</v>
      </c>
      <c r="B2327" s="3" t="s">
        <v>832</v>
      </c>
      <c r="C2327" s="3" t="s">
        <v>72</v>
      </c>
      <c r="D2327" s="3" t="s">
        <v>19</v>
      </c>
      <c r="E2327" s="3" t="s">
        <v>20</v>
      </c>
      <c r="F2327" s="3" t="s">
        <v>21</v>
      </c>
      <c r="G2327" s="3" t="s">
        <v>41</v>
      </c>
      <c r="H2327" s="3" t="s">
        <v>61</v>
      </c>
      <c r="I2327" s="3" t="s">
        <v>2337</v>
      </c>
      <c r="J2327" s="3" t="s">
        <v>25</v>
      </c>
      <c r="K2327" s="3">
        <v>1</v>
      </c>
      <c r="L2327" s="3">
        <v>2288.6</v>
      </c>
      <c r="M2327" s="3">
        <v>2288.6</v>
      </c>
      <c r="N2327" s="3">
        <v>1535.79</v>
      </c>
      <c r="O2327" s="3">
        <v>752.81</v>
      </c>
      <c r="P2327" s="3" t="s">
        <v>86</v>
      </c>
    </row>
    <row r="2328" spans="1:16" x14ac:dyDescent="0.35">
      <c r="A2328" s="3" t="s">
        <v>3688</v>
      </c>
      <c r="B2328" s="3" t="s">
        <v>1240</v>
      </c>
      <c r="C2328" s="3" t="s">
        <v>118</v>
      </c>
      <c r="D2328" s="3" t="s">
        <v>90</v>
      </c>
      <c r="E2328" s="3" t="s">
        <v>119</v>
      </c>
      <c r="F2328" s="3" t="s">
        <v>120</v>
      </c>
      <c r="G2328" s="3" t="s">
        <v>51</v>
      </c>
      <c r="H2328" s="3" t="s">
        <v>77</v>
      </c>
      <c r="I2328" s="3" t="s">
        <v>1521</v>
      </c>
      <c r="J2328" s="3" t="s">
        <v>79</v>
      </c>
      <c r="K2328" s="3">
        <v>5</v>
      </c>
      <c r="L2328" s="3">
        <v>10857.55</v>
      </c>
      <c r="M2328" s="3">
        <v>54287.75</v>
      </c>
      <c r="N2328" s="3">
        <v>43902.19</v>
      </c>
      <c r="O2328" s="3">
        <v>10385.56</v>
      </c>
      <c r="P2328" s="3" t="s">
        <v>86</v>
      </c>
    </row>
    <row r="2329" spans="1:16" x14ac:dyDescent="0.35">
      <c r="A2329" s="3" t="s">
        <v>3689</v>
      </c>
      <c r="B2329" s="3" t="s">
        <v>376</v>
      </c>
      <c r="C2329" s="3" t="s">
        <v>37</v>
      </c>
      <c r="D2329" s="3" t="s">
        <v>38</v>
      </c>
      <c r="E2329" s="3" t="s">
        <v>109</v>
      </c>
      <c r="F2329" s="3" t="s">
        <v>110</v>
      </c>
      <c r="G2329" s="3" t="s">
        <v>41</v>
      </c>
      <c r="H2329" s="3" t="s">
        <v>42</v>
      </c>
      <c r="I2329" s="3" t="s">
        <v>1266</v>
      </c>
      <c r="J2329" s="3" t="s">
        <v>161</v>
      </c>
      <c r="K2329" s="3">
        <v>2</v>
      </c>
      <c r="L2329" s="3">
        <v>41379.480000000003</v>
      </c>
      <c r="M2329" s="3">
        <v>82758.960000000006</v>
      </c>
      <c r="N2329" s="3">
        <v>71237.740000000005</v>
      </c>
      <c r="O2329" s="3">
        <v>11521.22</v>
      </c>
      <c r="P2329" s="3" t="s">
        <v>86</v>
      </c>
    </row>
    <row r="2330" spans="1:16" x14ac:dyDescent="0.35">
      <c r="A2330" s="3" t="s">
        <v>3690</v>
      </c>
      <c r="B2330" s="3" t="s">
        <v>76</v>
      </c>
      <c r="C2330" s="3" t="s">
        <v>48</v>
      </c>
      <c r="D2330" s="3" t="s">
        <v>19</v>
      </c>
      <c r="E2330" s="3" t="s">
        <v>49</v>
      </c>
      <c r="F2330" s="3" t="s">
        <v>50</v>
      </c>
      <c r="G2330" s="3" t="s">
        <v>22</v>
      </c>
      <c r="H2330" s="3" t="s">
        <v>23</v>
      </c>
      <c r="I2330" s="3" t="s">
        <v>3532</v>
      </c>
      <c r="J2330" s="3" t="s">
        <v>44</v>
      </c>
      <c r="K2330" s="3">
        <v>1</v>
      </c>
      <c r="L2330" s="3">
        <v>3670.32</v>
      </c>
      <c r="M2330" s="3">
        <v>3670.32</v>
      </c>
      <c r="N2330" s="3">
        <v>2188.12</v>
      </c>
      <c r="O2330" s="3">
        <v>1482.2</v>
      </c>
      <c r="P2330" s="3" t="s">
        <v>69</v>
      </c>
    </row>
    <row r="2331" spans="1:16" x14ac:dyDescent="0.35">
      <c r="A2331" s="3" t="s">
        <v>3691</v>
      </c>
      <c r="B2331" s="3" t="s">
        <v>285</v>
      </c>
      <c r="C2331" s="3" t="s">
        <v>18</v>
      </c>
      <c r="D2331" s="3" t="s">
        <v>38</v>
      </c>
      <c r="E2331" s="3" t="s">
        <v>104</v>
      </c>
      <c r="F2331" s="3" t="s">
        <v>104</v>
      </c>
      <c r="G2331" s="3" t="s">
        <v>41</v>
      </c>
      <c r="H2331" s="3" t="s">
        <v>61</v>
      </c>
      <c r="I2331" s="3" t="s">
        <v>2567</v>
      </c>
      <c r="J2331" s="3" t="s">
        <v>147</v>
      </c>
      <c r="K2331" s="3">
        <v>4</v>
      </c>
      <c r="L2331" s="3">
        <v>2548.88</v>
      </c>
      <c r="M2331" s="3">
        <v>10195.52</v>
      </c>
      <c r="N2331" s="3">
        <v>6461.28</v>
      </c>
      <c r="O2331" s="3">
        <v>3734.24</v>
      </c>
      <c r="P2331" s="3" t="s">
        <v>69</v>
      </c>
    </row>
    <row r="2332" spans="1:16" x14ac:dyDescent="0.35">
      <c r="A2332" s="3" t="s">
        <v>3692</v>
      </c>
      <c r="B2332" s="3" t="s">
        <v>180</v>
      </c>
      <c r="C2332" s="3" t="s">
        <v>48</v>
      </c>
      <c r="D2332" s="3" t="s">
        <v>58</v>
      </c>
      <c r="E2332" s="3" t="s">
        <v>176</v>
      </c>
      <c r="F2332" s="3" t="s">
        <v>177</v>
      </c>
      <c r="G2332" s="3" t="s">
        <v>41</v>
      </c>
      <c r="H2332" s="3" t="s">
        <v>42</v>
      </c>
      <c r="I2332" s="3" t="s">
        <v>1619</v>
      </c>
      <c r="J2332" s="3" t="s">
        <v>85</v>
      </c>
      <c r="K2332" s="3">
        <v>7</v>
      </c>
      <c r="L2332" s="3">
        <v>42600.76</v>
      </c>
      <c r="M2332" s="3">
        <v>298205.32</v>
      </c>
      <c r="N2332" s="3">
        <v>254250.12</v>
      </c>
      <c r="O2332" s="3">
        <v>43955.199999999997</v>
      </c>
      <c r="P2332" s="3" t="s">
        <v>69</v>
      </c>
    </row>
    <row r="2333" spans="1:16" x14ac:dyDescent="0.35">
      <c r="A2333" s="3" t="s">
        <v>3693</v>
      </c>
      <c r="B2333" s="3" t="s">
        <v>2028</v>
      </c>
      <c r="C2333" s="3" t="s">
        <v>137</v>
      </c>
      <c r="D2333" s="3" t="s">
        <v>38</v>
      </c>
      <c r="E2333" s="3" t="s">
        <v>39</v>
      </c>
      <c r="F2333" s="3" t="s">
        <v>40</v>
      </c>
      <c r="G2333" s="3" t="s">
        <v>22</v>
      </c>
      <c r="H2333" s="3" t="s">
        <v>83</v>
      </c>
      <c r="I2333" s="3" t="s">
        <v>1924</v>
      </c>
      <c r="J2333" s="3" t="s">
        <v>79</v>
      </c>
      <c r="K2333" s="3">
        <v>8</v>
      </c>
      <c r="L2333" s="3">
        <v>20472.87</v>
      </c>
      <c r="M2333" s="3">
        <v>163782.96</v>
      </c>
      <c r="N2333" s="3">
        <v>129488.52</v>
      </c>
      <c r="O2333" s="3">
        <v>34294.44</v>
      </c>
      <c r="P2333" s="3" t="s">
        <v>34</v>
      </c>
    </row>
    <row r="2334" spans="1:16" x14ac:dyDescent="0.35">
      <c r="A2334" s="3" t="s">
        <v>3694</v>
      </c>
      <c r="B2334" s="3" t="s">
        <v>852</v>
      </c>
      <c r="C2334" s="3" t="s">
        <v>118</v>
      </c>
      <c r="D2334" s="3" t="s">
        <v>38</v>
      </c>
      <c r="E2334" s="3" t="s">
        <v>39</v>
      </c>
      <c r="F2334" s="3" t="s">
        <v>40</v>
      </c>
      <c r="G2334" s="3" t="s">
        <v>22</v>
      </c>
      <c r="H2334" s="3" t="s">
        <v>83</v>
      </c>
      <c r="I2334" s="3" t="s">
        <v>1214</v>
      </c>
      <c r="J2334" s="3" t="s">
        <v>54</v>
      </c>
      <c r="K2334" s="3">
        <v>3</v>
      </c>
      <c r="L2334" s="3">
        <v>20851.46</v>
      </c>
      <c r="M2334" s="3">
        <v>62554.38</v>
      </c>
      <c r="N2334" s="3">
        <v>52674.91</v>
      </c>
      <c r="O2334" s="3">
        <v>9879.4699999999993</v>
      </c>
      <c r="P2334" s="3" t="s">
        <v>86</v>
      </c>
    </row>
    <row r="2335" spans="1:16" x14ac:dyDescent="0.35">
      <c r="A2335" s="3" t="s">
        <v>3695</v>
      </c>
      <c r="B2335" s="3" t="s">
        <v>639</v>
      </c>
      <c r="C2335" s="3" t="s">
        <v>72</v>
      </c>
      <c r="D2335" s="3" t="s">
        <v>90</v>
      </c>
      <c r="E2335" s="3" t="s">
        <v>91</v>
      </c>
      <c r="F2335" s="3" t="s">
        <v>92</v>
      </c>
      <c r="G2335" s="3" t="s">
        <v>30</v>
      </c>
      <c r="H2335" s="3" t="s">
        <v>31</v>
      </c>
      <c r="I2335" s="3" t="s">
        <v>1561</v>
      </c>
      <c r="J2335" s="3" t="s">
        <v>217</v>
      </c>
      <c r="K2335" s="3">
        <v>1</v>
      </c>
      <c r="L2335" s="3">
        <v>2856.93</v>
      </c>
      <c r="M2335" s="3">
        <v>2856.93</v>
      </c>
      <c r="N2335" s="3">
        <v>1849.86</v>
      </c>
      <c r="O2335" s="3">
        <v>1007.07</v>
      </c>
      <c r="P2335" s="3" t="s">
        <v>86</v>
      </c>
    </row>
    <row r="2336" spans="1:16" x14ac:dyDescent="0.35">
      <c r="A2336" s="3" t="s">
        <v>3696</v>
      </c>
      <c r="B2336" s="3" t="s">
        <v>586</v>
      </c>
      <c r="C2336" s="3" t="s">
        <v>57</v>
      </c>
      <c r="D2336" s="3" t="s">
        <v>58</v>
      </c>
      <c r="E2336" s="3" t="s">
        <v>176</v>
      </c>
      <c r="F2336" s="3" t="s">
        <v>177</v>
      </c>
      <c r="G2336" s="3" t="s">
        <v>30</v>
      </c>
      <c r="H2336" s="3" t="s">
        <v>31</v>
      </c>
      <c r="I2336" s="3" t="s">
        <v>240</v>
      </c>
      <c r="J2336" s="3" t="s">
        <v>147</v>
      </c>
      <c r="K2336" s="3">
        <v>4</v>
      </c>
      <c r="L2336" s="3">
        <v>2607.9499999999998</v>
      </c>
      <c r="M2336" s="3">
        <v>10431.799999999999</v>
      </c>
      <c r="N2336" s="3">
        <v>7725.38</v>
      </c>
      <c r="O2336" s="3">
        <v>2706.42</v>
      </c>
      <c r="P2336" s="3" t="s">
        <v>45</v>
      </c>
    </row>
    <row r="2337" spans="1:16" x14ac:dyDescent="0.35">
      <c r="A2337" s="3" t="s">
        <v>3697</v>
      </c>
      <c r="B2337" s="3" t="s">
        <v>777</v>
      </c>
      <c r="C2337" s="3" t="s">
        <v>72</v>
      </c>
      <c r="D2337" s="3" t="s">
        <v>90</v>
      </c>
      <c r="E2337" s="3" t="s">
        <v>97</v>
      </c>
      <c r="F2337" s="3" t="s">
        <v>98</v>
      </c>
      <c r="G2337" s="3" t="s">
        <v>41</v>
      </c>
      <c r="H2337" s="3" t="s">
        <v>42</v>
      </c>
      <c r="I2337" s="3" t="s">
        <v>800</v>
      </c>
      <c r="J2337" s="3" t="s">
        <v>54</v>
      </c>
      <c r="K2337" s="3">
        <v>4</v>
      </c>
      <c r="L2337" s="3">
        <v>43938.19</v>
      </c>
      <c r="M2337" s="3">
        <v>175752.76</v>
      </c>
      <c r="N2337" s="3">
        <v>141256.38</v>
      </c>
      <c r="O2337" s="3">
        <v>34496.379999999997</v>
      </c>
      <c r="P2337" s="3" t="s">
        <v>34</v>
      </c>
    </row>
    <row r="2338" spans="1:16" x14ac:dyDescent="0.35">
      <c r="A2338" s="3" t="s">
        <v>3698</v>
      </c>
      <c r="B2338" s="3" t="s">
        <v>245</v>
      </c>
      <c r="C2338" s="3" t="s">
        <v>29</v>
      </c>
      <c r="D2338" s="3" t="s">
        <v>19</v>
      </c>
      <c r="E2338" s="3" t="s">
        <v>49</v>
      </c>
      <c r="F2338" s="3" t="s">
        <v>50</v>
      </c>
      <c r="G2338" s="3" t="s">
        <v>30</v>
      </c>
      <c r="H2338" s="3" t="s">
        <v>67</v>
      </c>
      <c r="I2338" s="3" t="s">
        <v>1576</v>
      </c>
      <c r="J2338" s="3" t="s">
        <v>100</v>
      </c>
      <c r="K2338" s="3">
        <v>1</v>
      </c>
      <c r="L2338" s="3">
        <v>9735.2999999999993</v>
      </c>
      <c r="M2338" s="3">
        <v>9735.2999999999993</v>
      </c>
      <c r="N2338" s="3">
        <v>7480.87</v>
      </c>
      <c r="O2338" s="3">
        <v>2254.4299999999998</v>
      </c>
      <c r="P2338" s="3" t="s">
        <v>69</v>
      </c>
    </row>
    <row r="2339" spans="1:16" x14ac:dyDescent="0.35">
      <c r="A2339" s="3" t="s">
        <v>3699</v>
      </c>
      <c r="B2339" s="3" t="s">
        <v>324</v>
      </c>
      <c r="C2339" s="3" t="s">
        <v>29</v>
      </c>
      <c r="D2339" s="3" t="s">
        <v>90</v>
      </c>
      <c r="E2339" s="3" t="s">
        <v>91</v>
      </c>
      <c r="F2339" s="3" t="s">
        <v>92</v>
      </c>
      <c r="G2339" s="3" t="s">
        <v>30</v>
      </c>
      <c r="H2339" s="3" t="s">
        <v>31</v>
      </c>
      <c r="I2339" s="3" t="s">
        <v>201</v>
      </c>
      <c r="J2339" s="3" t="s">
        <v>54</v>
      </c>
      <c r="K2339" s="3">
        <v>5</v>
      </c>
      <c r="L2339" s="3">
        <v>2875.07</v>
      </c>
      <c r="M2339" s="3">
        <v>14375.35</v>
      </c>
      <c r="N2339" s="3">
        <v>9689.74</v>
      </c>
      <c r="O2339" s="3">
        <v>4685.6099999999997</v>
      </c>
      <c r="P2339" s="3" t="s">
        <v>34</v>
      </c>
    </row>
    <row r="2340" spans="1:16" x14ac:dyDescent="0.35">
      <c r="A2340" s="3" t="s">
        <v>3700</v>
      </c>
      <c r="B2340" s="3" t="s">
        <v>699</v>
      </c>
      <c r="C2340" s="3" t="s">
        <v>137</v>
      </c>
      <c r="D2340" s="3" t="s">
        <v>19</v>
      </c>
      <c r="E2340" s="3" t="s">
        <v>49</v>
      </c>
      <c r="F2340" s="3" t="s">
        <v>50</v>
      </c>
      <c r="G2340" s="3" t="s">
        <v>51</v>
      </c>
      <c r="H2340" s="3" t="s">
        <v>52</v>
      </c>
      <c r="I2340" s="3" t="s">
        <v>843</v>
      </c>
      <c r="J2340" s="3" t="s">
        <v>188</v>
      </c>
      <c r="K2340" s="3">
        <v>6</v>
      </c>
      <c r="L2340" s="3">
        <v>23.27</v>
      </c>
      <c r="M2340" s="3">
        <v>139.62</v>
      </c>
      <c r="N2340" s="3">
        <v>57.66</v>
      </c>
      <c r="O2340" s="3">
        <v>81.96</v>
      </c>
      <c r="P2340" s="3" t="s">
        <v>26</v>
      </c>
    </row>
    <row r="2341" spans="1:16" x14ac:dyDescent="0.35">
      <c r="A2341" s="3" t="s">
        <v>3701</v>
      </c>
      <c r="B2341" s="3" t="s">
        <v>71</v>
      </c>
      <c r="C2341" s="3" t="s">
        <v>72</v>
      </c>
      <c r="D2341" s="3" t="s">
        <v>90</v>
      </c>
      <c r="E2341" s="3" t="s">
        <v>91</v>
      </c>
      <c r="F2341" s="3" t="s">
        <v>92</v>
      </c>
      <c r="G2341" s="3" t="s">
        <v>30</v>
      </c>
      <c r="H2341" s="3" t="s">
        <v>31</v>
      </c>
      <c r="I2341" s="3" t="s">
        <v>1907</v>
      </c>
      <c r="J2341" s="3" t="s">
        <v>33</v>
      </c>
      <c r="K2341" s="3">
        <v>5</v>
      </c>
      <c r="L2341" s="3">
        <v>2747.7</v>
      </c>
      <c r="M2341" s="3">
        <v>13738.5</v>
      </c>
      <c r="N2341" s="3">
        <v>9531.76</v>
      </c>
      <c r="O2341" s="3">
        <v>4206.74</v>
      </c>
      <c r="P2341" s="3" t="s">
        <v>26</v>
      </c>
    </row>
    <row r="2342" spans="1:16" x14ac:dyDescent="0.35">
      <c r="A2342" s="3" t="s">
        <v>3702</v>
      </c>
      <c r="B2342" s="3" t="s">
        <v>370</v>
      </c>
      <c r="C2342" s="3" t="s">
        <v>137</v>
      </c>
      <c r="D2342" s="3" t="s">
        <v>58</v>
      </c>
      <c r="E2342" s="3" t="s">
        <v>59</v>
      </c>
      <c r="F2342" s="3" t="s">
        <v>60</v>
      </c>
      <c r="G2342" s="3" t="s">
        <v>30</v>
      </c>
      <c r="H2342" s="3" t="s">
        <v>67</v>
      </c>
      <c r="I2342" s="3" t="s">
        <v>1012</v>
      </c>
      <c r="J2342" s="3" t="s">
        <v>25</v>
      </c>
      <c r="K2342" s="3">
        <v>4</v>
      </c>
      <c r="L2342" s="3">
        <v>10178.76</v>
      </c>
      <c r="M2342" s="3">
        <v>40715.040000000001</v>
      </c>
      <c r="N2342" s="3">
        <v>29356.05</v>
      </c>
      <c r="O2342" s="3">
        <v>11358.99</v>
      </c>
      <c r="P2342" s="3" t="s">
        <v>45</v>
      </c>
    </row>
    <row r="2343" spans="1:16" x14ac:dyDescent="0.35">
      <c r="A2343" s="3" t="s">
        <v>3703</v>
      </c>
      <c r="B2343" s="3" t="s">
        <v>787</v>
      </c>
      <c r="C2343" s="3" t="s">
        <v>37</v>
      </c>
      <c r="D2343" s="3" t="s">
        <v>58</v>
      </c>
      <c r="E2343" s="3" t="s">
        <v>59</v>
      </c>
      <c r="F2343" s="3" t="s">
        <v>60</v>
      </c>
      <c r="G2343" s="3" t="s">
        <v>51</v>
      </c>
      <c r="H2343" s="3" t="s">
        <v>77</v>
      </c>
      <c r="I2343" s="3" t="s">
        <v>2525</v>
      </c>
      <c r="J2343" s="3" t="s">
        <v>188</v>
      </c>
      <c r="K2343" s="3">
        <v>1</v>
      </c>
      <c r="L2343" s="3">
        <v>12557.31</v>
      </c>
      <c r="M2343" s="3">
        <v>12557.31</v>
      </c>
      <c r="N2343" s="3">
        <v>8966.68</v>
      </c>
      <c r="O2343" s="3">
        <v>3590.63</v>
      </c>
      <c r="P2343" s="3" t="s">
        <v>34</v>
      </c>
    </row>
    <row r="2344" spans="1:16" x14ac:dyDescent="0.35">
      <c r="A2344" s="3" t="s">
        <v>3704</v>
      </c>
      <c r="B2344" s="3" t="s">
        <v>1276</v>
      </c>
      <c r="C2344" s="3" t="s">
        <v>37</v>
      </c>
      <c r="D2344" s="3" t="s">
        <v>19</v>
      </c>
      <c r="E2344" s="3" t="s">
        <v>49</v>
      </c>
      <c r="F2344" s="3" t="s">
        <v>50</v>
      </c>
      <c r="G2344" s="3" t="s">
        <v>51</v>
      </c>
      <c r="H2344" s="3" t="s">
        <v>52</v>
      </c>
      <c r="I2344" s="3" t="s">
        <v>3260</v>
      </c>
      <c r="J2344" s="3" t="s">
        <v>44</v>
      </c>
      <c r="K2344" s="3">
        <v>5</v>
      </c>
      <c r="L2344" s="3">
        <v>24.92</v>
      </c>
      <c r="M2344" s="3">
        <v>124.6</v>
      </c>
      <c r="N2344" s="3">
        <v>50.39</v>
      </c>
      <c r="O2344" s="3">
        <v>74.209999999999994</v>
      </c>
      <c r="P2344" s="3" t="s">
        <v>86</v>
      </c>
    </row>
    <row r="2345" spans="1:16" x14ac:dyDescent="0.35">
      <c r="A2345" s="3" t="s">
        <v>3705</v>
      </c>
      <c r="B2345" s="3" t="s">
        <v>488</v>
      </c>
      <c r="C2345" s="3" t="s">
        <v>29</v>
      </c>
      <c r="D2345" s="3" t="s">
        <v>19</v>
      </c>
      <c r="E2345" s="3" t="s">
        <v>49</v>
      </c>
      <c r="F2345" s="3" t="s">
        <v>50</v>
      </c>
      <c r="G2345" s="3" t="s">
        <v>51</v>
      </c>
      <c r="H2345" s="3" t="s">
        <v>145</v>
      </c>
      <c r="I2345" s="3" t="s">
        <v>1973</v>
      </c>
      <c r="J2345" s="3" t="s">
        <v>54</v>
      </c>
      <c r="K2345" s="3">
        <v>5</v>
      </c>
      <c r="L2345" s="3">
        <v>109.63</v>
      </c>
      <c r="M2345" s="3">
        <v>548.15</v>
      </c>
      <c r="N2345" s="3">
        <v>303.85000000000002</v>
      </c>
      <c r="O2345" s="3">
        <v>244.3</v>
      </c>
      <c r="P2345" s="3" t="s">
        <v>86</v>
      </c>
    </row>
    <row r="2346" spans="1:16" x14ac:dyDescent="0.35">
      <c r="A2346" s="3" t="s">
        <v>3706</v>
      </c>
      <c r="B2346" s="3" t="s">
        <v>987</v>
      </c>
      <c r="C2346" s="3" t="s">
        <v>82</v>
      </c>
      <c r="D2346" s="3" t="s">
        <v>19</v>
      </c>
      <c r="E2346" s="3" t="s">
        <v>20</v>
      </c>
      <c r="F2346" s="3" t="s">
        <v>21</v>
      </c>
      <c r="G2346" s="3" t="s">
        <v>30</v>
      </c>
      <c r="H2346" s="3" t="s">
        <v>67</v>
      </c>
      <c r="I2346" s="3" t="s">
        <v>1022</v>
      </c>
      <c r="J2346" s="3" t="s">
        <v>188</v>
      </c>
      <c r="K2346" s="3">
        <v>2</v>
      </c>
      <c r="L2346" s="3">
        <v>8857.86</v>
      </c>
      <c r="M2346" s="3">
        <v>17715.72</v>
      </c>
      <c r="N2346" s="3">
        <v>15291.48</v>
      </c>
      <c r="O2346" s="3">
        <v>2424.2399999999998</v>
      </c>
      <c r="P2346" s="3" t="s">
        <v>45</v>
      </c>
    </row>
    <row r="2347" spans="1:16" x14ac:dyDescent="0.35">
      <c r="A2347" s="3" t="s">
        <v>3707</v>
      </c>
      <c r="B2347" s="3" t="s">
        <v>2365</v>
      </c>
      <c r="C2347" s="3" t="s">
        <v>57</v>
      </c>
      <c r="D2347" s="3" t="s">
        <v>19</v>
      </c>
      <c r="E2347" s="3" t="s">
        <v>199</v>
      </c>
      <c r="F2347" s="3" t="s">
        <v>200</v>
      </c>
      <c r="G2347" s="3" t="s">
        <v>30</v>
      </c>
      <c r="H2347" s="3" t="s">
        <v>73</v>
      </c>
      <c r="I2347" s="3" t="s">
        <v>3708</v>
      </c>
      <c r="J2347" s="3" t="s">
        <v>217</v>
      </c>
      <c r="K2347" s="3">
        <v>5</v>
      </c>
      <c r="L2347" s="3">
        <v>3183.79</v>
      </c>
      <c r="M2347" s="3">
        <v>15918.95</v>
      </c>
      <c r="N2347" s="3">
        <v>11795.65</v>
      </c>
      <c r="O2347" s="3">
        <v>4123.3</v>
      </c>
      <c r="P2347" s="3" t="s">
        <v>69</v>
      </c>
    </row>
    <row r="2348" spans="1:16" x14ac:dyDescent="0.35">
      <c r="A2348" s="3" t="s">
        <v>3709</v>
      </c>
      <c r="B2348" s="3" t="s">
        <v>126</v>
      </c>
      <c r="C2348" s="3" t="s">
        <v>103</v>
      </c>
      <c r="D2348" s="3" t="s">
        <v>90</v>
      </c>
      <c r="E2348" s="3" t="s">
        <v>119</v>
      </c>
      <c r="F2348" s="3" t="s">
        <v>120</v>
      </c>
      <c r="G2348" s="3" t="s">
        <v>41</v>
      </c>
      <c r="H2348" s="3" t="s">
        <v>42</v>
      </c>
      <c r="I2348" s="3" t="s">
        <v>3435</v>
      </c>
      <c r="J2348" s="3" t="s">
        <v>161</v>
      </c>
      <c r="K2348" s="3">
        <v>7</v>
      </c>
      <c r="L2348" s="3">
        <v>45841.18</v>
      </c>
      <c r="M2348" s="3">
        <v>320888.26</v>
      </c>
      <c r="N2348" s="3">
        <v>255707.92</v>
      </c>
      <c r="O2348" s="3">
        <v>65180.34</v>
      </c>
      <c r="P2348" s="3" t="s">
        <v>26</v>
      </c>
    </row>
    <row r="2349" spans="1:16" x14ac:dyDescent="0.35">
      <c r="A2349" s="3" t="s">
        <v>3710</v>
      </c>
      <c r="B2349" s="3" t="s">
        <v>2197</v>
      </c>
      <c r="C2349" s="3" t="s">
        <v>18</v>
      </c>
      <c r="D2349" s="3" t="s">
        <v>90</v>
      </c>
      <c r="E2349" s="3" t="s">
        <v>91</v>
      </c>
      <c r="F2349" s="3" t="s">
        <v>92</v>
      </c>
      <c r="G2349" s="3" t="s">
        <v>30</v>
      </c>
      <c r="H2349" s="3" t="s">
        <v>67</v>
      </c>
      <c r="I2349" s="3" t="s">
        <v>2315</v>
      </c>
      <c r="J2349" s="3" t="s">
        <v>147</v>
      </c>
      <c r="K2349" s="3">
        <v>1</v>
      </c>
      <c r="L2349" s="3">
        <v>10102.65</v>
      </c>
      <c r="M2349" s="3">
        <v>10102.65</v>
      </c>
      <c r="N2349" s="3">
        <v>7358.95</v>
      </c>
      <c r="O2349" s="3">
        <v>2743.7</v>
      </c>
      <c r="P2349" s="3" t="s">
        <v>34</v>
      </c>
    </row>
    <row r="2350" spans="1:16" x14ac:dyDescent="0.35">
      <c r="A2350" s="3" t="s">
        <v>3711</v>
      </c>
      <c r="B2350" s="3" t="s">
        <v>819</v>
      </c>
      <c r="C2350" s="3" t="s">
        <v>89</v>
      </c>
      <c r="D2350" s="3" t="s">
        <v>38</v>
      </c>
      <c r="E2350" s="3" t="s">
        <v>39</v>
      </c>
      <c r="F2350" s="3" t="s">
        <v>40</v>
      </c>
      <c r="G2350" s="3" t="s">
        <v>51</v>
      </c>
      <c r="H2350" s="3" t="s">
        <v>52</v>
      </c>
      <c r="I2350" s="3" t="s">
        <v>1579</v>
      </c>
      <c r="J2350" s="3" t="s">
        <v>54</v>
      </c>
      <c r="K2350" s="3">
        <v>2</v>
      </c>
      <c r="L2350" s="3">
        <v>24.71</v>
      </c>
      <c r="M2350" s="3">
        <v>49.42</v>
      </c>
      <c r="N2350" s="3">
        <v>20.27</v>
      </c>
      <c r="O2350" s="3">
        <v>29.15</v>
      </c>
      <c r="P2350" s="3" t="s">
        <v>69</v>
      </c>
    </row>
    <row r="2351" spans="1:16" x14ac:dyDescent="0.35">
      <c r="A2351" s="3" t="s">
        <v>3712</v>
      </c>
      <c r="B2351" s="3" t="s">
        <v>398</v>
      </c>
      <c r="C2351" s="3" t="s">
        <v>57</v>
      </c>
      <c r="D2351" s="3" t="s">
        <v>19</v>
      </c>
      <c r="E2351" s="3" t="s">
        <v>20</v>
      </c>
      <c r="F2351" s="3" t="s">
        <v>21</v>
      </c>
      <c r="G2351" s="3" t="s">
        <v>41</v>
      </c>
      <c r="H2351" s="3" t="s">
        <v>61</v>
      </c>
      <c r="I2351" s="3" t="s">
        <v>2875</v>
      </c>
      <c r="J2351" s="3" t="s">
        <v>131</v>
      </c>
      <c r="K2351" s="3">
        <v>7</v>
      </c>
      <c r="L2351" s="3">
        <v>2381.9899999999998</v>
      </c>
      <c r="M2351" s="3">
        <v>16673.93</v>
      </c>
      <c r="N2351" s="3">
        <v>11024.25</v>
      </c>
      <c r="O2351" s="3">
        <v>5649.68</v>
      </c>
      <c r="P2351" s="3" t="s">
        <v>86</v>
      </c>
    </row>
    <row r="2352" spans="1:16" x14ac:dyDescent="0.35">
      <c r="A2352" s="3" t="s">
        <v>3713</v>
      </c>
      <c r="B2352" s="3" t="s">
        <v>570</v>
      </c>
      <c r="C2352" s="3" t="s">
        <v>18</v>
      </c>
      <c r="D2352" s="3" t="s">
        <v>19</v>
      </c>
      <c r="E2352" s="3" t="s">
        <v>199</v>
      </c>
      <c r="F2352" s="3" t="s">
        <v>200</v>
      </c>
      <c r="G2352" s="3" t="s">
        <v>51</v>
      </c>
      <c r="H2352" s="3" t="s">
        <v>145</v>
      </c>
      <c r="I2352" s="3" t="s">
        <v>2381</v>
      </c>
      <c r="J2352" s="3" t="s">
        <v>44</v>
      </c>
      <c r="K2352" s="3">
        <v>7</v>
      </c>
      <c r="L2352" s="3">
        <v>120.12</v>
      </c>
      <c r="M2352" s="3">
        <v>840.84</v>
      </c>
      <c r="N2352" s="3">
        <v>426.3</v>
      </c>
      <c r="O2352" s="3">
        <v>414.54</v>
      </c>
      <c r="P2352" s="3" t="s">
        <v>45</v>
      </c>
    </row>
    <row r="2353" spans="1:16" x14ac:dyDescent="0.35">
      <c r="A2353" s="3" t="s">
        <v>3714</v>
      </c>
      <c r="B2353" s="3" t="s">
        <v>76</v>
      </c>
      <c r="C2353" s="3" t="s">
        <v>48</v>
      </c>
      <c r="D2353" s="3" t="s">
        <v>19</v>
      </c>
      <c r="E2353" s="3" t="s">
        <v>20</v>
      </c>
      <c r="F2353" s="3" t="s">
        <v>21</v>
      </c>
      <c r="G2353" s="3" t="s">
        <v>30</v>
      </c>
      <c r="H2353" s="3" t="s">
        <v>67</v>
      </c>
      <c r="I2353" s="3" t="s">
        <v>1038</v>
      </c>
      <c r="J2353" s="3" t="s">
        <v>147</v>
      </c>
      <c r="K2353" s="3">
        <v>7</v>
      </c>
      <c r="L2353" s="3">
        <v>9713.2000000000007</v>
      </c>
      <c r="M2353" s="3">
        <v>67992.399999999994</v>
      </c>
      <c r="N2353" s="3">
        <v>53560.05</v>
      </c>
      <c r="O2353" s="3">
        <v>14432.35</v>
      </c>
      <c r="P2353" s="3" t="s">
        <v>69</v>
      </c>
    </row>
    <row r="2354" spans="1:16" x14ac:dyDescent="0.35">
      <c r="A2354" s="3" t="s">
        <v>3715</v>
      </c>
      <c r="B2354" s="3" t="s">
        <v>599</v>
      </c>
      <c r="C2354" s="3" t="s">
        <v>82</v>
      </c>
      <c r="D2354" s="3" t="s">
        <v>90</v>
      </c>
      <c r="E2354" s="3" t="s">
        <v>97</v>
      </c>
      <c r="F2354" s="3" t="s">
        <v>98</v>
      </c>
      <c r="G2354" s="3" t="s">
        <v>51</v>
      </c>
      <c r="H2354" s="3" t="s">
        <v>52</v>
      </c>
      <c r="I2354" s="3" t="s">
        <v>3615</v>
      </c>
      <c r="J2354" s="3" t="s">
        <v>54</v>
      </c>
      <c r="K2354" s="3">
        <v>6</v>
      </c>
      <c r="L2354" s="3">
        <v>23.58</v>
      </c>
      <c r="M2354" s="3">
        <v>141.47999999999999</v>
      </c>
      <c r="N2354" s="3">
        <v>61.53</v>
      </c>
      <c r="O2354" s="3">
        <v>79.95</v>
      </c>
      <c r="P2354" s="3" t="s">
        <v>86</v>
      </c>
    </row>
    <row r="2355" spans="1:16" x14ac:dyDescent="0.35">
      <c r="A2355" s="3" t="s">
        <v>3716</v>
      </c>
      <c r="B2355" s="3" t="s">
        <v>866</v>
      </c>
      <c r="C2355" s="3" t="s">
        <v>72</v>
      </c>
      <c r="D2355" s="3" t="s">
        <v>58</v>
      </c>
      <c r="E2355" s="3" t="s">
        <v>176</v>
      </c>
      <c r="F2355" s="3" t="s">
        <v>177</v>
      </c>
      <c r="G2355" s="3" t="s">
        <v>30</v>
      </c>
      <c r="H2355" s="3" t="s">
        <v>67</v>
      </c>
      <c r="I2355" s="3" t="s">
        <v>1389</v>
      </c>
      <c r="J2355" s="3" t="s">
        <v>25</v>
      </c>
      <c r="K2355" s="3">
        <v>7</v>
      </c>
      <c r="L2355" s="3">
        <v>8627.5300000000007</v>
      </c>
      <c r="M2355" s="3">
        <v>60392.71</v>
      </c>
      <c r="N2355" s="3">
        <v>51999.14</v>
      </c>
      <c r="O2355" s="3">
        <v>8393.57</v>
      </c>
      <c r="P2355" s="3" t="s">
        <v>45</v>
      </c>
    </row>
    <row r="2356" spans="1:16" x14ac:dyDescent="0.35">
      <c r="A2356" s="3" t="s">
        <v>3717</v>
      </c>
      <c r="B2356" s="3" t="s">
        <v>2492</v>
      </c>
      <c r="C2356" s="3" t="s">
        <v>118</v>
      </c>
      <c r="D2356" s="3" t="s">
        <v>90</v>
      </c>
      <c r="E2356" s="3" t="s">
        <v>119</v>
      </c>
      <c r="F2356" s="3" t="s">
        <v>120</v>
      </c>
      <c r="G2356" s="3" t="s">
        <v>51</v>
      </c>
      <c r="H2356" s="3" t="s">
        <v>77</v>
      </c>
      <c r="I2356" s="3" t="s">
        <v>3718</v>
      </c>
      <c r="J2356" s="3" t="s">
        <v>25</v>
      </c>
      <c r="K2356" s="3">
        <v>7</v>
      </c>
      <c r="L2356" s="3">
        <v>11962.75</v>
      </c>
      <c r="M2356" s="3">
        <v>83739.25</v>
      </c>
      <c r="N2356" s="3">
        <v>63291.69</v>
      </c>
      <c r="O2356" s="3">
        <v>20447.560000000001</v>
      </c>
      <c r="P2356" s="3" t="s">
        <v>69</v>
      </c>
    </row>
    <row r="2357" spans="1:16" x14ac:dyDescent="0.35">
      <c r="A2357" s="3" t="s">
        <v>3719</v>
      </c>
      <c r="B2357" s="3" t="s">
        <v>1113</v>
      </c>
      <c r="C2357" s="3" t="s">
        <v>82</v>
      </c>
      <c r="D2357" s="3" t="s">
        <v>38</v>
      </c>
      <c r="E2357" s="3" t="s">
        <v>104</v>
      </c>
      <c r="F2357" s="3" t="s">
        <v>104</v>
      </c>
      <c r="G2357" s="3" t="s">
        <v>51</v>
      </c>
      <c r="H2357" s="3" t="s">
        <v>145</v>
      </c>
      <c r="I2357" s="3" t="s">
        <v>1087</v>
      </c>
      <c r="J2357" s="3" t="s">
        <v>33</v>
      </c>
      <c r="K2357" s="3">
        <v>4</v>
      </c>
      <c r="L2357" s="3">
        <v>110.45</v>
      </c>
      <c r="M2357" s="3">
        <v>441.8</v>
      </c>
      <c r="N2357" s="3">
        <v>243.18</v>
      </c>
      <c r="O2357" s="3">
        <v>198.62</v>
      </c>
      <c r="P2357" s="3" t="s">
        <v>86</v>
      </c>
    </row>
    <row r="2358" spans="1:16" x14ac:dyDescent="0.35">
      <c r="A2358" s="3" t="s">
        <v>3720</v>
      </c>
      <c r="B2358" s="3" t="s">
        <v>994</v>
      </c>
      <c r="C2358" s="3" t="s">
        <v>29</v>
      </c>
      <c r="D2358" s="3" t="s">
        <v>19</v>
      </c>
      <c r="E2358" s="3" t="s">
        <v>20</v>
      </c>
      <c r="F2358" s="3" t="s">
        <v>21</v>
      </c>
      <c r="G2358" s="3" t="s">
        <v>30</v>
      </c>
      <c r="H2358" s="3" t="s">
        <v>73</v>
      </c>
      <c r="I2358" s="3" t="s">
        <v>1970</v>
      </c>
      <c r="J2358" s="3" t="s">
        <v>79</v>
      </c>
      <c r="K2358" s="3">
        <v>8</v>
      </c>
      <c r="L2358" s="3">
        <v>3199.72</v>
      </c>
      <c r="M2358" s="3">
        <v>25597.759999999998</v>
      </c>
      <c r="N2358" s="3">
        <v>20018.599999999999</v>
      </c>
      <c r="O2358" s="3">
        <v>5579.16</v>
      </c>
      <c r="P2358" s="3" t="s">
        <v>34</v>
      </c>
    </row>
    <row r="2359" spans="1:16" x14ac:dyDescent="0.35">
      <c r="A2359" s="3" t="s">
        <v>3721</v>
      </c>
      <c r="B2359" s="3" t="s">
        <v>1294</v>
      </c>
      <c r="C2359" s="3" t="s">
        <v>118</v>
      </c>
      <c r="D2359" s="3" t="s">
        <v>58</v>
      </c>
      <c r="E2359" s="3" t="s">
        <v>65</v>
      </c>
      <c r="F2359" s="3" t="s">
        <v>66</v>
      </c>
      <c r="G2359" s="3" t="s">
        <v>22</v>
      </c>
      <c r="H2359" s="3" t="s">
        <v>83</v>
      </c>
      <c r="I2359" s="3" t="s">
        <v>2625</v>
      </c>
      <c r="J2359" s="3" t="s">
        <v>154</v>
      </c>
      <c r="K2359" s="3">
        <v>4</v>
      </c>
      <c r="L2359" s="3">
        <v>23270.77</v>
      </c>
      <c r="M2359" s="3">
        <v>93083.08</v>
      </c>
      <c r="N2359" s="3">
        <v>68831.55</v>
      </c>
      <c r="O2359" s="3">
        <v>24251.53</v>
      </c>
      <c r="P2359" s="3" t="s">
        <v>26</v>
      </c>
    </row>
    <row r="2360" spans="1:16" x14ac:dyDescent="0.35">
      <c r="A2360" s="3" t="s">
        <v>3722</v>
      </c>
      <c r="B2360" s="3" t="s">
        <v>1910</v>
      </c>
      <c r="C2360" s="3" t="s">
        <v>29</v>
      </c>
      <c r="D2360" s="3" t="s">
        <v>38</v>
      </c>
      <c r="E2360" s="3" t="s">
        <v>39</v>
      </c>
      <c r="F2360" s="3" t="s">
        <v>40</v>
      </c>
      <c r="G2360" s="3" t="s">
        <v>41</v>
      </c>
      <c r="H2360" s="3" t="s">
        <v>138</v>
      </c>
      <c r="I2360" s="3" t="s">
        <v>2543</v>
      </c>
      <c r="J2360" s="3" t="s">
        <v>131</v>
      </c>
      <c r="K2360" s="3">
        <v>6</v>
      </c>
      <c r="L2360" s="3">
        <v>16718.68</v>
      </c>
      <c r="M2360" s="3">
        <v>100312.08</v>
      </c>
      <c r="N2360" s="3">
        <v>80953.56</v>
      </c>
      <c r="O2360" s="3">
        <v>19358.52</v>
      </c>
      <c r="P2360" s="3" t="s">
        <v>34</v>
      </c>
    </row>
    <row r="2361" spans="1:16" x14ac:dyDescent="0.35">
      <c r="A2361" s="3" t="s">
        <v>3723</v>
      </c>
      <c r="B2361" s="3" t="s">
        <v>840</v>
      </c>
      <c r="C2361" s="3" t="s">
        <v>57</v>
      </c>
      <c r="D2361" s="3" t="s">
        <v>19</v>
      </c>
      <c r="E2361" s="3" t="s">
        <v>49</v>
      </c>
      <c r="F2361" s="3" t="s">
        <v>50</v>
      </c>
      <c r="G2361" s="3" t="s">
        <v>41</v>
      </c>
      <c r="H2361" s="3" t="s">
        <v>61</v>
      </c>
      <c r="I2361" s="3" t="s">
        <v>157</v>
      </c>
      <c r="J2361" s="3" t="s">
        <v>188</v>
      </c>
      <c r="K2361" s="3">
        <v>5</v>
      </c>
      <c r="L2361" s="3">
        <v>2436.56</v>
      </c>
      <c r="M2361" s="3">
        <v>12182.8</v>
      </c>
      <c r="N2361" s="3">
        <v>7738.06</v>
      </c>
      <c r="O2361" s="3">
        <v>4444.74</v>
      </c>
      <c r="P2361" s="3" t="s">
        <v>69</v>
      </c>
    </row>
    <row r="2362" spans="1:16" x14ac:dyDescent="0.35">
      <c r="A2362" s="3" t="s">
        <v>3724</v>
      </c>
      <c r="B2362" s="3" t="s">
        <v>717</v>
      </c>
      <c r="C2362" s="3" t="s">
        <v>114</v>
      </c>
      <c r="D2362" s="3" t="s">
        <v>58</v>
      </c>
      <c r="E2362" s="3" t="s">
        <v>59</v>
      </c>
      <c r="F2362" s="3" t="s">
        <v>60</v>
      </c>
      <c r="G2362" s="3" t="s">
        <v>41</v>
      </c>
      <c r="H2362" s="3" t="s">
        <v>42</v>
      </c>
      <c r="I2362" s="3" t="s">
        <v>529</v>
      </c>
      <c r="J2362" s="3" t="s">
        <v>154</v>
      </c>
      <c r="K2362" s="3">
        <v>1</v>
      </c>
      <c r="L2362" s="3">
        <v>49227.59</v>
      </c>
      <c r="M2362" s="3">
        <v>49227.59</v>
      </c>
      <c r="N2362" s="3">
        <v>33929.19</v>
      </c>
      <c r="O2362" s="3">
        <v>15298.4</v>
      </c>
      <c r="P2362" s="3" t="s">
        <v>86</v>
      </c>
    </row>
    <row r="2363" spans="1:16" x14ac:dyDescent="0.35">
      <c r="A2363" s="3" t="s">
        <v>3725</v>
      </c>
      <c r="B2363" s="3" t="s">
        <v>435</v>
      </c>
      <c r="C2363" s="3" t="s">
        <v>18</v>
      </c>
      <c r="D2363" s="3" t="s">
        <v>58</v>
      </c>
      <c r="E2363" s="3" t="s">
        <v>176</v>
      </c>
      <c r="F2363" s="3" t="s">
        <v>177</v>
      </c>
      <c r="G2363" s="3" t="s">
        <v>51</v>
      </c>
      <c r="H2363" s="3" t="s">
        <v>77</v>
      </c>
      <c r="I2363" s="3" t="s">
        <v>1605</v>
      </c>
      <c r="J2363" s="3" t="s">
        <v>25</v>
      </c>
      <c r="K2363" s="3">
        <v>8</v>
      </c>
      <c r="L2363" s="3">
        <v>12762.57</v>
      </c>
      <c r="M2363" s="3">
        <v>102100.56</v>
      </c>
      <c r="N2363" s="3">
        <v>70315.34</v>
      </c>
      <c r="O2363" s="3">
        <v>31785.22</v>
      </c>
      <c r="P2363" s="3" t="s">
        <v>34</v>
      </c>
    </row>
    <row r="2364" spans="1:16" x14ac:dyDescent="0.35">
      <c r="A2364" s="3" t="s">
        <v>3726</v>
      </c>
      <c r="B2364" s="3" t="s">
        <v>2227</v>
      </c>
      <c r="C2364" s="3" t="s">
        <v>72</v>
      </c>
      <c r="D2364" s="3" t="s">
        <v>19</v>
      </c>
      <c r="E2364" s="3" t="s">
        <v>199</v>
      </c>
      <c r="F2364" s="3" t="s">
        <v>200</v>
      </c>
      <c r="G2364" s="3" t="s">
        <v>22</v>
      </c>
      <c r="H2364" s="3" t="s">
        <v>23</v>
      </c>
      <c r="I2364" s="3" t="s">
        <v>1713</v>
      </c>
      <c r="J2364" s="3" t="s">
        <v>100</v>
      </c>
      <c r="K2364" s="3">
        <v>3</v>
      </c>
      <c r="L2364" s="3">
        <v>3372.34</v>
      </c>
      <c r="M2364" s="3">
        <v>10117.02</v>
      </c>
      <c r="N2364" s="3">
        <v>6432.96</v>
      </c>
      <c r="O2364" s="3">
        <v>3684.06</v>
      </c>
      <c r="P2364" s="3" t="s">
        <v>26</v>
      </c>
    </row>
    <row r="2365" spans="1:16" x14ac:dyDescent="0.35">
      <c r="A2365" s="3" t="s">
        <v>3727</v>
      </c>
      <c r="B2365" s="3" t="s">
        <v>2801</v>
      </c>
      <c r="C2365" s="3" t="s">
        <v>29</v>
      </c>
      <c r="D2365" s="3" t="s">
        <v>19</v>
      </c>
      <c r="E2365" s="3" t="s">
        <v>199</v>
      </c>
      <c r="F2365" s="3" t="s">
        <v>200</v>
      </c>
      <c r="G2365" s="3" t="s">
        <v>22</v>
      </c>
      <c r="H2365" s="3" t="s">
        <v>83</v>
      </c>
      <c r="I2365" s="3" t="s">
        <v>2242</v>
      </c>
      <c r="J2365" s="3" t="s">
        <v>25</v>
      </c>
      <c r="K2365" s="3">
        <v>3</v>
      </c>
      <c r="L2365" s="3">
        <v>22598.22</v>
      </c>
      <c r="M2365" s="3">
        <v>67794.66</v>
      </c>
      <c r="N2365" s="3">
        <v>51541.43</v>
      </c>
      <c r="O2365" s="3">
        <v>16253.23</v>
      </c>
      <c r="P2365" s="3" t="s">
        <v>45</v>
      </c>
    </row>
    <row r="2366" spans="1:16" x14ac:dyDescent="0.35">
      <c r="A2366" s="3" t="s">
        <v>3728</v>
      </c>
      <c r="B2366" s="3" t="s">
        <v>1125</v>
      </c>
      <c r="C2366" s="3" t="s">
        <v>57</v>
      </c>
      <c r="D2366" s="3" t="s">
        <v>90</v>
      </c>
      <c r="E2366" s="3" t="s">
        <v>91</v>
      </c>
      <c r="F2366" s="3" t="s">
        <v>92</v>
      </c>
      <c r="G2366" s="3" t="s">
        <v>51</v>
      </c>
      <c r="H2366" s="3" t="s">
        <v>145</v>
      </c>
      <c r="I2366" s="3" t="s">
        <v>1227</v>
      </c>
      <c r="J2366" s="3" t="s">
        <v>100</v>
      </c>
      <c r="K2366" s="3">
        <v>5</v>
      </c>
      <c r="L2366" s="3">
        <v>124.81</v>
      </c>
      <c r="M2366" s="3">
        <v>624.04999999999995</v>
      </c>
      <c r="N2366" s="3">
        <v>287.64</v>
      </c>
      <c r="O2366" s="3">
        <v>336.41</v>
      </c>
      <c r="P2366" s="3" t="s">
        <v>86</v>
      </c>
    </row>
    <row r="2367" spans="1:16" x14ac:dyDescent="0.35">
      <c r="A2367" s="3" t="s">
        <v>3729</v>
      </c>
      <c r="B2367" s="3" t="s">
        <v>206</v>
      </c>
      <c r="C2367" s="3" t="s">
        <v>137</v>
      </c>
      <c r="D2367" s="3" t="s">
        <v>38</v>
      </c>
      <c r="E2367" s="3" t="s">
        <v>104</v>
      </c>
      <c r="F2367" s="3" t="s">
        <v>104</v>
      </c>
      <c r="G2367" s="3" t="s">
        <v>41</v>
      </c>
      <c r="H2367" s="3" t="s">
        <v>42</v>
      </c>
      <c r="I2367" s="3" t="s">
        <v>1834</v>
      </c>
      <c r="J2367" s="3" t="s">
        <v>85</v>
      </c>
      <c r="K2367" s="3">
        <v>4</v>
      </c>
      <c r="L2367" s="3">
        <v>41964.23</v>
      </c>
      <c r="M2367" s="3">
        <v>167856.92</v>
      </c>
      <c r="N2367" s="3">
        <v>146340.97</v>
      </c>
      <c r="O2367" s="3">
        <v>21515.95</v>
      </c>
      <c r="P2367" s="3" t="s">
        <v>34</v>
      </c>
    </row>
    <row r="2368" spans="1:16" x14ac:dyDescent="0.35">
      <c r="A2368" s="3" t="s">
        <v>3730</v>
      </c>
      <c r="B2368" s="3" t="s">
        <v>2227</v>
      </c>
      <c r="C2368" s="3" t="s">
        <v>72</v>
      </c>
      <c r="D2368" s="3" t="s">
        <v>90</v>
      </c>
      <c r="E2368" s="3" t="s">
        <v>91</v>
      </c>
      <c r="F2368" s="3" t="s">
        <v>92</v>
      </c>
      <c r="G2368" s="3" t="s">
        <v>51</v>
      </c>
      <c r="H2368" s="3" t="s">
        <v>52</v>
      </c>
      <c r="I2368" s="3" t="s">
        <v>3103</v>
      </c>
      <c r="J2368" s="3" t="s">
        <v>79</v>
      </c>
      <c r="K2368" s="3">
        <v>5</v>
      </c>
      <c r="L2368" s="3">
        <v>24.18</v>
      </c>
      <c r="M2368" s="3">
        <v>120.9</v>
      </c>
      <c r="N2368" s="3">
        <v>49.08</v>
      </c>
      <c r="O2368" s="3">
        <v>71.819999999999993</v>
      </c>
      <c r="P2368" s="3" t="s">
        <v>45</v>
      </c>
    </row>
    <row r="2369" spans="1:16" x14ac:dyDescent="0.35">
      <c r="A2369" s="3" t="s">
        <v>3731</v>
      </c>
      <c r="B2369" s="3" t="s">
        <v>669</v>
      </c>
      <c r="C2369" s="3" t="s">
        <v>57</v>
      </c>
      <c r="D2369" s="3" t="s">
        <v>58</v>
      </c>
      <c r="E2369" s="3" t="s">
        <v>176</v>
      </c>
      <c r="F2369" s="3" t="s">
        <v>177</v>
      </c>
      <c r="G2369" s="3" t="s">
        <v>51</v>
      </c>
      <c r="H2369" s="3" t="s">
        <v>145</v>
      </c>
      <c r="I2369" s="3" t="s">
        <v>1640</v>
      </c>
      <c r="J2369" s="3" t="s">
        <v>217</v>
      </c>
      <c r="K2369" s="3">
        <v>3</v>
      </c>
      <c r="L2369" s="3">
        <v>120.28</v>
      </c>
      <c r="M2369" s="3">
        <v>360.84</v>
      </c>
      <c r="N2369" s="3">
        <v>182.74</v>
      </c>
      <c r="O2369" s="3">
        <v>178.1</v>
      </c>
      <c r="P2369" s="3" t="s">
        <v>86</v>
      </c>
    </row>
    <row r="2370" spans="1:16" x14ac:dyDescent="0.35">
      <c r="A2370" s="3" t="s">
        <v>3732</v>
      </c>
      <c r="B2370" s="3" t="s">
        <v>1429</v>
      </c>
      <c r="C2370" s="3" t="s">
        <v>89</v>
      </c>
      <c r="D2370" s="3" t="s">
        <v>58</v>
      </c>
      <c r="E2370" s="3" t="s">
        <v>65</v>
      </c>
      <c r="F2370" s="3" t="s">
        <v>66</v>
      </c>
      <c r="G2370" s="3" t="s">
        <v>22</v>
      </c>
      <c r="H2370" s="3" t="s">
        <v>83</v>
      </c>
      <c r="I2370" s="3" t="s">
        <v>2882</v>
      </c>
      <c r="J2370" s="3" t="s">
        <v>79</v>
      </c>
      <c r="K2370" s="3">
        <v>3</v>
      </c>
      <c r="L2370" s="3">
        <v>23828.74</v>
      </c>
      <c r="M2370" s="3">
        <v>71486.22</v>
      </c>
      <c r="N2370" s="3">
        <v>49796.15</v>
      </c>
      <c r="O2370" s="3">
        <v>21690.07</v>
      </c>
      <c r="P2370" s="3" t="s">
        <v>45</v>
      </c>
    </row>
    <row r="2371" spans="1:16" x14ac:dyDescent="0.35">
      <c r="A2371" s="3" t="s">
        <v>3733</v>
      </c>
      <c r="B2371" s="3" t="s">
        <v>847</v>
      </c>
      <c r="C2371" s="3" t="s">
        <v>89</v>
      </c>
      <c r="D2371" s="3" t="s">
        <v>58</v>
      </c>
      <c r="E2371" s="3" t="s">
        <v>65</v>
      </c>
      <c r="F2371" s="3" t="s">
        <v>66</v>
      </c>
      <c r="G2371" s="3" t="s">
        <v>41</v>
      </c>
      <c r="H2371" s="3" t="s">
        <v>42</v>
      </c>
      <c r="I2371" s="3" t="s">
        <v>2601</v>
      </c>
      <c r="J2371" s="3" t="s">
        <v>85</v>
      </c>
      <c r="K2371" s="3">
        <v>7</v>
      </c>
      <c r="L2371" s="3">
        <v>41817.370000000003</v>
      </c>
      <c r="M2371" s="3">
        <v>292721.59000000003</v>
      </c>
      <c r="N2371" s="3">
        <v>243350.2</v>
      </c>
      <c r="O2371" s="3">
        <v>49371.39</v>
      </c>
      <c r="P2371" s="3" t="s">
        <v>34</v>
      </c>
    </row>
    <row r="2372" spans="1:16" x14ac:dyDescent="0.35">
      <c r="A2372" s="3" t="s">
        <v>3734</v>
      </c>
      <c r="B2372" s="3" t="s">
        <v>225</v>
      </c>
      <c r="C2372" s="3" t="s">
        <v>89</v>
      </c>
      <c r="D2372" s="3" t="s">
        <v>90</v>
      </c>
      <c r="E2372" s="3" t="s">
        <v>119</v>
      </c>
      <c r="F2372" s="3" t="s">
        <v>120</v>
      </c>
      <c r="G2372" s="3" t="s">
        <v>51</v>
      </c>
      <c r="H2372" s="3" t="s">
        <v>77</v>
      </c>
      <c r="I2372" s="3" t="s">
        <v>226</v>
      </c>
      <c r="J2372" s="3" t="s">
        <v>188</v>
      </c>
      <c r="K2372" s="3">
        <v>8</v>
      </c>
      <c r="L2372" s="3">
        <v>12736.61</v>
      </c>
      <c r="M2372" s="3">
        <v>101892.88</v>
      </c>
      <c r="N2372" s="3">
        <v>68510.179999999993</v>
      </c>
      <c r="O2372" s="3">
        <v>33382.699999999997</v>
      </c>
      <c r="P2372" s="3" t="s">
        <v>26</v>
      </c>
    </row>
    <row r="2373" spans="1:16" x14ac:dyDescent="0.35">
      <c r="A2373" s="3" t="s">
        <v>3735</v>
      </c>
      <c r="B2373" s="3" t="s">
        <v>387</v>
      </c>
      <c r="C2373" s="3" t="s">
        <v>82</v>
      </c>
      <c r="D2373" s="3" t="s">
        <v>58</v>
      </c>
      <c r="E2373" s="3" t="s">
        <v>176</v>
      </c>
      <c r="F2373" s="3" t="s">
        <v>177</v>
      </c>
      <c r="G2373" s="3" t="s">
        <v>51</v>
      </c>
      <c r="H2373" s="3" t="s">
        <v>52</v>
      </c>
      <c r="I2373" s="3" t="s">
        <v>1264</v>
      </c>
      <c r="J2373" s="3" t="s">
        <v>85</v>
      </c>
      <c r="K2373" s="3">
        <v>2</v>
      </c>
      <c r="L2373" s="3">
        <v>26.72</v>
      </c>
      <c r="M2373" s="3">
        <v>53.44</v>
      </c>
      <c r="N2373" s="3">
        <v>19.34</v>
      </c>
      <c r="O2373" s="3">
        <v>34.1</v>
      </c>
      <c r="P2373" s="3" t="s">
        <v>26</v>
      </c>
    </row>
    <row r="2374" spans="1:16" x14ac:dyDescent="0.35">
      <c r="A2374" s="3" t="s">
        <v>3736</v>
      </c>
      <c r="B2374" s="3" t="s">
        <v>672</v>
      </c>
      <c r="C2374" s="3" t="s">
        <v>118</v>
      </c>
      <c r="D2374" s="3" t="s">
        <v>38</v>
      </c>
      <c r="E2374" s="3" t="s">
        <v>39</v>
      </c>
      <c r="F2374" s="3" t="s">
        <v>40</v>
      </c>
      <c r="G2374" s="3" t="s">
        <v>30</v>
      </c>
      <c r="H2374" s="3" t="s">
        <v>67</v>
      </c>
      <c r="I2374" s="3" t="s">
        <v>1080</v>
      </c>
      <c r="J2374" s="3" t="s">
        <v>25</v>
      </c>
      <c r="K2374" s="3">
        <v>5</v>
      </c>
      <c r="L2374" s="3">
        <v>9061.14</v>
      </c>
      <c r="M2374" s="3">
        <v>45305.7</v>
      </c>
      <c r="N2374" s="3">
        <v>36173.19</v>
      </c>
      <c r="O2374" s="3">
        <v>9132.51</v>
      </c>
      <c r="P2374" s="3" t="s">
        <v>69</v>
      </c>
    </row>
    <row r="2375" spans="1:16" x14ac:dyDescent="0.35">
      <c r="A2375" s="3" t="s">
        <v>3737</v>
      </c>
      <c r="B2375" s="3" t="s">
        <v>381</v>
      </c>
      <c r="C2375" s="3" t="s">
        <v>18</v>
      </c>
      <c r="D2375" s="3" t="s">
        <v>58</v>
      </c>
      <c r="E2375" s="3" t="s">
        <v>59</v>
      </c>
      <c r="F2375" s="3" t="s">
        <v>60</v>
      </c>
      <c r="G2375" s="3" t="s">
        <v>22</v>
      </c>
      <c r="H2375" s="3" t="s">
        <v>23</v>
      </c>
      <c r="I2375" s="3" t="s">
        <v>1073</v>
      </c>
      <c r="J2375" s="3" t="s">
        <v>44</v>
      </c>
      <c r="K2375" s="3">
        <v>5</v>
      </c>
      <c r="L2375" s="3">
        <v>3589.8</v>
      </c>
      <c r="M2375" s="3">
        <v>17949</v>
      </c>
      <c r="N2375" s="3">
        <v>10897.88</v>
      </c>
      <c r="O2375" s="3">
        <v>7051.12</v>
      </c>
      <c r="P2375" s="3" t="s">
        <v>69</v>
      </c>
    </row>
    <row r="2376" spans="1:16" x14ac:dyDescent="0.35">
      <c r="A2376" s="3" t="s">
        <v>3738</v>
      </c>
      <c r="B2376" s="3" t="s">
        <v>531</v>
      </c>
      <c r="C2376" s="3" t="s">
        <v>137</v>
      </c>
      <c r="D2376" s="3" t="s">
        <v>19</v>
      </c>
      <c r="E2376" s="3" t="s">
        <v>49</v>
      </c>
      <c r="F2376" s="3" t="s">
        <v>50</v>
      </c>
      <c r="G2376" s="3" t="s">
        <v>22</v>
      </c>
      <c r="H2376" s="3" t="s">
        <v>93</v>
      </c>
      <c r="I2376" s="3" t="s">
        <v>1512</v>
      </c>
      <c r="J2376" s="3" t="s">
        <v>100</v>
      </c>
      <c r="K2376" s="3">
        <v>5</v>
      </c>
      <c r="L2376" s="3">
        <v>6727.06</v>
      </c>
      <c r="M2376" s="3">
        <v>33635.300000000003</v>
      </c>
      <c r="N2376" s="3">
        <v>25552.35</v>
      </c>
      <c r="O2376" s="3">
        <v>8082.95</v>
      </c>
      <c r="P2376" s="3" t="s">
        <v>34</v>
      </c>
    </row>
    <row r="2377" spans="1:16" x14ac:dyDescent="0.35">
      <c r="A2377" s="3" t="s">
        <v>3739</v>
      </c>
      <c r="B2377" s="3" t="s">
        <v>260</v>
      </c>
      <c r="C2377" s="3" t="s">
        <v>37</v>
      </c>
      <c r="D2377" s="3" t="s">
        <v>58</v>
      </c>
      <c r="E2377" s="3" t="s">
        <v>176</v>
      </c>
      <c r="F2377" s="3" t="s">
        <v>177</v>
      </c>
      <c r="G2377" s="3" t="s">
        <v>51</v>
      </c>
      <c r="H2377" s="3" t="s">
        <v>52</v>
      </c>
      <c r="I2377" s="3" t="s">
        <v>584</v>
      </c>
      <c r="J2377" s="3" t="s">
        <v>161</v>
      </c>
      <c r="K2377" s="3">
        <v>3</v>
      </c>
      <c r="L2377" s="3">
        <v>24.62</v>
      </c>
      <c r="M2377" s="3">
        <v>73.86</v>
      </c>
      <c r="N2377" s="3">
        <v>28.94</v>
      </c>
      <c r="O2377" s="3">
        <v>44.92</v>
      </c>
      <c r="P2377" s="3" t="s">
        <v>26</v>
      </c>
    </row>
    <row r="2378" spans="1:16" x14ac:dyDescent="0.35">
      <c r="A2378" s="3" t="s">
        <v>3740</v>
      </c>
      <c r="B2378" s="3" t="s">
        <v>291</v>
      </c>
      <c r="C2378" s="3" t="s">
        <v>48</v>
      </c>
      <c r="D2378" s="3" t="s">
        <v>58</v>
      </c>
      <c r="E2378" s="3" t="s">
        <v>176</v>
      </c>
      <c r="F2378" s="3" t="s">
        <v>177</v>
      </c>
      <c r="G2378" s="3" t="s">
        <v>30</v>
      </c>
      <c r="H2378" s="3" t="s">
        <v>73</v>
      </c>
      <c r="I2378" s="3" t="s">
        <v>2090</v>
      </c>
      <c r="J2378" s="3" t="s">
        <v>106</v>
      </c>
      <c r="K2378" s="3">
        <v>6</v>
      </c>
      <c r="L2378" s="3">
        <v>3500.88</v>
      </c>
      <c r="M2378" s="3">
        <v>21005.279999999999</v>
      </c>
      <c r="N2378" s="3">
        <v>14398.43</v>
      </c>
      <c r="O2378" s="3">
        <v>6606.85</v>
      </c>
      <c r="P2378" s="3" t="s">
        <v>86</v>
      </c>
    </row>
    <row r="2379" spans="1:16" x14ac:dyDescent="0.35">
      <c r="A2379" s="3" t="s">
        <v>3741</v>
      </c>
      <c r="B2379" s="3" t="s">
        <v>770</v>
      </c>
      <c r="C2379" s="3" t="s">
        <v>72</v>
      </c>
      <c r="D2379" s="3" t="s">
        <v>19</v>
      </c>
      <c r="E2379" s="3" t="s">
        <v>49</v>
      </c>
      <c r="F2379" s="3" t="s">
        <v>50</v>
      </c>
      <c r="G2379" s="3" t="s">
        <v>41</v>
      </c>
      <c r="H2379" s="3" t="s">
        <v>138</v>
      </c>
      <c r="I2379" s="3" t="s">
        <v>532</v>
      </c>
      <c r="J2379" s="3" t="s">
        <v>79</v>
      </c>
      <c r="K2379" s="3">
        <v>7</v>
      </c>
      <c r="L2379" s="3">
        <v>19696.310000000001</v>
      </c>
      <c r="M2379" s="3">
        <v>137874.17000000001</v>
      </c>
      <c r="N2379" s="3">
        <v>94241.55</v>
      </c>
      <c r="O2379" s="3">
        <v>43632.62</v>
      </c>
      <c r="P2379" s="3" t="s">
        <v>69</v>
      </c>
    </row>
    <row r="2380" spans="1:16" x14ac:dyDescent="0.35">
      <c r="A2380" s="3" t="s">
        <v>3742</v>
      </c>
      <c r="B2380" s="3" t="s">
        <v>752</v>
      </c>
      <c r="C2380" s="3" t="s">
        <v>29</v>
      </c>
      <c r="D2380" s="3" t="s">
        <v>90</v>
      </c>
      <c r="E2380" s="3" t="s">
        <v>91</v>
      </c>
      <c r="F2380" s="3" t="s">
        <v>92</v>
      </c>
      <c r="G2380" s="3" t="s">
        <v>51</v>
      </c>
      <c r="H2380" s="3" t="s">
        <v>145</v>
      </c>
      <c r="I2380" s="3" t="s">
        <v>2128</v>
      </c>
      <c r="J2380" s="3" t="s">
        <v>79</v>
      </c>
      <c r="K2380" s="3">
        <v>1</v>
      </c>
      <c r="L2380" s="3">
        <v>122.98</v>
      </c>
      <c r="M2380" s="3">
        <v>122.98</v>
      </c>
      <c r="N2380" s="3">
        <v>61.39</v>
      </c>
      <c r="O2380" s="3">
        <v>61.59</v>
      </c>
      <c r="P2380" s="3" t="s">
        <v>69</v>
      </c>
    </row>
    <row r="2381" spans="1:16" x14ac:dyDescent="0.35">
      <c r="A2381" s="3" t="s">
        <v>3743</v>
      </c>
      <c r="B2381" s="3" t="s">
        <v>1552</v>
      </c>
      <c r="C2381" s="3" t="s">
        <v>114</v>
      </c>
      <c r="D2381" s="3" t="s">
        <v>90</v>
      </c>
      <c r="E2381" s="3" t="s">
        <v>119</v>
      </c>
      <c r="F2381" s="3" t="s">
        <v>120</v>
      </c>
      <c r="G2381" s="3" t="s">
        <v>22</v>
      </c>
      <c r="H2381" s="3" t="s">
        <v>93</v>
      </c>
      <c r="I2381" s="3" t="s">
        <v>780</v>
      </c>
      <c r="J2381" s="3" t="s">
        <v>79</v>
      </c>
      <c r="K2381" s="3">
        <v>7</v>
      </c>
      <c r="L2381" s="3">
        <v>6907.18</v>
      </c>
      <c r="M2381" s="3">
        <v>48350.26</v>
      </c>
      <c r="N2381" s="3">
        <v>35573.29</v>
      </c>
      <c r="O2381" s="3">
        <v>12776.97</v>
      </c>
      <c r="P2381" s="3" t="s">
        <v>26</v>
      </c>
    </row>
    <row r="2382" spans="1:16" x14ac:dyDescent="0.35">
      <c r="A2382" s="3" t="s">
        <v>3744</v>
      </c>
      <c r="B2382" s="3" t="s">
        <v>534</v>
      </c>
      <c r="C2382" s="3" t="s">
        <v>29</v>
      </c>
      <c r="D2382" s="3" t="s">
        <v>58</v>
      </c>
      <c r="E2382" s="3" t="s">
        <v>176</v>
      </c>
      <c r="F2382" s="3" t="s">
        <v>177</v>
      </c>
      <c r="G2382" s="3" t="s">
        <v>41</v>
      </c>
      <c r="H2382" s="3" t="s">
        <v>42</v>
      </c>
      <c r="I2382" s="3" t="s">
        <v>2829</v>
      </c>
      <c r="J2382" s="3" t="s">
        <v>54</v>
      </c>
      <c r="K2382" s="3">
        <v>5</v>
      </c>
      <c r="L2382" s="3">
        <v>45973.85</v>
      </c>
      <c r="M2382" s="3">
        <v>229869.25</v>
      </c>
      <c r="N2382" s="3">
        <v>169252.17</v>
      </c>
      <c r="O2382" s="3">
        <v>60617.08</v>
      </c>
      <c r="P2382" s="3" t="s">
        <v>86</v>
      </c>
    </row>
    <row r="2383" spans="1:16" x14ac:dyDescent="0.35">
      <c r="A2383" s="3" t="s">
        <v>3745</v>
      </c>
      <c r="B2383" s="3" t="s">
        <v>1499</v>
      </c>
      <c r="C2383" s="3" t="s">
        <v>103</v>
      </c>
      <c r="D2383" s="3" t="s">
        <v>19</v>
      </c>
      <c r="E2383" s="3" t="s">
        <v>49</v>
      </c>
      <c r="F2383" s="3" t="s">
        <v>50</v>
      </c>
      <c r="G2383" s="3" t="s">
        <v>22</v>
      </c>
      <c r="H2383" s="3" t="s">
        <v>83</v>
      </c>
      <c r="I2383" s="3" t="s">
        <v>3501</v>
      </c>
      <c r="J2383" s="3" t="s">
        <v>188</v>
      </c>
      <c r="K2383" s="3">
        <v>2</v>
      </c>
      <c r="L2383" s="3">
        <v>23804.93</v>
      </c>
      <c r="M2383" s="3">
        <v>47609.86</v>
      </c>
      <c r="N2383" s="3">
        <v>32673.15</v>
      </c>
      <c r="O2383" s="3">
        <v>14936.71</v>
      </c>
      <c r="P2383" s="3" t="s">
        <v>45</v>
      </c>
    </row>
    <row r="2384" spans="1:16" x14ac:dyDescent="0.35">
      <c r="A2384" s="3" t="s">
        <v>3746</v>
      </c>
      <c r="B2384" s="3" t="s">
        <v>738</v>
      </c>
      <c r="C2384" s="3" t="s">
        <v>114</v>
      </c>
      <c r="D2384" s="3" t="s">
        <v>90</v>
      </c>
      <c r="E2384" s="3" t="s">
        <v>97</v>
      </c>
      <c r="F2384" s="3" t="s">
        <v>98</v>
      </c>
      <c r="G2384" s="3" t="s">
        <v>22</v>
      </c>
      <c r="H2384" s="3" t="s">
        <v>23</v>
      </c>
      <c r="I2384" s="3" t="s">
        <v>2661</v>
      </c>
      <c r="J2384" s="3" t="s">
        <v>79</v>
      </c>
      <c r="K2384" s="3">
        <v>7</v>
      </c>
      <c r="L2384" s="3">
        <v>3329.16</v>
      </c>
      <c r="M2384" s="3">
        <v>23304.12</v>
      </c>
      <c r="N2384" s="3">
        <v>16072.97</v>
      </c>
      <c r="O2384" s="3">
        <v>7231.15</v>
      </c>
      <c r="P2384" s="3" t="s">
        <v>69</v>
      </c>
    </row>
    <row r="2385" spans="1:16" x14ac:dyDescent="0.35">
      <c r="A2385" s="3" t="s">
        <v>3747</v>
      </c>
      <c r="B2385" s="3" t="s">
        <v>468</v>
      </c>
      <c r="C2385" s="3" t="s">
        <v>82</v>
      </c>
      <c r="D2385" s="3" t="s">
        <v>90</v>
      </c>
      <c r="E2385" s="3" t="s">
        <v>97</v>
      </c>
      <c r="F2385" s="3" t="s">
        <v>98</v>
      </c>
      <c r="G2385" s="3" t="s">
        <v>22</v>
      </c>
      <c r="H2385" s="3" t="s">
        <v>83</v>
      </c>
      <c r="I2385" s="3" t="s">
        <v>3002</v>
      </c>
      <c r="J2385" s="3" t="s">
        <v>188</v>
      </c>
      <c r="K2385" s="3">
        <v>5</v>
      </c>
      <c r="L2385" s="3">
        <v>21824.36</v>
      </c>
      <c r="M2385" s="3">
        <v>109121.8</v>
      </c>
      <c r="N2385" s="3">
        <v>84334.24</v>
      </c>
      <c r="O2385" s="3">
        <v>24787.56</v>
      </c>
      <c r="P2385" s="3" t="s">
        <v>86</v>
      </c>
    </row>
    <row r="2386" spans="1:16" x14ac:dyDescent="0.35">
      <c r="A2386" s="3" t="s">
        <v>3748</v>
      </c>
      <c r="B2386" s="3" t="s">
        <v>478</v>
      </c>
      <c r="C2386" s="3" t="s">
        <v>82</v>
      </c>
      <c r="D2386" s="3" t="s">
        <v>90</v>
      </c>
      <c r="E2386" s="3" t="s">
        <v>119</v>
      </c>
      <c r="F2386" s="3" t="s">
        <v>120</v>
      </c>
      <c r="G2386" s="3" t="s">
        <v>51</v>
      </c>
      <c r="H2386" s="3" t="s">
        <v>145</v>
      </c>
      <c r="I2386" s="3" t="s">
        <v>2283</v>
      </c>
      <c r="J2386" s="3" t="s">
        <v>188</v>
      </c>
      <c r="K2386" s="3">
        <v>6</v>
      </c>
      <c r="L2386" s="3">
        <v>130.93</v>
      </c>
      <c r="M2386" s="3">
        <v>785.58</v>
      </c>
      <c r="N2386" s="3">
        <v>355.68</v>
      </c>
      <c r="O2386" s="3">
        <v>429.9</v>
      </c>
      <c r="P2386" s="3" t="s">
        <v>45</v>
      </c>
    </row>
    <row r="2387" spans="1:16" x14ac:dyDescent="0.35">
      <c r="A2387" s="3" t="s">
        <v>3749</v>
      </c>
      <c r="B2387" s="3" t="s">
        <v>327</v>
      </c>
      <c r="C2387" s="3" t="s">
        <v>48</v>
      </c>
      <c r="D2387" s="3" t="s">
        <v>19</v>
      </c>
      <c r="E2387" s="3" t="s">
        <v>49</v>
      </c>
      <c r="F2387" s="3" t="s">
        <v>50</v>
      </c>
      <c r="G2387" s="3" t="s">
        <v>30</v>
      </c>
      <c r="H2387" s="3" t="s">
        <v>67</v>
      </c>
      <c r="I2387" s="3" t="s">
        <v>2052</v>
      </c>
      <c r="J2387" s="3" t="s">
        <v>161</v>
      </c>
      <c r="K2387" s="3">
        <v>1</v>
      </c>
      <c r="L2387" s="3">
        <v>10251.65</v>
      </c>
      <c r="M2387" s="3">
        <v>10251.65</v>
      </c>
      <c r="N2387" s="3">
        <v>7297.05</v>
      </c>
      <c r="O2387" s="3">
        <v>2954.6</v>
      </c>
      <c r="P2387" s="3" t="s">
        <v>69</v>
      </c>
    </row>
    <row r="2388" spans="1:16" x14ac:dyDescent="0.35">
      <c r="A2388" s="3" t="s">
        <v>3750</v>
      </c>
      <c r="B2388" s="3" t="s">
        <v>245</v>
      </c>
      <c r="C2388" s="3" t="s">
        <v>29</v>
      </c>
      <c r="D2388" s="3" t="s">
        <v>19</v>
      </c>
      <c r="E2388" s="3" t="s">
        <v>199</v>
      </c>
      <c r="F2388" s="3" t="s">
        <v>200</v>
      </c>
      <c r="G2388" s="3" t="s">
        <v>51</v>
      </c>
      <c r="H2388" s="3" t="s">
        <v>145</v>
      </c>
      <c r="I2388" s="3" t="s">
        <v>1481</v>
      </c>
      <c r="J2388" s="3" t="s">
        <v>188</v>
      </c>
      <c r="K2388" s="3">
        <v>8</v>
      </c>
      <c r="L2388" s="3">
        <v>108.56</v>
      </c>
      <c r="M2388" s="3">
        <v>868.48</v>
      </c>
      <c r="N2388" s="3">
        <v>489.39</v>
      </c>
      <c r="O2388" s="3">
        <v>379.09</v>
      </c>
      <c r="P2388" s="3" t="s">
        <v>69</v>
      </c>
    </row>
    <row r="2389" spans="1:16" x14ac:dyDescent="0.35">
      <c r="A2389" s="3" t="s">
        <v>3751</v>
      </c>
      <c r="B2389" s="3" t="s">
        <v>1612</v>
      </c>
      <c r="C2389" s="3" t="s">
        <v>48</v>
      </c>
      <c r="D2389" s="3" t="s">
        <v>19</v>
      </c>
      <c r="E2389" s="3" t="s">
        <v>20</v>
      </c>
      <c r="F2389" s="3" t="s">
        <v>21</v>
      </c>
      <c r="G2389" s="3" t="s">
        <v>30</v>
      </c>
      <c r="H2389" s="3" t="s">
        <v>31</v>
      </c>
      <c r="I2389" s="3" t="s">
        <v>983</v>
      </c>
      <c r="J2389" s="3" t="s">
        <v>217</v>
      </c>
      <c r="K2389" s="3">
        <v>4</v>
      </c>
      <c r="L2389" s="3">
        <v>3057.01</v>
      </c>
      <c r="M2389" s="3">
        <v>12228.04</v>
      </c>
      <c r="N2389" s="3">
        <v>7763.26</v>
      </c>
      <c r="O2389" s="3">
        <v>4464.78</v>
      </c>
      <c r="P2389" s="3" t="s">
        <v>86</v>
      </c>
    </row>
    <row r="2390" spans="1:16" x14ac:dyDescent="0.35">
      <c r="A2390" s="3" t="s">
        <v>3752</v>
      </c>
      <c r="B2390" s="3" t="s">
        <v>417</v>
      </c>
      <c r="C2390" s="3" t="s">
        <v>37</v>
      </c>
      <c r="D2390" s="3" t="s">
        <v>19</v>
      </c>
      <c r="E2390" s="3" t="s">
        <v>49</v>
      </c>
      <c r="F2390" s="3" t="s">
        <v>50</v>
      </c>
      <c r="G2390" s="3" t="s">
        <v>22</v>
      </c>
      <c r="H2390" s="3" t="s">
        <v>23</v>
      </c>
      <c r="I2390" s="3" t="s">
        <v>3260</v>
      </c>
      <c r="J2390" s="3" t="s">
        <v>106</v>
      </c>
      <c r="K2390" s="3">
        <v>8</v>
      </c>
      <c r="L2390" s="3">
        <v>3780.86</v>
      </c>
      <c r="M2390" s="3">
        <v>30246.880000000001</v>
      </c>
      <c r="N2390" s="3">
        <v>17198.36</v>
      </c>
      <c r="O2390" s="3">
        <v>13048.52</v>
      </c>
      <c r="P2390" s="3" t="s">
        <v>34</v>
      </c>
    </row>
    <row r="2391" spans="1:16" x14ac:dyDescent="0.35">
      <c r="A2391" s="3" t="s">
        <v>3753</v>
      </c>
      <c r="B2391" s="3" t="s">
        <v>361</v>
      </c>
      <c r="C2391" s="3" t="s">
        <v>137</v>
      </c>
      <c r="D2391" s="3" t="s">
        <v>90</v>
      </c>
      <c r="E2391" s="3" t="s">
        <v>119</v>
      </c>
      <c r="F2391" s="3" t="s">
        <v>120</v>
      </c>
      <c r="G2391" s="3" t="s">
        <v>51</v>
      </c>
      <c r="H2391" s="3" t="s">
        <v>77</v>
      </c>
      <c r="I2391" s="3" t="s">
        <v>1368</v>
      </c>
      <c r="J2391" s="3" t="s">
        <v>147</v>
      </c>
      <c r="K2391" s="3">
        <v>1</v>
      </c>
      <c r="L2391" s="3">
        <v>10966.55</v>
      </c>
      <c r="M2391" s="3">
        <v>10966.55</v>
      </c>
      <c r="N2391" s="3">
        <v>9174.56</v>
      </c>
      <c r="O2391" s="3">
        <v>1791.99</v>
      </c>
      <c r="P2391" s="3" t="s">
        <v>69</v>
      </c>
    </row>
    <row r="2392" spans="1:16" x14ac:dyDescent="0.35">
      <c r="A2392" s="3" t="s">
        <v>3754</v>
      </c>
      <c r="B2392" s="3" t="s">
        <v>1216</v>
      </c>
      <c r="C2392" s="3" t="s">
        <v>114</v>
      </c>
      <c r="D2392" s="3" t="s">
        <v>38</v>
      </c>
      <c r="E2392" s="3" t="s">
        <v>109</v>
      </c>
      <c r="F2392" s="3" t="s">
        <v>110</v>
      </c>
      <c r="G2392" s="3" t="s">
        <v>41</v>
      </c>
      <c r="H2392" s="3" t="s">
        <v>42</v>
      </c>
      <c r="I2392" s="3" t="s">
        <v>1573</v>
      </c>
      <c r="J2392" s="3" t="s">
        <v>106</v>
      </c>
      <c r="K2392" s="3">
        <v>2</v>
      </c>
      <c r="L2392" s="3">
        <v>45664.54</v>
      </c>
      <c r="M2392" s="3">
        <v>91329.08</v>
      </c>
      <c r="N2392" s="3">
        <v>68794.77</v>
      </c>
      <c r="O2392" s="3">
        <v>22534.31</v>
      </c>
      <c r="P2392" s="3" t="s">
        <v>69</v>
      </c>
    </row>
    <row r="2393" spans="1:16" x14ac:dyDescent="0.35">
      <c r="A2393" s="3" t="s">
        <v>3755</v>
      </c>
      <c r="B2393" s="3" t="s">
        <v>407</v>
      </c>
      <c r="C2393" s="3" t="s">
        <v>48</v>
      </c>
      <c r="D2393" s="3" t="s">
        <v>90</v>
      </c>
      <c r="E2393" s="3" t="s">
        <v>97</v>
      </c>
      <c r="F2393" s="3" t="s">
        <v>98</v>
      </c>
      <c r="G2393" s="3" t="s">
        <v>22</v>
      </c>
      <c r="H2393" s="3" t="s">
        <v>93</v>
      </c>
      <c r="I2393" s="3" t="s">
        <v>1970</v>
      </c>
      <c r="J2393" s="3" t="s">
        <v>217</v>
      </c>
      <c r="K2393" s="3">
        <v>8</v>
      </c>
      <c r="L2393" s="3">
        <v>7048.72</v>
      </c>
      <c r="M2393" s="3">
        <v>56389.760000000002</v>
      </c>
      <c r="N2393" s="3">
        <v>39812.089999999997</v>
      </c>
      <c r="O2393" s="3">
        <v>16577.669999999998</v>
      </c>
      <c r="P2393" s="3" t="s">
        <v>86</v>
      </c>
    </row>
    <row r="2394" spans="1:16" x14ac:dyDescent="0.35">
      <c r="A2394" s="3" t="s">
        <v>3756</v>
      </c>
      <c r="B2394" s="3" t="s">
        <v>936</v>
      </c>
      <c r="C2394" s="3" t="s">
        <v>89</v>
      </c>
      <c r="D2394" s="3" t="s">
        <v>58</v>
      </c>
      <c r="E2394" s="3" t="s">
        <v>176</v>
      </c>
      <c r="F2394" s="3" t="s">
        <v>177</v>
      </c>
      <c r="G2394" s="3" t="s">
        <v>22</v>
      </c>
      <c r="H2394" s="3" t="s">
        <v>83</v>
      </c>
      <c r="I2394" s="3" t="s">
        <v>1093</v>
      </c>
      <c r="J2394" s="3" t="s">
        <v>85</v>
      </c>
      <c r="K2394" s="3">
        <v>6</v>
      </c>
      <c r="L2394" s="3">
        <v>23001.8</v>
      </c>
      <c r="M2394" s="3">
        <v>138010.79999999999</v>
      </c>
      <c r="N2394" s="3">
        <v>104319.16</v>
      </c>
      <c r="O2394" s="3">
        <v>33691.64</v>
      </c>
      <c r="P2394" s="3" t="s">
        <v>45</v>
      </c>
    </row>
    <row r="2395" spans="1:16" x14ac:dyDescent="0.35">
      <c r="A2395" s="3" t="s">
        <v>3757</v>
      </c>
      <c r="B2395" s="3" t="s">
        <v>361</v>
      </c>
      <c r="C2395" s="3" t="s">
        <v>137</v>
      </c>
      <c r="D2395" s="3" t="s">
        <v>58</v>
      </c>
      <c r="E2395" s="3" t="s">
        <v>65</v>
      </c>
      <c r="F2395" s="3" t="s">
        <v>66</v>
      </c>
      <c r="G2395" s="3" t="s">
        <v>51</v>
      </c>
      <c r="H2395" s="3" t="s">
        <v>145</v>
      </c>
      <c r="I2395" s="3" t="s">
        <v>1258</v>
      </c>
      <c r="J2395" s="3" t="s">
        <v>106</v>
      </c>
      <c r="K2395" s="3">
        <v>8</v>
      </c>
      <c r="L2395" s="3">
        <v>114.65</v>
      </c>
      <c r="M2395" s="3">
        <v>917.2</v>
      </c>
      <c r="N2395" s="3">
        <v>490.39</v>
      </c>
      <c r="O2395" s="3">
        <v>426.81</v>
      </c>
      <c r="P2395" s="3" t="s">
        <v>69</v>
      </c>
    </row>
    <row r="2396" spans="1:16" x14ac:dyDescent="0.35">
      <c r="A2396" s="3" t="s">
        <v>3758</v>
      </c>
      <c r="B2396" s="3" t="s">
        <v>2222</v>
      </c>
      <c r="C2396" s="3" t="s">
        <v>89</v>
      </c>
      <c r="D2396" s="3" t="s">
        <v>58</v>
      </c>
      <c r="E2396" s="3" t="s">
        <v>176</v>
      </c>
      <c r="F2396" s="3" t="s">
        <v>177</v>
      </c>
      <c r="G2396" s="3" t="s">
        <v>30</v>
      </c>
      <c r="H2396" s="3" t="s">
        <v>67</v>
      </c>
      <c r="I2396" s="3" t="s">
        <v>2625</v>
      </c>
      <c r="J2396" s="3" t="s">
        <v>131</v>
      </c>
      <c r="K2396" s="3">
        <v>6</v>
      </c>
      <c r="L2396" s="3">
        <v>10346.33</v>
      </c>
      <c r="M2396" s="3">
        <v>62077.98</v>
      </c>
      <c r="N2396" s="3">
        <v>44931.39</v>
      </c>
      <c r="O2396" s="3">
        <v>17146.59</v>
      </c>
      <c r="P2396" s="3" t="s">
        <v>34</v>
      </c>
    </row>
    <row r="2397" spans="1:16" x14ac:dyDescent="0.35">
      <c r="A2397" s="3" t="s">
        <v>3759</v>
      </c>
      <c r="B2397" s="3" t="s">
        <v>478</v>
      </c>
      <c r="C2397" s="3" t="s">
        <v>82</v>
      </c>
      <c r="D2397" s="3" t="s">
        <v>90</v>
      </c>
      <c r="E2397" s="3" t="s">
        <v>119</v>
      </c>
      <c r="F2397" s="3" t="s">
        <v>120</v>
      </c>
      <c r="G2397" s="3" t="s">
        <v>30</v>
      </c>
      <c r="H2397" s="3" t="s">
        <v>67</v>
      </c>
      <c r="I2397" s="3" t="s">
        <v>1474</v>
      </c>
      <c r="J2397" s="3" t="s">
        <v>217</v>
      </c>
      <c r="K2397" s="3">
        <v>3</v>
      </c>
      <c r="L2397" s="3">
        <v>8774.0300000000007</v>
      </c>
      <c r="M2397" s="3">
        <v>26322.09</v>
      </c>
      <c r="N2397" s="3">
        <v>22586.47</v>
      </c>
      <c r="O2397" s="3">
        <v>3735.62</v>
      </c>
      <c r="P2397" s="3" t="s">
        <v>26</v>
      </c>
    </row>
    <row r="2398" spans="1:16" x14ac:dyDescent="0.35">
      <c r="A2398" s="3" t="s">
        <v>3760</v>
      </c>
      <c r="B2398" s="3" t="s">
        <v>2211</v>
      </c>
      <c r="C2398" s="3" t="s">
        <v>72</v>
      </c>
      <c r="D2398" s="3" t="s">
        <v>90</v>
      </c>
      <c r="E2398" s="3" t="s">
        <v>119</v>
      </c>
      <c r="F2398" s="3" t="s">
        <v>120</v>
      </c>
      <c r="G2398" s="3" t="s">
        <v>30</v>
      </c>
      <c r="H2398" s="3" t="s">
        <v>67</v>
      </c>
      <c r="I2398" s="3" t="s">
        <v>1573</v>
      </c>
      <c r="J2398" s="3" t="s">
        <v>154</v>
      </c>
      <c r="K2398" s="3">
        <v>6</v>
      </c>
      <c r="L2398" s="3">
        <v>10304.469999999999</v>
      </c>
      <c r="M2398" s="3">
        <v>61826.82</v>
      </c>
      <c r="N2398" s="3">
        <v>44151.35</v>
      </c>
      <c r="O2398" s="3">
        <v>17675.47</v>
      </c>
      <c r="P2398" s="3" t="s">
        <v>34</v>
      </c>
    </row>
    <row r="2399" spans="1:16" x14ac:dyDescent="0.35">
      <c r="A2399" s="3" t="s">
        <v>3761</v>
      </c>
      <c r="B2399" s="3" t="s">
        <v>728</v>
      </c>
      <c r="C2399" s="3" t="s">
        <v>82</v>
      </c>
      <c r="D2399" s="3" t="s">
        <v>19</v>
      </c>
      <c r="E2399" s="3" t="s">
        <v>199</v>
      </c>
      <c r="F2399" s="3" t="s">
        <v>200</v>
      </c>
      <c r="G2399" s="3" t="s">
        <v>22</v>
      </c>
      <c r="H2399" s="3" t="s">
        <v>93</v>
      </c>
      <c r="I2399" s="3" t="s">
        <v>2158</v>
      </c>
      <c r="J2399" s="3" t="s">
        <v>25</v>
      </c>
      <c r="K2399" s="3">
        <v>7</v>
      </c>
      <c r="L2399" s="3">
        <v>6659.71</v>
      </c>
      <c r="M2399" s="3">
        <v>46617.97</v>
      </c>
      <c r="N2399" s="3">
        <v>35779.550000000003</v>
      </c>
      <c r="O2399" s="3">
        <v>10838.42</v>
      </c>
      <c r="P2399" s="3" t="s">
        <v>45</v>
      </c>
    </row>
    <row r="2400" spans="1:16" x14ac:dyDescent="0.35">
      <c r="A2400" s="3" t="s">
        <v>3762</v>
      </c>
      <c r="B2400" s="3" t="s">
        <v>129</v>
      </c>
      <c r="C2400" s="3" t="s">
        <v>37</v>
      </c>
      <c r="D2400" s="3" t="s">
        <v>58</v>
      </c>
      <c r="E2400" s="3" t="s">
        <v>65</v>
      </c>
      <c r="F2400" s="3" t="s">
        <v>66</v>
      </c>
      <c r="G2400" s="3" t="s">
        <v>41</v>
      </c>
      <c r="H2400" s="3" t="s">
        <v>42</v>
      </c>
      <c r="I2400" s="3" t="s">
        <v>2547</v>
      </c>
      <c r="J2400" s="3" t="s">
        <v>217</v>
      </c>
      <c r="K2400" s="3">
        <v>6</v>
      </c>
      <c r="L2400" s="3">
        <v>45894.44</v>
      </c>
      <c r="M2400" s="3">
        <v>275366.64</v>
      </c>
      <c r="N2400" s="3">
        <v>219211.46</v>
      </c>
      <c r="O2400" s="3">
        <v>56155.18</v>
      </c>
      <c r="P2400" s="3" t="s">
        <v>34</v>
      </c>
    </row>
    <row r="2401" spans="1:16" x14ac:dyDescent="0.35">
      <c r="A2401" s="3" t="s">
        <v>3763</v>
      </c>
      <c r="B2401" s="3" t="s">
        <v>1294</v>
      </c>
      <c r="C2401" s="3" t="s">
        <v>118</v>
      </c>
      <c r="D2401" s="3" t="s">
        <v>90</v>
      </c>
      <c r="E2401" s="3" t="s">
        <v>97</v>
      </c>
      <c r="F2401" s="3" t="s">
        <v>98</v>
      </c>
      <c r="G2401" s="3" t="s">
        <v>30</v>
      </c>
      <c r="H2401" s="3" t="s">
        <v>67</v>
      </c>
      <c r="I2401" s="3" t="s">
        <v>593</v>
      </c>
      <c r="J2401" s="3" t="s">
        <v>161</v>
      </c>
      <c r="K2401" s="3">
        <v>4</v>
      </c>
      <c r="L2401" s="3">
        <v>9383.25</v>
      </c>
      <c r="M2401" s="3">
        <v>37533</v>
      </c>
      <c r="N2401" s="3">
        <v>30070.1</v>
      </c>
      <c r="O2401" s="3">
        <v>7462.9</v>
      </c>
      <c r="P2401" s="3" t="s">
        <v>26</v>
      </c>
    </row>
    <row r="2402" spans="1:16" x14ac:dyDescent="0.35">
      <c r="A2402" s="3" t="s">
        <v>3764</v>
      </c>
      <c r="B2402" s="3" t="s">
        <v>2801</v>
      </c>
      <c r="C2402" s="3" t="s">
        <v>29</v>
      </c>
      <c r="D2402" s="3" t="s">
        <v>58</v>
      </c>
      <c r="E2402" s="3" t="s">
        <v>65</v>
      </c>
      <c r="F2402" s="3" t="s">
        <v>66</v>
      </c>
      <c r="G2402" s="3" t="s">
        <v>41</v>
      </c>
      <c r="H2402" s="3" t="s">
        <v>61</v>
      </c>
      <c r="I2402" s="3" t="s">
        <v>1681</v>
      </c>
      <c r="J2402" s="3" t="s">
        <v>100</v>
      </c>
      <c r="K2402" s="3">
        <v>2</v>
      </c>
      <c r="L2402" s="3">
        <v>2492.92</v>
      </c>
      <c r="M2402" s="3">
        <v>4985.84</v>
      </c>
      <c r="N2402" s="3">
        <v>3073.15</v>
      </c>
      <c r="O2402" s="3">
        <v>1912.69</v>
      </c>
      <c r="P2402" s="3" t="s">
        <v>69</v>
      </c>
    </row>
    <row r="2403" spans="1:16" x14ac:dyDescent="0.35">
      <c r="A2403" s="3" t="s">
        <v>3765</v>
      </c>
      <c r="B2403" s="3" t="s">
        <v>1733</v>
      </c>
      <c r="C2403" s="3" t="s">
        <v>137</v>
      </c>
      <c r="D2403" s="3" t="s">
        <v>58</v>
      </c>
      <c r="E2403" s="3" t="s">
        <v>59</v>
      </c>
      <c r="F2403" s="3" t="s">
        <v>60</v>
      </c>
      <c r="G2403" s="3" t="s">
        <v>41</v>
      </c>
      <c r="H2403" s="3" t="s">
        <v>138</v>
      </c>
      <c r="I2403" s="3" t="s">
        <v>3766</v>
      </c>
      <c r="J2403" s="3" t="s">
        <v>147</v>
      </c>
      <c r="K2403" s="3">
        <v>8</v>
      </c>
      <c r="L2403" s="3">
        <v>17510.71</v>
      </c>
      <c r="M2403" s="3">
        <v>140085.68</v>
      </c>
      <c r="N2403" s="3">
        <v>109424.59</v>
      </c>
      <c r="O2403" s="3">
        <v>30661.09</v>
      </c>
      <c r="P2403" s="3" t="s">
        <v>86</v>
      </c>
    </row>
    <row r="2404" spans="1:16" x14ac:dyDescent="0.35">
      <c r="A2404" s="3" t="s">
        <v>3767</v>
      </c>
      <c r="B2404" s="3" t="s">
        <v>1053</v>
      </c>
      <c r="C2404" s="3" t="s">
        <v>82</v>
      </c>
      <c r="D2404" s="3" t="s">
        <v>58</v>
      </c>
      <c r="E2404" s="3" t="s">
        <v>176</v>
      </c>
      <c r="F2404" s="3" t="s">
        <v>177</v>
      </c>
      <c r="G2404" s="3" t="s">
        <v>41</v>
      </c>
      <c r="H2404" s="3" t="s">
        <v>42</v>
      </c>
      <c r="I2404" s="3" t="s">
        <v>1452</v>
      </c>
      <c r="J2404" s="3" t="s">
        <v>85</v>
      </c>
      <c r="K2404" s="3">
        <v>5</v>
      </c>
      <c r="L2404" s="3">
        <v>42765.84</v>
      </c>
      <c r="M2404" s="3">
        <v>213829.2</v>
      </c>
      <c r="N2404" s="3">
        <v>180576.16</v>
      </c>
      <c r="O2404" s="3">
        <v>33253.040000000001</v>
      </c>
      <c r="P2404" s="3" t="s">
        <v>45</v>
      </c>
    </row>
    <row r="2405" spans="1:16" x14ac:dyDescent="0.35">
      <c r="A2405" s="3" t="s">
        <v>3768</v>
      </c>
      <c r="B2405" s="3" t="s">
        <v>589</v>
      </c>
      <c r="C2405" s="3" t="s">
        <v>137</v>
      </c>
      <c r="D2405" s="3" t="s">
        <v>90</v>
      </c>
      <c r="E2405" s="3" t="s">
        <v>119</v>
      </c>
      <c r="F2405" s="3" t="s">
        <v>120</v>
      </c>
      <c r="G2405" s="3" t="s">
        <v>22</v>
      </c>
      <c r="H2405" s="3" t="s">
        <v>93</v>
      </c>
      <c r="I2405" s="3" t="s">
        <v>1948</v>
      </c>
      <c r="J2405" s="3" t="s">
        <v>85</v>
      </c>
      <c r="K2405" s="3">
        <v>1</v>
      </c>
      <c r="L2405" s="3">
        <v>6938.07</v>
      </c>
      <c r="M2405" s="3">
        <v>6938.07</v>
      </c>
      <c r="N2405" s="3">
        <v>4858.33</v>
      </c>
      <c r="O2405" s="3">
        <v>2079.7399999999998</v>
      </c>
      <c r="P2405" s="3" t="s">
        <v>34</v>
      </c>
    </row>
    <row r="2406" spans="1:16" x14ac:dyDescent="0.35">
      <c r="A2406" s="3" t="s">
        <v>3769</v>
      </c>
      <c r="B2406" s="3" t="s">
        <v>370</v>
      </c>
      <c r="C2406" s="3" t="s">
        <v>137</v>
      </c>
      <c r="D2406" s="3" t="s">
        <v>19</v>
      </c>
      <c r="E2406" s="3" t="s">
        <v>49</v>
      </c>
      <c r="F2406" s="3" t="s">
        <v>50</v>
      </c>
      <c r="G2406" s="3" t="s">
        <v>22</v>
      </c>
      <c r="H2406" s="3" t="s">
        <v>23</v>
      </c>
      <c r="I2406" s="3" t="s">
        <v>78</v>
      </c>
      <c r="J2406" s="3" t="s">
        <v>188</v>
      </c>
      <c r="K2406" s="3">
        <v>3</v>
      </c>
      <c r="L2406" s="3">
        <v>3809.51</v>
      </c>
      <c r="M2406" s="3">
        <v>11428.53</v>
      </c>
      <c r="N2406" s="3">
        <v>6795.29</v>
      </c>
      <c r="O2406" s="3">
        <v>4633.24</v>
      </c>
      <c r="P2406" s="3" t="s">
        <v>34</v>
      </c>
    </row>
    <row r="2407" spans="1:16" x14ac:dyDescent="0.35">
      <c r="A2407" s="3" t="s">
        <v>3770</v>
      </c>
      <c r="B2407" s="3" t="s">
        <v>669</v>
      </c>
      <c r="C2407" s="3" t="s">
        <v>57</v>
      </c>
      <c r="D2407" s="3" t="s">
        <v>19</v>
      </c>
      <c r="E2407" s="3" t="s">
        <v>49</v>
      </c>
      <c r="F2407" s="3" t="s">
        <v>50</v>
      </c>
      <c r="G2407" s="3" t="s">
        <v>22</v>
      </c>
      <c r="H2407" s="3" t="s">
        <v>83</v>
      </c>
      <c r="I2407" s="3" t="s">
        <v>1356</v>
      </c>
      <c r="J2407" s="3" t="s">
        <v>33</v>
      </c>
      <c r="K2407" s="3">
        <v>3</v>
      </c>
      <c r="L2407" s="3">
        <v>21621.040000000001</v>
      </c>
      <c r="M2407" s="3">
        <v>64863.12</v>
      </c>
      <c r="N2407" s="3">
        <v>50754.400000000001</v>
      </c>
      <c r="O2407" s="3">
        <v>14108.72</v>
      </c>
      <c r="P2407" s="3" t="s">
        <v>26</v>
      </c>
    </row>
    <row r="2408" spans="1:16" x14ac:dyDescent="0.35">
      <c r="A2408" s="3" t="s">
        <v>3771</v>
      </c>
      <c r="B2408" s="3" t="s">
        <v>327</v>
      </c>
      <c r="C2408" s="3" t="s">
        <v>48</v>
      </c>
      <c r="D2408" s="3" t="s">
        <v>19</v>
      </c>
      <c r="E2408" s="3" t="s">
        <v>20</v>
      </c>
      <c r="F2408" s="3" t="s">
        <v>21</v>
      </c>
      <c r="G2408" s="3" t="s">
        <v>41</v>
      </c>
      <c r="H2408" s="3" t="s">
        <v>61</v>
      </c>
      <c r="I2408" s="3" t="s">
        <v>1692</v>
      </c>
      <c r="J2408" s="3" t="s">
        <v>100</v>
      </c>
      <c r="K2408" s="3">
        <v>4</v>
      </c>
      <c r="L2408" s="3">
        <v>2333.92</v>
      </c>
      <c r="M2408" s="3">
        <v>9335.68</v>
      </c>
      <c r="N2408" s="3">
        <v>6543.85</v>
      </c>
      <c r="O2408" s="3">
        <v>2791.83</v>
      </c>
      <c r="P2408" s="3" t="s">
        <v>45</v>
      </c>
    </row>
    <row r="2409" spans="1:16" x14ac:dyDescent="0.35">
      <c r="A2409" s="3" t="s">
        <v>3772</v>
      </c>
      <c r="B2409" s="3" t="s">
        <v>420</v>
      </c>
      <c r="C2409" s="3" t="s">
        <v>89</v>
      </c>
      <c r="D2409" s="3" t="s">
        <v>38</v>
      </c>
      <c r="E2409" s="3" t="s">
        <v>109</v>
      </c>
      <c r="F2409" s="3" t="s">
        <v>110</v>
      </c>
      <c r="G2409" s="3" t="s">
        <v>30</v>
      </c>
      <c r="H2409" s="3" t="s">
        <v>67</v>
      </c>
      <c r="I2409" s="3" t="s">
        <v>1032</v>
      </c>
      <c r="J2409" s="3" t="s">
        <v>154</v>
      </c>
      <c r="K2409" s="3">
        <v>4</v>
      </c>
      <c r="L2409" s="3">
        <v>10202.92</v>
      </c>
      <c r="M2409" s="3">
        <v>40811.68</v>
      </c>
      <c r="N2409" s="3">
        <v>29077.99</v>
      </c>
      <c r="O2409" s="3">
        <v>11733.69</v>
      </c>
      <c r="P2409" s="3" t="s">
        <v>69</v>
      </c>
    </row>
    <row r="2410" spans="1:16" x14ac:dyDescent="0.35">
      <c r="A2410" s="3" t="s">
        <v>3773</v>
      </c>
      <c r="B2410" s="3" t="s">
        <v>699</v>
      </c>
      <c r="C2410" s="3" t="s">
        <v>137</v>
      </c>
      <c r="D2410" s="3" t="s">
        <v>19</v>
      </c>
      <c r="E2410" s="3" t="s">
        <v>199</v>
      </c>
      <c r="F2410" s="3" t="s">
        <v>200</v>
      </c>
      <c r="G2410" s="3" t="s">
        <v>41</v>
      </c>
      <c r="H2410" s="3" t="s">
        <v>138</v>
      </c>
      <c r="I2410" s="3" t="s">
        <v>486</v>
      </c>
      <c r="J2410" s="3" t="s">
        <v>100</v>
      </c>
      <c r="K2410" s="3">
        <v>5</v>
      </c>
      <c r="L2410" s="3">
        <v>18437.830000000002</v>
      </c>
      <c r="M2410" s="3">
        <v>92189.15</v>
      </c>
      <c r="N2410" s="3">
        <v>67285.929999999993</v>
      </c>
      <c r="O2410" s="3">
        <v>24903.22</v>
      </c>
      <c r="P2410" s="3" t="s">
        <v>26</v>
      </c>
    </row>
    <row r="2411" spans="1:16" x14ac:dyDescent="0.35">
      <c r="A2411" s="3" t="s">
        <v>3774</v>
      </c>
      <c r="B2411" s="3" t="s">
        <v>108</v>
      </c>
      <c r="C2411" s="3" t="s">
        <v>72</v>
      </c>
      <c r="D2411" s="3" t="s">
        <v>58</v>
      </c>
      <c r="E2411" s="3" t="s">
        <v>59</v>
      </c>
      <c r="F2411" s="3" t="s">
        <v>60</v>
      </c>
      <c r="G2411" s="3" t="s">
        <v>22</v>
      </c>
      <c r="H2411" s="3" t="s">
        <v>93</v>
      </c>
      <c r="I2411" s="3" t="s">
        <v>2228</v>
      </c>
      <c r="J2411" s="3" t="s">
        <v>217</v>
      </c>
      <c r="K2411" s="3">
        <v>3</v>
      </c>
      <c r="L2411" s="3">
        <v>7018.31</v>
      </c>
      <c r="M2411" s="3">
        <v>21054.93</v>
      </c>
      <c r="N2411" s="3">
        <v>14556.26</v>
      </c>
      <c r="O2411" s="3">
        <v>6498.67</v>
      </c>
      <c r="P2411" s="3" t="s">
        <v>34</v>
      </c>
    </row>
    <row r="2412" spans="1:16" x14ac:dyDescent="0.35">
      <c r="A2412" s="3" t="s">
        <v>3775</v>
      </c>
      <c r="B2412" s="3" t="s">
        <v>1667</v>
      </c>
      <c r="C2412" s="3" t="s">
        <v>48</v>
      </c>
      <c r="D2412" s="3" t="s">
        <v>58</v>
      </c>
      <c r="E2412" s="3" t="s">
        <v>59</v>
      </c>
      <c r="F2412" s="3" t="s">
        <v>60</v>
      </c>
      <c r="G2412" s="3" t="s">
        <v>51</v>
      </c>
      <c r="H2412" s="3" t="s">
        <v>77</v>
      </c>
      <c r="I2412" s="3" t="s">
        <v>997</v>
      </c>
      <c r="J2412" s="3" t="s">
        <v>100</v>
      </c>
      <c r="K2412" s="3">
        <v>2</v>
      </c>
      <c r="L2412" s="3">
        <v>11355.68</v>
      </c>
      <c r="M2412" s="3">
        <v>22711.360000000001</v>
      </c>
      <c r="N2412" s="3">
        <v>17663.53</v>
      </c>
      <c r="O2412" s="3">
        <v>5047.83</v>
      </c>
      <c r="P2412" s="3" t="s">
        <v>26</v>
      </c>
    </row>
    <row r="2413" spans="1:16" x14ac:dyDescent="0.35">
      <c r="A2413" s="3" t="s">
        <v>3776</v>
      </c>
      <c r="B2413" s="3" t="s">
        <v>1235</v>
      </c>
      <c r="C2413" s="3" t="s">
        <v>18</v>
      </c>
      <c r="D2413" s="3" t="s">
        <v>58</v>
      </c>
      <c r="E2413" s="3" t="s">
        <v>59</v>
      </c>
      <c r="F2413" s="3" t="s">
        <v>60</v>
      </c>
      <c r="G2413" s="3" t="s">
        <v>51</v>
      </c>
      <c r="H2413" s="3" t="s">
        <v>145</v>
      </c>
      <c r="I2413" s="3" t="s">
        <v>1747</v>
      </c>
      <c r="J2413" s="3" t="s">
        <v>44</v>
      </c>
      <c r="K2413" s="3">
        <v>7</v>
      </c>
      <c r="L2413" s="3">
        <v>122.76</v>
      </c>
      <c r="M2413" s="3">
        <v>859.32</v>
      </c>
      <c r="N2413" s="3">
        <v>409.92</v>
      </c>
      <c r="O2413" s="3">
        <v>449.4</v>
      </c>
      <c r="P2413" s="3" t="s">
        <v>86</v>
      </c>
    </row>
    <row r="2414" spans="1:16" x14ac:dyDescent="0.35">
      <c r="A2414" s="3" t="s">
        <v>3777</v>
      </c>
      <c r="B2414" s="3" t="s">
        <v>618</v>
      </c>
      <c r="C2414" s="3" t="s">
        <v>72</v>
      </c>
      <c r="D2414" s="3" t="s">
        <v>90</v>
      </c>
      <c r="E2414" s="3" t="s">
        <v>97</v>
      </c>
      <c r="F2414" s="3" t="s">
        <v>98</v>
      </c>
      <c r="G2414" s="3" t="s">
        <v>41</v>
      </c>
      <c r="H2414" s="3" t="s">
        <v>138</v>
      </c>
      <c r="I2414" s="3" t="s">
        <v>2449</v>
      </c>
      <c r="J2414" s="3" t="s">
        <v>54</v>
      </c>
      <c r="K2414" s="3">
        <v>7</v>
      </c>
      <c r="L2414" s="3">
        <v>19374.38</v>
      </c>
      <c r="M2414" s="3">
        <v>135620.66</v>
      </c>
      <c r="N2414" s="3">
        <v>99458.4</v>
      </c>
      <c r="O2414" s="3">
        <v>36162.26</v>
      </c>
      <c r="P2414" s="3" t="s">
        <v>69</v>
      </c>
    </row>
    <row r="2415" spans="1:16" x14ac:dyDescent="0.35">
      <c r="A2415" s="3" t="s">
        <v>3778</v>
      </c>
      <c r="B2415" s="3" t="s">
        <v>802</v>
      </c>
      <c r="C2415" s="3" t="s">
        <v>118</v>
      </c>
      <c r="D2415" s="3" t="s">
        <v>90</v>
      </c>
      <c r="E2415" s="3" t="s">
        <v>97</v>
      </c>
      <c r="F2415" s="3" t="s">
        <v>98</v>
      </c>
      <c r="G2415" s="3" t="s">
        <v>51</v>
      </c>
      <c r="H2415" s="3" t="s">
        <v>52</v>
      </c>
      <c r="I2415" s="3" t="s">
        <v>862</v>
      </c>
      <c r="J2415" s="3" t="s">
        <v>154</v>
      </c>
      <c r="K2415" s="3">
        <v>4</v>
      </c>
      <c r="L2415" s="3">
        <v>24.59</v>
      </c>
      <c r="M2415" s="3">
        <v>98.36</v>
      </c>
      <c r="N2415" s="3">
        <v>39.1</v>
      </c>
      <c r="O2415" s="3">
        <v>59.26</v>
      </c>
      <c r="P2415" s="3" t="s">
        <v>26</v>
      </c>
    </row>
    <row r="2416" spans="1:16" x14ac:dyDescent="0.35">
      <c r="A2416" s="3" t="s">
        <v>3779</v>
      </c>
      <c r="B2416" s="3" t="s">
        <v>373</v>
      </c>
      <c r="C2416" s="3" t="s">
        <v>137</v>
      </c>
      <c r="D2416" s="3" t="s">
        <v>58</v>
      </c>
      <c r="E2416" s="3" t="s">
        <v>176</v>
      </c>
      <c r="F2416" s="3" t="s">
        <v>177</v>
      </c>
      <c r="G2416" s="3" t="s">
        <v>51</v>
      </c>
      <c r="H2416" s="3" t="s">
        <v>77</v>
      </c>
      <c r="I2416" s="3" t="s">
        <v>1345</v>
      </c>
      <c r="J2416" s="3" t="s">
        <v>33</v>
      </c>
      <c r="K2416" s="3">
        <v>4</v>
      </c>
      <c r="L2416" s="3">
        <v>12325.44</v>
      </c>
      <c r="M2416" s="3">
        <v>49301.760000000002</v>
      </c>
      <c r="N2416" s="3">
        <v>34722</v>
      </c>
      <c r="O2416" s="3">
        <v>14579.76</v>
      </c>
      <c r="P2416" s="3" t="s">
        <v>86</v>
      </c>
    </row>
    <row r="2417" spans="1:16" x14ac:dyDescent="0.35">
      <c r="A2417" s="3" t="s">
        <v>3780</v>
      </c>
      <c r="B2417" s="3" t="s">
        <v>236</v>
      </c>
      <c r="C2417" s="3" t="s">
        <v>18</v>
      </c>
      <c r="D2417" s="3" t="s">
        <v>58</v>
      </c>
      <c r="E2417" s="3" t="s">
        <v>176</v>
      </c>
      <c r="F2417" s="3" t="s">
        <v>177</v>
      </c>
      <c r="G2417" s="3" t="s">
        <v>51</v>
      </c>
      <c r="H2417" s="3" t="s">
        <v>77</v>
      </c>
      <c r="I2417" s="3" t="s">
        <v>950</v>
      </c>
      <c r="J2417" s="3" t="s">
        <v>188</v>
      </c>
      <c r="K2417" s="3">
        <v>6</v>
      </c>
      <c r="L2417" s="3">
        <v>11331.13</v>
      </c>
      <c r="M2417" s="3">
        <v>67986.78</v>
      </c>
      <c r="N2417" s="3">
        <v>52891.79</v>
      </c>
      <c r="O2417" s="3">
        <v>15094.99</v>
      </c>
      <c r="P2417" s="3" t="s">
        <v>34</v>
      </c>
    </row>
    <row r="2418" spans="1:16" x14ac:dyDescent="0.35">
      <c r="A2418" s="3" t="s">
        <v>3781</v>
      </c>
      <c r="B2418" s="3" t="s">
        <v>446</v>
      </c>
      <c r="C2418" s="3" t="s">
        <v>29</v>
      </c>
      <c r="D2418" s="3" t="s">
        <v>38</v>
      </c>
      <c r="E2418" s="3" t="s">
        <v>104</v>
      </c>
      <c r="F2418" s="3" t="s">
        <v>104</v>
      </c>
      <c r="G2418" s="3" t="s">
        <v>41</v>
      </c>
      <c r="H2418" s="3" t="s">
        <v>42</v>
      </c>
      <c r="I2418" s="3" t="s">
        <v>1241</v>
      </c>
      <c r="J2418" s="3" t="s">
        <v>85</v>
      </c>
      <c r="K2418" s="3">
        <v>6</v>
      </c>
      <c r="L2418" s="3">
        <v>49499.7</v>
      </c>
      <c r="M2418" s="3">
        <v>296998.2</v>
      </c>
      <c r="N2418" s="3">
        <v>211731.75</v>
      </c>
      <c r="O2418" s="3">
        <v>85266.45</v>
      </c>
      <c r="P2418" s="3" t="s">
        <v>34</v>
      </c>
    </row>
    <row r="2419" spans="1:16" x14ac:dyDescent="0.35">
      <c r="A2419" s="3" t="s">
        <v>3782</v>
      </c>
      <c r="B2419" s="3" t="s">
        <v>1042</v>
      </c>
      <c r="C2419" s="3" t="s">
        <v>118</v>
      </c>
      <c r="D2419" s="3" t="s">
        <v>19</v>
      </c>
      <c r="E2419" s="3" t="s">
        <v>199</v>
      </c>
      <c r="F2419" s="3" t="s">
        <v>200</v>
      </c>
      <c r="G2419" s="3" t="s">
        <v>30</v>
      </c>
      <c r="H2419" s="3" t="s">
        <v>73</v>
      </c>
      <c r="I2419" s="3" t="s">
        <v>3783</v>
      </c>
      <c r="J2419" s="3" t="s">
        <v>79</v>
      </c>
      <c r="K2419" s="3">
        <v>1</v>
      </c>
      <c r="L2419" s="3">
        <v>3057.03</v>
      </c>
      <c r="M2419" s="3">
        <v>3057.03</v>
      </c>
      <c r="N2419" s="3">
        <v>2507.04</v>
      </c>
      <c r="O2419" s="3">
        <v>549.99</v>
      </c>
      <c r="P2419" s="3" t="s">
        <v>34</v>
      </c>
    </row>
    <row r="2420" spans="1:16" x14ac:dyDescent="0.35">
      <c r="A2420" s="3" t="s">
        <v>3784</v>
      </c>
      <c r="B2420" s="3" t="s">
        <v>1235</v>
      </c>
      <c r="C2420" s="3" t="s">
        <v>18</v>
      </c>
      <c r="D2420" s="3" t="s">
        <v>38</v>
      </c>
      <c r="E2420" s="3" t="s">
        <v>39</v>
      </c>
      <c r="F2420" s="3" t="s">
        <v>40</v>
      </c>
      <c r="G2420" s="3" t="s">
        <v>30</v>
      </c>
      <c r="H2420" s="3" t="s">
        <v>31</v>
      </c>
      <c r="I2420" s="3" t="s">
        <v>1111</v>
      </c>
      <c r="J2420" s="3" t="s">
        <v>106</v>
      </c>
      <c r="K2420" s="3">
        <v>1</v>
      </c>
      <c r="L2420" s="3">
        <v>3033.07</v>
      </c>
      <c r="M2420" s="3">
        <v>3033.07</v>
      </c>
      <c r="N2420" s="3">
        <v>1867.98</v>
      </c>
      <c r="O2420" s="3">
        <v>1165.0899999999999</v>
      </c>
      <c r="P2420" s="3" t="s">
        <v>34</v>
      </c>
    </row>
    <row r="2421" spans="1:16" x14ac:dyDescent="0.35">
      <c r="A2421" s="3" t="s">
        <v>3785</v>
      </c>
      <c r="B2421" s="3" t="s">
        <v>1182</v>
      </c>
      <c r="C2421" s="3" t="s">
        <v>48</v>
      </c>
      <c r="D2421" s="3" t="s">
        <v>19</v>
      </c>
      <c r="E2421" s="3" t="s">
        <v>199</v>
      </c>
      <c r="F2421" s="3" t="s">
        <v>200</v>
      </c>
      <c r="G2421" s="3" t="s">
        <v>41</v>
      </c>
      <c r="H2421" s="3" t="s">
        <v>138</v>
      </c>
      <c r="I2421" s="3" t="s">
        <v>679</v>
      </c>
      <c r="J2421" s="3" t="s">
        <v>106</v>
      </c>
      <c r="K2421" s="3">
        <v>3</v>
      </c>
      <c r="L2421" s="3">
        <v>17914.12</v>
      </c>
      <c r="M2421" s="3">
        <v>53742.36</v>
      </c>
      <c r="N2421" s="3">
        <v>40387.480000000003</v>
      </c>
      <c r="O2421" s="3">
        <v>13354.88</v>
      </c>
      <c r="P2421" s="3" t="s">
        <v>69</v>
      </c>
    </row>
    <row r="2422" spans="1:16" x14ac:dyDescent="0.35">
      <c r="A2422" s="3" t="s">
        <v>3786</v>
      </c>
      <c r="B2422" s="3" t="s">
        <v>717</v>
      </c>
      <c r="C2422" s="3" t="s">
        <v>114</v>
      </c>
      <c r="D2422" s="3" t="s">
        <v>38</v>
      </c>
      <c r="E2422" s="3" t="s">
        <v>109</v>
      </c>
      <c r="F2422" s="3" t="s">
        <v>110</v>
      </c>
      <c r="G2422" s="3" t="s">
        <v>41</v>
      </c>
      <c r="H2422" s="3" t="s">
        <v>61</v>
      </c>
      <c r="I2422" s="3" t="s">
        <v>3391</v>
      </c>
      <c r="J2422" s="3" t="s">
        <v>100</v>
      </c>
      <c r="K2422" s="3">
        <v>6</v>
      </c>
      <c r="L2422" s="3">
        <v>2289.61</v>
      </c>
      <c r="M2422" s="3">
        <v>13737.66</v>
      </c>
      <c r="N2422" s="3">
        <v>9286.83</v>
      </c>
      <c r="O2422" s="3">
        <v>4450.83</v>
      </c>
      <c r="P2422" s="3" t="s">
        <v>45</v>
      </c>
    </row>
    <row r="2423" spans="1:16" x14ac:dyDescent="0.35">
      <c r="A2423" s="3" t="s">
        <v>3787</v>
      </c>
      <c r="B2423" s="3" t="s">
        <v>777</v>
      </c>
      <c r="C2423" s="3" t="s">
        <v>72</v>
      </c>
      <c r="D2423" s="3" t="s">
        <v>19</v>
      </c>
      <c r="E2423" s="3" t="s">
        <v>49</v>
      </c>
      <c r="F2423" s="3" t="s">
        <v>50</v>
      </c>
      <c r="G2423" s="3" t="s">
        <v>51</v>
      </c>
      <c r="H2423" s="3" t="s">
        <v>77</v>
      </c>
      <c r="I2423" s="3" t="s">
        <v>2254</v>
      </c>
      <c r="J2423" s="3" t="s">
        <v>147</v>
      </c>
      <c r="K2423" s="3">
        <v>8</v>
      </c>
      <c r="L2423" s="3">
        <v>12632.18</v>
      </c>
      <c r="M2423" s="3">
        <v>101057.44</v>
      </c>
      <c r="N2423" s="3">
        <v>68837.34</v>
      </c>
      <c r="O2423" s="3">
        <v>32220.1</v>
      </c>
      <c r="P2423" s="3" t="s">
        <v>26</v>
      </c>
    </row>
    <row r="2424" spans="1:16" x14ac:dyDescent="0.35">
      <c r="A2424" s="3" t="s">
        <v>3788</v>
      </c>
      <c r="B2424" s="3" t="s">
        <v>163</v>
      </c>
      <c r="C2424" s="3" t="s">
        <v>137</v>
      </c>
      <c r="D2424" s="3" t="s">
        <v>38</v>
      </c>
      <c r="E2424" s="3" t="s">
        <v>104</v>
      </c>
      <c r="F2424" s="3" t="s">
        <v>104</v>
      </c>
      <c r="G2424" s="3" t="s">
        <v>22</v>
      </c>
      <c r="H2424" s="3" t="s">
        <v>83</v>
      </c>
      <c r="I2424" s="3" t="s">
        <v>1817</v>
      </c>
      <c r="J2424" s="3" t="s">
        <v>54</v>
      </c>
      <c r="K2424" s="3">
        <v>3</v>
      </c>
      <c r="L2424" s="3">
        <v>23231.91</v>
      </c>
      <c r="M2424" s="3">
        <v>69695.73</v>
      </c>
      <c r="N2424" s="3">
        <v>49200.69</v>
      </c>
      <c r="O2424" s="3">
        <v>20495.04</v>
      </c>
      <c r="P2424" s="3" t="s">
        <v>86</v>
      </c>
    </row>
    <row r="2425" spans="1:16" x14ac:dyDescent="0.35">
      <c r="A2425" s="3" t="s">
        <v>3789</v>
      </c>
      <c r="B2425" s="3" t="s">
        <v>904</v>
      </c>
      <c r="C2425" s="3" t="s">
        <v>118</v>
      </c>
      <c r="D2425" s="3" t="s">
        <v>58</v>
      </c>
      <c r="E2425" s="3" t="s">
        <v>176</v>
      </c>
      <c r="F2425" s="3" t="s">
        <v>177</v>
      </c>
      <c r="G2425" s="3" t="s">
        <v>22</v>
      </c>
      <c r="H2425" s="3" t="s">
        <v>93</v>
      </c>
      <c r="I2425" s="3" t="s">
        <v>857</v>
      </c>
      <c r="J2425" s="3" t="s">
        <v>54</v>
      </c>
      <c r="K2425" s="3">
        <v>5</v>
      </c>
      <c r="L2425" s="3">
        <v>6665.58</v>
      </c>
      <c r="M2425" s="3">
        <v>33327.9</v>
      </c>
      <c r="N2425" s="3">
        <v>26234.73</v>
      </c>
      <c r="O2425" s="3">
        <v>7093.17</v>
      </c>
      <c r="P2425" s="3" t="s">
        <v>86</v>
      </c>
    </row>
    <row r="2426" spans="1:16" x14ac:dyDescent="0.35">
      <c r="A2426" s="3" t="s">
        <v>3790</v>
      </c>
      <c r="B2426" s="3" t="s">
        <v>242</v>
      </c>
      <c r="C2426" s="3" t="s">
        <v>137</v>
      </c>
      <c r="D2426" s="3" t="s">
        <v>58</v>
      </c>
      <c r="E2426" s="3" t="s">
        <v>176</v>
      </c>
      <c r="F2426" s="3" t="s">
        <v>177</v>
      </c>
      <c r="G2426" s="3" t="s">
        <v>22</v>
      </c>
      <c r="H2426" s="3" t="s">
        <v>93</v>
      </c>
      <c r="I2426" s="3" t="s">
        <v>1361</v>
      </c>
      <c r="J2426" s="3" t="s">
        <v>33</v>
      </c>
      <c r="K2426" s="3">
        <v>8</v>
      </c>
      <c r="L2426" s="3">
        <v>7113.87</v>
      </c>
      <c r="M2426" s="3">
        <v>56910.96</v>
      </c>
      <c r="N2426" s="3">
        <v>38057.64</v>
      </c>
      <c r="O2426" s="3">
        <v>18853.32</v>
      </c>
      <c r="P2426" s="3" t="s">
        <v>45</v>
      </c>
    </row>
    <row r="2427" spans="1:16" x14ac:dyDescent="0.35">
      <c r="A2427" s="3" t="s">
        <v>3791</v>
      </c>
      <c r="B2427" s="3" t="s">
        <v>1098</v>
      </c>
      <c r="C2427" s="3" t="s">
        <v>57</v>
      </c>
      <c r="D2427" s="3" t="s">
        <v>90</v>
      </c>
      <c r="E2427" s="3" t="s">
        <v>119</v>
      </c>
      <c r="F2427" s="3" t="s">
        <v>120</v>
      </c>
      <c r="G2427" s="3" t="s">
        <v>41</v>
      </c>
      <c r="H2427" s="3" t="s">
        <v>61</v>
      </c>
      <c r="I2427" s="3" t="s">
        <v>1913</v>
      </c>
      <c r="J2427" s="3" t="s">
        <v>85</v>
      </c>
      <c r="K2427" s="3">
        <v>2</v>
      </c>
      <c r="L2427" s="3">
        <v>2652.6</v>
      </c>
      <c r="M2427" s="3">
        <v>5305.2</v>
      </c>
      <c r="N2427" s="3">
        <v>3344.88</v>
      </c>
      <c r="O2427" s="3">
        <v>1960.32</v>
      </c>
      <c r="P2427" s="3" t="s">
        <v>69</v>
      </c>
    </row>
    <row r="2428" spans="1:16" x14ac:dyDescent="0.35">
      <c r="A2428" s="3" t="s">
        <v>3792</v>
      </c>
      <c r="B2428" s="3" t="s">
        <v>877</v>
      </c>
      <c r="C2428" s="3" t="s">
        <v>114</v>
      </c>
      <c r="D2428" s="3" t="s">
        <v>38</v>
      </c>
      <c r="E2428" s="3" t="s">
        <v>104</v>
      </c>
      <c r="F2428" s="3" t="s">
        <v>104</v>
      </c>
      <c r="G2428" s="3" t="s">
        <v>41</v>
      </c>
      <c r="H2428" s="3" t="s">
        <v>61</v>
      </c>
      <c r="I2428" s="3" t="s">
        <v>2791</v>
      </c>
      <c r="J2428" s="3" t="s">
        <v>33</v>
      </c>
      <c r="K2428" s="3">
        <v>3</v>
      </c>
      <c r="L2428" s="3">
        <v>2734.98</v>
      </c>
      <c r="M2428" s="3">
        <v>8204.94</v>
      </c>
      <c r="N2428" s="3">
        <v>4726.92</v>
      </c>
      <c r="O2428" s="3">
        <v>3478.02</v>
      </c>
      <c r="P2428" s="3" t="s">
        <v>45</v>
      </c>
    </row>
    <row r="2429" spans="1:16" x14ac:dyDescent="0.35">
      <c r="A2429" s="3" t="s">
        <v>3793</v>
      </c>
      <c r="B2429" s="3" t="s">
        <v>412</v>
      </c>
      <c r="C2429" s="3" t="s">
        <v>48</v>
      </c>
      <c r="D2429" s="3" t="s">
        <v>58</v>
      </c>
      <c r="E2429" s="3" t="s">
        <v>65</v>
      </c>
      <c r="F2429" s="3" t="s">
        <v>66</v>
      </c>
      <c r="G2429" s="3" t="s">
        <v>30</v>
      </c>
      <c r="H2429" s="3" t="s">
        <v>31</v>
      </c>
      <c r="I2429" s="3" t="s">
        <v>1855</v>
      </c>
      <c r="J2429" s="3" t="s">
        <v>147</v>
      </c>
      <c r="K2429" s="3">
        <v>4</v>
      </c>
      <c r="L2429" s="3">
        <v>2893.36</v>
      </c>
      <c r="M2429" s="3">
        <v>11573.44</v>
      </c>
      <c r="N2429" s="3">
        <v>7563.93</v>
      </c>
      <c r="O2429" s="3">
        <v>4009.51</v>
      </c>
      <c r="P2429" s="3" t="s">
        <v>45</v>
      </c>
    </row>
    <row r="2430" spans="1:16" x14ac:dyDescent="0.35">
      <c r="A2430" s="3" t="s">
        <v>3794</v>
      </c>
      <c r="B2430" s="3" t="s">
        <v>913</v>
      </c>
      <c r="C2430" s="3" t="s">
        <v>48</v>
      </c>
      <c r="D2430" s="3" t="s">
        <v>58</v>
      </c>
      <c r="E2430" s="3" t="s">
        <v>65</v>
      </c>
      <c r="F2430" s="3" t="s">
        <v>66</v>
      </c>
      <c r="G2430" s="3" t="s">
        <v>30</v>
      </c>
      <c r="H2430" s="3" t="s">
        <v>73</v>
      </c>
      <c r="I2430" s="3" t="s">
        <v>286</v>
      </c>
      <c r="J2430" s="3" t="s">
        <v>25</v>
      </c>
      <c r="K2430" s="3">
        <v>2</v>
      </c>
      <c r="L2430" s="3">
        <v>3410.06</v>
      </c>
      <c r="M2430" s="3">
        <v>6820.12</v>
      </c>
      <c r="N2430" s="3">
        <v>4907.1400000000003</v>
      </c>
      <c r="O2430" s="3">
        <v>1912.98</v>
      </c>
      <c r="P2430" s="3" t="s">
        <v>69</v>
      </c>
    </row>
    <row r="2431" spans="1:16" x14ac:dyDescent="0.35">
      <c r="A2431" s="3" t="s">
        <v>3795</v>
      </c>
      <c r="B2431" s="3" t="s">
        <v>245</v>
      </c>
      <c r="C2431" s="3" t="s">
        <v>29</v>
      </c>
      <c r="D2431" s="3" t="s">
        <v>38</v>
      </c>
      <c r="E2431" s="3" t="s">
        <v>104</v>
      </c>
      <c r="F2431" s="3" t="s">
        <v>104</v>
      </c>
      <c r="G2431" s="3" t="s">
        <v>41</v>
      </c>
      <c r="H2431" s="3" t="s">
        <v>138</v>
      </c>
      <c r="I2431" s="3" t="s">
        <v>295</v>
      </c>
      <c r="J2431" s="3" t="s">
        <v>131</v>
      </c>
      <c r="K2431" s="3">
        <v>7</v>
      </c>
      <c r="L2431" s="3">
        <v>17847.900000000001</v>
      </c>
      <c r="M2431" s="3">
        <v>124935.3</v>
      </c>
      <c r="N2431" s="3">
        <v>101657.31</v>
      </c>
      <c r="O2431" s="3">
        <v>23277.99</v>
      </c>
      <c r="P2431" s="3" t="s">
        <v>26</v>
      </c>
    </row>
    <row r="2432" spans="1:16" x14ac:dyDescent="0.35">
      <c r="A2432" s="3" t="s">
        <v>3796</v>
      </c>
      <c r="B2432" s="3" t="s">
        <v>524</v>
      </c>
      <c r="C2432" s="3" t="s">
        <v>89</v>
      </c>
      <c r="D2432" s="3" t="s">
        <v>19</v>
      </c>
      <c r="E2432" s="3" t="s">
        <v>199</v>
      </c>
      <c r="F2432" s="3" t="s">
        <v>200</v>
      </c>
      <c r="G2432" s="3" t="s">
        <v>41</v>
      </c>
      <c r="H2432" s="3" t="s">
        <v>61</v>
      </c>
      <c r="I2432" s="3" t="s">
        <v>2417</v>
      </c>
      <c r="J2432" s="3" t="s">
        <v>106</v>
      </c>
      <c r="K2432" s="3">
        <v>2</v>
      </c>
      <c r="L2432" s="3">
        <v>2479.88</v>
      </c>
      <c r="M2432" s="3">
        <v>4959.76</v>
      </c>
      <c r="N2432" s="3">
        <v>3082.52</v>
      </c>
      <c r="O2432" s="3">
        <v>1877.24</v>
      </c>
      <c r="P2432" s="3" t="s">
        <v>34</v>
      </c>
    </row>
    <row r="2433" spans="1:16" x14ac:dyDescent="0.35">
      <c r="A2433" s="3" t="s">
        <v>3797</v>
      </c>
      <c r="B2433" s="3" t="s">
        <v>852</v>
      </c>
      <c r="C2433" s="3" t="s">
        <v>118</v>
      </c>
      <c r="D2433" s="3" t="s">
        <v>90</v>
      </c>
      <c r="E2433" s="3" t="s">
        <v>119</v>
      </c>
      <c r="F2433" s="3" t="s">
        <v>120</v>
      </c>
      <c r="G2433" s="3" t="s">
        <v>51</v>
      </c>
      <c r="H2433" s="3" t="s">
        <v>145</v>
      </c>
      <c r="I2433" s="3" t="s">
        <v>3205</v>
      </c>
      <c r="J2433" s="3" t="s">
        <v>188</v>
      </c>
      <c r="K2433" s="3">
        <v>2</v>
      </c>
      <c r="L2433" s="3">
        <v>131.30000000000001</v>
      </c>
      <c r="M2433" s="3">
        <v>262.60000000000002</v>
      </c>
      <c r="N2433" s="3">
        <v>125.2</v>
      </c>
      <c r="O2433" s="3">
        <v>137.4</v>
      </c>
      <c r="P2433" s="3" t="s">
        <v>26</v>
      </c>
    </row>
    <row r="2434" spans="1:16" x14ac:dyDescent="0.35">
      <c r="A2434" s="3" t="s">
        <v>3798</v>
      </c>
      <c r="B2434" s="3" t="s">
        <v>242</v>
      </c>
      <c r="C2434" s="3" t="s">
        <v>137</v>
      </c>
      <c r="D2434" s="3" t="s">
        <v>90</v>
      </c>
      <c r="E2434" s="3" t="s">
        <v>97</v>
      </c>
      <c r="F2434" s="3" t="s">
        <v>98</v>
      </c>
      <c r="G2434" s="3" t="s">
        <v>41</v>
      </c>
      <c r="H2434" s="3" t="s">
        <v>42</v>
      </c>
      <c r="I2434" s="3" t="s">
        <v>269</v>
      </c>
      <c r="J2434" s="3" t="s">
        <v>25</v>
      </c>
      <c r="K2434" s="3">
        <v>5</v>
      </c>
      <c r="L2434" s="3">
        <v>41322.89</v>
      </c>
      <c r="M2434" s="3">
        <v>206614.45</v>
      </c>
      <c r="N2434" s="3">
        <v>178729.53</v>
      </c>
      <c r="O2434" s="3">
        <v>27884.92</v>
      </c>
      <c r="P2434" s="3" t="s">
        <v>69</v>
      </c>
    </row>
    <row r="2435" spans="1:16" x14ac:dyDescent="0.35">
      <c r="A2435" s="3" t="s">
        <v>3799</v>
      </c>
      <c r="B2435" s="3" t="s">
        <v>782</v>
      </c>
      <c r="C2435" s="3" t="s">
        <v>114</v>
      </c>
      <c r="D2435" s="3" t="s">
        <v>90</v>
      </c>
      <c r="E2435" s="3" t="s">
        <v>91</v>
      </c>
      <c r="F2435" s="3" t="s">
        <v>92</v>
      </c>
      <c r="G2435" s="3" t="s">
        <v>30</v>
      </c>
      <c r="H2435" s="3" t="s">
        <v>73</v>
      </c>
      <c r="I2435" s="3" t="s">
        <v>841</v>
      </c>
      <c r="J2435" s="3" t="s">
        <v>188</v>
      </c>
      <c r="K2435" s="3">
        <v>8</v>
      </c>
      <c r="L2435" s="3">
        <v>3177.14</v>
      </c>
      <c r="M2435" s="3">
        <v>25417.119999999999</v>
      </c>
      <c r="N2435" s="3">
        <v>19296.73</v>
      </c>
      <c r="O2435" s="3">
        <v>6120.39</v>
      </c>
      <c r="P2435" s="3" t="s">
        <v>45</v>
      </c>
    </row>
    <row r="2436" spans="1:16" x14ac:dyDescent="0.35">
      <c r="A2436" s="3" t="s">
        <v>3800</v>
      </c>
      <c r="B2436" s="3" t="s">
        <v>1755</v>
      </c>
      <c r="C2436" s="3" t="s">
        <v>57</v>
      </c>
      <c r="D2436" s="3" t="s">
        <v>19</v>
      </c>
      <c r="E2436" s="3" t="s">
        <v>20</v>
      </c>
      <c r="F2436" s="3" t="s">
        <v>21</v>
      </c>
      <c r="G2436" s="3" t="s">
        <v>41</v>
      </c>
      <c r="H2436" s="3" t="s">
        <v>42</v>
      </c>
      <c r="I2436" s="3" t="s">
        <v>1744</v>
      </c>
      <c r="J2436" s="3" t="s">
        <v>85</v>
      </c>
      <c r="K2436" s="3">
        <v>7</v>
      </c>
      <c r="L2436" s="3">
        <v>42449.31</v>
      </c>
      <c r="M2436" s="3">
        <v>297145.17</v>
      </c>
      <c r="N2436" s="3">
        <v>245846.46</v>
      </c>
      <c r="O2436" s="3">
        <v>51298.71</v>
      </c>
      <c r="P2436" s="3" t="s">
        <v>86</v>
      </c>
    </row>
    <row r="2437" spans="1:16" x14ac:dyDescent="0.35">
      <c r="A2437" s="3" t="s">
        <v>3801</v>
      </c>
      <c r="B2437" s="3" t="s">
        <v>1053</v>
      </c>
      <c r="C2437" s="3" t="s">
        <v>82</v>
      </c>
      <c r="D2437" s="3" t="s">
        <v>58</v>
      </c>
      <c r="E2437" s="3" t="s">
        <v>59</v>
      </c>
      <c r="F2437" s="3" t="s">
        <v>60</v>
      </c>
      <c r="G2437" s="3" t="s">
        <v>41</v>
      </c>
      <c r="H2437" s="3" t="s">
        <v>138</v>
      </c>
      <c r="I2437" s="3" t="s">
        <v>1006</v>
      </c>
      <c r="J2437" s="3" t="s">
        <v>147</v>
      </c>
      <c r="K2437" s="3">
        <v>6</v>
      </c>
      <c r="L2437" s="3">
        <v>16972.88</v>
      </c>
      <c r="M2437" s="3">
        <v>101837.28</v>
      </c>
      <c r="N2437" s="3">
        <v>87843.79</v>
      </c>
      <c r="O2437" s="3">
        <v>13993.49</v>
      </c>
      <c r="P2437" s="3" t="s">
        <v>86</v>
      </c>
    </row>
    <row r="2438" spans="1:16" x14ac:dyDescent="0.35">
      <c r="A2438" s="3" t="s">
        <v>3802</v>
      </c>
      <c r="B2438" s="3" t="s">
        <v>877</v>
      </c>
      <c r="C2438" s="3" t="s">
        <v>114</v>
      </c>
      <c r="D2438" s="3" t="s">
        <v>19</v>
      </c>
      <c r="E2438" s="3" t="s">
        <v>49</v>
      </c>
      <c r="F2438" s="3" t="s">
        <v>50</v>
      </c>
      <c r="G2438" s="3" t="s">
        <v>22</v>
      </c>
      <c r="H2438" s="3" t="s">
        <v>93</v>
      </c>
      <c r="I2438" s="3" t="s">
        <v>1514</v>
      </c>
      <c r="J2438" s="3" t="s">
        <v>54</v>
      </c>
      <c r="K2438" s="3">
        <v>7</v>
      </c>
      <c r="L2438" s="3">
        <v>7008.69</v>
      </c>
      <c r="M2438" s="3">
        <v>49060.83</v>
      </c>
      <c r="N2438" s="3">
        <v>33897.75</v>
      </c>
      <c r="O2438" s="3">
        <v>15163.08</v>
      </c>
      <c r="P2438" s="3" t="s">
        <v>34</v>
      </c>
    </row>
    <row r="2439" spans="1:16" x14ac:dyDescent="0.35">
      <c r="A2439" s="3" t="s">
        <v>3803</v>
      </c>
      <c r="B2439" s="3" t="s">
        <v>1062</v>
      </c>
      <c r="C2439" s="3" t="s">
        <v>89</v>
      </c>
      <c r="D2439" s="3" t="s">
        <v>90</v>
      </c>
      <c r="E2439" s="3" t="s">
        <v>91</v>
      </c>
      <c r="F2439" s="3" t="s">
        <v>92</v>
      </c>
      <c r="G2439" s="3" t="s">
        <v>22</v>
      </c>
      <c r="H2439" s="3" t="s">
        <v>83</v>
      </c>
      <c r="I2439" s="3" t="s">
        <v>1118</v>
      </c>
      <c r="J2439" s="3" t="s">
        <v>161</v>
      </c>
      <c r="K2439" s="3">
        <v>2</v>
      </c>
      <c r="L2439" s="3">
        <v>19928.2</v>
      </c>
      <c r="M2439" s="3">
        <v>39856.400000000001</v>
      </c>
      <c r="N2439" s="3">
        <v>34651.839999999997</v>
      </c>
      <c r="O2439" s="3">
        <v>5204.5600000000004</v>
      </c>
      <c r="P2439" s="3" t="s">
        <v>69</v>
      </c>
    </row>
    <row r="2440" spans="1:16" x14ac:dyDescent="0.35">
      <c r="A2440" s="3" t="s">
        <v>3804</v>
      </c>
      <c r="B2440" s="3" t="s">
        <v>166</v>
      </c>
      <c r="C2440" s="3" t="s">
        <v>37</v>
      </c>
      <c r="D2440" s="3" t="s">
        <v>38</v>
      </c>
      <c r="E2440" s="3" t="s">
        <v>39</v>
      </c>
      <c r="F2440" s="3" t="s">
        <v>40</v>
      </c>
      <c r="G2440" s="3" t="s">
        <v>30</v>
      </c>
      <c r="H2440" s="3" t="s">
        <v>73</v>
      </c>
      <c r="I2440" s="3" t="s">
        <v>3587</v>
      </c>
      <c r="J2440" s="3" t="s">
        <v>33</v>
      </c>
      <c r="K2440" s="3">
        <v>2</v>
      </c>
      <c r="L2440" s="3">
        <v>3300.51</v>
      </c>
      <c r="M2440" s="3">
        <v>6601.02</v>
      </c>
      <c r="N2440" s="3">
        <v>4914.16</v>
      </c>
      <c r="O2440" s="3">
        <v>1686.86</v>
      </c>
      <c r="P2440" s="3" t="s">
        <v>69</v>
      </c>
    </row>
    <row r="2441" spans="1:16" x14ac:dyDescent="0.35">
      <c r="A2441" s="3" t="s">
        <v>3805</v>
      </c>
      <c r="B2441" s="3" t="s">
        <v>723</v>
      </c>
      <c r="C2441" s="3" t="s">
        <v>137</v>
      </c>
      <c r="D2441" s="3" t="s">
        <v>90</v>
      </c>
      <c r="E2441" s="3" t="s">
        <v>97</v>
      </c>
      <c r="F2441" s="3" t="s">
        <v>98</v>
      </c>
      <c r="G2441" s="3" t="s">
        <v>51</v>
      </c>
      <c r="H2441" s="3" t="s">
        <v>145</v>
      </c>
      <c r="I2441" s="3" t="s">
        <v>1929</v>
      </c>
      <c r="J2441" s="3" t="s">
        <v>106</v>
      </c>
      <c r="K2441" s="3">
        <v>7</v>
      </c>
      <c r="L2441" s="3">
        <v>118.88</v>
      </c>
      <c r="M2441" s="3">
        <v>832.16</v>
      </c>
      <c r="N2441" s="3">
        <v>432.03</v>
      </c>
      <c r="O2441" s="3">
        <v>400.13</v>
      </c>
      <c r="P2441" s="3" t="s">
        <v>69</v>
      </c>
    </row>
    <row r="2442" spans="1:16" x14ac:dyDescent="0.35">
      <c r="A2442" s="3" t="s">
        <v>3806</v>
      </c>
      <c r="B2442" s="3" t="s">
        <v>1687</v>
      </c>
      <c r="C2442" s="3" t="s">
        <v>18</v>
      </c>
      <c r="D2442" s="3" t="s">
        <v>90</v>
      </c>
      <c r="E2442" s="3" t="s">
        <v>91</v>
      </c>
      <c r="F2442" s="3" t="s">
        <v>92</v>
      </c>
      <c r="G2442" s="3" t="s">
        <v>41</v>
      </c>
      <c r="H2442" s="3" t="s">
        <v>42</v>
      </c>
      <c r="I2442" s="3" t="s">
        <v>1243</v>
      </c>
      <c r="J2442" s="3" t="s">
        <v>147</v>
      </c>
      <c r="K2442" s="3">
        <v>7</v>
      </c>
      <c r="L2442" s="3">
        <v>41517.14</v>
      </c>
      <c r="M2442" s="3">
        <v>290619.98</v>
      </c>
      <c r="N2442" s="3">
        <v>247347.17</v>
      </c>
      <c r="O2442" s="3">
        <v>43272.81</v>
      </c>
      <c r="P2442" s="3" t="s">
        <v>26</v>
      </c>
    </row>
    <row r="2443" spans="1:16" x14ac:dyDescent="0.35">
      <c r="A2443" s="3" t="s">
        <v>3807</v>
      </c>
      <c r="B2443" s="3" t="s">
        <v>302</v>
      </c>
      <c r="C2443" s="3" t="s">
        <v>103</v>
      </c>
      <c r="D2443" s="3" t="s">
        <v>90</v>
      </c>
      <c r="E2443" s="3" t="s">
        <v>97</v>
      </c>
      <c r="F2443" s="3" t="s">
        <v>98</v>
      </c>
      <c r="G2443" s="3" t="s">
        <v>22</v>
      </c>
      <c r="H2443" s="3" t="s">
        <v>93</v>
      </c>
      <c r="I2443" s="3" t="s">
        <v>374</v>
      </c>
      <c r="J2443" s="3" t="s">
        <v>171</v>
      </c>
      <c r="K2443" s="3">
        <v>1</v>
      </c>
      <c r="L2443" s="3">
        <v>6503.57</v>
      </c>
      <c r="M2443" s="3">
        <v>6503.57</v>
      </c>
      <c r="N2443" s="3">
        <v>4964.28</v>
      </c>
      <c r="O2443" s="3">
        <v>1539.29</v>
      </c>
      <c r="P2443" s="3" t="s">
        <v>26</v>
      </c>
    </row>
    <row r="2444" spans="1:16" x14ac:dyDescent="0.35">
      <c r="A2444" s="3" t="s">
        <v>3808</v>
      </c>
      <c r="B2444" s="3" t="s">
        <v>1301</v>
      </c>
      <c r="C2444" s="3" t="s">
        <v>18</v>
      </c>
      <c r="D2444" s="3" t="s">
        <v>38</v>
      </c>
      <c r="E2444" s="3" t="s">
        <v>104</v>
      </c>
      <c r="F2444" s="3" t="s">
        <v>104</v>
      </c>
      <c r="G2444" s="3" t="s">
        <v>22</v>
      </c>
      <c r="H2444" s="3" t="s">
        <v>23</v>
      </c>
      <c r="I2444" s="3" t="s">
        <v>1514</v>
      </c>
      <c r="J2444" s="3" t="s">
        <v>147</v>
      </c>
      <c r="K2444" s="3">
        <v>5</v>
      </c>
      <c r="L2444" s="3">
        <v>3735.37</v>
      </c>
      <c r="M2444" s="3">
        <v>18676.849999999999</v>
      </c>
      <c r="N2444" s="3">
        <v>10857.58</v>
      </c>
      <c r="O2444" s="3">
        <v>7819.27</v>
      </c>
      <c r="P2444" s="3" t="s">
        <v>26</v>
      </c>
    </row>
    <row r="2445" spans="1:16" x14ac:dyDescent="0.35">
      <c r="A2445" s="3" t="s">
        <v>3809</v>
      </c>
      <c r="B2445" s="3" t="s">
        <v>136</v>
      </c>
      <c r="C2445" s="3" t="s">
        <v>137</v>
      </c>
      <c r="D2445" s="3" t="s">
        <v>38</v>
      </c>
      <c r="E2445" s="3" t="s">
        <v>104</v>
      </c>
      <c r="F2445" s="3" t="s">
        <v>104</v>
      </c>
      <c r="G2445" s="3" t="s">
        <v>22</v>
      </c>
      <c r="H2445" s="3" t="s">
        <v>83</v>
      </c>
      <c r="I2445" s="3" t="s">
        <v>142</v>
      </c>
      <c r="J2445" s="3" t="s">
        <v>44</v>
      </c>
      <c r="K2445" s="3">
        <v>4</v>
      </c>
      <c r="L2445" s="3">
        <v>20297.45</v>
      </c>
      <c r="M2445" s="3">
        <v>81189.8</v>
      </c>
      <c r="N2445" s="3">
        <v>67234.83</v>
      </c>
      <c r="O2445" s="3">
        <v>13954.97</v>
      </c>
      <c r="P2445" s="3" t="s">
        <v>26</v>
      </c>
    </row>
    <row r="2446" spans="1:16" x14ac:dyDescent="0.35">
      <c r="A2446" s="3" t="s">
        <v>3810</v>
      </c>
      <c r="B2446" s="3" t="s">
        <v>740</v>
      </c>
      <c r="C2446" s="3" t="s">
        <v>29</v>
      </c>
      <c r="D2446" s="3" t="s">
        <v>38</v>
      </c>
      <c r="E2446" s="3" t="s">
        <v>39</v>
      </c>
      <c r="F2446" s="3" t="s">
        <v>40</v>
      </c>
      <c r="G2446" s="3" t="s">
        <v>51</v>
      </c>
      <c r="H2446" s="3" t="s">
        <v>52</v>
      </c>
      <c r="I2446" s="3" t="s">
        <v>1256</v>
      </c>
      <c r="J2446" s="3" t="s">
        <v>188</v>
      </c>
      <c r="K2446" s="3">
        <v>8</v>
      </c>
      <c r="L2446" s="3">
        <v>22.64</v>
      </c>
      <c r="M2446" s="3">
        <v>181.12</v>
      </c>
      <c r="N2446" s="3">
        <v>83.55</v>
      </c>
      <c r="O2446" s="3">
        <v>97.57</v>
      </c>
      <c r="P2446" s="3" t="s">
        <v>69</v>
      </c>
    </row>
    <row r="2447" spans="1:16" x14ac:dyDescent="0.35">
      <c r="A2447" s="3" t="s">
        <v>3811</v>
      </c>
      <c r="B2447" s="3" t="s">
        <v>740</v>
      </c>
      <c r="C2447" s="3" t="s">
        <v>29</v>
      </c>
      <c r="D2447" s="3" t="s">
        <v>58</v>
      </c>
      <c r="E2447" s="3" t="s">
        <v>176</v>
      </c>
      <c r="F2447" s="3" t="s">
        <v>177</v>
      </c>
      <c r="G2447" s="3" t="s">
        <v>51</v>
      </c>
      <c r="H2447" s="3" t="s">
        <v>52</v>
      </c>
      <c r="I2447" s="3" t="s">
        <v>1584</v>
      </c>
      <c r="J2447" s="3" t="s">
        <v>100</v>
      </c>
      <c r="K2447" s="3">
        <v>2</v>
      </c>
      <c r="L2447" s="3">
        <v>24.94</v>
      </c>
      <c r="M2447" s="3">
        <v>49.88</v>
      </c>
      <c r="N2447" s="3">
        <v>19.25</v>
      </c>
      <c r="O2447" s="3">
        <v>30.63</v>
      </c>
      <c r="P2447" s="3" t="s">
        <v>34</v>
      </c>
    </row>
    <row r="2448" spans="1:16" x14ac:dyDescent="0.35">
      <c r="A2448" s="3" t="s">
        <v>3812</v>
      </c>
      <c r="B2448" s="3" t="s">
        <v>133</v>
      </c>
      <c r="C2448" s="3" t="s">
        <v>18</v>
      </c>
      <c r="D2448" s="3" t="s">
        <v>19</v>
      </c>
      <c r="E2448" s="3" t="s">
        <v>199</v>
      </c>
      <c r="F2448" s="3" t="s">
        <v>200</v>
      </c>
      <c r="G2448" s="3" t="s">
        <v>22</v>
      </c>
      <c r="H2448" s="3" t="s">
        <v>93</v>
      </c>
      <c r="I2448" s="3" t="s">
        <v>2635</v>
      </c>
      <c r="J2448" s="3" t="s">
        <v>131</v>
      </c>
      <c r="K2448" s="3">
        <v>1</v>
      </c>
      <c r="L2448" s="3">
        <v>7389.92</v>
      </c>
      <c r="M2448" s="3">
        <v>7389.92</v>
      </c>
      <c r="N2448" s="3">
        <v>5085.62</v>
      </c>
      <c r="O2448" s="3">
        <v>2304.3000000000002</v>
      </c>
      <c r="P2448" s="3" t="s">
        <v>26</v>
      </c>
    </row>
    <row r="2449" spans="1:16" x14ac:dyDescent="0.35">
      <c r="A2449" s="3" t="s">
        <v>3813</v>
      </c>
      <c r="B2449" s="3" t="s">
        <v>612</v>
      </c>
      <c r="C2449" s="3" t="s">
        <v>57</v>
      </c>
      <c r="D2449" s="3" t="s">
        <v>58</v>
      </c>
      <c r="E2449" s="3" t="s">
        <v>65</v>
      </c>
      <c r="F2449" s="3" t="s">
        <v>66</v>
      </c>
      <c r="G2449" s="3" t="s">
        <v>22</v>
      </c>
      <c r="H2449" s="3" t="s">
        <v>83</v>
      </c>
      <c r="I2449" s="3" t="s">
        <v>848</v>
      </c>
      <c r="J2449" s="3" t="s">
        <v>79</v>
      </c>
      <c r="K2449" s="3">
        <v>3</v>
      </c>
      <c r="L2449" s="3">
        <v>23483.68</v>
      </c>
      <c r="M2449" s="3">
        <v>70451.039999999994</v>
      </c>
      <c r="N2449" s="3">
        <v>51100.75</v>
      </c>
      <c r="O2449" s="3">
        <v>19350.29</v>
      </c>
      <c r="P2449" s="3" t="s">
        <v>69</v>
      </c>
    </row>
    <row r="2450" spans="1:16" x14ac:dyDescent="0.35">
      <c r="A2450" s="3" t="s">
        <v>3814</v>
      </c>
      <c r="B2450" s="3" t="s">
        <v>1752</v>
      </c>
      <c r="C2450" s="3" t="s">
        <v>114</v>
      </c>
      <c r="D2450" s="3" t="s">
        <v>19</v>
      </c>
      <c r="E2450" s="3" t="s">
        <v>199</v>
      </c>
      <c r="F2450" s="3" t="s">
        <v>200</v>
      </c>
      <c r="G2450" s="3" t="s">
        <v>30</v>
      </c>
      <c r="H2450" s="3" t="s">
        <v>67</v>
      </c>
      <c r="I2450" s="3" t="s">
        <v>584</v>
      </c>
      <c r="J2450" s="3" t="s">
        <v>85</v>
      </c>
      <c r="K2450" s="3">
        <v>1</v>
      </c>
      <c r="L2450" s="3">
        <v>9195.98</v>
      </c>
      <c r="M2450" s="3">
        <v>9195.98</v>
      </c>
      <c r="N2450" s="3">
        <v>7291.57</v>
      </c>
      <c r="O2450" s="3">
        <v>1904.41</v>
      </c>
      <c r="P2450" s="3" t="s">
        <v>26</v>
      </c>
    </row>
    <row r="2451" spans="1:16" x14ac:dyDescent="0.35">
      <c r="A2451" s="3" t="s">
        <v>3815</v>
      </c>
      <c r="B2451" s="3" t="s">
        <v>1999</v>
      </c>
      <c r="C2451" s="3" t="s">
        <v>114</v>
      </c>
      <c r="D2451" s="3" t="s">
        <v>19</v>
      </c>
      <c r="E2451" s="3" t="s">
        <v>20</v>
      </c>
      <c r="F2451" s="3" t="s">
        <v>21</v>
      </c>
      <c r="G2451" s="3" t="s">
        <v>22</v>
      </c>
      <c r="H2451" s="3" t="s">
        <v>83</v>
      </c>
      <c r="I2451" s="3" t="s">
        <v>2843</v>
      </c>
      <c r="J2451" s="3" t="s">
        <v>44</v>
      </c>
      <c r="K2451" s="3">
        <v>6</v>
      </c>
      <c r="L2451" s="3">
        <v>23472.35</v>
      </c>
      <c r="M2451" s="3">
        <v>140834.1</v>
      </c>
      <c r="N2451" s="3">
        <v>98592.99</v>
      </c>
      <c r="O2451" s="3">
        <v>42241.11</v>
      </c>
      <c r="P2451" s="3" t="s">
        <v>45</v>
      </c>
    </row>
    <row r="2452" spans="1:16" x14ac:dyDescent="0.35">
      <c r="A2452" s="3" t="s">
        <v>3816</v>
      </c>
      <c r="B2452" s="3" t="s">
        <v>1594</v>
      </c>
      <c r="C2452" s="3" t="s">
        <v>48</v>
      </c>
      <c r="D2452" s="3" t="s">
        <v>90</v>
      </c>
      <c r="E2452" s="3" t="s">
        <v>97</v>
      </c>
      <c r="F2452" s="3" t="s">
        <v>98</v>
      </c>
      <c r="G2452" s="3" t="s">
        <v>51</v>
      </c>
      <c r="H2452" s="3" t="s">
        <v>145</v>
      </c>
      <c r="I2452" s="3" t="s">
        <v>2567</v>
      </c>
      <c r="J2452" s="3" t="s">
        <v>147</v>
      </c>
      <c r="K2452" s="3">
        <v>8</v>
      </c>
      <c r="L2452" s="3">
        <v>116.13</v>
      </c>
      <c r="M2452" s="3">
        <v>929.04</v>
      </c>
      <c r="N2452" s="3">
        <v>499.4</v>
      </c>
      <c r="O2452" s="3">
        <v>429.64</v>
      </c>
      <c r="P2452" s="3" t="s">
        <v>34</v>
      </c>
    </row>
    <row r="2453" spans="1:16" x14ac:dyDescent="0.35">
      <c r="A2453" s="3" t="s">
        <v>3817</v>
      </c>
      <c r="B2453" s="3" t="s">
        <v>840</v>
      </c>
      <c r="C2453" s="3" t="s">
        <v>57</v>
      </c>
      <c r="D2453" s="3" t="s">
        <v>38</v>
      </c>
      <c r="E2453" s="3" t="s">
        <v>109</v>
      </c>
      <c r="F2453" s="3" t="s">
        <v>110</v>
      </c>
      <c r="G2453" s="3" t="s">
        <v>41</v>
      </c>
      <c r="H2453" s="3" t="s">
        <v>138</v>
      </c>
      <c r="I2453" s="3" t="s">
        <v>1817</v>
      </c>
      <c r="J2453" s="3" t="s">
        <v>154</v>
      </c>
      <c r="K2453" s="3">
        <v>1</v>
      </c>
      <c r="L2453" s="3">
        <v>17759.830000000002</v>
      </c>
      <c r="M2453" s="3">
        <v>17759.830000000002</v>
      </c>
      <c r="N2453" s="3">
        <v>13808.01</v>
      </c>
      <c r="O2453" s="3">
        <v>3951.82</v>
      </c>
      <c r="P2453" s="3" t="s">
        <v>45</v>
      </c>
    </row>
    <row r="2454" spans="1:16" x14ac:dyDescent="0.35">
      <c r="A2454" s="3" t="s">
        <v>3818</v>
      </c>
      <c r="B2454" s="3" t="s">
        <v>552</v>
      </c>
      <c r="C2454" s="3" t="s">
        <v>89</v>
      </c>
      <c r="D2454" s="3" t="s">
        <v>90</v>
      </c>
      <c r="E2454" s="3" t="s">
        <v>119</v>
      </c>
      <c r="F2454" s="3" t="s">
        <v>120</v>
      </c>
      <c r="G2454" s="3" t="s">
        <v>51</v>
      </c>
      <c r="H2454" s="3" t="s">
        <v>52</v>
      </c>
      <c r="I2454" s="3" t="s">
        <v>295</v>
      </c>
      <c r="J2454" s="3" t="s">
        <v>131</v>
      </c>
      <c r="K2454" s="3">
        <v>5</v>
      </c>
      <c r="L2454" s="3">
        <v>26.9</v>
      </c>
      <c r="M2454" s="3">
        <v>134.5</v>
      </c>
      <c r="N2454" s="3">
        <v>50.02</v>
      </c>
      <c r="O2454" s="3">
        <v>84.48</v>
      </c>
      <c r="P2454" s="3" t="s">
        <v>69</v>
      </c>
    </row>
    <row r="2455" spans="1:16" x14ac:dyDescent="0.35">
      <c r="A2455" s="3" t="s">
        <v>3819</v>
      </c>
      <c r="B2455" s="3" t="s">
        <v>102</v>
      </c>
      <c r="C2455" s="3" t="s">
        <v>103</v>
      </c>
      <c r="D2455" s="3" t="s">
        <v>38</v>
      </c>
      <c r="E2455" s="3" t="s">
        <v>109</v>
      </c>
      <c r="F2455" s="3" t="s">
        <v>110</v>
      </c>
      <c r="G2455" s="3" t="s">
        <v>22</v>
      </c>
      <c r="H2455" s="3" t="s">
        <v>83</v>
      </c>
      <c r="I2455" s="3" t="s">
        <v>637</v>
      </c>
      <c r="J2455" s="3" t="s">
        <v>154</v>
      </c>
      <c r="K2455" s="3">
        <v>2</v>
      </c>
      <c r="L2455" s="3">
        <v>22164.58</v>
      </c>
      <c r="M2455" s="3">
        <v>44329.16</v>
      </c>
      <c r="N2455" s="3">
        <v>35122.449999999997</v>
      </c>
      <c r="O2455" s="3">
        <v>9206.7099999999991</v>
      </c>
      <c r="P2455" s="3" t="s">
        <v>69</v>
      </c>
    </row>
    <row r="2456" spans="1:16" x14ac:dyDescent="0.35">
      <c r="A2456" s="3" t="s">
        <v>3820</v>
      </c>
      <c r="B2456" s="3" t="s">
        <v>1471</v>
      </c>
      <c r="C2456" s="3" t="s">
        <v>89</v>
      </c>
      <c r="D2456" s="3" t="s">
        <v>19</v>
      </c>
      <c r="E2456" s="3" t="s">
        <v>20</v>
      </c>
      <c r="F2456" s="3" t="s">
        <v>21</v>
      </c>
      <c r="G2456" s="3" t="s">
        <v>51</v>
      </c>
      <c r="H2456" s="3" t="s">
        <v>52</v>
      </c>
      <c r="I2456" s="3" t="s">
        <v>3397</v>
      </c>
      <c r="J2456" s="3" t="s">
        <v>106</v>
      </c>
      <c r="K2456" s="3">
        <v>5</v>
      </c>
      <c r="L2456" s="3">
        <v>25.82</v>
      </c>
      <c r="M2456" s="3">
        <v>129.1</v>
      </c>
      <c r="N2456" s="3">
        <v>47.95</v>
      </c>
      <c r="O2456" s="3">
        <v>81.150000000000006</v>
      </c>
      <c r="P2456" s="3" t="s">
        <v>26</v>
      </c>
    </row>
    <row r="2457" spans="1:16" x14ac:dyDescent="0.35">
      <c r="A2457" s="3" t="s">
        <v>3821</v>
      </c>
      <c r="B2457" s="3" t="s">
        <v>81</v>
      </c>
      <c r="C2457" s="3" t="s">
        <v>82</v>
      </c>
      <c r="D2457" s="3" t="s">
        <v>58</v>
      </c>
      <c r="E2457" s="3" t="s">
        <v>59</v>
      </c>
      <c r="F2457" s="3" t="s">
        <v>60</v>
      </c>
      <c r="G2457" s="3" t="s">
        <v>30</v>
      </c>
      <c r="H2457" s="3" t="s">
        <v>67</v>
      </c>
      <c r="I2457" s="3" t="s">
        <v>1598</v>
      </c>
      <c r="J2457" s="3" t="s">
        <v>25</v>
      </c>
      <c r="K2457" s="3">
        <v>8</v>
      </c>
      <c r="L2457" s="3">
        <v>9001.8799999999992</v>
      </c>
      <c r="M2457" s="3">
        <v>72015.039999999994</v>
      </c>
      <c r="N2457" s="3">
        <v>59557.08</v>
      </c>
      <c r="O2457" s="3">
        <v>12457.96</v>
      </c>
      <c r="P2457" s="3" t="s">
        <v>86</v>
      </c>
    </row>
    <row r="2458" spans="1:16" x14ac:dyDescent="0.35">
      <c r="A2458" s="3" t="s">
        <v>3822</v>
      </c>
      <c r="B2458" s="3" t="s">
        <v>1600</v>
      </c>
      <c r="C2458" s="3" t="s">
        <v>103</v>
      </c>
      <c r="D2458" s="3" t="s">
        <v>58</v>
      </c>
      <c r="E2458" s="3" t="s">
        <v>65</v>
      </c>
      <c r="F2458" s="3" t="s">
        <v>66</v>
      </c>
      <c r="G2458" s="3" t="s">
        <v>51</v>
      </c>
      <c r="H2458" s="3" t="s">
        <v>145</v>
      </c>
      <c r="I2458" s="3" t="s">
        <v>1791</v>
      </c>
      <c r="J2458" s="3" t="s">
        <v>161</v>
      </c>
      <c r="K2458" s="3">
        <v>7</v>
      </c>
      <c r="L2458" s="3">
        <v>109.25</v>
      </c>
      <c r="M2458" s="3">
        <v>764.75</v>
      </c>
      <c r="N2458" s="3">
        <v>411.6</v>
      </c>
      <c r="O2458" s="3">
        <v>353.15</v>
      </c>
      <c r="P2458" s="3" t="s">
        <v>34</v>
      </c>
    </row>
    <row r="2459" spans="1:16" x14ac:dyDescent="0.35">
      <c r="A2459" s="3" t="s">
        <v>3823</v>
      </c>
      <c r="B2459" s="3" t="s">
        <v>1301</v>
      </c>
      <c r="C2459" s="3" t="s">
        <v>18</v>
      </c>
      <c r="D2459" s="3" t="s">
        <v>90</v>
      </c>
      <c r="E2459" s="3" t="s">
        <v>119</v>
      </c>
      <c r="F2459" s="3" t="s">
        <v>120</v>
      </c>
      <c r="G2459" s="3" t="s">
        <v>41</v>
      </c>
      <c r="H2459" s="3" t="s">
        <v>138</v>
      </c>
      <c r="I2459" s="3" t="s">
        <v>486</v>
      </c>
      <c r="J2459" s="3" t="s">
        <v>171</v>
      </c>
      <c r="K2459" s="3">
        <v>5</v>
      </c>
      <c r="L2459" s="3">
        <v>16396.22</v>
      </c>
      <c r="M2459" s="3">
        <v>81981.100000000006</v>
      </c>
      <c r="N2459" s="3">
        <v>69681.119999999995</v>
      </c>
      <c r="O2459" s="3">
        <v>12299.98</v>
      </c>
      <c r="P2459" s="3" t="s">
        <v>45</v>
      </c>
    </row>
    <row r="2460" spans="1:16" x14ac:dyDescent="0.35">
      <c r="A2460" s="3" t="s">
        <v>3824</v>
      </c>
      <c r="B2460" s="3" t="s">
        <v>840</v>
      </c>
      <c r="C2460" s="3" t="s">
        <v>57</v>
      </c>
      <c r="D2460" s="3" t="s">
        <v>90</v>
      </c>
      <c r="E2460" s="3" t="s">
        <v>91</v>
      </c>
      <c r="F2460" s="3" t="s">
        <v>92</v>
      </c>
      <c r="G2460" s="3" t="s">
        <v>22</v>
      </c>
      <c r="H2460" s="3" t="s">
        <v>93</v>
      </c>
      <c r="I2460" s="3" t="s">
        <v>522</v>
      </c>
      <c r="J2460" s="3" t="s">
        <v>79</v>
      </c>
      <c r="K2460" s="3">
        <v>6</v>
      </c>
      <c r="L2460" s="3">
        <v>7251.63</v>
      </c>
      <c r="M2460" s="3">
        <v>43509.78</v>
      </c>
      <c r="N2460" s="3">
        <v>30594.59</v>
      </c>
      <c r="O2460" s="3">
        <v>12915.19</v>
      </c>
      <c r="P2460" s="3" t="s">
        <v>26</v>
      </c>
    </row>
    <row r="2461" spans="1:16" x14ac:dyDescent="0.35">
      <c r="A2461" s="3" t="s">
        <v>3825</v>
      </c>
      <c r="B2461" s="3" t="s">
        <v>690</v>
      </c>
      <c r="C2461" s="3" t="s">
        <v>82</v>
      </c>
      <c r="D2461" s="3" t="s">
        <v>58</v>
      </c>
      <c r="E2461" s="3" t="s">
        <v>59</v>
      </c>
      <c r="F2461" s="3" t="s">
        <v>60</v>
      </c>
      <c r="G2461" s="3" t="s">
        <v>41</v>
      </c>
      <c r="H2461" s="3" t="s">
        <v>42</v>
      </c>
      <c r="I2461" s="3" t="s">
        <v>1145</v>
      </c>
      <c r="J2461" s="3" t="s">
        <v>100</v>
      </c>
      <c r="K2461" s="3">
        <v>2</v>
      </c>
      <c r="L2461" s="3">
        <v>46695.49</v>
      </c>
      <c r="M2461" s="3">
        <v>93390.98</v>
      </c>
      <c r="N2461" s="3">
        <v>71828.5</v>
      </c>
      <c r="O2461" s="3">
        <v>21562.48</v>
      </c>
      <c r="P2461" s="3" t="s">
        <v>26</v>
      </c>
    </row>
    <row r="2462" spans="1:16" x14ac:dyDescent="0.35">
      <c r="A2462" s="3" t="s">
        <v>3826</v>
      </c>
      <c r="B2462" s="3" t="s">
        <v>282</v>
      </c>
      <c r="C2462" s="3" t="s">
        <v>114</v>
      </c>
      <c r="D2462" s="3" t="s">
        <v>19</v>
      </c>
      <c r="E2462" s="3" t="s">
        <v>49</v>
      </c>
      <c r="F2462" s="3" t="s">
        <v>50</v>
      </c>
      <c r="G2462" s="3" t="s">
        <v>41</v>
      </c>
      <c r="H2462" s="3" t="s">
        <v>138</v>
      </c>
      <c r="I2462" s="3" t="s">
        <v>679</v>
      </c>
      <c r="J2462" s="3" t="s">
        <v>217</v>
      </c>
      <c r="K2462" s="3">
        <v>7</v>
      </c>
      <c r="L2462" s="3">
        <v>16343.22</v>
      </c>
      <c r="M2462" s="3">
        <v>114402.54</v>
      </c>
      <c r="N2462" s="3">
        <v>95541.43</v>
      </c>
      <c r="O2462" s="3">
        <v>18861.11</v>
      </c>
      <c r="P2462" s="3" t="s">
        <v>69</v>
      </c>
    </row>
    <row r="2463" spans="1:16" x14ac:dyDescent="0.35">
      <c r="A2463" s="3" t="s">
        <v>3827</v>
      </c>
      <c r="B2463" s="3" t="s">
        <v>592</v>
      </c>
      <c r="C2463" s="3" t="s">
        <v>103</v>
      </c>
      <c r="D2463" s="3" t="s">
        <v>58</v>
      </c>
      <c r="E2463" s="3" t="s">
        <v>65</v>
      </c>
      <c r="F2463" s="3" t="s">
        <v>66</v>
      </c>
      <c r="G2463" s="3" t="s">
        <v>22</v>
      </c>
      <c r="H2463" s="3" t="s">
        <v>23</v>
      </c>
      <c r="I2463" s="3" t="s">
        <v>1264</v>
      </c>
      <c r="J2463" s="3" t="s">
        <v>161</v>
      </c>
      <c r="K2463" s="3">
        <v>4</v>
      </c>
      <c r="L2463" s="3">
        <v>3477.16</v>
      </c>
      <c r="M2463" s="3">
        <v>13908.64</v>
      </c>
      <c r="N2463" s="3">
        <v>9230.35</v>
      </c>
      <c r="O2463" s="3">
        <v>4678.29</v>
      </c>
      <c r="P2463" s="3" t="s">
        <v>69</v>
      </c>
    </row>
    <row r="2464" spans="1:16" x14ac:dyDescent="0.35">
      <c r="A2464" s="3" t="s">
        <v>3828</v>
      </c>
      <c r="B2464" s="3" t="s">
        <v>1240</v>
      </c>
      <c r="C2464" s="3" t="s">
        <v>118</v>
      </c>
      <c r="D2464" s="3" t="s">
        <v>58</v>
      </c>
      <c r="E2464" s="3" t="s">
        <v>59</v>
      </c>
      <c r="F2464" s="3" t="s">
        <v>60</v>
      </c>
      <c r="G2464" s="3" t="s">
        <v>22</v>
      </c>
      <c r="H2464" s="3" t="s">
        <v>23</v>
      </c>
      <c r="I2464" s="3" t="s">
        <v>181</v>
      </c>
      <c r="J2464" s="3" t="s">
        <v>54</v>
      </c>
      <c r="K2464" s="3">
        <v>3</v>
      </c>
      <c r="L2464" s="3">
        <v>3756.27</v>
      </c>
      <c r="M2464" s="3">
        <v>11268.81</v>
      </c>
      <c r="N2464" s="3">
        <v>6774.42</v>
      </c>
      <c r="O2464" s="3">
        <v>4494.3900000000003</v>
      </c>
      <c r="P2464" s="3" t="s">
        <v>69</v>
      </c>
    </row>
    <row r="2465" spans="1:16" x14ac:dyDescent="0.35">
      <c r="A2465" s="3" t="s">
        <v>3829</v>
      </c>
      <c r="B2465" s="3" t="s">
        <v>499</v>
      </c>
      <c r="C2465" s="3" t="s">
        <v>103</v>
      </c>
      <c r="D2465" s="3" t="s">
        <v>38</v>
      </c>
      <c r="E2465" s="3" t="s">
        <v>109</v>
      </c>
      <c r="F2465" s="3" t="s">
        <v>110</v>
      </c>
      <c r="G2465" s="3" t="s">
        <v>30</v>
      </c>
      <c r="H2465" s="3" t="s">
        <v>73</v>
      </c>
      <c r="I2465" s="3" t="s">
        <v>838</v>
      </c>
      <c r="J2465" s="3" t="s">
        <v>171</v>
      </c>
      <c r="K2465" s="3">
        <v>6</v>
      </c>
      <c r="L2465" s="3">
        <v>3441.62</v>
      </c>
      <c r="M2465" s="3">
        <v>20649.72</v>
      </c>
      <c r="N2465" s="3">
        <v>13816.54</v>
      </c>
      <c r="O2465" s="3">
        <v>6833.18</v>
      </c>
      <c r="P2465" s="3" t="s">
        <v>34</v>
      </c>
    </row>
    <row r="2466" spans="1:16" x14ac:dyDescent="0.35">
      <c r="A2466" s="3" t="s">
        <v>3830</v>
      </c>
      <c r="B2466" s="3" t="s">
        <v>828</v>
      </c>
      <c r="C2466" s="3" t="s">
        <v>89</v>
      </c>
      <c r="D2466" s="3" t="s">
        <v>58</v>
      </c>
      <c r="E2466" s="3" t="s">
        <v>59</v>
      </c>
      <c r="F2466" s="3" t="s">
        <v>60</v>
      </c>
      <c r="G2466" s="3" t="s">
        <v>30</v>
      </c>
      <c r="H2466" s="3" t="s">
        <v>73</v>
      </c>
      <c r="I2466" s="3" t="s">
        <v>2286</v>
      </c>
      <c r="J2466" s="3" t="s">
        <v>25</v>
      </c>
      <c r="K2466" s="3">
        <v>6</v>
      </c>
      <c r="L2466" s="3">
        <v>3113.55</v>
      </c>
      <c r="M2466" s="3">
        <v>18681.3</v>
      </c>
      <c r="N2466" s="3">
        <v>14661.37</v>
      </c>
      <c r="O2466" s="3">
        <v>4019.93</v>
      </c>
      <c r="P2466" s="3" t="s">
        <v>45</v>
      </c>
    </row>
    <row r="2467" spans="1:16" x14ac:dyDescent="0.35">
      <c r="A2467" s="3" t="s">
        <v>3831</v>
      </c>
      <c r="B2467" s="3" t="s">
        <v>56</v>
      </c>
      <c r="C2467" s="3" t="s">
        <v>57</v>
      </c>
      <c r="D2467" s="3" t="s">
        <v>58</v>
      </c>
      <c r="E2467" s="3" t="s">
        <v>65</v>
      </c>
      <c r="F2467" s="3" t="s">
        <v>66</v>
      </c>
      <c r="G2467" s="3" t="s">
        <v>22</v>
      </c>
      <c r="H2467" s="3" t="s">
        <v>23</v>
      </c>
      <c r="I2467" s="3" t="s">
        <v>1778</v>
      </c>
      <c r="J2467" s="3" t="s">
        <v>54</v>
      </c>
      <c r="K2467" s="3">
        <v>6</v>
      </c>
      <c r="L2467" s="3">
        <v>3686.2</v>
      </c>
      <c r="M2467" s="3">
        <v>22117.200000000001</v>
      </c>
      <c r="N2467" s="3">
        <v>13075.49</v>
      </c>
      <c r="O2467" s="3">
        <v>9041.7099999999991</v>
      </c>
      <c r="P2467" s="3" t="s">
        <v>34</v>
      </c>
    </row>
    <row r="2468" spans="1:16" x14ac:dyDescent="0.35">
      <c r="A2468" s="3" t="s">
        <v>3832</v>
      </c>
      <c r="B2468" s="3" t="s">
        <v>958</v>
      </c>
      <c r="C2468" s="3" t="s">
        <v>118</v>
      </c>
      <c r="D2468" s="3" t="s">
        <v>19</v>
      </c>
      <c r="E2468" s="3" t="s">
        <v>20</v>
      </c>
      <c r="F2468" s="3" t="s">
        <v>21</v>
      </c>
      <c r="G2468" s="3" t="s">
        <v>51</v>
      </c>
      <c r="H2468" s="3" t="s">
        <v>145</v>
      </c>
      <c r="I2468" s="3" t="s">
        <v>2767</v>
      </c>
      <c r="J2468" s="3" t="s">
        <v>131</v>
      </c>
      <c r="K2468" s="3">
        <v>1</v>
      </c>
      <c r="L2468" s="3">
        <v>127.97</v>
      </c>
      <c r="M2468" s="3">
        <v>127.97</v>
      </c>
      <c r="N2468" s="3">
        <v>59</v>
      </c>
      <c r="O2468" s="3">
        <v>68.97</v>
      </c>
      <c r="P2468" s="3" t="s">
        <v>34</v>
      </c>
    </row>
    <row r="2469" spans="1:16" x14ac:dyDescent="0.35">
      <c r="A2469" s="3" t="s">
        <v>3833</v>
      </c>
      <c r="B2469" s="3" t="s">
        <v>452</v>
      </c>
      <c r="C2469" s="3" t="s">
        <v>114</v>
      </c>
      <c r="D2469" s="3" t="s">
        <v>90</v>
      </c>
      <c r="E2469" s="3" t="s">
        <v>119</v>
      </c>
      <c r="F2469" s="3" t="s">
        <v>120</v>
      </c>
      <c r="G2469" s="3" t="s">
        <v>51</v>
      </c>
      <c r="H2469" s="3" t="s">
        <v>145</v>
      </c>
      <c r="I2469" s="3" t="s">
        <v>584</v>
      </c>
      <c r="J2469" s="3" t="s">
        <v>100</v>
      </c>
      <c r="K2469" s="3">
        <v>2</v>
      </c>
      <c r="L2469" s="3">
        <v>125.79</v>
      </c>
      <c r="M2469" s="3">
        <v>251.58</v>
      </c>
      <c r="N2469" s="3">
        <v>118.21</v>
      </c>
      <c r="O2469" s="3">
        <v>133.37</v>
      </c>
      <c r="P2469" s="3" t="s">
        <v>34</v>
      </c>
    </row>
    <row r="2470" spans="1:16" x14ac:dyDescent="0.35">
      <c r="A2470" s="3" t="s">
        <v>3834</v>
      </c>
      <c r="B2470" s="3" t="s">
        <v>392</v>
      </c>
      <c r="C2470" s="3" t="s">
        <v>103</v>
      </c>
      <c r="D2470" s="3" t="s">
        <v>38</v>
      </c>
      <c r="E2470" s="3" t="s">
        <v>109</v>
      </c>
      <c r="F2470" s="3" t="s">
        <v>110</v>
      </c>
      <c r="G2470" s="3" t="s">
        <v>30</v>
      </c>
      <c r="H2470" s="3" t="s">
        <v>67</v>
      </c>
      <c r="I2470" s="3" t="s">
        <v>1817</v>
      </c>
      <c r="J2470" s="3" t="s">
        <v>25</v>
      </c>
      <c r="K2470" s="3">
        <v>3</v>
      </c>
      <c r="L2470" s="3">
        <v>10206.14</v>
      </c>
      <c r="M2470" s="3">
        <v>30618.42</v>
      </c>
      <c r="N2470" s="3">
        <v>22746.18</v>
      </c>
      <c r="O2470" s="3">
        <v>7872.24</v>
      </c>
      <c r="P2470" s="3" t="s">
        <v>45</v>
      </c>
    </row>
    <row r="2471" spans="1:16" x14ac:dyDescent="0.35">
      <c r="A2471" s="3" t="s">
        <v>3835</v>
      </c>
      <c r="B2471" s="3" t="s">
        <v>387</v>
      </c>
      <c r="C2471" s="3" t="s">
        <v>82</v>
      </c>
      <c r="D2471" s="3" t="s">
        <v>90</v>
      </c>
      <c r="E2471" s="3" t="s">
        <v>119</v>
      </c>
      <c r="F2471" s="3" t="s">
        <v>120</v>
      </c>
      <c r="G2471" s="3" t="s">
        <v>41</v>
      </c>
      <c r="H2471" s="3" t="s">
        <v>42</v>
      </c>
      <c r="I2471" s="3" t="s">
        <v>637</v>
      </c>
      <c r="J2471" s="3" t="s">
        <v>106</v>
      </c>
      <c r="K2471" s="3">
        <v>6</v>
      </c>
      <c r="L2471" s="3">
        <v>42773.82</v>
      </c>
      <c r="M2471" s="3">
        <v>256642.92</v>
      </c>
      <c r="N2471" s="3">
        <v>219348.34</v>
      </c>
      <c r="O2471" s="3">
        <v>37294.58</v>
      </c>
      <c r="P2471" s="3" t="s">
        <v>45</v>
      </c>
    </row>
    <row r="2472" spans="1:16" x14ac:dyDescent="0.35">
      <c r="A2472" s="3" t="s">
        <v>3836</v>
      </c>
      <c r="B2472" s="3" t="s">
        <v>656</v>
      </c>
      <c r="C2472" s="3" t="s">
        <v>89</v>
      </c>
      <c r="D2472" s="3" t="s">
        <v>19</v>
      </c>
      <c r="E2472" s="3" t="s">
        <v>199</v>
      </c>
      <c r="F2472" s="3" t="s">
        <v>200</v>
      </c>
      <c r="G2472" s="3" t="s">
        <v>41</v>
      </c>
      <c r="H2472" s="3" t="s">
        <v>138</v>
      </c>
      <c r="I2472" s="3" t="s">
        <v>1116</v>
      </c>
      <c r="J2472" s="3" t="s">
        <v>161</v>
      </c>
      <c r="K2472" s="3">
        <v>2</v>
      </c>
      <c r="L2472" s="3">
        <v>17928.13</v>
      </c>
      <c r="M2472" s="3">
        <v>35856.26</v>
      </c>
      <c r="N2472" s="3">
        <v>28763.18</v>
      </c>
      <c r="O2472" s="3">
        <v>7093.08</v>
      </c>
      <c r="P2472" s="3" t="s">
        <v>86</v>
      </c>
    </row>
    <row r="2473" spans="1:16" x14ac:dyDescent="0.35">
      <c r="A2473" s="3" t="s">
        <v>3837</v>
      </c>
      <c r="B2473" s="3" t="s">
        <v>412</v>
      </c>
      <c r="C2473" s="3" t="s">
        <v>48</v>
      </c>
      <c r="D2473" s="3" t="s">
        <v>19</v>
      </c>
      <c r="E2473" s="3" t="s">
        <v>20</v>
      </c>
      <c r="F2473" s="3" t="s">
        <v>21</v>
      </c>
      <c r="G2473" s="3" t="s">
        <v>22</v>
      </c>
      <c r="H2473" s="3" t="s">
        <v>83</v>
      </c>
      <c r="I2473" s="3" t="s">
        <v>2337</v>
      </c>
      <c r="J2473" s="3" t="s">
        <v>188</v>
      </c>
      <c r="K2473" s="3">
        <v>3</v>
      </c>
      <c r="L2473" s="3">
        <v>21574.799999999999</v>
      </c>
      <c r="M2473" s="3">
        <v>64724.4</v>
      </c>
      <c r="N2473" s="3">
        <v>52413.73</v>
      </c>
      <c r="O2473" s="3">
        <v>12310.67</v>
      </c>
      <c r="P2473" s="3" t="s">
        <v>34</v>
      </c>
    </row>
    <row r="2474" spans="1:16" x14ac:dyDescent="0.35">
      <c r="A2474" s="3" t="s">
        <v>3838</v>
      </c>
      <c r="B2474" s="3" t="s">
        <v>156</v>
      </c>
      <c r="C2474" s="3" t="s">
        <v>103</v>
      </c>
      <c r="D2474" s="3" t="s">
        <v>38</v>
      </c>
      <c r="E2474" s="3" t="s">
        <v>104</v>
      </c>
      <c r="F2474" s="3" t="s">
        <v>104</v>
      </c>
      <c r="G2474" s="3" t="s">
        <v>41</v>
      </c>
      <c r="H2474" s="3" t="s">
        <v>42</v>
      </c>
      <c r="I2474" s="3" t="s">
        <v>1487</v>
      </c>
      <c r="J2474" s="3" t="s">
        <v>100</v>
      </c>
      <c r="K2474" s="3">
        <v>7</v>
      </c>
      <c r="L2474" s="3">
        <v>48399.22</v>
      </c>
      <c r="M2474" s="3">
        <v>338794.54</v>
      </c>
      <c r="N2474" s="3">
        <v>243179.44</v>
      </c>
      <c r="O2474" s="3">
        <v>95615.1</v>
      </c>
      <c r="P2474" s="3" t="s">
        <v>34</v>
      </c>
    </row>
    <row r="2475" spans="1:16" x14ac:dyDescent="0.35">
      <c r="A2475" s="3" t="s">
        <v>3839</v>
      </c>
      <c r="B2475" s="3" t="s">
        <v>1042</v>
      </c>
      <c r="C2475" s="3" t="s">
        <v>118</v>
      </c>
      <c r="D2475" s="3" t="s">
        <v>58</v>
      </c>
      <c r="E2475" s="3" t="s">
        <v>176</v>
      </c>
      <c r="F2475" s="3" t="s">
        <v>177</v>
      </c>
      <c r="G2475" s="3" t="s">
        <v>41</v>
      </c>
      <c r="H2475" s="3" t="s">
        <v>61</v>
      </c>
      <c r="I2475" s="3" t="s">
        <v>1798</v>
      </c>
      <c r="J2475" s="3" t="s">
        <v>106</v>
      </c>
      <c r="K2475" s="3">
        <v>8</v>
      </c>
      <c r="L2475" s="3">
        <v>2420.25</v>
      </c>
      <c r="M2475" s="3">
        <v>19362</v>
      </c>
      <c r="N2475" s="3">
        <v>12659.27</v>
      </c>
      <c r="O2475" s="3">
        <v>6702.73</v>
      </c>
      <c r="P2475" s="3" t="s">
        <v>34</v>
      </c>
    </row>
    <row r="2476" spans="1:16" x14ac:dyDescent="0.35">
      <c r="A2476" s="3" t="s">
        <v>3840</v>
      </c>
      <c r="B2476" s="3" t="s">
        <v>904</v>
      </c>
      <c r="C2476" s="3" t="s">
        <v>118</v>
      </c>
      <c r="D2476" s="3" t="s">
        <v>90</v>
      </c>
      <c r="E2476" s="3" t="s">
        <v>119</v>
      </c>
      <c r="F2476" s="3" t="s">
        <v>120</v>
      </c>
      <c r="G2476" s="3" t="s">
        <v>22</v>
      </c>
      <c r="H2476" s="3" t="s">
        <v>23</v>
      </c>
      <c r="I2476" s="3" t="s">
        <v>2973</v>
      </c>
      <c r="J2476" s="3" t="s">
        <v>79</v>
      </c>
      <c r="K2476" s="3">
        <v>7</v>
      </c>
      <c r="L2476" s="3">
        <v>3571.18</v>
      </c>
      <c r="M2476" s="3">
        <v>24998.26</v>
      </c>
      <c r="N2476" s="3">
        <v>15026.13</v>
      </c>
      <c r="O2476" s="3">
        <v>9972.1299999999992</v>
      </c>
      <c r="P2476" s="3" t="s">
        <v>86</v>
      </c>
    </row>
    <row r="2477" spans="1:16" x14ac:dyDescent="0.35">
      <c r="A2477" s="3" t="s">
        <v>3841</v>
      </c>
      <c r="B2477" s="3" t="s">
        <v>777</v>
      </c>
      <c r="C2477" s="3" t="s">
        <v>72</v>
      </c>
      <c r="D2477" s="3" t="s">
        <v>58</v>
      </c>
      <c r="E2477" s="3" t="s">
        <v>65</v>
      </c>
      <c r="F2477" s="3" t="s">
        <v>66</v>
      </c>
      <c r="G2477" s="3" t="s">
        <v>41</v>
      </c>
      <c r="H2477" s="3" t="s">
        <v>61</v>
      </c>
      <c r="I2477" s="3" t="s">
        <v>1129</v>
      </c>
      <c r="J2477" s="3" t="s">
        <v>79</v>
      </c>
      <c r="K2477" s="3">
        <v>4</v>
      </c>
      <c r="L2477" s="3">
        <v>2646.7</v>
      </c>
      <c r="M2477" s="3">
        <v>10586.8</v>
      </c>
      <c r="N2477" s="3">
        <v>6161.5</v>
      </c>
      <c r="O2477" s="3">
        <v>4425.3</v>
      </c>
      <c r="P2477" s="3" t="s">
        <v>86</v>
      </c>
    </row>
    <row r="2478" spans="1:16" x14ac:dyDescent="0.35">
      <c r="A2478" s="3" t="s">
        <v>3842</v>
      </c>
      <c r="B2478" s="3" t="s">
        <v>17</v>
      </c>
      <c r="C2478" s="3" t="s">
        <v>18</v>
      </c>
      <c r="D2478" s="3" t="s">
        <v>58</v>
      </c>
      <c r="E2478" s="3" t="s">
        <v>176</v>
      </c>
      <c r="F2478" s="3" t="s">
        <v>177</v>
      </c>
      <c r="G2478" s="3" t="s">
        <v>30</v>
      </c>
      <c r="H2478" s="3" t="s">
        <v>73</v>
      </c>
      <c r="I2478" s="3" t="s">
        <v>505</v>
      </c>
      <c r="J2478" s="3" t="s">
        <v>171</v>
      </c>
      <c r="K2478" s="3">
        <v>7</v>
      </c>
      <c r="L2478" s="3">
        <v>2979.64</v>
      </c>
      <c r="M2478" s="3">
        <v>20857.48</v>
      </c>
      <c r="N2478" s="3">
        <v>16401.900000000001</v>
      </c>
      <c r="O2478" s="3">
        <v>4455.58</v>
      </c>
      <c r="P2478" s="3" t="s">
        <v>34</v>
      </c>
    </row>
    <row r="2479" spans="1:16" x14ac:dyDescent="0.35">
      <c r="A2479" s="3" t="s">
        <v>3843</v>
      </c>
      <c r="B2479" s="3" t="s">
        <v>412</v>
      </c>
      <c r="C2479" s="3" t="s">
        <v>48</v>
      </c>
      <c r="D2479" s="3" t="s">
        <v>90</v>
      </c>
      <c r="E2479" s="3" t="s">
        <v>97</v>
      </c>
      <c r="F2479" s="3" t="s">
        <v>98</v>
      </c>
      <c r="G2479" s="3" t="s">
        <v>41</v>
      </c>
      <c r="H2479" s="3" t="s">
        <v>61</v>
      </c>
      <c r="I2479" s="3" t="s">
        <v>2103</v>
      </c>
      <c r="J2479" s="3" t="s">
        <v>33</v>
      </c>
      <c r="K2479" s="3">
        <v>5</v>
      </c>
      <c r="L2479" s="3">
        <v>2413.41</v>
      </c>
      <c r="M2479" s="3">
        <v>12067.05</v>
      </c>
      <c r="N2479" s="3">
        <v>8286.34</v>
      </c>
      <c r="O2479" s="3">
        <v>3780.71</v>
      </c>
      <c r="P2479" s="3" t="s">
        <v>45</v>
      </c>
    </row>
    <row r="2480" spans="1:16" x14ac:dyDescent="0.35">
      <c r="A2480" s="3" t="s">
        <v>3844</v>
      </c>
      <c r="B2480" s="3" t="s">
        <v>908</v>
      </c>
      <c r="C2480" s="3" t="s">
        <v>72</v>
      </c>
      <c r="D2480" s="3" t="s">
        <v>38</v>
      </c>
      <c r="E2480" s="3" t="s">
        <v>39</v>
      </c>
      <c r="F2480" s="3" t="s">
        <v>40</v>
      </c>
      <c r="G2480" s="3" t="s">
        <v>51</v>
      </c>
      <c r="H2480" s="3" t="s">
        <v>77</v>
      </c>
      <c r="I2480" s="3" t="s">
        <v>867</v>
      </c>
      <c r="J2480" s="3" t="s">
        <v>131</v>
      </c>
      <c r="K2480" s="3">
        <v>6</v>
      </c>
      <c r="L2480" s="3">
        <v>13004.66</v>
      </c>
      <c r="M2480" s="3">
        <v>78027.960000000006</v>
      </c>
      <c r="N2480" s="3">
        <v>53794.720000000001</v>
      </c>
      <c r="O2480" s="3">
        <v>24233.24</v>
      </c>
      <c r="P2480" s="3" t="s">
        <v>26</v>
      </c>
    </row>
    <row r="2481" spans="1:16" x14ac:dyDescent="0.35">
      <c r="A2481" s="3" t="s">
        <v>3845</v>
      </c>
      <c r="B2481" s="3" t="s">
        <v>1435</v>
      </c>
      <c r="C2481" s="3" t="s">
        <v>137</v>
      </c>
      <c r="D2481" s="3" t="s">
        <v>19</v>
      </c>
      <c r="E2481" s="3" t="s">
        <v>20</v>
      </c>
      <c r="F2481" s="3" t="s">
        <v>21</v>
      </c>
      <c r="G2481" s="3" t="s">
        <v>22</v>
      </c>
      <c r="H2481" s="3" t="s">
        <v>23</v>
      </c>
      <c r="I2481" s="3" t="s">
        <v>667</v>
      </c>
      <c r="J2481" s="3" t="s">
        <v>188</v>
      </c>
      <c r="K2481" s="3">
        <v>4</v>
      </c>
      <c r="L2481" s="3">
        <v>3256.95</v>
      </c>
      <c r="M2481" s="3">
        <v>13027.8</v>
      </c>
      <c r="N2481" s="3">
        <v>8846.1299999999992</v>
      </c>
      <c r="O2481" s="3">
        <v>4181.67</v>
      </c>
      <c r="P2481" s="3" t="s">
        <v>26</v>
      </c>
    </row>
    <row r="2482" spans="1:16" x14ac:dyDescent="0.35">
      <c r="A2482" s="3" t="s">
        <v>3846</v>
      </c>
      <c r="B2482" s="3" t="s">
        <v>364</v>
      </c>
      <c r="C2482" s="3" t="s">
        <v>137</v>
      </c>
      <c r="D2482" s="3" t="s">
        <v>90</v>
      </c>
      <c r="E2482" s="3" t="s">
        <v>91</v>
      </c>
      <c r="F2482" s="3" t="s">
        <v>92</v>
      </c>
      <c r="G2482" s="3" t="s">
        <v>22</v>
      </c>
      <c r="H2482" s="3" t="s">
        <v>93</v>
      </c>
      <c r="I2482" s="3" t="s">
        <v>3847</v>
      </c>
      <c r="J2482" s="3" t="s">
        <v>154</v>
      </c>
      <c r="K2482" s="3">
        <v>1</v>
      </c>
      <c r="L2482" s="3">
        <v>7146.7</v>
      </c>
      <c r="M2482" s="3">
        <v>7146.7</v>
      </c>
      <c r="N2482" s="3">
        <v>5066.42</v>
      </c>
      <c r="O2482" s="3">
        <v>2080.2800000000002</v>
      </c>
      <c r="P2482" s="3" t="s">
        <v>69</v>
      </c>
    </row>
    <row r="2483" spans="1:16" x14ac:dyDescent="0.35">
      <c r="A2483" s="3" t="s">
        <v>3848</v>
      </c>
      <c r="B2483" s="3" t="s">
        <v>361</v>
      </c>
      <c r="C2483" s="3" t="s">
        <v>137</v>
      </c>
      <c r="D2483" s="3" t="s">
        <v>38</v>
      </c>
      <c r="E2483" s="3" t="s">
        <v>104</v>
      </c>
      <c r="F2483" s="3" t="s">
        <v>104</v>
      </c>
      <c r="G2483" s="3" t="s">
        <v>41</v>
      </c>
      <c r="H2483" s="3" t="s">
        <v>42</v>
      </c>
      <c r="I2483" s="3" t="s">
        <v>213</v>
      </c>
      <c r="J2483" s="3" t="s">
        <v>100</v>
      </c>
      <c r="K2483" s="3">
        <v>8</v>
      </c>
      <c r="L2483" s="3">
        <v>44407.26</v>
      </c>
      <c r="M2483" s="3">
        <v>355258.08</v>
      </c>
      <c r="N2483" s="3">
        <v>290831.13</v>
      </c>
      <c r="O2483" s="3">
        <v>64426.95</v>
      </c>
      <c r="P2483" s="3" t="s">
        <v>34</v>
      </c>
    </row>
    <row r="2484" spans="1:16" x14ac:dyDescent="0.35">
      <c r="A2484" s="3" t="s">
        <v>3849</v>
      </c>
      <c r="B2484" s="3" t="s">
        <v>81</v>
      </c>
      <c r="C2484" s="3" t="s">
        <v>82</v>
      </c>
      <c r="D2484" s="3" t="s">
        <v>90</v>
      </c>
      <c r="E2484" s="3" t="s">
        <v>91</v>
      </c>
      <c r="F2484" s="3" t="s">
        <v>92</v>
      </c>
      <c r="G2484" s="3" t="s">
        <v>30</v>
      </c>
      <c r="H2484" s="3" t="s">
        <v>67</v>
      </c>
      <c r="I2484" s="3" t="s">
        <v>2264</v>
      </c>
      <c r="J2484" s="3" t="s">
        <v>131</v>
      </c>
      <c r="K2484" s="3">
        <v>4</v>
      </c>
      <c r="L2484" s="3">
        <v>9093.01</v>
      </c>
      <c r="M2484" s="3">
        <v>36372.04</v>
      </c>
      <c r="N2484" s="3">
        <v>29086.42</v>
      </c>
      <c r="O2484" s="3">
        <v>7285.62</v>
      </c>
      <c r="P2484" s="3" t="s">
        <v>26</v>
      </c>
    </row>
    <row r="2485" spans="1:16" x14ac:dyDescent="0.35">
      <c r="A2485" s="3" t="s">
        <v>3850</v>
      </c>
      <c r="B2485" s="3" t="s">
        <v>245</v>
      </c>
      <c r="C2485" s="3" t="s">
        <v>29</v>
      </c>
      <c r="D2485" s="3" t="s">
        <v>19</v>
      </c>
      <c r="E2485" s="3" t="s">
        <v>49</v>
      </c>
      <c r="F2485" s="3" t="s">
        <v>50</v>
      </c>
      <c r="G2485" s="3" t="s">
        <v>51</v>
      </c>
      <c r="H2485" s="3" t="s">
        <v>52</v>
      </c>
      <c r="I2485" s="3" t="s">
        <v>3449</v>
      </c>
      <c r="J2485" s="3" t="s">
        <v>171</v>
      </c>
      <c r="K2485" s="3">
        <v>7</v>
      </c>
      <c r="L2485" s="3">
        <v>23.37</v>
      </c>
      <c r="M2485" s="3">
        <v>163.59</v>
      </c>
      <c r="N2485" s="3">
        <v>72.290000000000006</v>
      </c>
      <c r="O2485" s="3">
        <v>91.3</v>
      </c>
      <c r="P2485" s="3" t="s">
        <v>45</v>
      </c>
    </row>
    <row r="2486" spans="1:16" x14ac:dyDescent="0.35">
      <c r="A2486" s="3" t="s">
        <v>3851</v>
      </c>
      <c r="B2486" s="3" t="s">
        <v>562</v>
      </c>
      <c r="C2486" s="3" t="s">
        <v>82</v>
      </c>
      <c r="D2486" s="3" t="s">
        <v>90</v>
      </c>
      <c r="E2486" s="3" t="s">
        <v>119</v>
      </c>
      <c r="F2486" s="3" t="s">
        <v>120</v>
      </c>
      <c r="G2486" s="3" t="s">
        <v>22</v>
      </c>
      <c r="H2486" s="3" t="s">
        <v>23</v>
      </c>
      <c r="I2486" s="3" t="s">
        <v>3313</v>
      </c>
      <c r="J2486" s="3" t="s">
        <v>85</v>
      </c>
      <c r="K2486" s="3">
        <v>2</v>
      </c>
      <c r="L2486" s="3">
        <v>3231.97</v>
      </c>
      <c r="M2486" s="3">
        <v>6463.94</v>
      </c>
      <c r="N2486" s="3">
        <v>4500</v>
      </c>
      <c r="O2486" s="3">
        <v>1963.94</v>
      </c>
      <c r="P2486" s="3" t="s">
        <v>69</v>
      </c>
    </row>
    <row r="2487" spans="1:16" x14ac:dyDescent="0.35">
      <c r="A2487" s="3" t="s">
        <v>3852</v>
      </c>
      <c r="B2487" s="3" t="s">
        <v>1780</v>
      </c>
      <c r="C2487" s="3" t="s">
        <v>137</v>
      </c>
      <c r="D2487" s="3" t="s">
        <v>90</v>
      </c>
      <c r="E2487" s="3" t="s">
        <v>97</v>
      </c>
      <c r="F2487" s="3" t="s">
        <v>98</v>
      </c>
      <c r="G2487" s="3" t="s">
        <v>41</v>
      </c>
      <c r="H2487" s="3" t="s">
        <v>42</v>
      </c>
      <c r="I2487" s="3" t="s">
        <v>3853</v>
      </c>
      <c r="J2487" s="3" t="s">
        <v>154</v>
      </c>
      <c r="K2487" s="3">
        <v>6</v>
      </c>
      <c r="L2487" s="3">
        <v>46632.29</v>
      </c>
      <c r="M2487" s="3">
        <v>279793.74</v>
      </c>
      <c r="N2487" s="3">
        <v>213878.41</v>
      </c>
      <c r="O2487" s="3">
        <v>65915.33</v>
      </c>
      <c r="P2487" s="3" t="s">
        <v>26</v>
      </c>
    </row>
    <row r="2488" spans="1:16" x14ac:dyDescent="0.35">
      <c r="A2488" s="3" t="s">
        <v>3854</v>
      </c>
      <c r="B2488" s="3" t="s">
        <v>102</v>
      </c>
      <c r="C2488" s="3" t="s">
        <v>103</v>
      </c>
      <c r="D2488" s="3" t="s">
        <v>19</v>
      </c>
      <c r="E2488" s="3" t="s">
        <v>49</v>
      </c>
      <c r="F2488" s="3" t="s">
        <v>50</v>
      </c>
      <c r="G2488" s="3" t="s">
        <v>22</v>
      </c>
      <c r="H2488" s="3" t="s">
        <v>83</v>
      </c>
      <c r="I2488" s="3" t="s">
        <v>1555</v>
      </c>
      <c r="J2488" s="3" t="s">
        <v>171</v>
      </c>
      <c r="K2488" s="3">
        <v>5</v>
      </c>
      <c r="L2488" s="3">
        <v>20394.04</v>
      </c>
      <c r="M2488" s="3">
        <v>101970.2</v>
      </c>
      <c r="N2488" s="3">
        <v>87138.46</v>
      </c>
      <c r="O2488" s="3">
        <v>14831.74</v>
      </c>
      <c r="P2488" s="3" t="s">
        <v>86</v>
      </c>
    </row>
    <row r="2489" spans="1:16" x14ac:dyDescent="0.35">
      <c r="A2489" s="3" t="s">
        <v>3855</v>
      </c>
      <c r="B2489" s="3" t="s">
        <v>1182</v>
      </c>
      <c r="C2489" s="3" t="s">
        <v>48</v>
      </c>
      <c r="D2489" s="3" t="s">
        <v>19</v>
      </c>
      <c r="E2489" s="3" t="s">
        <v>199</v>
      </c>
      <c r="F2489" s="3" t="s">
        <v>200</v>
      </c>
      <c r="G2489" s="3" t="s">
        <v>51</v>
      </c>
      <c r="H2489" s="3" t="s">
        <v>77</v>
      </c>
      <c r="I2489" s="3" t="s">
        <v>2219</v>
      </c>
      <c r="J2489" s="3" t="s">
        <v>54</v>
      </c>
      <c r="K2489" s="3">
        <v>2</v>
      </c>
      <c r="L2489" s="3">
        <v>11036.35</v>
      </c>
      <c r="M2489" s="3">
        <v>22072.7</v>
      </c>
      <c r="N2489" s="3">
        <v>17271.25</v>
      </c>
      <c r="O2489" s="3">
        <v>4801.45</v>
      </c>
      <c r="P2489" s="3" t="s">
        <v>69</v>
      </c>
    </row>
    <row r="2490" spans="1:16" x14ac:dyDescent="0.35">
      <c r="A2490" s="3" t="s">
        <v>3856</v>
      </c>
      <c r="B2490" s="3" t="s">
        <v>852</v>
      </c>
      <c r="C2490" s="3" t="s">
        <v>118</v>
      </c>
      <c r="D2490" s="3" t="s">
        <v>38</v>
      </c>
      <c r="E2490" s="3" t="s">
        <v>39</v>
      </c>
      <c r="F2490" s="3" t="s">
        <v>40</v>
      </c>
      <c r="G2490" s="3" t="s">
        <v>30</v>
      </c>
      <c r="H2490" s="3" t="s">
        <v>67</v>
      </c>
      <c r="I2490" s="3" t="s">
        <v>2721</v>
      </c>
      <c r="J2490" s="3" t="s">
        <v>44</v>
      </c>
      <c r="K2490" s="3">
        <v>5</v>
      </c>
      <c r="L2490" s="3">
        <v>8571.0300000000007</v>
      </c>
      <c r="M2490" s="3">
        <v>42855.15</v>
      </c>
      <c r="N2490" s="3">
        <v>39866.76</v>
      </c>
      <c r="O2490" s="3">
        <v>2988.39</v>
      </c>
      <c r="P2490" s="3" t="s">
        <v>26</v>
      </c>
    </row>
    <row r="2491" spans="1:16" x14ac:dyDescent="0.35">
      <c r="A2491" s="3" t="s">
        <v>3857</v>
      </c>
      <c r="B2491" s="3" t="s">
        <v>672</v>
      </c>
      <c r="C2491" s="3" t="s">
        <v>118</v>
      </c>
      <c r="D2491" s="3" t="s">
        <v>19</v>
      </c>
      <c r="E2491" s="3" t="s">
        <v>49</v>
      </c>
      <c r="F2491" s="3" t="s">
        <v>50</v>
      </c>
      <c r="G2491" s="3" t="s">
        <v>51</v>
      </c>
      <c r="H2491" s="3" t="s">
        <v>77</v>
      </c>
      <c r="I2491" s="3" t="s">
        <v>2769</v>
      </c>
      <c r="J2491" s="3" t="s">
        <v>33</v>
      </c>
      <c r="K2491" s="3">
        <v>6</v>
      </c>
      <c r="L2491" s="3">
        <v>11043.65</v>
      </c>
      <c r="M2491" s="3">
        <v>66261.899999999994</v>
      </c>
      <c r="N2491" s="3">
        <v>54538.03</v>
      </c>
      <c r="O2491" s="3">
        <v>11723.87</v>
      </c>
      <c r="P2491" s="3" t="s">
        <v>69</v>
      </c>
    </row>
    <row r="2492" spans="1:16" x14ac:dyDescent="0.35">
      <c r="A2492" s="3" t="s">
        <v>3858</v>
      </c>
      <c r="B2492" s="3" t="s">
        <v>291</v>
      </c>
      <c r="C2492" s="3" t="s">
        <v>48</v>
      </c>
      <c r="D2492" s="3" t="s">
        <v>38</v>
      </c>
      <c r="E2492" s="3" t="s">
        <v>109</v>
      </c>
      <c r="F2492" s="3" t="s">
        <v>110</v>
      </c>
      <c r="G2492" s="3" t="s">
        <v>41</v>
      </c>
      <c r="H2492" s="3" t="s">
        <v>138</v>
      </c>
      <c r="I2492" s="3" t="s">
        <v>3859</v>
      </c>
      <c r="J2492" s="3" t="s">
        <v>188</v>
      </c>
      <c r="K2492" s="3">
        <v>3</v>
      </c>
      <c r="L2492" s="3">
        <v>19228.21</v>
      </c>
      <c r="M2492" s="3">
        <v>57684.63</v>
      </c>
      <c r="N2492" s="3">
        <v>43043.09</v>
      </c>
      <c r="O2492" s="3">
        <v>14641.54</v>
      </c>
      <c r="P2492" s="3" t="s">
        <v>86</v>
      </c>
    </row>
    <row r="2493" spans="1:16" x14ac:dyDescent="0.35">
      <c r="A2493" s="3" t="s">
        <v>3860</v>
      </c>
      <c r="B2493" s="3" t="s">
        <v>1202</v>
      </c>
      <c r="C2493" s="3" t="s">
        <v>118</v>
      </c>
      <c r="D2493" s="3" t="s">
        <v>38</v>
      </c>
      <c r="E2493" s="3" t="s">
        <v>104</v>
      </c>
      <c r="F2493" s="3" t="s">
        <v>104</v>
      </c>
      <c r="G2493" s="3" t="s">
        <v>30</v>
      </c>
      <c r="H2493" s="3" t="s">
        <v>73</v>
      </c>
      <c r="I2493" s="3" t="s">
        <v>602</v>
      </c>
      <c r="J2493" s="3" t="s">
        <v>131</v>
      </c>
      <c r="K2493" s="3">
        <v>4</v>
      </c>
      <c r="L2493" s="3">
        <v>3202.93</v>
      </c>
      <c r="M2493" s="3">
        <v>12811.72</v>
      </c>
      <c r="N2493" s="3">
        <v>9487.59</v>
      </c>
      <c r="O2493" s="3">
        <v>3324.13</v>
      </c>
      <c r="P2493" s="3" t="s">
        <v>45</v>
      </c>
    </row>
    <row r="2494" spans="1:16" x14ac:dyDescent="0.35">
      <c r="A2494" s="3" t="s">
        <v>3861</v>
      </c>
      <c r="B2494" s="3" t="s">
        <v>802</v>
      </c>
      <c r="C2494" s="3" t="s">
        <v>118</v>
      </c>
      <c r="D2494" s="3" t="s">
        <v>38</v>
      </c>
      <c r="E2494" s="3" t="s">
        <v>109</v>
      </c>
      <c r="F2494" s="3" t="s">
        <v>110</v>
      </c>
      <c r="G2494" s="3" t="s">
        <v>51</v>
      </c>
      <c r="H2494" s="3" t="s">
        <v>77</v>
      </c>
      <c r="I2494" s="3" t="s">
        <v>1837</v>
      </c>
      <c r="J2494" s="3" t="s">
        <v>188</v>
      </c>
      <c r="K2494" s="3">
        <v>7</v>
      </c>
      <c r="L2494" s="3">
        <v>11705.5</v>
      </c>
      <c r="M2494" s="3">
        <v>81938.5</v>
      </c>
      <c r="N2494" s="3">
        <v>61084.07</v>
      </c>
      <c r="O2494" s="3">
        <v>20854.43</v>
      </c>
      <c r="P2494" s="3" t="s">
        <v>34</v>
      </c>
    </row>
    <row r="2495" spans="1:16" x14ac:dyDescent="0.35">
      <c r="A2495" s="3" t="s">
        <v>3862</v>
      </c>
      <c r="B2495" s="3" t="s">
        <v>318</v>
      </c>
      <c r="C2495" s="3" t="s">
        <v>37</v>
      </c>
      <c r="D2495" s="3" t="s">
        <v>58</v>
      </c>
      <c r="E2495" s="3" t="s">
        <v>65</v>
      </c>
      <c r="F2495" s="3" t="s">
        <v>66</v>
      </c>
      <c r="G2495" s="3" t="s">
        <v>22</v>
      </c>
      <c r="H2495" s="3" t="s">
        <v>93</v>
      </c>
      <c r="I2495" s="3" t="s">
        <v>3863</v>
      </c>
      <c r="J2495" s="3" t="s">
        <v>33</v>
      </c>
      <c r="K2495" s="3">
        <v>2</v>
      </c>
      <c r="L2495" s="3">
        <v>6919.66</v>
      </c>
      <c r="M2495" s="3">
        <v>13839.32</v>
      </c>
      <c r="N2495" s="3">
        <v>9711.56</v>
      </c>
      <c r="O2495" s="3">
        <v>4127.76</v>
      </c>
      <c r="P2495" s="3" t="s">
        <v>26</v>
      </c>
    </row>
    <row r="2496" spans="1:16" x14ac:dyDescent="0.35">
      <c r="A2496" s="3" t="s">
        <v>3864</v>
      </c>
      <c r="B2496" s="3" t="s">
        <v>395</v>
      </c>
      <c r="C2496" s="3" t="s">
        <v>29</v>
      </c>
      <c r="D2496" s="3" t="s">
        <v>58</v>
      </c>
      <c r="E2496" s="3" t="s">
        <v>65</v>
      </c>
      <c r="F2496" s="3" t="s">
        <v>66</v>
      </c>
      <c r="G2496" s="3" t="s">
        <v>30</v>
      </c>
      <c r="H2496" s="3" t="s">
        <v>31</v>
      </c>
      <c r="I2496" s="3" t="s">
        <v>3865</v>
      </c>
      <c r="J2496" s="3" t="s">
        <v>217</v>
      </c>
      <c r="K2496" s="3">
        <v>3</v>
      </c>
      <c r="L2496" s="3">
        <v>2933.34</v>
      </c>
      <c r="M2496" s="3">
        <v>8800.02</v>
      </c>
      <c r="N2496" s="3">
        <v>5465.23</v>
      </c>
      <c r="O2496" s="3">
        <v>3334.79</v>
      </c>
      <c r="P2496" s="3" t="s">
        <v>86</v>
      </c>
    </row>
    <row r="2497" spans="1:16" x14ac:dyDescent="0.35">
      <c r="A2497" s="3" t="s">
        <v>3866</v>
      </c>
      <c r="B2497" s="3" t="s">
        <v>883</v>
      </c>
      <c r="C2497" s="3" t="s">
        <v>37</v>
      </c>
      <c r="D2497" s="3" t="s">
        <v>58</v>
      </c>
      <c r="E2497" s="3" t="s">
        <v>176</v>
      </c>
      <c r="F2497" s="3" t="s">
        <v>177</v>
      </c>
      <c r="G2497" s="3" t="s">
        <v>30</v>
      </c>
      <c r="H2497" s="3" t="s">
        <v>31</v>
      </c>
      <c r="I2497" s="3" t="s">
        <v>975</v>
      </c>
      <c r="J2497" s="3" t="s">
        <v>79</v>
      </c>
      <c r="K2497" s="3">
        <v>2</v>
      </c>
      <c r="L2497" s="3">
        <v>2604.8000000000002</v>
      </c>
      <c r="M2497" s="3">
        <v>5209.6000000000004</v>
      </c>
      <c r="N2497" s="3">
        <v>3955.82</v>
      </c>
      <c r="O2497" s="3">
        <v>1253.78</v>
      </c>
      <c r="P2497" s="3" t="s">
        <v>45</v>
      </c>
    </row>
    <row r="2498" spans="1:16" x14ac:dyDescent="0.35">
      <c r="A2498" s="3" t="s">
        <v>3867</v>
      </c>
      <c r="B2498" s="3" t="s">
        <v>276</v>
      </c>
      <c r="C2498" s="3" t="s">
        <v>114</v>
      </c>
      <c r="D2498" s="3" t="s">
        <v>90</v>
      </c>
      <c r="E2498" s="3" t="s">
        <v>97</v>
      </c>
      <c r="F2498" s="3" t="s">
        <v>98</v>
      </c>
      <c r="G2498" s="3" t="s">
        <v>51</v>
      </c>
      <c r="H2498" s="3" t="s">
        <v>52</v>
      </c>
      <c r="I2498" s="3" t="s">
        <v>1537</v>
      </c>
      <c r="J2498" s="3" t="s">
        <v>79</v>
      </c>
      <c r="K2498" s="3">
        <v>4</v>
      </c>
      <c r="L2498" s="3">
        <v>26.78</v>
      </c>
      <c r="M2498" s="3">
        <v>107.12</v>
      </c>
      <c r="N2498" s="3">
        <v>40.86</v>
      </c>
      <c r="O2498" s="3">
        <v>66.260000000000005</v>
      </c>
      <c r="P2498" s="3" t="s">
        <v>86</v>
      </c>
    </row>
    <row r="2499" spans="1:16" x14ac:dyDescent="0.35">
      <c r="A2499" s="3" t="s">
        <v>3868</v>
      </c>
      <c r="B2499" s="3" t="s">
        <v>774</v>
      </c>
      <c r="C2499" s="3" t="s">
        <v>82</v>
      </c>
      <c r="D2499" s="3" t="s">
        <v>58</v>
      </c>
      <c r="E2499" s="3" t="s">
        <v>65</v>
      </c>
      <c r="F2499" s="3" t="s">
        <v>66</v>
      </c>
      <c r="G2499" s="3" t="s">
        <v>51</v>
      </c>
      <c r="H2499" s="3" t="s">
        <v>52</v>
      </c>
      <c r="I2499" s="3" t="s">
        <v>614</v>
      </c>
      <c r="J2499" s="3" t="s">
        <v>161</v>
      </c>
      <c r="K2499" s="3">
        <v>3</v>
      </c>
      <c r="L2499" s="3">
        <v>22.55</v>
      </c>
      <c r="M2499" s="3">
        <v>67.650000000000006</v>
      </c>
      <c r="N2499" s="3">
        <v>30.41</v>
      </c>
      <c r="O2499" s="3">
        <v>37.24</v>
      </c>
      <c r="P2499" s="3" t="s">
        <v>26</v>
      </c>
    </row>
    <row r="2500" spans="1:16" x14ac:dyDescent="0.35">
      <c r="A2500" s="3" t="s">
        <v>3869</v>
      </c>
      <c r="B2500" s="3" t="s">
        <v>583</v>
      </c>
      <c r="C2500" s="3" t="s">
        <v>89</v>
      </c>
      <c r="D2500" s="3" t="s">
        <v>38</v>
      </c>
      <c r="E2500" s="3" t="s">
        <v>109</v>
      </c>
      <c r="F2500" s="3" t="s">
        <v>110</v>
      </c>
      <c r="G2500" s="3" t="s">
        <v>30</v>
      </c>
      <c r="H2500" s="3" t="s">
        <v>31</v>
      </c>
      <c r="I2500" s="3" t="s">
        <v>1029</v>
      </c>
      <c r="J2500" s="3" t="s">
        <v>188</v>
      </c>
      <c r="K2500" s="3">
        <v>8</v>
      </c>
      <c r="L2500" s="3">
        <v>2953.18</v>
      </c>
      <c r="M2500" s="3">
        <v>23625.439999999999</v>
      </c>
      <c r="N2500" s="3">
        <v>15854.43</v>
      </c>
      <c r="O2500" s="3">
        <v>7771.01</v>
      </c>
      <c r="P2500" s="3" t="s">
        <v>69</v>
      </c>
    </row>
    <row r="2501" spans="1:16" x14ac:dyDescent="0.35">
      <c r="A2501" s="3" t="s">
        <v>3870</v>
      </c>
      <c r="B2501" s="3" t="s">
        <v>17</v>
      </c>
      <c r="C2501" s="3" t="s">
        <v>18</v>
      </c>
      <c r="D2501" s="3" t="s">
        <v>90</v>
      </c>
      <c r="E2501" s="3" t="s">
        <v>97</v>
      </c>
      <c r="F2501" s="3" t="s">
        <v>98</v>
      </c>
      <c r="G2501" s="3" t="s">
        <v>30</v>
      </c>
      <c r="H2501" s="3" t="s">
        <v>73</v>
      </c>
      <c r="I2501" s="3" t="s">
        <v>1598</v>
      </c>
      <c r="J2501" s="3" t="s">
        <v>188</v>
      </c>
      <c r="K2501" s="3">
        <v>8</v>
      </c>
      <c r="L2501" s="3">
        <v>3497.94</v>
      </c>
      <c r="M2501" s="3">
        <v>27983.52</v>
      </c>
      <c r="N2501" s="3">
        <v>19853.490000000002</v>
      </c>
      <c r="O2501" s="3">
        <v>8130.03</v>
      </c>
      <c r="P2501" s="3" t="s">
        <v>69</v>
      </c>
    </row>
    <row r="2502" spans="1:16" x14ac:dyDescent="0.35">
      <c r="A2502" s="3" t="s">
        <v>3871</v>
      </c>
      <c r="B2502" s="3" t="s">
        <v>2086</v>
      </c>
      <c r="C2502" s="3" t="s">
        <v>72</v>
      </c>
      <c r="D2502" s="3" t="s">
        <v>90</v>
      </c>
      <c r="E2502" s="3" t="s">
        <v>119</v>
      </c>
      <c r="F2502" s="3" t="s">
        <v>120</v>
      </c>
      <c r="G2502" s="3" t="s">
        <v>22</v>
      </c>
      <c r="H2502" s="3" t="s">
        <v>83</v>
      </c>
      <c r="I2502" s="3" t="s">
        <v>3546</v>
      </c>
      <c r="J2502" s="3" t="s">
        <v>147</v>
      </c>
      <c r="K2502" s="3">
        <v>5</v>
      </c>
      <c r="L2502" s="3">
        <v>20833.04</v>
      </c>
      <c r="M2502" s="3">
        <v>104165.2</v>
      </c>
      <c r="N2502" s="3">
        <v>84287.02</v>
      </c>
      <c r="O2502" s="3">
        <v>19878.18</v>
      </c>
      <c r="P2502" s="3" t="s">
        <v>45</v>
      </c>
    </row>
    <row r="2503" spans="1:16" x14ac:dyDescent="0.35">
      <c r="A2503" s="3" t="s">
        <v>3872</v>
      </c>
      <c r="B2503" s="3" t="s">
        <v>531</v>
      </c>
      <c r="C2503" s="3" t="s">
        <v>137</v>
      </c>
      <c r="D2503" s="3" t="s">
        <v>90</v>
      </c>
      <c r="E2503" s="3" t="s">
        <v>91</v>
      </c>
      <c r="F2503" s="3" t="s">
        <v>92</v>
      </c>
      <c r="G2503" s="3" t="s">
        <v>51</v>
      </c>
      <c r="H2503" s="3" t="s">
        <v>52</v>
      </c>
      <c r="I2503" s="3" t="s">
        <v>1379</v>
      </c>
      <c r="J2503" s="3" t="s">
        <v>106</v>
      </c>
      <c r="K2503" s="3">
        <v>7</v>
      </c>
      <c r="L2503" s="3">
        <v>27.5</v>
      </c>
      <c r="M2503" s="3">
        <v>192.5</v>
      </c>
      <c r="N2503" s="3">
        <v>70.94</v>
      </c>
      <c r="O2503" s="3">
        <v>121.56</v>
      </c>
      <c r="P2503" s="3" t="s">
        <v>86</v>
      </c>
    </row>
    <row r="2504" spans="1:16" x14ac:dyDescent="0.35">
      <c r="A2504" s="3" t="s">
        <v>3873</v>
      </c>
      <c r="B2504" s="3" t="s">
        <v>1997</v>
      </c>
      <c r="C2504" s="3" t="s">
        <v>114</v>
      </c>
      <c r="D2504" s="3" t="s">
        <v>38</v>
      </c>
      <c r="E2504" s="3" t="s">
        <v>39</v>
      </c>
      <c r="F2504" s="3" t="s">
        <v>40</v>
      </c>
      <c r="G2504" s="3" t="s">
        <v>51</v>
      </c>
      <c r="H2504" s="3" t="s">
        <v>77</v>
      </c>
      <c r="I2504" s="3" t="s">
        <v>2954</v>
      </c>
      <c r="J2504" s="3" t="s">
        <v>25</v>
      </c>
      <c r="K2504" s="3">
        <v>4</v>
      </c>
      <c r="L2504" s="3">
        <v>12032.91</v>
      </c>
      <c r="M2504" s="3">
        <v>48131.64</v>
      </c>
      <c r="N2504" s="3">
        <v>35625.31</v>
      </c>
      <c r="O2504" s="3">
        <v>12506.33</v>
      </c>
      <c r="P2504" s="3" t="s">
        <v>86</v>
      </c>
    </row>
    <row r="2505" spans="1:16" x14ac:dyDescent="0.35">
      <c r="A2505" s="3" t="s">
        <v>3874</v>
      </c>
      <c r="B2505" s="3" t="s">
        <v>1755</v>
      </c>
      <c r="C2505" s="3" t="s">
        <v>57</v>
      </c>
      <c r="D2505" s="3" t="s">
        <v>38</v>
      </c>
      <c r="E2505" s="3" t="s">
        <v>104</v>
      </c>
      <c r="F2505" s="3" t="s">
        <v>104</v>
      </c>
      <c r="G2505" s="3" t="s">
        <v>41</v>
      </c>
      <c r="H2505" s="3" t="s">
        <v>138</v>
      </c>
      <c r="I2505" s="3" t="s">
        <v>345</v>
      </c>
      <c r="J2505" s="3" t="s">
        <v>25</v>
      </c>
      <c r="K2505" s="3">
        <v>7</v>
      </c>
      <c r="L2505" s="3">
        <v>18244.96</v>
      </c>
      <c r="M2505" s="3">
        <v>127714.72</v>
      </c>
      <c r="N2505" s="3">
        <v>96464.47</v>
      </c>
      <c r="O2505" s="3">
        <v>31250.25</v>
      </c>
      <c r="P2505" s="3" t="s">
        <v>45</v>
      </c>
    </row>
    <row r="2506" spans="1:16" x14ac:dyDescent="0.35">
      <c r="A2506" s="3" t="s">
        <v>3875</v>
      </c>
      <c r="B2506" s="3" t="s">
        <v>916</v>
      </c>
      <c r="C2506" s="3" t="s">
        <v>103</v>
      </c>
      <c r="D2506" s="3" t="s">
        <v>58</v>
      </c>
      <c r="E2506" s="3" t="s">
        <v>65</v>
      </c>
      <c r="F2506" s="3" t="s">
        <v>66</v>
      </c>
      <c r="G2506" s="3" t="s">
        <v>41</v>
      </c>
      <c r="H2506" s="3" t="s">
        <v>42</v>
      </c>
      <c r="I2506" s="3" t="s">
        <v>3876</v>
      </c>
      <c r="J2506" s="3" t="s">
        <v>171</v>
      </c>
      <c r="K2506" s="3">
        <v>8</v>
      </c>
      <c r="L2506" s="3">
        <v>41254.300000000003</v>
      </c>
      <c r="M2506" s="3">
        <v>330034.40000000002</v>
      </c>
      <c r="N2506" s="3">
        <v>268653.67</v>
      </c>
      <c r="O2506" s="3">
        <v>61380.73</v>
      </c>
      <c r="P2506" s="3" t="s">
        <v>86</v>
      </c>
    </row>
    <row r="2507" spans="1:16" x14ac:dyDescent="0.35">
      <c r="A2507" s="3" t="s">
        <v>3877</v>
      </c>
      <c r="B2507" s="3" t="s">
        <v>429</v>
      </c>
      <c r="C2507" s="3" t="s">
        <v>137</v>
      </c>
      <c r="D2507" s="3" t="s">
        <v>90</v>
      </c>
      <c r="E2507" s="3" t="s">
        <v>97</v>
      </c>
      <c r="F2507" s="3" t="s">
        <v>98</v>
      </c>
      <c r="G2507" s="3" t="s">
        <v>51</v>
      </c>
      <c r="H2507" s="3" t="s">
        <v>52</v>
      </c>
      <c r="I2507" s="3" t="s">
        <v>741</v>
      </c>
      <c r="J2507" s="3" t="s">
        <v>33</v>
      </c>
      <c r="K2507" s="3">
        <v>7</v>
      </c>
      <c r="L2507" s="3">
        <v>22.88</v>
      </c>
      <c r="M2507" s="3">
        <v>160.16</v>
      </c>
      <c r="N2507" s="3">
        <v>67.33</v>
      </c>
      <c r="O2507" s="3">
        <v>92.83</v>
      </c>
      <c r="P2507" s="3" t="s">
        <v>34</v>
      </c>
    </row>
    <row r="2508" spans="1:16" x14ac:dyDescent="0.35">
      <c r="A2508" s="3" t="s">
        <v>3878</v>
      </c>
      <c r="B2508" s="3" t="s">
        <v>1895</v>
      </c>
      <c r="C2508" s="3" t="s">
        <v>48</v>
      </c>
      <c r="D2508" s="3" t="s">
        <v>58</v>
      </c>
      <c r="E2508" s="3" t="s">
        <v>59</v>
      </c>
      <c r="F2508" s="3" t="s">
        <v>60</v>
      </c>
      <c r="G2508" s="3" t="s">
        <v>30</v>
      </c>
      <c r="H2508" s="3" t="s">
        <v>73</v>
      </c>
      <c r="I2508" s="3" t="s">
        <v>917</v>
      </c>
      <c r="J2508" s="3" t="s">
        <v>161</v>
      </c>
      <c r="K2508" s="3">
        <v>1</v>
      </c>
      <c r="L2508" s="3">
        <v>2893.09</v>
      </c>
      <c r="M2508" s="3">
        <v>2893.09</v>
      </c>
      <c r="N2508" s="3">
        <v>2353.67</v>
      </c>
      <c r="O2508" s="3">
        <v>539.41999999999996</v>
      </c>
      <c r="P2508" s="3" t="s">
        <v>34</v>
      </c>
    </row>
    <row r="2509" spans="1:16" x14ac:dyDescent="0.35">
      <c r="A2509" s="3" t="s">
        <v>3879</v>
      </c>
      <c r="B2509" s="3" t="s">
        <v>974</v>
      </c>
      <c r="C2509" s="3" t="s">
        <v>29</v>
      </c>
      <c r="D2509" s="3" t="s">
        <v>90</v>
      </c>
      <c r="E2509" s="3" t="s">
        <v>97</v>
      </c>
      <c r="F2509" s="3" t="s">
        <v>98</v>
      </c>
      <c r="G2509" s="3" t="s">
        <v>22</v>
      </c>
      <c r="H2509" s="3" t="s">
        <v>93</v>
      </c>
      <c r="I2509" s="3" t="s">
        <v>1539</v>
      </c>
      <c r="J2509" s="3" t="s">
        <v>79</v>
      </c>
      <c r="K2509" s="3">
        <v>8</v>
      </c>
      <c r="L2509" s="3">
        <v>7045.18</v>
      </c>
      <c r="M2509" s="3">
        <v>56361.440000000002</v>
      </c>
      <c r="N2509" s="3">
        <v>38345.31</v>
      </c>
      <c r="O2509" s="3">
        <v>18016.13</v>
      </c>
      <c r="P2509" s="3" t="s">
        <v>69</v>
      </c>
    </row>
    <row r="2510" spans="1:16" x14ac:dyDescent="0.35">
      <c r="A2510" s="3" t="s">
        <v>3880</v>
      </c>
      <c r="B2510" s="3" t="s">
        <v>774</v>
      </c>
      <c r="C2510" s="3" t="s">
        <v>82</v>
      </c>
      <c r="D2510" s="3" t="s">
        <v>90</v>
      </c>
      <c r="E2510" s="3" t="s">
        <v>91</v>
      </c>
      <c r="F2510" s="3" t="s">
        <v>92</v>
      </c>
      <c r="G2510" s="3" t="s">
        <v>30</v>
      </c>
      <c r="H2510" s="3" t="s">
        <v>67</v>
      </c>
      <c r="I2510" s="3" t="s">
        <v>1967</v>
      </c>
      <c r="J2510" s="3" t="s">
        <v>217</v>
      </c>
      <c r="K2510" s="3">
        <v>2</v>
      </c>
      <c r="L2510" s="3">
        <v>8849.39</v>
      </c>
      <c r="M2510" s="3">
        <v>17698.78</v>
      </c>
      <c r="N2510" s="3">
        <v>15410.96</v>
      </c>
      <c r="O2510" s="3">
        <v>2287.8200000000002</v>
      </c>
      <c r="P2510" s="3" t="s">
        <v>69</v>
      </c>
    </row>
    <row r="2511" spans="1:16" x14ac:dyDescent="0.35">
      <c r="A2511" s="3" t="s">
        <v>3881</v>
      </c>
      <c r="B2511" s="3" t="s">
        <v>1935</v>
      </c>
      <c r="C2511" s="3" t="s">
        <v>72</v>
      </c>
      <c r="D2511" s="3" t="s">
        <v>38</v>
      </c>
      <c r="E2511" s="3" t="s">
        <v>109</v>
      </c>
      <c r="F2511" s="3" t="s">
        <v>110</v>
      </c>
      <c r="G2511" s="3" t="s">
        <v>41</v>
      </c>
      <c r="H2511" s="3" t="s">
        <v>138</v>
      </c>
      <c r="I2511" s="3" t="s">
        <v>1436</v>
      </c>
      <c r="J2511" s="3" t="s">
        <v>188</v>
      </c>
      <c r="K2511" s="3">
        <v>1</v>
      </c>
      <c r="L2511" s="3">
        <v>18970.62</v>
      </c>
      <c r="M2511" s="3">
        <v>18970.62</v>
      </c>
      <c r="N2511" s="3">
        <v>13814.42</v>
      </c>
      <c r="O2511" s="3">
        <v>5156.2</v>
      </c>
      <c r="P2511" s="3" t="s">
        <v>34</v>
      </c>
    </row>
    <row r="2512" spans="1:16" x14ac:dyDescent="0.35">
      <c r="A2512" s="3" t="s">
        <v>3882</v>
      </c>
      <c r="B2512" s="3" t="s">
        <v>336</v>
      </c>
      <c r="C2512" s="3" t="s">
        <v>29</v>
      </c>
      <c r="D2512" s="3" t="s">
        <v>58</v>
      </c>
      <c r="E2512" s="3" t="s">
        <v>176</v>
      </c>
      <c r="F2512" s="3" t="s">
        <v>177</v>
      </c>
      <c r="G2512" s="3" t="s">
        <v>51</v>
      </c>
      <c r="H2512" s="3" t="s">
        <v>145</v>
      </c>
      <c r="I2512" s="3" t="s">
        <v>676</v>
      </c>
      <c r="J2512" s="3" t="s">
        <v>100</v>
      </c>
      <c r="K2512" s="3">
        <v>1</v>
      </c>
      <c r="L2512" s="3">
        <v>126.39</v>
      </c>
      <c r="M2512" s="3">
        <v>126.39</v>
      </c>
      <c r="N2512" s="3">
        <v>58.13</v>
      </c>
      <c r="O2512" s="3">
        <v>68.260000000000005</v>
      </c>
      <c r="P2512" s="3" t="s">
        <v>45</v>
      </c>
    </row>
    <row r="2513" spans="1:16" x14ac:dyDescent="0.35">
      <c r="A2513" s="3" t="s">
        <v>3883</v>
      </c>
      <c r="B2513" s="3" t="s">
        <v>555</v>
      </c>
      <c r="C2513" s="3" t="s">
        <v>137</v>
      </c>
      <c r="D2513" s="3" t="s">
        <v>90</v>
      </c>
      <c r="E2513" s="3" t="s">
        <v>119</v>
      </c>
      <c r="F2513" s="3" t="s">
        <v>120</v>
      </c>
      <c r="G2513" s="3" t="s">
        <v>51</v>
      </c>
      <c r="H2513" s="3" t="s">
        <v>145</v>
      </c>
      <c r="I2513" s="3" t="s">
        <v>3487</v>
      </c>
      <c r="J2513" s="3" t="s">
        <v>131</v>
      </c>
      <c r="K2513" s="3">
        <v>6</v>
      </c>
      <c r="L2513" s="3">
        <v>115.97</v>
      </c>
      <c r="M2513" s="3">
        <v>695.82</v>
      </c>
      <c r="N2513" s="3">
        <v>349.94</v>
      </c>
      <c r="O2513" s="3">
        <v>345.88</v>
      </c>
      <c r="P2513" s="3" t="s">
        <v>69</v>
      </c>
    </row>
    <row r="2514" spans="1:16" x14ac:dyDescent="0.35">
      <c r="A2514" s="3" t="s">
        <v>3884</v>
      </c>
      <c r="B2514" s="3" t="s">
        <v>2280</v>
      </c>
      <c r="C2514" s="3" t="s">
        <v>89</v>
      </c>
      <c r="D2514" s="3" t="s">
        <v>38</v>
      </c>
      <c r="E2514" s="3" t="s">
        <v>39</v>
      </c>
      <c r="F2514" s="3" t="s">
        <v>40</v>
      </c>
      <c r="G2514" s="3" t="s">
        <v>30</v>
      </c>
      <c r="H2514" s="3" t="s">
        <v>31</v>
      </c>
      <c r="I2514" s="3" t="s">
        <v>1749</v>
      </c>
      <c r="J2514" s="3" t="s">
        <v>154</v>
      </c>
      <c r="K2514" s="3">
        <v>8</v>
      </c>
      <c r="L2514" s="3">
        <v>2612.4299999999998</v>
      </c>
      <c r="M2514" s="3">
        <v>20899.439999999999</v>
      </c>
      <c r="N2514" s="3">
        <v>15168.41</v>
      </c>
      <c r="O2514" s="3">
        <v>5731.03</v>
      </c>
      <c r="P2514" s="3" t="s">
        <v>45</v>
      </c>
    </row>
    <row r="2515" spans="1:16" x14ac:dyDescent="0.35">
      <c r="A2515" s="3" t="s">
        <v>3885</v>
      </c>
      <c r="B2515" s="3" t="s">
        <v>478</v>
      </c>
      <c r="C2515" s="3" t="s">
        <v>82</v>
      </c>
      <c r="D2515" s="3" t="s">
        <v>90</v>
      </c>
      <c r="E2515" s="3" t="s">
        <v>97</v>
      </c>
      <c r="F2515" s="3" t="s">
        <v>98</v>
      </c>
      <c r="G2515" s="3" t="s">
        <v>30</v>
      </c>
      <c r="H2515" s="3" t="s">
        <v>67</v>
      </c>
      <c r="I2515" s="3" t="s">
        <v>1286</v>
      </c>
      <c r="J2515" s="3" t="s">
        <v>44</v>
      </c>
      <c r="K2515" s="3">
        <v>5</v>
      </c>
      <c r="L2515" s="3">
        <v>10402.76</v>
      </c>
      <c r="M2515" s="3">
        <v>52013.8</v>
      </c>
      <c r="N2515" s="3">
        <v>37426.400000000001</v>
      </c>
      <c r="O2515" s="3">
        <v>14587.4</v>
      </c>
      <c r="P2515" s="3" t="s">
        <v>69</v>
      </c>
    </row>
    <row r="2516" spans="1:16" x14ac:dyDescent="0.35">
      <c r="A2516" s="3" t="s">
        <v>3886</v>
      </c>
      <c r="B2516" s="3" t="s">
        <v>502</v>
      </c>
      <c r="C2516" s="3" t="s">
        <v>48</v>
      </c>
      <c r="D2516" s="3" t="s">
        <v>38</v>
      </c>
      <c r="E2516" s="3" t="s">
        <v>104</v>
      </c>
      <c r="F2516" s="3" t="s">
        <v>104</v>
      </c>
      <c r="G2516" s="3" t="s">
        <v>51</v>
      </c>
      <c r="H2516" s="3" t="s">
        <v>52</v>
      </c>
      <c r="I2516" s="3" t="s">
        <v>3195</v>
      </c>
      <c r="J2516" s="3" t="s">
        <v>44</v>
      </c>
      <c r="K2516" s="3">
        <v>1</v>
      </c>
      <c r="L2516" s="3">
        <v>24.54</v>
      </c>
      <c r="M2516" s="3">
        <v>24.54</v>
      </c>
      <c r="N2516" s="3">
        <v>10.27</v>
      </c>
      <c r="O2516" s="3">
        <v>14.27</v>
      </c>
      <c r="P2516" s="3" t="s">
        <v>86</v>
      </c>
    </row>
    <row r="2517" spans="1:16" x14ac:dyDescent="0.35">
      <c r="A2517" s="3" t="s">
        <v>3887</v>
      </c>
      <c r="B2517" s="3" t="s">
        <v>327</v>
      </c>
      <c r="C2517" s="3" t="s">
        <v>48</v>
      </c>
      <c r="D2517" s="3" t="s">
        <v>90</v>
      </c>
      <c r="E2517" s="3" t="s">
        <v>119</v>
      </c>
      <c r="F2517" s="3" t="s">
        <v>120</v>
      </c>
      <c r="G2517" s="3" t="s">
        <v>51</v>
      </c>
      <c r="H2517" s="3" t="s">
        <v>77</v>
      </c>
      <c r="I2517" s="3" t="s">
        <v>1868</v>
      </c>
      <c r="J2517" s="3" t="s">
        <v>85</v>
      </c>
      <c r="K2517" s="3">
        <v>7</v>
      </c>
      <c r="L2517" s="3">
        <v>13188.66</v>
      </c>
      <c r="M2517" s="3">
        <v>92320.62</v>
      </c>
      <c r="N2517" s="3">
        <v>63142.720000000001</v>
      </c>
      <c r="O2517" s="3">
        <v>29177.9</v>
      </c>
      <c r="P2517" s="3" t="s">
        <v>69</v>
      </c>
    </row>
    <row r="2518" spans="1:16" x14ac:dyDescent="0.35">
      <c r="A2518" s="3" t="s">
        <v>3888</v>
      </c>
      <c r="B2518" s="3" t="s">
        <v>552</v>
      </c>
      <c r="C2518" s="3" t="s">
        <v>89</v>
      </c>
      <c r="D2518" s="3" t="s">
        <v>58</v>
      </c>
      <c r="E2518" s="3" t="s">
        <v>65</v>
      </c>
      <c r="F2518" s="3" t="s">
        <v>66</v>
      </c>
      <c r="G2518" s="3" t="s">
        <v>51</v>
      </c>
      <c r="H2518" s="3" t="s">
        <v>145</v>
      </c>
      <c r="I2518" s="3" t="s">
        <v>972</v>
      </c>
      <c r="J2518" s="3" t="s">
        <v>33</v>
      </c>
      <c r="K2518" s="3">
        <v>4</v>
      </c>
      <c r="L2518" s="3">
        <v>109.78</v>
      </c>
      <c r="M2518" s="3">
        <v>439.12</v>
      </c>
      <c r="N2518" s="3">
        <v>232.15</v>
      </c>
      <c r="O2518" s="3">
        <v>206.97</v>
      </c>
      <c r="P2518" s="3" t="s">
        <v>34</v>
      </c>
    </row>
    <row r="2519" spans="1:16" x14ac:dyDescent="0.35">
      <c r="A2519" s="3" t="s">
        <v>3889</v>
      </c>
      <c r="B2519" s="3" t="s">
        <v>927</v>
      </c>
      <c r="C2519" s="3" t="s">
        <v>57</v>
      </c>
      <c r="D2519" s="3" t="s">
        <v>38</v>
      </c>
      <c r="E2519" s="3" t="s">
        <v>109</v>
      </c>
      <c r="F2519" s="3" t="s">
        <v>110</v>
      </c>
      <c r="G2519" s="3" t="s">
        <v>41</v>
      </c>
      <c r="H2519" s="3" t="s">
        <v>138</v>
      </c>
      <c r="I2519" s="3" t="s">
        <v>803</v>
      </c>
      <c r="J2519" s="3" t="s">
        <v>188</v>
      </c>
      <c r="K2519" s="3">
        <v>3</v>
      </c>
      <c r="L2519" s="3">
        <v>19051.3</v>
      </c>
      <c r="M2519" s="3">
        <v>57153.9</v>
      </c>
      <c r="N2519" s="3">
        <v>40138.9</v>
      </c>
      <c r="O2519" s="3">
        <v>17015</v>
      </c>
      <c r="P2519" s="3" t="s">
        <v>86</v>
      </c>
    </row>
    <row r="2520" spans="1:16" x14ac:dyDescent="0.35">
      <c r="A2520" s="3" t="s">
        <v>3890</v>
      </c>
      <c r="B2520" s="3" t="s">
        <v>2156</v>
      </c>
      <c r="C2520" s="3" t="s">
        <v>114</v>
      </c>
      <c r="D2520" s="3" t="s">
        <v>90</v>
      </c>
      <c r="E2520" s="3" t="s">
        <v>91</v>
      </c>
      <c r="F2520" s="3" t="s">
        <v>92</v>
      </c>
      <c r="G2520" s="3" t="s">
        <v>41</v>
      </c>
      <c r="H2520" s="3" t="s">
        <v>138</v>
      </c>
      <c r="I2520" s="3" t="s">
        <v>3891</v>
      </c>
      <c r="J2520" s="3" t="s">
        <v>171</v>
      </c>
      <c r="K2520" s="3">
        <v>5</v>
      </c>
      <c r="L2520" s="3">
        <v>17534.8</v>
      </c>
      <c r="M2520" s="3">
        <v>87674</v>
      </c>
      <c r="N2520" s="3">
        <v>70402.38</v>
      </c>
      <c r="O2520" s="3">
        <v>17271.62</v>
      </c>
      <c r="P2520" s="3" t="s">
        <v>26</v>
      </c>
    </row>
    <row r="2521" spans="1:16" x14ac:dyDescent="0.35">
      <c r="A2521" s="3" t="s">
        <v>3892</v>
      </c>
      <c r="B2521" s="3" t="s">
        <v>242</v>
      </c>
      <c r="C2521" s="3" t="s">
        <v>137</v>
      </c>
      <c r="D2521" s="3" t="s">
        <v>19</v>
      </c>
      <c r="E2521" s="3" t="s">
        <v>199</v>
      </c>
      <c r="F2521" s="3" t="s">
        <v>200</v>
      </c>
      <c r="G2521" s="3" t="s">
        <v>30</v>
      </c>
      <c r="H2521" s="3" t="s">
        <v>31</v>
      </c>
      <c r="I2521" s="3" t="s">
        <v>1478</v>
      </c>
      <c r="J2521" s="3" t="s">
        <v>33</v>
      </c>
      <c r="K2521" s="3">
        <v>4</v>
      </c>
      <c r="L2521" s="3">
        <v>2913.08</v>
      </c>
      <c r="M2521" s="3">
        <v>11652.32</v>
      </c>
      <c r="N2521" s="3">
        <v>7459.36</v>
      </c>
      <c r="O2521" s="3">
        <v>4192.96</v>
      </c>
      <c r="P2521" s="3" t="s">
        <v>86</v>
      </c>
    </row>
    <row r="2522" spans="1:16" x14ac:dyDescent="0.35">
      <c r="A2522" s="3" t="s">
        <v>3893</v>
      </c>
      <c r="B2522" s="3" t="s">
        <v>521</v>
      </c>
      <c r="C2522" s="3" t="s">
        <v>18</v>
      </c>
      <c r="D2522" s="3" t="s">
        <v>58</v>
      </c>
      <c r="E2522" s="3" t="s">
        <v>65</v>
      </c>
      <c r="F2522" s="3" t="s">
        <v>66</v>
      </c>
      <c r="G2522" s="3" t="s">
        <v>30</v>
      </c>
      <c r="H2522" s="3" t="s">
        <v>73</v>
      </c>
      <c r="I2522" s="3" t="s">
        <v>3853</v>
      </c>
      <c r="J2522" s="3" t="s">
        <v>171</v>
      </c>
      <c r="K2522" s="3">
        <v>4</v>
      </c>
      <c r="L2522" s="3">
        <v>2984.19</v>
      </c>
      <c r="M2522" s="3">
        <v>11936.76</v>
      </c>
      <c r="N2522" s="3">
        <v>9164.11</v>
      </c>
      <c r="O2522" s="3">
        <v>2772.65</v>
      </c>
      <c r="P2522" s="3" t="s">
        <v>26</v>
      </c>
    </row>
    <row r="2523" spans="1:16" x14ac:dyDescent="0.35">
      <c r="A2523" s="3" t="s">
        <v>3894</v>
      </c>
      <c r="B2523" s="3" t="s">
        <v>1086</v>
      </c>
      <c r="C2523" s="3" t="s">
        <v>37</v>
      </c>
      <c r="D2523" s="3" t="s">
        <v>19</v>
      </c>
      <c r="E2523" s="3" t="s">
        <v>199</v>
      </c>
      <c r="F2523" s="3" t="s">
        <v>200</v>
      </c>
      <c r="G2523" s="3" t="s">
        <v>30</v>
      </c>
      <c r="H2523" s="3" t="s">
        <v>67</v>
      </c>
      <c r="I2523" s="3" t="s">
        <v>2286</v>
      </c>
      <c r="J2523" s="3" t="s">
        <v>85</v>
      </c>
      <c r="K2523" s="3">
        <v>3</v>
      </c>
      <c r="L2523" s="3">
        <v>9522.57</v>
      </c>
      <c r="M2523" s="3">
        <v>28567.71</v>
      </c>
      <c r="N2523" s="3">
        <v>22362.720000000001</v>
      </c>
      <c r="O2523" s="3">
        <v>6204.99</v>
      </c>
      <c r="P2523" s="3" t="s">
        <v>86</v>
      </c>
    </row>
    <row r="2524" spans="1:16" x14ac:dyDescent="0.35">
      <c r="A2524" s="3" t="s">
        <v>3895</v>
      </c>
      <c r="B2524" s="3" t="s">
        <v>1667</v>
      </c>
      <c r="C2524" s="3" t="s">
        <v>48</v>
      </c>
      <c r="D2524" s="3" t="s">
        <v>90</v>
      </c>
      <c r="E2524" s="3" t="s">
        <v>91</v>
      </c>
      <c r="F2524" s="3" t="s">
        <v>92</v>
      </c>
      <c r="G2524" s="3" t="s">
        <v>22</v>
      </c>
      <c r="H2524" s="3" t="s">
        <v>83</v>
      </c>
      <c r="I2524" s="3" t="s">
        <v>1690</v>
      </c>
      <c r="J2524" s="3" t="s">
        <v>188</v>
      </c>
      <c r="K2524" s="3">
        <v>2</v>
      </c>
      <c r="L2524" s="3">
        <v>20788.98</v>
      </c>
      <c r="M2524" s="3">
        <v>41577.96</v>
      </c>
      <c r="N2524" s="3">
        <v>34716.28</v>
      </c>
      <c r="O2524" s="3">
        <v>6861.68</v>
      </c>
      <c r="P2524" s="3" t="s">
        <v>86</v>
      </c>
    </row>
    <row r="2525" spans="1:16" x14ac:dyDescent="0.35">
      <c r="A2525" s="3" t="s">
        <v>3896</v>
      </c>
      <c r="B2525" s="3" t="s">
        <v>1429</v>
      </c>
      <c r="C2525" s="3" t="s">
        <v>89</v>
      </c>
      <c r="D2525" s="3" t="s">
        <v>90</v>
      </c>
      <c r="E2525" s="3" t="s">
        <v>97</v>
      </c>
      <c r="F2525" s="3" t="s">
        <v>98</v>
      </c>
      <c r="G2525" s="3" t="s">
        <v>22</v>
      </c>
      <c r="H2525" s="3" t="s">
        <v>93</v>
      </c>
      <c r="I2525" s="3" t="s">
        <v>670</v>
      </c>
      <c r="J2525" s="3" t="s">
        <v>131</v>
      </c>
      <c r="K2525" s="3">
        <v>3</v>
      </c>
      <c r="L2525" s="3">
        <v>6945.23</v>
      </c>
      <c r="M2525" s="3">
        <v>20835.689999999999</v>
      </c>
      <c r="N2525" s="3">
        <v>14344.11</v>
      </c>
      <c r="O2525" s="3">
        <v>6491.58</v>
      </c>
      <c r="P2525" s="3" t="s">
        <v>34</v>
      </c>
    </row>
    <row r="2526" spans="1:16" x14ac:dyDescent="0.35">
      <c r="A2526" s="3" t="s">
        <v>3897</v>
      </c>
      <c r="B2526" s="3" t="s">
        <v>531</v>
      </c>
      <c r="C2526" s="3" t="s">
        <v>137</v>
      </c>
      <c r="D2526" s="3" t="s">
        <v>90</v>
      </c>
      <c r="E2526" s="3" t="s">
        <v>91</v>
      </c>
      <c r="F2526" s="3" t="s">
        <v>92</v>
      </c>
      <c r="G2526" s="3" t="s">
        <v>51</v>
      </c>
      <c r="H2526" s="3" t="s">
        <v>145</v>
      </c>
      <c r="I2526" s="3" t="s">
        <v>3898</v>
      </c>
      <c r="J2526" s="3" t="s">
        <v>161</v>
      </c>
      <c r="K2526" s="3">
        <v>7</v>
      </c>
      <c r="L2526" s="3">
        <v>120.53</v>
      </c>
      <c r="M2526" s="3">
        <v>843.71</v>
      </c>
      <c r="N2526" s="3">
        <v>409</v>
      </c>
      <c r="O2526" s="3">
        <v>434.71</v>
      </c>
      <c r="P2526" s="3" t="s">
        <v>86</v>
      </c>
    </row>
    <row r="2527" spans="1:16" x14ac:dyDescent="0.35">
      <c r="A2527" s="3" t="s">
        <v>3899</v>
      </c>
      <c r="B2527" s="3" t="s">
        <v>1644</v>
      </c>
      <c r="C2527" s="3" t="s">
        <v>118</v>
      </c>
      <c r="D2527" s="3" t="s">
        <v>38</v>
      </c>
      <c r="E2527" s="3" t="s">
        <v>104</v>
      </c>
      <c r="F2527" s="3" t="s">
        <v>104</v>
      </c>
      <c r="G2527" s="3" t="s">
        <v>30</v>
      </c>
      <c r="H2527" s="3" t="s">
        <v>31</v>
      </c>
      <c r="I2527" s="3" t="s">
        <v>2740</v>
      </c>
      <c r="J2527" s="3" t="s">
        <v>106</v>
      </c>
      <c r="K2527" s="3">
        <v>4</v>
      </c>
      <c r="L2527" s="3">
        <v>2826.23</v>
      </c>
      <c r="M2527" s="3">
        <v>11304.92</v>
      </c>
      <c r="N2527" s="3">
        <v>7832.23</v>
      </c>
      <c r="O2527" s="3">
        <v>3472.69</v>
      </c>
      <c r="P2527" s="3" t="s">
        <v>86</v>
      </c>
    </row>
    <row r="2528" spans="1:16" x14ac:dyDescent="0.35">
      <c r="A2528" s="3" t="s">
        <v>3900</v>
      </c>
      <c r="B2528" s="3" t="s">
        <v>531</v>
      </c>
      <c r="C2528" s="3" t="s">
        <v>137</v>
      </c>
      <c r="D2528" s="3" t="s">
        <v>38</v>
      </c>
      <c r="E2528" s="3" t="s">
        <v>104</v>
      </c>
      <c r="F2528" s="3" t="s">
        <v>104</v>
      </c>
      <c r="G2528" s="3" t="s">
        <v>51</v>
      </c>
      <c r="H2528" s="3" t="s">
        <v>145</v>
      </c>
      <c r="I2528" s="3" t="s">
        <v>1798</v>
      </c>
      <c r="J2528" s="3" t="s">
        <v>217</v>
      </c>
      <c r="K2528" s="3">
        <v>4</v>
      </c>
      <c r="L2528" s="3">
        <v>123.43</v>
      </c>
      <c r="M2528" s="3">
        <v>493.72</v>
      </c>
      <c r="N2528" s="3">
        <v>235.45</v>
      </c>
      <c r="O2528" s="3">
        <v>258.27</v>
      </c>
      <c r="P2528" s="3" t="s">
        <v>26</v>
      </c>
    </row>
    <row r="2529" spans="1:16" x14ac:dyDescent="0.35">
      <c r="A2529" s="3" t="s">
        <v>3901</v>
      </c>
      <c r="B2529" s="3" t="s">
        <v>1348</v>
      </c>
      <c r="C2529" s="3" t="s">
        <v>57</v>
      </c>
      <c r="D2529" s="3" t="s">
        <v>58</v>
      </c>
      <c r="E2529" s="3" t="s">
        <v>176</v>
      </c>
      <c r="F2529" s="3" t="s">
        <v>177</v>
      </c>
      <c r="G2529" s="3" t="s">
        <v>30</v>
      </c>
      <c r="H2529" s="3" t="s">
        <v>73</v>
      </c>
      <c r="I2529" s="3" t="s">
        <v>584</v>
      </c>
      <c r="J2529" s="3" t="s">
        <v>100</v>
      </c>
      <c r="K2529" s="3">
        <v>6</v>
      </c>
      <c r="L2529" s="3">
        <v>2938.21</v>
      </c>
      <c r="M2529" s="3">
        <v>17629.259999999998</v>
      </c>
      <c r="N2529" s="3">
        <v>15023.49</v>
      </c>
      <c r="O2529" s="3">
        <v>2605.77</v>
      </c>
      <c r="P2529" s="3" t="s">
        <v>45</v>
      </c>
    </row>
    <row r="2530" spans="1:16" x14ac:dyDescent="0.35">
      <c r="A2530" s="3" t="s">
        <v>3902</v>
      </c>
      <c r="B2530" s="3" t="s">
        <v>654</v>
      </c>
      <c r="C2530" s="3" t="s">
        <v>103</v>
      </c>
      <c r="D2530" s="3" t="s">
        <v>58</v>
      </c>
      <c r="E2530" s="3" t="s">
        <v>59</v>
      </c>
      <c r="F2530" s="3" t="s">
        <v>60</v>
      </c>
      <c r="G2530" s="3" t="s">
        <v>30</v>
      </c>
      <c r="H2530" s="3" t="s">
        <v>73</v>
      </c>
      <c r="I2530" s="3" t="s">
        <v>99</v>
      </c>
      <c r="J2530" s="3" t="s">
        <v>33</v>
      </c>
      <c r="K2530" s="3">
        <v>2</v>
      </c>
      <c r="L2530" s="3">
        <v>3301.41</v>
      </c>
      <c r="M2530" s="3">
        <v>6602.82</v>
      </c>
      <c r="N2530" s="3">
        <v>4896.1099999999997</v>
      </c>
      <c r="O2530" s="3">
        <v>1706.71</v>
      </c>
      <c r="P2530" s="3" t="s">
        <v>45</v>
      </c>
    </row>
    <row r="2531" spans="1:16" x14ac:dyDescent="0.35">
      <c r="A2531" s="3" t="s">
        <v>3903</v>
      </c>
      <c r="B2531" s="3" t="s">
        <v>1360</v>
      </c>
      <c r="C2531" s="3" t="s">
        <v>72</v>
      </c>
      <c r="D2531" s="3" t="s">
        <v>90</v>
      </c>
      <c r="E2531" s="3" t="s">
        <v>119</v>
      </c>
      <c r="F2531" s="3" t="s">
        <v>120</v>
      </c>
      <c r="G2531" s="3" t="s">
        <v>22</v>
      </c>
      <c r="H2531" s="3" t="s">
        <v>83</v>
      </c>
      <c r="I2531" s="3" t="s">
        <v>3904</v>
      </c>
      <c r="J2531" s="3" t="s">
        <v>131</v>
      </c>
      <c r="K2531" s="3">
        <v>7</v>
      </c>
      <c r="L2531" s="3">
        <v>23845.38</v>
      </c>
      <c r="M2531" s="3">
        <v>166917.66</v>
      </c>
      <c r="N2531" s="3">
        <v>113371</v>
      </c>
      <c r="O2531" s="3">
        <v>53546.66</v>
      </c>
      <c r="P2531" s="3" t="s">
        <v>26</v>
      </c>
    </row>
    <row r="2532" spans="1:16" x14ac:dyDescent="0.35">
      <c r="A2532" s="3" t="s">
        <v>3905</v>
      </c>
      <c r="B2532" s="3" t="s">
        <v>1140</v>
      </c>
      <c r="C2532" s="3" t="s">
        <v>48</v>
      </c>
      <c r="D2532" s="3" t="s">
        <v>38</v>
      </c>
      <c r="E2532" s="3" t="s">
        <v>109</v>
      </c>
      <c r="F2532" s="3" t="s">
        <v>110</v>
      </c>
      <c r="G2532" s="3" t="s">
        <v>41</v>
      </c>
      <c r="H2532" s="3" t="s">
        <v>61</v>
      </c>
      <c r="I2532" s="3" t="s">
        <v>887</v>
      </c>
      <c r="J2532" s="3" t="s">
        <v>131</v>
      </c>
      <c r="K2532" s="3">
        <v>2</v>
      </c>
      <c r="L2532" s="3">
        <v>2496.66</v>
      </c>
      <c r="M2532" s="3">
        <v>4993.32</v>
      </c>
      <c r="N2532" s="3">
        <v>3306.85</v>
      </c>
      <c r="O2532" s="3">
        <v>1686.47</v>
      </c>
      <c r="P2532" s="3" t="s">
        <v>45</v>
      </c>
    </row>
    <row r="2533" spans="1:16" x14ac:dyDescent="0.35">
      <c r="A2533" s="3" t="s">
        <v>3906</v>
      </c>
      <c r="B2533" s="3" t="s">
        <v>847</v>
      </c>
      <c r="C2533" s="3" t="s">
        <v>89</v>
      </c>
      <c r="D2533" s="3" t="s">
        <v>19</v>
      </c>
      <c r="E2533" s="3" t="s">
        <v>20</v>
      </c>
      <c r="F2533" s="3" t="s">
        <v>21</v>
      </c>
      <c r="G2533" s="3" t="s">
        <v>51</v>
      </c>
      <c r="H2533" s="3" t="s">
        <v>77</v>
      </c>
      <c r="I2533" s="3" t="s">
        <v>3234</v>
      </c>
      <c r="J2533" s="3" t="s">
        <v>79</v>
      </c>
      <c r="K2533" s="3">
        <v>1</v>
      </c>
      <c r="L2533" s="3">
        <v>12866.49</v>
      </c>
      <c r="M2533" s="3">
        <v>12866.49</v>
      </c>
      <c r="N2533" s="3">
        <v>8713.75</v>
      </c>
      <c r="O2533" s="3">
        <v>4152.74</v>
      </c>
      <c r="P2533" s="3" t="s">
        <v>26</v>
      </c>
    </row>
    <row r="2534" spans="1:16" x14ac:dyDescent="0.35">
      <c r="A2534" s="3" t="s">
        <v>3907</v>
      </c>
      <c r="B2534" s="3" t="s">
        <v>599</v>
      </c>
      <c r="C2534" s="3" t="s">
        <v>82</v>
      </c>
      <c r="D2534" s="3" t="s">
        <v>90</v>
      </c>
      <c r="E2534" s="3" t="s">
        <v>97</v>
      </c>
      <c r="F2534" s="3" t="s">
        <v>98</v>
      </c>
      <c r="G2534" s="3" t="s">
        <v>22</v>
      </c>
      <c r="H2534" s="3" t="s">
        <v>93</v>
      </c>
      <c r="I2534" s="3" t="s">
        <v>1793</v>
      </c>
      <c r="J2534" s="3" t="s">
        <v>131</v>
      </c>
      <c r="K2534" s="3">
        <v>2</v>
      </c>
      <c r="L2534" s="3">
        <v>7676.23</v>
      </c>
      <c r="M2534" s="3">
        <v>15352.46</v>
      </c>
      <c r="N2534" s="3">
        <v>9601.48</v>
      </c>
      <c r="O2534" s="3">
        <v>5750.98</v>
      </c>
      <c r="P2534" s="3" t="s">
        <v>45</v>
      </c>
    </row>
    <row r="2535" spans="1:16" x14ac:dyDescent="0.35">
      <c r="A2535" s="3" t="s">
        <v>3908</v>
      </c>
      <c r="B2535" s="3" t="s">
        <v>814</v>
      </c>
      <c r="C2535" s="3" t="s">
        <v>103</v>
      </c>
      <c r="D2535" s="3" t="s">
        <v>19</v>
      </c>
      <c r="E2535" s="3" t="s">
        <v>20</v>
      </c>
      <c r="F2535" s="3" t="s">
        <v>21</v>
      </c>
      <c r="G2535" s="3" t="s">
        <v>51</v>
      </c>
      <c r="H2535" s="3" t="s">
        <v>52</v>
      </c>
      <c r="I2535" s="3" t="s">
        <v>365</v>
      </c>
      <c r="J2535" s="3" t="s">
        <v>54</v>
      </c>
      <c r="K2535" s="3">
        <v>5</v>
      </c>
      <c r="L2535" s="3">
        <v>25.49</v>
      </c>
      <c r="M2535" s="3">
        <v>127.45</v>
      </c>
      <c r="N2535" s="3">
        <v>48.89</v>
      </c>
      <c r="O2535" s="3">
        <v>78.56</v>
      </c>
      <c r="P2535" s="3" t="s">
        <v>34</v>
      </c>
    </row>
    <row r="2536" spans="1:16" x14ac:dyDescent="0.35">
      <c r="A2536" s="3" t="s">
        <v>3909</v>
      </c>
      <c r="B2536" s="3" t="s">
        <v>88</v>
      </c>
      <c r="C2536" s="3" t="s">
        <v>89</v>
      </c>
      <c r="D2536" s="3" t="s">
        <v>90</v>
      </c>
      <c r="E2536" s="3" t="s">
        <v>91</v>
      </c>
      <c r="F2536" s="3" t="s">
        <v>92</v>
      </c>
      <c r="G2536" s="3" t="s">
        <v>41</v>
      </c>
      <c r="H2536" s="3" t="s">
        <v>61</v>
      </c>
      <c r="I2536" s="3" t="s">
        <v>3096</v>
      </c>
      <c r="J2536" s="3" t="s">
        <v>54</v>
      </c>
      <c r="K2536" s="3">
        <v>4</v>
      </c>
      <c r="L2536" s="3">
        <v>2267.1999999999998</v>
      </c>
      <c r="M2536" s="3">
        <v>9068.7999999999993</v>
      </c>
      <c r="N2536" s="3">
        <v>6622.46</v>
      </c>
      <c r="O2536" s="3">
        <v>2446.34</v>
      </c>
      <c r="P2536" s="3" t="s">
        <v>26</v>
      </c>
    </row>
    <row r="2537" spans="1:16" x14ac:dyDescent="0.35">
      <c r="A2537" s="3" t="s">
        <v>3910</v>
      </c>
      <c r="B2537" s="3" t="s">
        <v>2127</v>
      </c>
      <c r="C2537" s="3" t="s">
        <v>48</v>
      </c>
      <c r="D2537" s="3" t="s">
        <v>19</v>
      </c>
      <c r="E2537" s="3" t="s">
        <v>199</v>
      </c>
      <c r="F2537" s="3" t="s">
        <v>200</v>
      </c>
      <c r="G2537" s="3" t="s">
        <v>41</v>
      </c>
      <c r="H2537" s="3" t="s">
        <v>61</v>
      </c>
      <c r="I2537" s="3" t="s">
        <v>1214</v>
      </c>
      <c r="J2537" s="3" t="s">
        <v>131</v>
      </c>
      <c r="K2537" s="3">
        <v>5</v>
      </c>
      <c r="L2537" s="3">
        <v>2533.54</v>
      </c>
      <c r="M2537" s="3">
        <v>12667.7</v>
      </c>
      <c r="N2537" s="3">
        <v>8088.68</v>
      </c>
      <c r="O2537" s="3">
        <v>4579.0200000000004</v>
      </c>
      <c r="P2537" s="3" t="s">
        <v>34</v>
      </c>
    </row>
    <row r="2538" spans="1:16" x14ac:dyDescent="0.35">
      <c r="A2538" s="3" t="s">
        <v>3911</v>
      </c>
      <c r="B2538" s="3" t="s">
        <v>521</v>
      </c>
      <c r="C2538" s="3" t="s">
        <v>18</v>
      </c>
      <c r="D2538" s="3" t="s">
        <v>90</v>
      </c>
      <c r="E2538" s="3" t="s">
        <v>97</v>
      </c>
      <c r="F2538" s="3" t="s">
        <v>98</v>
      </c>
      <c r="G2538" s="3" t="s">
        <v>41</v>
      </c>
      <c r="H2538" s="3" t="s">
        <v>42</v>
      </c>
      <c r="I2538" s="3" t="s">
        <v>439</v>
      </c>
      <c r="J2538" s="3" t="s">
        <v>154</v>
      </c>
      <c r="K2538" s="3">
        <v>7</v>
      </c>
      <c r="L2538" s="3">
        <v>49485.29</v>
      </c>
      <c r="M2538" s="3">
        <v>346397.03</v>
      </c>
      <c r="N2538" s="3">
        <v>244230.07</v>
      </c>
      <c r="O2538" s="3">
        <v>102166.96</v>
      </c>
      <c r="P2538" s="3" t="s">
        <v>26</v>
      </c>
    </row>
    <row r="2539" spans="1:16" x14ac:dyDescent="0.35">
      <c r="A2539" s="3" t="s">
        <v>3912</v>
      </c>
      <c r="B2539" s="3" t="s">
        <v>1406</v>
      </c>
      <c r="C2539" s="3" t="s">
        <v>137</v>
      </c>
      <c r="D2539" s="3" t="s">
        <v>58</v>
      </c>
      <c r="E2539" s="3" t="s">
        <v>59</v>
      </c>
      <c r="F2539" s="3" t="s">
        <v>60</v>
      </c>
      <c r="G2539" s="3" t="s">
        <v>22</v>
      </c>
      <c r="H2539" s="3" t="s">
        <v>83</v>
      </c>
      <c r="I2539" s="3" t="s">
        <v>1649</v>
      </c>
      <c r="J2539" s="3" t="s">
        <v>161</v>
      </c>
      <c r="K2539" s="3">
        <v>1</v>
      </c>
      <c r="L2539" s="3">
        <v>19853.77</v>
      </c>
      <c r="M2539" s="3">
        <v>19853.77</v>
      </c>
      <c r="N2539" s="3">
        <v>17762.87</v>
      </c>
      <c r="O2539" s="3">
        <v>2090.9</v>
      </c>
      <c r="P2539" s="3" t="s">
        <v>34</v>
      </c>
    </row>
    <row r="2540" spans="1:16" x14ac:dyDescent="0.35">
      <c r="A2540" s="3" t="s">
        <v>3913</v>
      </c>
      <c r="B2540" s="3" t="s">
        <v>883</v>
      </c>
      <c r="C2540" s="3" t="s">
        <v>37</v>
      </c>
      <c r="D2540" s="3" t="s">
        <v>19</v>
      </c>
      <c r="E2540" s="3" t="s">
        <v>20</v>
      </c>
      <c r="F2540" s="3" t="s">
        <v>21</v>
      </c>
      <c r="G2540" s="3" t="s">
        <v>51</v>
      </c>
      <c r="H2540" s="3" t="s">
        <v>77</v>
      </c>
      <c r="I2540" s="3" t="s">
        <v>283</v>
      </c>
      <c r="J2540" s="3" t="s">
        <v>171</v>
      </c>
      <c r="K2540" s="3">
        <v>2</v>
      </c>
      <c r="L2540" s="3">
        <v>12409.3</v>
      </c>
      <c r="M2540" s="3">
        <v>24818.6</v>
      </c>
      <c r="N2540" s="3">
        <v>18521.07</v>
      </c>
      <c r="O2540" s="3">
        <v>6297.53</v>
      </c>
      <c r="P2540" s="3" t="s">
        <v>69</v>
      </c>
    </row>
    <row r="2541" spans="1:16" x14ac:dyDescent="0.35">
      <c r="A2541" s="3" t="s">
        <v>3914</v>
      </c>
      <c r="B2541" s="3" t="s">
        <v>837</v>
      </c>
      <c r="C2541" s="3" t="s">
        <v>72</v>
      </c>
      <c r="D2541" s="3" t="s">
        <v>58</v>
      </c>
      <c r="E2541" s="3" t="s">
        <v>176</v>
      </c>
      <c r="F2541" s="3" t="s">
        <v>177</v>
      </c>
      <c r="G2541" s="3" t="s">
        <v>30</v>
      </c>
      <c r="H2541" s="3" t="s">
        <v>67</v>
      </c>
      <c r="I2541" s="3" t="s">
        <v>3915</v>
      </c>
      <c r="J2541" s="3" t="s">
        <v>161</v>
      </c>
      <c r="K2541" s="3">
        <v>5</v>
      </c>
      <c r="L2541" s="3">
        <v>8597.69</v>
      </c>
      <c r="M2541" s="3">
        <v>42988.45</v>
      </c>
      <c r="N2541" s="3">
        <v>37236.550000000003</v>
      </c>
      <c r="O2541" s="3">
        <v>5751.9</v>
      </c>
      <c r="P2541" s="3" t="s">
        <v>86</v>
      </c>
    </row>
    <row r="2542" spans="1:16" x14ac:dyDescent="0.35">
      <c r="A2542" s="3" t="s">
        <v>3916</v>
      </c>
      <c r="B2542" s="3" t="s">
        <v>1092</v>
      </c>
      <c r="C2542" s="3" t="s">
        <v>103</v>
      </c>
      <c r="D2542" s="3" t="s">
        <v>38</v>
      </c>
      <c r="E2542" s="3" t="s">
        <v>39</v>
      </c>
      <c r="F2542" s="3" t="s">
        <v>40</v>
      </c>
      <c r="G2542" s="3" t="s">
        <v>22</v>
      </c>
      <c r="H2542" s="3" t="s">
        <v>93</v>
      </c>
      <c r="I2542" s="3" t="s">
        <v>393</v>
      </c>
      <c r="J2542" s="3" t="s">
        <v>154</v>
      </c>
      <c r="K2542" s="3">
        <v>4</v>
      </c>
      <c r="L2542" s="3">
        <v>7276.59</v>
      </c>
      <c r="M2542" s="3">
        <v>29106.36</v>
      </c>
      <c r="N2542" s="3">
        <v>19445.93</v>
      </c>
      <c r="O2542" s="3">
        <v>9660.43</v>
      </c>
      <c r="P2542" s="3" t="s">
        <v>45</v>
      </c>
    </row>
    <row r="2543" spans="1:16" x14ac:dyDescent="0.35">
      <c r="A2543" s="3" t="s">
        <v>3917</v>
      </c>
      <c r="B2543" s="3" t="s">
        <v>2127</v>
      </c>
      <c r="C2543" s="3" t="s">
        <v>48</v>
      </c>
      <c r="D2543" s="3" t="s">
        <v>38</v>
      </c>
      <c r="E2543" s="3" t="s">
        <v>109</v>
      </c>
      <c r="F2543" s="3" t="s">
        <v>110</v>
      </c>
      <c r="G2543" s="3" t="s">
        <v>51</v>
      </c>
      <c r="H2543" s="3" t="s">
        <v>77</v>
      </c>
      <c r="I2543" s="3" t="s">
        <v>450</v>
      </c>
      <c r="J2543" s="3" t="s">
        <v>171</v>
      </c>
      <c r="K2543" s="3">
        <v>6</v>
      </c>
      <c r="L2543" s="3">
        <v>11569.79</v>
      </c>
      <c r="M2543" s="3">
        <v>69418.740000000005</v>
      </c>
      <c r="N2543" s="3">
        <v>51793.15</v>
      </c>
      <c r="O2543" s="3">
        <v>17625.59</v>
      </c>
      <c r="P2543" s="3" t="s">
        <v>34</v>
      </c>
    </row>
    <row r="2544" spans="1:16" x14ac:dyDescent="0.35">
      <c r="A2544" s="3" t="s">
        <v>3918</v>
      </c>
      <c r="B2544" s="3" t="s">
        <v>696</v>
      </c>
      <c r="C2544" s="3" t="s">
        <v>82</v>
      </c>
      <c r="D2544" s="3" t="s">
        <v>38</v>
      </c>
      <c r="E2544" s="3" t="s">
        <v>104</v>
      </c>
      <c r="F2544" s="3" t="s">
        <v>104</v>
      </c>
      <c r="G2544" s="3" t="s">
        <v>22</v>
      </c>
      <c r="H2544" s="3" t="s">
        <v>23</v>
      </c>
      <c r="I2544" s="3" t="s">
        <v>1399</v>
      </c>
      <c r="J2544" s="3" t="s">
        <v>131</v>
      </c>
      <c r="K2544" s="3">
        <v>6</v>
      </c>
      <c r="L2544" s="3">
        <v>3420.43</v>
      </c>
      <c r="M2544" s="3">
        <v>20522.580000000002</v>
      </c>
      <c r="N2544" s="3">
        <v>13825.96</v>
      </c>
      <c r="O2544" s="3">
        <v>6696.62</v>
      </c>
      <c r="P2544" s="3" t="s">
        <v>26</v>
      </c>
    </row>
    <row r="2545" spans="1:16" x14ac:dyDescent="0.35">
      <c r="A2545" s="3" t="s">
        <v>3919</v>
      </c>
      <c r="B2545" s="3" t="s">
        <v>452</v>
      </c>
      <c r="C2545" s="3" t="s">
        <v>114</v>
      </c>
      <c r="D2545" s="3" t="s">
        <v>58</v>
      </c>
      <c r="E2545" s="3" t="s">
        <v>65</v>
      </c>
      <c r="F2545" s="3" t="s">
        <v>66</v>
      </c>
      <c r="G2545" s="3" t="s">
        <v>30</v>
      </c>
      <c r="H2545" s="3" t="s">
        <v>31</v>
      </c>
      <c r="I2545" s="3" t="s">
        <v>249</v>
      </c>
      <c r="J2545" s="3" t="s">
        <v>79</v>
      </c>
      <c r="K2545" s="3">
        <v>6</v>
      </c>
      <c r="L2545" s="3">
        <v>2739.16</v>
      </c>
      <c r="M2545" s="3">
        <v>16434.96</v>
      </c>
      <c r="N2545" s="3">
        <v>11788.04</v>
      </c>
      <c r="O2545" s="3">
        <v>4646.92</v>
      </c>
      <c r="P2545" s="3" t="s">
        <v>69</v>
      </c>
    </row>
    <row r="2546" spans="1:16" x14ac:dyDescent="0.35">
      <c r="A2546" s="3" t="s">
        <v>3920</v>
      </c>
      <c r="B2546" s="3" t="s">
        <v>1898</v>
      </c>
      <c r="C2546" s="3" t="s">
        <v>29</v>
      </c>
      <c r="D2546" s="3" t="s">
        <v>58</v>
      </c>
      <c r="E2546" s="3" t="s">
        <v>65</v>
      </c>
      <c r="F2546" s="3" t="s">
        <v>66</v>
      </c>
      <c r="G2546" s="3" t="s">
        <v>30</v>
      </c>
      <c r="H2546" s="3" t="s">
        <v>67</v>
      </c>
      <c r="I2546" s="3" t="s">
        <v>2567</v>
      </c>
      <c r="J2546" s="3" t="s">
        <v>106</v>
      </c>
      <c r="K2546" s="3">
        <v>8</v>
      </c>
      <c r="L2546" s="3">
        <v>9488.36</v>
      </c>
      <c r="M2546" s="3">
        <v>75906.880000000005</v>
      </c>
      <c r="N2546" s="3">
        <v>58152.92</v>
      </c>
      <c r="O2546" s="3">
        <v>17753.96</v>
      </c>
      <c r="P2546" s="3" t="s">
        <v>26</v>
      </c>
    </row>
    <row r="2547" spans="1:16" x14ac:dyDescent="0.35">
      <c r="A2547" s="3" t="s">
        <v>3921</v>
      </c>
      <c r="B2547" s="3" t="s">
        <v>2280</v>
      </c>
      <c r="C2547" s="3" t="s">
        <v>89</v>
      </c>
      <c r="D2547" s="3" t="s">
        <v>90</v>
      </c>
      <c r="E2547" s="3" t="s">
        <v>97</v>
      </c>
      <c r="F2547" s="3" t="s">
        <v>98</v>
      </c>
      <c r="G2547" s="3" t="s">
        <v>30</v>
      </c>
      <c r="H2547" s="3" t="s">
        <v>31</v>
      </c>
      <c r="I2547" s="3" t="s">
        <v>843</v>
      </c>
      <c r="J2547" s="3" t="s">
        <v>131</v>
      </c>
      <c r="K2547" s="3">
        <v>8</v>
      </c>
      <c r="L2547" s="3">
        <v>2721.17</v>
      </c>
      <c r="M2547" s="3">
        <v>21769.360000000001</v>
      </c>
      <c r="N2547" s="3">
        <v>14762.05</v>
      </c>
      <c r="O2547" s="3">
        <v>7007.31</v>
      </c>
      <c r="P2547" s="3" t="s">
        <v>86</v>
      </c>
    </row>
    <row r="2548" spans="1:16" x14ac:dyDescent="0.35">
      <c r="A2548" s="3" t="s">
        <v>3922</v>
      </c>
      <c r="B2548" s="3" t="s">
        <v>941</v>
      </c>
      <c r="C2548" s="3" t="s">
        <v>118</v>
      </c>
      <c r="D2548" s="3" t="s">
        <v>38</v>
      </c>
      <c r="E2548" s="3" t="s">
        <v>39</v>
      </c>
      <c r="F2548" s="3" t="s">
        <v>40</v>
      </c>
      <c r="G2548" s="3" t="s">
        <v>22</v>
      </c>
      <c r="H2548" s="3" t="s">
        <v>23</v>
      </c>
      <c r="I2548" s="3" t="s">
        <v>3099</v>
      </c>
      <c r="J2548" s="3" t="s">
        <v>85</v>
      </c>
      <c r="K2548" s="3">
        <v>5</v>
      </c>
      <c r="L2548" s="3">
        <v>3688.46</v>
      </c>
      <c r="M2548" s="3">
        <v>18442.3</v>
      </c>
      <c r="N2548" s="3">
        <v>11092.43</v>
      </c>
      <c r="O2548" s="3">
        <v>7349.87</v>
      </c>
      <c r="P2548" s="3" t="s">
        <v>45</v>
      </c>
    </row>
    <row r="2549" spans="1:16" x14ac:dyDescent="0.35">
      <c r="A2549" s="3" t="s">
        <v>3923</v>
      </c>
      <c r="B2549" s="3" t="s">
        <v>1053</v>
      </c>
      <c r="C2549" s="3" t="s">
        <v>82</v>
      </c>
      <c r="D2549" s="3" t="s">
        <v>90</v>
      </c>
      <c r="E2549" s="3" t="s">
        <v>97</v>
      </c>
      <c r="F2549" s="3" t="s">
        <v>98</v>
      </c>
      <c r="G2549" s="3" t="s">
        <v>41</v>
      </c>
      <c r="H2549" s="3" t="s">
        <v>138</v>
      </c>
      <c r="I2549" s="3" t="s">
        <v>1002</v>
      </c>
      <c r="J2549" s="3" t="s">
        <v>171</v>
      </c>
      <c r="K2549" s="3">
        <v>5</v>
      </c>
      <c r="L2549" s="3">
        <v>17959.759999999998</v>
      </c>
      <c r="M2549" s="3">
        <v>89798.8</v>
      </c>
      <c r="N2549" s="3">
        <v>66625.97</v>
      </c>
      <c r="O2549" s="3">
        <v>23172.83</v>
      </c>
      <c r="P2549" s="3" t="s">
        <v>86</v>
      </c>
    </row>
    <row r="2550" spans="1:16" x14ac:dyDescent="0.35">
      <c r="A2550" s="3" t="s">
        <v>3924</v>
      </c>
      <c r="B2550" s="3" t="s">
        <v>559</v>
      </c>
      <c r="C2550" s="3" t="s">
        <v>89</v>
      </c>
      <c r="D2550" s="3" t="s">
        <v>38</v>
      </c>
      <c r="E2550" s="3" t="s">
        <v>109</v>
      </c>
      <c r="F2550" s="3" t="s">
        <v>110</v>
      </c>
      <c r="G2550" s="3" t="s">
        <v>30</v>
      </c>
      <c r="H2550" s="3" t="s">
        <v>31</v>
      </c>
      <c r="I2550" s="3" t="s">
        <v>1561</v>
      </c>
      <c r="J2550" s="3" t="s">
        <v>44</v>
      </c>
      <c r="K2550" s="3">
        <v>5</v>
      </c>
      <c r="L2550" s="3">
        <v>2742.13</v>
      </c>
      <c r="M2550" s="3">
        <v>13710.65</v>
      </c>
      <c r="N2550" s="3">
        <v>9673.6</v>
      </c>
      <c r="O2550" s="3">
        <v>4037.05</v>
      </c>
      <c r="P2550" s="3" t="s">
        <v>26</v>
      </c>
    </row>
    <row r="2551" spans="1:16" x14ac:dyDescent="0.35">
      <c r="A2551" s="3" t="s">
        <v>3925</v>
      </c>
      <c r="B2551" s="3" t="s">
        <v>814</v>
      </c>
      <c r="C2551" s="3" t="s">
        <v>103</v>
      </c>
      <c r="D2551" s="3" t="s">
        <v>19</v>
      </c>
      <c r="E2551" s="3" t="s">
        <v>49</v>
      </c>
      <c r="F2551" s="3" t="s">
        <v>50</v>
      </c>
      <c r="G2551" s="3" t="s">
        <v>51</v>
      </c>
      <c r="H2551" s="3" t="s">
        <v>52</v>
      </c>
      <c r="I2551" s="3" t="s">
        <v>3472</v>
      </c>
      <c r="J2551" s="3" t="s">
        <v>85</v>
      </c>
      <c r="K2551" s="3">
        <v>4</v>
      </c>
      <c r="L2551" s="3">
        <v>24.35</v>
      </c>
      <c r="M2551" s="3">
        <v>97.4</v>
      </c>
      <c r="N2551" s="3">
        <v>40.369999999999997</v>
      </c>
      <c r="O2551" s="3">
        <v>57.03</v>
      </c>
      <c r="P2551" s="3" t="s">
        <v>26</v>
      </c>
    </row>
    <row r="2552" spans="1:16" x14ac:dyDescent="0.35">
      <c r="A2552" s="3" t="s">
        <v>3926</v>
      </c>
      <c r="B2552" s="3" t="s">
        <v>958</v>
      </c>
      <c r="C2552" s="3" t="s">
        <v>118</v>
      </c>
      <c r="D2552" s="3" t="s">
        <v>19</v>
      </c>
      <c r="E2552" s="3" t="s">
        <v>199</v>
      </c>
      <c r="F2552" s="3" t="s">
        <v>200</v>
      </c>
      <c r="G2552" s="3" t="s">
        <v>22</v>
      </c>
      <c r="H2552" s="3" t="s">
        <v>23</v>
      </c>
      <c r="I2552" s="3" t="s">
        <v>3927</v>
      </c>
      <c r="J2552" s="3" t="s">
        <v>188</v>
      </c>
      <c r="K2552" s="3">
        <v>8</v>
      </c>
      <c r="L2552" s="3">
        <v>3524.41</v>
      </c>
      <c r="M2552" s="3">
        <v>28195.279999999999</v>
      </c>
      <c r="N2552" s="3">
        <v>17891.240000000002</v>
      </c>
      <c r="O2552" s="3">
        <v>10304.040000000001</v>
      </c>
      <c r="P2552" s="3" t="s">
        <v>86</v>
      </c>
    </row>
    <row r="2553" spans="1:16" x14ac:dyDescent="0.35">
      <c r="A2553" s="3" t="s">
        <v>3928</v>
      </c>
      <c r="B2553" s="3" t="s">
        <v>452</v>
      </c>
      <c r="C2553" s="3" t="s">
        <v>114</v>
      </c>
      <c r="D2553" s="3" t="s">
        <v>58</v>
      </c>
      <c r="E2553" s="3" t="s">
        <v>65</v>
      </c>
      <c r="F2553" s="3" t="s">
        <v>66</v>
      </c>
      <c r="G2553" s="3" t="s">
        <v>51</v>
      </c>
      <c r="H2553" s="3" t="s">
        <v>52</v>
      </c>
      <c r="I2553" s="3" t="s">
        <v>272</v>
      </c>
      <c r="J2553" s="3" t="s">
        <v>161</v>
      </c>
      <c r="K2553" s="3">
        <v>6</v>
      </c>
      <c r="L2553" s="3">
        <v>26.96</v>
      </c>
      <c r="M2553" s="3">
        <v>161.76</v>
      </c>
      <c r="N2553" s="3">
        <v>60.81</v>
      </c>
      <c r="O2553" s="3">
        <v>100.95</v>
      </c>
      <c r="P2553" s="3" t="s">
        <v>69</v>
      </c>
    </row>
    <row r="2554" spans="1:16" x14ac:dyDescent="0.35">
      <c r="A2554" s="3" t="s">
        <v>3929</v>
      </c>
      <c r="B2554" s="3" t="s">
        <v>209</v>
      </c>
      <c r="C2554" s="3" t="s">
        <v>118</v>
      </c>
      <c r="D2554" s="3" t="s">
        <v>38</v>
      </c>
      <c r="E2554" s="3" t="s">
        <v>104</v>
      </c>
      <c r="F2554" s="3" t="s">
        <v>104</v>
      </c>
      <c r="G2554" s="3" t="s">
        <v>51</v>
      </c>
      <c r="H2554" s="3" t="s">
        <v>77</v>
      </c>
      <c r="I2554" s="3" t="s">
        <v>3930</v>
      </c>
      <c r="J2554" s="3" t="s">
        <v>161</v>
      </c>
      <c r="K2554" s="3">
        <v>8</v>
      </c>
      <c r="L2554" s="3">
        <v>13190.46</v>
      </c>
      <c r="M2554" s="3">
        <v>105523.68</v>
      </c>
      <c r="N2554" s="3">
        <v>72724.820000000007</v>
      </c>
      <c r="O2554" s="3">
        <v>32798.86</v>
      </c>
      <c r="P2554" s="3" t="s">
        <v>26</v>
      </c>
    </row>
    <row r="2555" spans="1:16" x14ac:dyDescent="0.35">
      <c r="A2555" s="3" t="s">
        <v>3931</v>
      </c>
      <c r="B2555" s="3" t="s">
        <v>358</v>
      </c>
      <c r="C2555" s="3" t="s">
        <v>72</v>
      </c>
      <c r="D2555" s="3" t="s">
        <v>38</v>
      </c>
      <c r="E2555" s="3" t="s">
        <v>104</v>
      </c>
      <c r="F2555" s="3" t="s">
        <v>104</v>
      </c>
      <c r="G2555" s="3" t="s">
        <v>51</v>
      </c>
      <c r="H2555" s="3" t="s">
        <v>52</v>
      </c>
      <c r="I2555" s="3" t="s">
        <v>1365</v>
      </c>
      <c r="J2555" s="3" t="s">
        <v>33</v>
      </c>
      <c r="K2555" s="3">
        <v>2</v>
      </c>
      <c r="L2555" s="3">
        <v>23.02</v>
      </c>
      <c r="M2555" s="3">
        <v>46.04</v>
      </c>
      <c r="N2555" s="3">
        <v>19.079999999999998</v>
      </c>
      <c r="O2555" s="3">
        <v>26.96</v>
      </c>
      <c r="P2555" s="3" t="s">
        <v>26</v>
      </c>
    </row>
    <row r="2556" spans="1:16" x14ac:dyDescent="0.35">
      <c r="A2556" s="3" t="s">
        <v>3932</v>
      </c>
      <c r="B2556" s="3" t="s">
        <v>779</v>
      </c>
      <c r="C2556" s="3" t="s">
        <v>114</v>
      </c>
      <c r="D2556" s="3" t="s">
        <v>58</v>
      </c>
      <c r="E2556" s="3" t="s">
        <v>176</v>
      </c>
      <c r="F2556" s="3" t="s">
        <v>177</v>
      </c>
      <c r="G2556" s="3" t="s">
        <v>22</v>
      </c>
      <c r="H2556" s="3" t="s">
        <v>23</v>
      </c>
      <c r="I2556" s="3" t="s">
        <v>3103</v>
      </c>
      <c r="J2556" s="3" t="s">
        <v>188</v>
      </c>
      <c r="K2556" s="3">
        <v>3</v>
      </c>
      <c r="L2556" s="3">
        <v>3785.59</v>
      </c>
      <c r="M2556" s="3">
        <v>11356.77</v>
      </c>
      <c r="N2556" s="3">
        <v>6640.93</v>
      </c>
      <c r="O2556" s="3">
        <v>4715.84</v>
      </c>
      <c r="P2556" s="3" t="s">
        <v>34</v>
      </c>
    </row>
    <row r="2557" spans="1:16" x14ac:dyDescent="0.35">
      <c r="A2557" s="3" t="s">
        <v>3933</v>
      </c>
      <c r="B2557" s="3" t="s">
        <v>642</v>
      </c>
      <c r="C2557" s="3" t="s">
        <v>18</v>
      </c>
      <c r="D2557" s="3" t="s">
        <v>19</v>
      </c>
      <c r="E2557" s="3" t="s">
        <v>20</v>
      </c>
      <c r="F2557" s="3" t="s">
        <v>21</v>
      </c>
      <c r="G2557" s="3" t="s">
        <v>22</v>
      </c>
      <c r="H2557" s="3" t="s">
        <v>23</v>
      </c>
      <c r="I2557" s="3" t="s">
        <v>2065</v>
      </c>
      <c r="J2557" s="3" t="s">
        <v>100</v>
      </c>
      <c r="K2557" s="3">
        <v>4</v>
      </c>
      <c r="L2557" s="3">
        <v>3239.01</v>
      </c>
      <c r="M2557" s="3">
        <v>12956.04</v>
      </c>
      <c r="N2557" s="3">
        <v>8518.5499999999993</v>
      </c>
      <c r="O2557" s="3">
        <v>4437.49</v>
      </c>
      <c r="P2557" s="3" t="s">
        <v>86</v>
      </c>
    </row>
    <row r="2558" spans="1:16" x14ac:dyDescent="0.35">
      <c r="A2558" s="3" t="s">
        <v>3934</v>
      </c>
      <c r="B2558" s="3" t="s">
        <v>321</v>
      </c>
      <c r="C2558" s="3" t="s">
        <v>137</v>
      </c>
      <c r="D2558" s="3" t="s">
        <v>38</v>
      </c>
      <c r="E2558" s="3" t="s">
        <v>109</v>
      </c>
      <c r="F2558" s="3" t="s">
        <v>110</v>
      </c>
      <c r="G2558" s="3" t="s">
        <v>30</v>
      </c>
      <c r="H2558" s="3" t="s">
        <v>31</v>
      </c>
      <c r="I2558" s="3" t="s">
        <v>683</v>
      </c>
      <c r="J2558" s="3" t="s">
        <v>171</v>
      </c>
      <c r="K2558" s="3">
        <v>7</v>
      </c>
      <c r="L2558" s="3">
        <v>2775.24</v>
      </c>
      <c r="M2558" s="3">
        <v>19426.68</v>
      </c>
      <c r="N2558" s="3">
        <v>13069.6</v>
      </c>
      <c r="O2558" s="3">
        <v>6357.08</v>
      </c>
      <c r="P2558" s="3" t="s">
        <v>34</v>
      </c>
    </row>
    <row r="2559" spans="1:16" x14ac:dyDescent="0.35">
      <c r="A2559" s="3" t="s">
        <v>3935</v>
      </c>
      <c r="B2559" s="3" t="s">
        <v>1086</v>
      </c>
      <c r="C2559" s="3" t="s">
        <v>37</v>
      </c>
      <c r="D2559" s="3" t="s">
        <v>90</v>
      </c>
      <c r="E2559" s="3" t="s">
        <v>91</v>
      </c>
      <c r="F2559" s="3" t="s">
        <v>92</v>
      </c>
      <c r="G2559" s="3" t="s">
        <v>41</v>
      </c>
      <c r="H2559" s="3" t="s">
        <v>61</v>
      </c>
      <c r="I2559" s="3" t="s">
        <v>3936</v>
      </c>
      <c r="J2559" s="3" t="s">
        <v>147</v>
      </c>
      <c r="K2559" s="3">
        <v>8</v>
      </c>
      <c r="L2559" s="3">
        <v>2664.26</v>
      </c>
      <c r="M2559" s="3">
        <v>21314.080000000002</v>
      </c>
      <c r="N2559" s="3">
        <v>12940.82</v>
      </c>
      <c r="O2559" s="3">
        <v>8373.26</v>
      </c>
      <c r="P2559" s="3" t="s">
        <v>45</v>
      </c>
    </row>
    <row r="2560" spans="1:16" x14ac:dyDescent="0.35">
      <c r="A2560" s="3" t="s">
        <v>3937</v>
      </c>
      <c r="B2560" s="3" t="s">
        <v>1092</v>
      </c>
      <c r="C2560" s="3" t="s">
        <v>103</v>
      </c>
      <c r="D2560" s="3" t="s">
        <v>38</v>
      </c>
      <c r="E2560" s="3" t="s">
        <v>104</v>
      </c>
      <c r="F2560" s="3" t="s">
        <v>104</v>
      </c>
      <c r="G2560" s="3" t="s">
        <v>22</v>
      </c>
      <c r="H2560" s="3" t="s">
        <v>83</v>
      </c>
      <c r="I2560" s="3" t="s">
        <v>1143</v>
      </c>
      <c r="J2560" s="3" t="s">
        <v>100</v>
      </c>
      <c r="K2560" s="3">
        <v>3</v>
      </c>
      <c r="L2560" s="3">
        <v>20655.099999999999</v>
      </c>
      <c r="M2560" s="3">
        <v>61965.3</v>
      </c>
      <c r="N2560" s="3">
        <v>52858.559999999998</v>
      </c>
      <c r="O2560" s="3">
        <v>9106.74</v>
      </c>
      <c r="P2560" s="3" t="s">
        <v>34</v>
      </c>
    </row>
    <row r="2561" spans="1:16" x14ac:dyDescent="0.35">
      <c r="A2561" s="3" t="s">
        <v>3938</v>
      </c>
      <c r="B2561" s="3" t="s">
        <v>1299</v>
      </c>
      <c r="C2561" s="3" t="s">
        <v>82</v>
      </c>
      <c r="D2561" s="3" t="s">
        <v>58</v>
      </c>
      <c r="E2561" s="3" t="s">
        <v>59</v>
      </c>
      <c r="F2561" s="3" t="s">
        <v>60</v>
      </c>
      <c r="G2561" s="3" t="s">
        <v>22</v>
      </c>
      <c r="H2561" s="3" t="s">
        <v>93</v>
      </c>
      <c r="I2561" s="3" t="s">
        <v>793</v>
      </c>
      <c r="J2561" s="3" t="s">
        <v>131</v>
      </c>
      <c r="K2561" s="3">
        <v>1</v>
      </c>
      <c r="L2561" s="3">
        <v>6872.42</v>
      </c>
      <c r="M2561" s="3">
        <v>6872.42</v>
      </c>
      <c r="N2561" s="3">
        <v>4798.1499999999996</v>
      </c>
      <c r="O2561" s="3">
        <v>2074.27</v>
      </c>
      <c r="P2561" s="3" t="s">
        <v>34</v>
      </c>
    </row>
    <row r="2562" spans="1:16" x14ac:dyDescent="0.35">
      <c r="A2562" s="3" t="s">
        <v>3939</v>
      </c>
      <c r="B2562" s="3" t="s">
        <v>236</v>
      </c>
      <c r="C2562" s="3" t="s">
        <v>18</v>
      </c>
      <c r="D2562" s="3" t="s">
        <v>90</v>
      </c>
      <c r="E2562" s="3" t="s">
        <v>119</v>
      </c>
      <c r="F2562" s="3" t="s">
        <v>120</v>
      </c>
      <c r="G2562" s="3" t="s">
        <v>22</v>
      </c>
      <c r="H2562" s="3" t="s">
        <v>23</v>
      </c>
      <c r="I2562" s="3" t="s">
        <v>1905</v>
      </c>
      <c r="J2562" s="3" t="s">
        <v>188</v>
      </c>
      <c r="K2562" s="3">
        <v>3</v>
      </c>
      <c r="L2562" s="3">
        <v>3671.56</v>
      </c>
      <c r="M2562" s="3">
        <v>11014.68</v>
      </c>
      <c r="N2562" s="3">
        <v>6363.3</v>
      </c>
      <c r="O2562" s="3">
        <v>4651.38</v>
      </c>
      <c r="P2562" s="3" t="s">
        <v>26</v>
      </c>
    </row>
    <row r="2563" spans="1:16" x14ac:dyDescent="0.35">
      <c r="A2563" s="3" t="s">
        <v>3940</v>
      </c>
      <c r="B2563" s="3" t="s">
        <v>1623</v>
      </c>
      <c r="C2563" s="3" t="s">
        <v>29</v>
      </c>
      <c r="D2563" s="3" t="s">
        <v>58</v>
      </c>
      <c r="E2563" s="3" t="s">
        <v>176</v>
      </c>
      <c r="F2563" s="3" t="s">
        <v>177</v>
      </c>
      <c r="G2563" s="3" t="s">
        <v>51</v>
      </c>
      <c r="H2563" s="3" t="s">
        <v>52</v>
      </c>
      <c r="I2563" s="3" t="s">
        <v>1705</v>
      </c>
      <c r="J2563" s="3" t="s">
        <v>44</v>
      </c>
      <c r="K2563" s="3">
        <v>1</v>
      </c>
      <c r="L2563" s="3">
        <v>26.92</v>
      </c>
      <c r="M2563" s="3">
        <v>26.92</v>
      </c>
      <c r="N2563" s="3">
        <v>10.38</v>
      </c>
      <c r="O2563" s="3">
        <v>16.54</v>
      </c>
      <c r="P2563" s="3" t="s">
        <v>86</v>
      </c>
    </row>
    <row r="2564" spans="1:16" x14ac:dyDescent="0.35">
      <c r="A2564" s="3" t="s">
        <v>3941</v>
      </c>
      <c r="B2564" s="3" t="s">
        <v>1159</v>
      </c>
      <c r="C2564" s="3" t="s">
        <v>29</v>
      </c>
      <c r="D2564" s="3" t="s">
        <v>38</v>
      </c>
      <c r="E2564" s="3" t="s">
        <v>104</v>
      </c>
      <c r="F2564" s="3" t="s">
        <v>104</v>
      </c>
      <c r="G2564" s="3" t="s">
        <v>41</v>
      </c>
      <c r="H2564" s="3" t="s">
        <v>61</v>
      </c>
      <c r="I2564" s="3" t="s">
        <v>444</v>
      </c>
      <c r="J2564" s="3" t="s">
        <v>85</v>
      </c>
      <c r="K2564" s="3">
        <v>4</v>
      </c>
      <c r="L2564" s="3">
        <v>2569.77</v>
      </c>
      <c r="M2564" s="3">
        <v>10279.08</v>
      </c>
      <c r="N2564" s="3">
        <v>6649.4</v>
      </c>
      <c r="O2564" s="3">
        <v>3629.68</v>
      </c>
      <c r="P2564" s="3" t="s">
        <v>86</v>
      </c>
    </row>
    <row r="2565" spans="1:16" x14ac:dyDescent="0.35">
      <c r="A2565" s="3" t="s">
        <v>3942</v>
      </c>
      <c r="B2565" s="3" t="s">
        <v>1320</v>
      </c>
      <c r="C2565" s="3" t="s">
        <v>37</v>
      </c>
      <c r="D2565" s="3" t="s">
        <v>58</v>
      </c>
      <c r="E2565" s="3" t="s">
        <v>65</v>
      </c>
      <c r="F2565" s="3" t="s">
        <v>66</v>
      </c>
      <c r="G2565" s="3" t="s">
        <v>41</v>
      </c>
      <c r="H2565" s="3" t="s">
        <v>61</v>
      </c>
      <c r="I2565" s="3" t="s">
        <v>2523</v>
      </c>
      <c r="J2565" s="3" t="s">
        <v>106</v>
      </c>
      <c r="K2565" s="3">
        <v>4</v>
      </c>
      <c r="L2565" s="3">
        <v>2578.83</v>
      </c>
      <c r="M2565" s="3">
        <v>10315.32</v>
      </c>
      <c r="N2565" s="3">
        <v>6553.77</v>
      </c>
      <c r="O2565" s="3">
        <v>3761.55</v>
      </c>
      <c r="P2565" s="3" t="s">
        <v>86</v>
      </c>
    </row>
    <row r="2566" spans="1:16" x14ac:dyDescent="0.35">
      <c r="A2566" s="3" t="s">
        <v>3943</v>
      </c>
      <c r="B2566" s="3" t="s">
        <v>1053</v>
      </c>
      <c r="C2566" s="3" t="s">
        <v>82</v>
      </c>
      <c r="D2566" s="3" t="s">
        <v>90</v>
      </c>
      <c r="E2566" s="3" t="s">
        <v>97</v>
      </c>
      <c r="F2566" s="3" t="s">
        <v>98</v>
      </c>
      <c r="G2566" s="3" t="s">
        <v>22</v>
      </c>
      <c r="H2566" s="3" t="s">
        <v>83</v>
      </c>
      <c r="I2566" s="3" t="s">
        <v>174</v>
      </c>
      <c r="J2566" s="3" t="s">
        <v>100</v>
      </c>
      <c r="K2566" s="3">
        <v>6</v>
      </c>
      <c r="L2566" s="3">
        <v>20175.509999999998</v>
      </c>
      <c r="M2566" s="3">
        <v>121053.06</v>
      </c>
      <c r="N2566" s="3">
        <v>98369</v>
      </c>
      <c r="O2566" s="3">
        <v>22684.06</v>
      </c>
      <c r="P2566" s="3" t="s">
        <v>34</v>
      </c>
    </row>
    <row r="2567" spans="1:16" x14ac:dyDescent="0.35">
      <c r="A2567" s="3" t="s">
        <v>3944</v>
      </c>
      <c r="B2567" s="3" t="s">
        <v>583</v>
      </c>
      <c r="C2567" s="3" t="s">
        <v>89</v>
      </c>
      <c r="D2567" s="3" t="s">
        <v>58</v>
      </c>
      <c r="E2567" s="3" t="s">
        <v>176</v>
      </c>
      <c r="F2567" s="3" t="s">
        <v>177</v>
      </c>
      <c r="G2567" s="3" t="s">
        <v>51</v>
      </c>
      <c r="H2567" s="3" t="s">
        <v>145</v>
      </c>
      <c r="I2567" s="3" t="s">
        <v>382</v>
      </c>
      <c r="J2567" s="3" t="s">
        <v>131</v>
      </c>
      <c r="K2567" s="3">
        <v>1</v>
      </c>
      <c r="L2567" s="3">
        <v>114.4</v>
      </c>
      <c r="M2567" s="3">
        <v>114.4</v>
      </c>
      <c r="N2567" s="3">
        <v>62.32</v>
      </c>
      <c r="O2567" s="3">
        <v>52.08</v>
      </c>
      <c r="P2567" s="3" t="s">
        <v>26</v>
      </c>
    </row>
    <row r="2568" spans="1:16" x14ac:dyDescent="0.35">
      <c r="A2568" s="3" t="s">
        <v>3945</v>
      </c>
      <c r="B2568" s="3" t="s">
        <v>488</v>
      </c>
      <c r="C2568" s="3" t="s">
        <v>29</v>
      </c>
      <c r="D2568" s="3" t="s">
        <v>58</v>
      </c>
      <c r="E2568" s="3" t="s">
        <v>59</v>
      </c>
      <c r="F2568" s="3" t="s">
        <v>60</v>
      </c>
      <c r="G2568" s="3" t="s">
        <v>41</v>
      </c>
      <c r="H2568" s="3" t="s">
        <v>138</v>
      </c>
      <c r="I2568" s="3" t="s">
        <v>1830</v>
      </c>
      <c r="J2568" s="3" t="s">
        <v>79</v>
      </c>
      <c r="K2568" s="3">
        <v>1</v>
      </c>
      <c r="L2568" s="3">
        <v>19604.689999999999</v>
      </c>
      <c r="M2568" s="3">
        <v>19604.689999999999</v>
      </c>
      <c r="N2568" s="3">
        <v>13766.1</v>
      </c>
      <c r="O2568" s="3">
        <v>5838.59</v>
      </c>
      <c r="P2568" s="3" t="s">
        <v>34</v>
      </c>
    </row>
    <row r="2569" spans="1:16" x14ac:dyDescent="0.35">
      <c r="A2569" s="3" t="s">
        <v>3946</v>
      </c>
      <c r="B2569" s="3" t="s">
        <v>521</v>
      </c>
      <c r="C2569" s="3" t="s">
        <v>18</v>
      </c>
      <c r="D2569" s="3" t="s">
        <v>38</v>
      </c>
      <c r="E2569" s="3" t="s">
        <v>39</v>
      </c>
      <c r="F2569" s="3" t="s">
        <v>40</v>
      </c>
      <c r="G2569" s="3" t="s">
        <v>41</v>
      </c>
      <c r="H2569" s="3" t="s">
        <v>42</v>
      </c>
      <c r="I2569" s="3" t="s">
        <v>2076</v>
      </c>
      <c r="J2569" s="3" t="s">
        <v>44</v>
      </c>
      <c r="K2569" s="3">
        <v>1</v>
      </c>
      <c r="L2569" s="3">
        <v>48514.65</v>
      </c>
      <c r="M2569" s="3">
        <v>48514.65</v>
      </c>
      <c r="N2569" s="3">
        <v>35402.36</v>
      </c>
      <c r="O2569" s="3">
        <v>13112.29</v>
      </c>
      <c r="P2569" s="3" t="s">
        <v>86</v>
      </c>
    </row>
    <row r="2570" spans="1:16" x14ac:dyDescent="0.35">
      <c r="A2570" s="3" t="s">
        <v>3947</v>
      </c>
      <c r="B2570" s="3" t="s">
        <v>443</v>
      </c>
      <c r="C2570" s="3" t="s">
        <v>57</v>
      </c>
      <c r="D2570" s="3" t="s">
        <v>58</v>
      </c>
      <c r="E2570" s="3" t="s">
        <v>176</v>
      </c>
      <c r="F2570" s="3" t="s">
        <v>177</v>
      </c>
      <c r="G2570" s="3" t="s">
        <v>51</v>
      </c>
      <c r="H2570" s="3" t="s">
        <v>52</v>
      </c>
      <c r="I2570" s="3" t="s">
        <v>1395</v>
      </c>
      <c r="J2570" s="3" t="s">
        <v>154</v>
      </c>
      <c r="K2570" s="3">
        <v>5</v>
      </c>
      <c r="L2570" s="3">
        <v>26.99</v>
      </c>
      <c r="M2570" s="3">
        <v>134.94999999999999</v>
      </c>
      <c r="N2570" s="3">
        <v>50.25</v>
      </c>
      <c r="O2570" s="3">
        <v>84.7</v>
      </c>
      <c r="P2570" s="3" t="s">
        <v>26</v>
      </c>
    </row>
    <row r="2571" spans="1:16" x14ac:dyDescent="0.35">
      <c r="A2571" s="3" t="s">
        <v>3948</v>
      </c>
      <c r="B2571" s="3" t="s">
        <v>2870</v>
      </c>
      <c r="C2571" s="3" t="s">
        <v>118</v>
      </c>
      <c r="D2571" s="3" t="s">
        <v>90</v>
      </c>
      <c r="E2571" s="3" t="s">
        <v>119</v>
      </c>
      <c r="F2571" s="3" t="s">
        <v>120</v>
      </c>
      <c r="G2571" s="3" t="s">
        <v>30</v>
      </c>
      <c r="H2571" s="3" t="s">
        <v>73</v>
      </c>
      <c r="I2571" s="3" t="s">
        <v>925</v>
      </c>
      <c r="J2571" s="3" t="s">
        <v>25</v>
      </c>
      <c r="K2571" s="3">
        <v>4</v>
      </c>
      <c r="L2571" s="3">
        <v>3443.3</v>
      </c>
      <c r="M2571" s="3">
        <v>13773.2</v>
      </c>
      <c r="N2571" s="3">
        <v>9799.89</v>
      </c>
      <c r="O2571" s="3">
        <v>3973.31</v>
      </c>
      <c r="P2571" s="3" t="s">
        <v>34</v>
      </c>
    </row>
    <row r="2572" spans="1:16" x14ac:dyDescent="0.35">
      <c r="A2572" s="3" t="s">
        <v>3949</v>
      </c>
      <c r="B2572" s="3" t="s">
        <v>705</v>
      </c>
      <c r="C2572" s="3" t="s">
        <v>82</v>
      </c>
      <c r="D2572" s="3" t="s">
        <v>58</v>
      </c>
      <c r="E2572" s="3" t="s">
        <v>176</v>
      </c>
      <c r="F2572" s="3" t="s">
        <v>177</v>
      </c>
      <c r="G2572" s="3" t="s">
        <v>51</v>
      </c>
      <c r="H2572" s="3" t="s">
        <v>145</v>
      </c>
      <c r="I2572" s="3" t="s">
        <v>3393</v>
      </c>
      <c r="J2572" s="3" t="s">
        <v>217</v>
      </c>
      <c r="K2572" s="3">
        <v>7</v>
      </c>
      <c r="L2572" s="3">
        <v>129.09</v>
      </c>
      <c r="M2572" s="3">
        <v>903.63</v>
      </c>
      <c r="N2572" s="3">
        <v>433.58</v>
      </c>
      <c r="O2572" s="3">
        <v>470.05</v>
      </c>
      <c r="P2572" s="3" t="s">
        <v>45</v>
      </c>
    </row>
    <row r="2573" spans="1:16" x14ac:dyDescent="0.35">
      <c r="A2573" s="3" t="s">
        <v>3950</v>
      </c>
      <c r="B2573" s="3" t="s">
        <v>612</v>
      </c>
      <c r="C2573" s="3" t="s">
        <v>57</v>
      </c>
      <c r="D2573" s="3" t="s">
        <v>38</v>
      </c>
      <c r="E2573" s="3" t="s">
        <v>39</v>
      </c>
      <c r="F2573" s="3" t="s">
        <v>40</v>
      </c>
      <c r="G2573" s="3" t="s">
        <v>30</v>
      </c>
      <c r="H2573" s="3" t="s">
        <v>31</v>
      </c>
      <c r="I2573" s="3" t="s">
        <v>1851</v>
      </c>
      <c r="J2573" s="3" t="s">
        <v>85</v>
      </c>
      <c r="K2573" s="3">
        <v>2</v>
      </c>
      <c r="L2573" s="3">
        <v>2701.06</v>
      </c>
      <c r="M2573" s="3">
        <v>5402.12</v>
      </c>
      <c r="N2573" s="3">
        <v>3650.41</v>
      </c>
      <c r="O2573" s="3">
        <v>1751.71</v>
      </c>
      <c r="P2573" s="3" t="s">
        <v>86</v>
      </c>
    </row>
    <row r="2574" spans="1:16" x14ac:dyDescent="0.35">
      <c r="A2574" s="3" t="s">
        <v>3951</v>
      </c>
      <c r="B2574" s="3" t="s">
        <v>921</v>
      </c>
      <c r="C2574" s="3" t="s">
        <v>103</v>
      </c>
      <c r="D2574" s="3" t="s">
        <v>19</v>
      </c>
      <c r="E2574" s="3" t="s">
        <v>20</v>
      </c>
      <c r="F2574" s="3" t="s">
        <v>21</v>
      </c>
      <c r="G2574" s="3" t="s">
        <v>30</v>
      </c>
      <c r="H2574" s="3" t="s">
        <v>31</v>
      </c>
      <c r="I2574" s="3" t="s">
        <v>277</v>
      </c>
      <c r="J2574" s="3" t="s">
        <v>79</v>
      </c>
      <c r="K2574" s="3">
        <v>5</v>
      </c>
      <c r="L2574" s="3">
        <v>2561.54</v>
      </c>
      <c r="M2574" s="3">
        <v>12807.7</v>
      </c>
      <c r="N2574" s="3">
        <v>9877.9500000000007</v>
      </c>
      <c r="O2574" s="3">
        <v>2929.75</v>
      </c>
      <c r="P2574" s="3" t="s">
        <v>34</v>
      </c>
    </row>
    <row r="2575" spans="1:16" x14ac:dyDescent="0.35">
      <c r="A2575" s="3" t="s">
        <v>3952</v>
      </c>
      <c r="B2575" s="3" t="s">
        <v>1062</v>
      </c>
      <c r="C2575" s="3" t="s">
        <v>89</v>
      </c>
      <c r="D2575" s="3" t="s">
        <v>19</v>
      </c>
      <c r="E2575" s="3" t="s">
        <v>20</v>
      </c>
      <c r="F2575" s="3" t="s">
        <v>21</v>
      </c>
      <c r="G2575" s="3" t="s">
        <v>30</v>
      </c>
      <c r="H2575" s="3" t="s">
        <v>73</v>
      </c>
      <c r="I2575" s="3" t="s">
        <v>662</v>
      </c>
      <c r="J2575" s="3" t="s">
        <v>161</v>
      </c>
      <c r="K2575" s="3">
        <v>1</v>
      </c>
      <c r="L2575" s="3">
        <v>2954.02</v>
      </c>
      <c r="M2575" s="3">
        <v>2954.02</v>
      </c>
      <c r="N2575" s="3">
        <v>2370.59</v>
      </c>
      <c r="O2575" s="3">
        <v>583.42999999999995</v>
      </c>
      <c r="P2575" s="3" t="s">
        <v>86</v>
      </c>
    </row>
    <row r="2576" spans="1:16" x14ac:dyDescent="0.35">
      <c r="A2576" s="3" t="s">
        <v>3953</v>
      </c>
      <c r="B2576" s="3" t="s">
        <v>455</v>
      </c>
      <c r="C2576" s="3" t="s">
        <v>18</v>
      </c>
      <c r="D2576" s="3" t="s">
        <v>38</v>
      </c>
      <c r="E2576" s="3" t="s">
        <v>39</v>
      </c>
      <c r="F2576" s="3" t="s">
        <v>40</v>
      </c>
      <c r="G2576" s="3" t="s">
        <v>30</v>
      </c>
      <c r="H2576" s="3" t="s">
        <v>67</v>
      </c>
      <c r="I2576" s="3" t="s">
        <v>1483</v>
      </c>
      <c r="J2576" s="3" t="s">
        <v>25</v>
      </c>
      <c r="K2576" s="3">
        <v>1</v>
      </c>
      <c r="L2576" s="3">
        <v>8853.7999999999993</v>
      </c>
      <c r="M2576" s="3">
        <v>8853.7999999999993</v>
      </c>
      <c r="N2576" s="3">
        <v>7294.56</v>
      </c>
      <c r="O2576" s="3">
        <v>1559.24</v>
      </c>
      <c r="P2576" s="3" t="s">
        <v>86</v>
      </c>
    </row>
    <row r="2577" spans="1:16" x14ac:dyDescent="0.35">
      <c r="A2577" s="3" t="s">
        <v>3954</v>
      </c>
      <c r="B2577" s="3" t="s">
        <v>76</v>
      </c>
      <c r="C2577" s="3" t="s">
        <v>48</v>
      </c>
      <c r="D2577" s="3" t="s">
        <v>19</v>
      </c>
      <c r="E2577" s="3" t="s">
        <v>199</v>
      </c>
      <c r="F2577" s="3" t="s">
        <v>200</v>
      </c>
      <c r="G2577" s="3" t="s">
        <v>51</v>
      </c>
      <c r="H2577" s="3" t="s">
        <v>77</v>
      </c>
      <c r="I2577" s="3" t="s">
        <v>581</v>
      </c>
      <c r="J2577" s="3" t="s">
        <v>188</v>
      </c>
      <c r="K2577" s="3">
        <v>3</v>
      </c>
      <c r="L2577" s="3">
        <v>11143.95</v>
      </c>
      <c r="M2577" s="3">
        <v>33431.85</v>
      </c>
      <c r="N2577" s="3">
        <v>27640.11</v>
      </c>
      <c r="O2577" s="3">
        <v>5791.74</v>
      </c>
      <c r="P2577" s="3" t="s">
        <v>45</v>
      </c>
    </row>
    <row r="2578" spans="1:16" x14ac:dyDescent="0.35">
      <c r="A2578" s="3" t="s">
        <v>3955</v>
      </c>
      <c r="B2578" s="3" t="s">
        <v>455</v>
      </c>
      <c r="C2578" s="3" t="s">
        <v>18</v>
      </c>
      <c r="D2578" s="3" t="s">
        <v>19</v>
      </c>
      <c r="E2578" s="3" t="s">
        <v>20</v>
      </c>
      <c r="F2578" s="3" t="s">
        <v>21</v>
      </c>
      <c r="G2578" s="3" t="s">
        <v>30</v>
      </c>
      <c r="H2578" s="3" t="s">
        <v>67</v>
      </c>
      <c r="I2578" s="3" t="s">
        <v>1153</v>
      </c>
      <c r="J2578" s="3" t="s">
        <v>171</v>
      </c>
      <c r="K2578" s="3">
        <v>3</v>
      </c>
      <c r="L2578" s="3">
        <v>8717.5300000000007</v>
      </c>
      <c r="M2578" s="3">
        <v>26152.59</v>
      </c>
      <c r="N2578" s="3">
        <v>23099.58</v>
      </c>
      <c r="O2578" s="3">
        <v>3053.01</v>
      </c>
      <c r="P2578" s="3" t="s">
        <v>34</v>
      </c>
    </row>
    <row r="2579" spans="1:16" x14ac:dyDescent="0.35">
      <c r="A2579" s="3" t="s">
        <v>3956</v>
      </c>
      <c r="B2579" s="3" t="s">
        <v>1429</v>
      </c>
      <c r="C2579" s="3" t="s">
        <v>89</v>
      </c>
      <c r="D2579" s="3" t="s">
        <v>38</v>
      </c>
      <c r="E2579" s="3" t="s">
        <v>109</v>
      </c>
      <c r="F2579" s="3" t="s">
        <v>110</v>
      </c>
      <c r="G2579" s="3" t="s">
        <v>51</v>
      </c>
      <c r="H2579" s="3" t="s">
        <v>52</v>
      </c>
      <c r="I2579" s="3" t="s">
        <v>3109</v>
      </c>
      <c r="J2579" s="3" t="s">
        <v>161</v>
      </c>
      <c r="K2579" s="3">
        <v>8</v>
      </c>
      <c r="L2579" s="3">
        <v>26.53</v>
      </c>
      <c r="M2579" s="3">
        <v>212.24</v>
      </c>
      <c r="N2579" s="3">
        <v>82.01</v>
      </c>
      <c r="O2579" s="3">
        <v>130.22999999999999</v>
      </c>
      <c r="P2579" s="3" t="s">
        <v>34</v>
      </c>
    </row>
    <row r="2580" spans="1:16" x14ac:dyDescent="0.35">
      <c r="A2580" s="3" t="s">
        <v>3957</v>
      </c>
      <c r="B2580" s="3" t="s">
        <v>1724</v>
      </c>
      <c r="C2580" s="3" t="s">
        <v>48</v>
      </c>
      <c r="D2580" s="3" t="s">
        <v>90</v>
      </c>
      <c r="E2580" s="3" t="s">
        <v>97</v>
      </c>
      <c r="F2580" s="3" t="s">
        <v>98</v>
      </c>
      <c r="G2580" s="3" t="s">
        <v>51</v>
      </c>
      <c r="H2580" s="3" t="s">
        <v>145</v>
      </c>
      <c r="I2580" s="3" t="s">
        <v>724</v>
      </c>
      <c r="J2580" s="3" t="s">
        <v>100</v>
      </c>
      <c r="K2580" s="3">
        <v>3</v>
      </c>
      <c r="L2580" s="3">
        <v>131.06</v>
      </c>
      <c r="M2580" s="3">
        <v>393.18</v>
      </c>
      <c r="N2580" s="3">
        <v>175.41</v>
      </c>
      <c r="O2580" s="3">
        <v>217.77</v>
      </c>
      <c r="P2580" s="3" t="s">
        <v>34</v>
      </c>
    </row>
    <row r="2581" spans="1:16" x14ac:dyDescent="0.35">
      <c r="A2581" s="3" t="s">
        <v>3958</v>
      </c>
      <c r="B2581" s="3" t="s">
        <v>639</v>
      </c>
      <c r="C2581" s="3" t="s">
        <v>72</v>
      </c>
      <c r="D2581" s="3" t="s">
        <v>90</v>
      </c>
      <c r="E2581" s="3" t="s">
        <v>119</v>
      </c>
      <c r="F2581" s="3" t="s">
        <v>120</v>
      </c>
      <c r="G2581" s="3" t="s">
        <v>22</v>
      </c>
      <c r="H2581" s="3" t="s">
        <v>23</v>
      </c>
      <c r="I2581" s="3" t="s">
        <v>252</v>
      </c>
      <c r="J2581" s="3" t="s">
        <v>54</v>
      </c>
      <c r="K2581" s="3">
        <v>1</v>
      </c>
      <c r="L2581" s="3">
        <v>3601.49</v>
      </c>
      <c r="M2581" s="3">
        <v>3601.49</v>
      </c>
      <c r="N2581" s="3">
        <v>2168.67</v>
      </c>
      <c r="O2581" s="3">
        <v>1432.82</v>
      </c>
      <c r="P2581" s="3" t="s">
        <v>69</v>
      </c>
    </row>
    <row r="2582" spans="1:16" x14ac:dyDescent="0.35">
      <c r="A2582" s="3" t="s">
        <v>3959</v>
      </c>
      <c r="B2582" s="3" t="s">
        <v>886</v>
      </c>
      <c r="C2582" s="3" t="s">
        <v>48</v>
      </c>
      <c r="D2582" s="3" t="s">
        <v>58</v>
      </c>
      <c r="E2582" s="3" t="s">
        <v>59</v>
      </c>
      <c r="F2582" s="3" t="s">
        <v>60</v>
      </c>
      <c r="G2582" s="3" t="s">
        <v>22</v>
      </c>
      <c r="H2582" s="3" t="s">
        <v>93</v>
      </c>
      <c r="I2582" s="3" t="s">
        <v>3960</v>
      </c>
      <c r="J2582" s="3" t="s">
        <v>217</v>
      </c>
      <c r="K2582" s="3">
        <v>2</v>
      </c>
      <c r="L2582" s="3">
        <v>7649.25</v>
      </c>
      <c r="M2582" s="3">
        <v>15298.5</v>
      </c>
      <c r="N2582" s="3">
        <v>10137.44</v>
      </c>
      <c r="O2582" s="3">
        <v>5161.0600000000004</v>
      </c>
      <c r="P2582" s="3" t="s">
        <v>69</v>
      </c>
    </row>
    <row r="2583" spans="1:16" x14ac:dyDescent="0.35">
      <c r="A2583" s="3" t="s">
        <v>3961</v>
      </c>
      <c r="B2583" s="3" t="s">
        <v>583</v>
      </c>
      <c r="C2583" s="3" t="s">
        <v>89</v>
      </c>
      <c r="D2583" s="3" t="s">
        <v>58</v>
      </c>
      <c r="E2583" s="3" t="s">
        <v>65</v>
      </c>
      <c r="F2583" s="3" t="s">
        <v>66</v>
      </c>
      <c r="G2583" s="3" t="s">
        <v>51</v>
      </c>
      <c r="H2583" s="3" t="s">
        <v>77</v>
      </c>
      <c r="I2583" s="3" t="s">
        <v>2059</v>
      </c>
      <c r="J2583" s="3" t="s">
        <v>79</v>
      </c>
      <c r="K2583" s="3">
        <v>7</v>
      </c>
      <c r="L2583" s="3">
        <v>11479.68</v>
      </c>
      <c r="M2583" s="3">
        <v>80357.759999999995</v>
      </c>
      <c r="N2583" s="3">
        <v>61320.33</v>
      </c>
      <c r="O2583" s="3">
        <v>19037.43</v>
      </c>
      <c r="P2583" s="3" t="s">
        <v>86</v>
      </c>
    </row>
    <row r="2584" spans="1:16" x14ac:dyDescent="0.35">
      <c r="A2584" s="3" t="s">
        <v>3962</v>
      </c>
      <c r="B2584" s="3" t="s">
        <v>321</v>
      </c>
      <c r="C2584" s="3" t="s">
        <v>137</v>
      </c>
      <c r="D2584" s="3" t="s">
        <v>19</v>
      </c>
      <c r="E2584" s="3" t="s">
        <v>49</v>
      </c>
      <c r="F2584" s="3" t="s">
        <v>50</v>
      </c>
      <c r="G2584" s="3" t="s">
        <v>51</v>
      </c>
      <c r="H2584" s="3" t="s">
        <v>52</v>
      </c>
      <c r="I2584" s="3" t="s">
        <v>3393</v>
      </c>
      <c r="J2584" s="3" t="s">
        <v>131</v>
      </c>
      <c r="K2584" s="3">
        <v>6</v>
      </c>
      <c r="L2584" s="3">
        <v>23.31</v>
      </c>
      <c r="M2584" s="3">
        <v>139.86000000000001</v>
      </c>
      <c r="N2584" s="3">
        <v>61.49</v>
      </c>
      <c r="O2584" s="3">
        <v>78.37</v>
      </c>
      <c r="P2584" s="3" t="s">
        <v>86</v>
      </c>
    </row>
    <row r="2585" spans="1:16" x14ac:dyDescent="0.35">
      <c r="A2585" s="3" t="s">
        <v>3963</v>
      </c>
      <c r="B2585" s="3" t="s">
        <v>1429</v>
      </c>
      <c r="C2585" s="3" t="s">
        <v>89</v>
      </c>
      <c r="D2585" s="3" t="s">
        <v>38</v>
      </c>
      <c r="E2585" s="3" t="s">
        <v>109</v>
      </c>
      <c r="F2585" s="3" t="s">
        <v>110</v>
      </c>
      <c r="G2585" s="3" t="s">
        <v>51</v>
      </c>
      <c r="H2585" s="3" t="s">
        <v>145</v>
      </c>
      <c r="I2585" s="3" t="s">
        <v>2485</v>
      </c>
      <c r="J2585" s="3" t="s">
        <v>131</v>
      </c>
      <c r="K2585" s="3">
        <v>8</v>
      </c>
      <c r="L2585" s="3">
        <v>116.63</v>
      </c>
      <c r="M2585" s="3">
        <v>933.04</v>
      </c>
      <c r="N2585" s="3">
        <v>496.12</v>
      </c>
      <c r="O2585" s="3">
        <v>436.92</v>
      </c>
      <c r="P2585" s="3" t="s">
        <v>26</v>
      </c>
    </row>
    <row r="2586" spans="1:16" x14ac:dyDescent="0.35">
      <c r="A2586" s="3" t="s">
        <v>3964</v>
      </c>
      <c r="B2586" s="3" t="s">
        <v>527</v>
      </c>
      <c r="C2586" s="3" t="s">
        <v>82</v>
      </c>
      <c r="D2586" s="3" t="s">
        <v>58</v>
      </c>
      <c r="E2586" s="3" t="s">
        <v>65</v>
      </c>
      <c r="F2586" s="3" t="s">
        <v>66</v>
      </c>
      <c r="G2586" s="3" t="s">
        <v>22</v>
      </c>
      <c r="H2586" s="3" t="s">
        <v>83</v>
      </c>
      <c r="I2586" s="3" t="s">
        <v>3965</v>
      </c>
      <c r="J2586" s="3" t="s">
        <v>33</v>
      </c>
      <c r="K2586" s="3">
        <v>3</v>
      </c>
      <c r="L2586" s="3">
        <v>20497.830000000002</v>
      </c>
      <c r="M2586" s="3">
        <v>61493.49</v>
      </c>
      <c r="N2586" s="3">
        <v>52153.57</v>
      </c>
      <c r="O2586" s="3">
        <v>9339.92</v>
      </c>
      <c r="P2586" s="3" t="s">
        <v>26</v>
      </c>
    </row>
    <row r="2587" spans="1:16" x14ac:dyDescent="0.35">
      <c r="A2587" s="3" t="s">
        <v>3966</v>
      </c>
      <c r="B2587" s="3" t="s">
        <v>347</v>
      </c>
      <c r="C2587" s="3" t="s">
        <v>57</v>
      </c>
      <c r="D2587" s="3" t="s">
        <v>19</v>
      </c>
      <c r="E2587" s="3" t="s">
        <v>20</v>
      </c>
      <c r="F2587" s="3" t="s">
        <v>21</v>
      </c>
      <c r="G2587" s="3" t="s">
        <v>30</v>
      </c>
      <c r="H2587" s="3" t="s">
        <v>67</v>
      </c>
      <c r="I2587" s="3" t="s">
        <v>356</v>
      </c>
      <c r="J2587" s="3" t="s">
        <v>171</v>
      </c>
      <c r="K2587" s="3">
        <v>1</v>
      </c>
      <c r="L2587" s="3">
        <v>9688.35</v>
      </c>
      <c r="M2587" s="3">
        <v>9688.35</v>
      </c>
      <c r="N2587" s="3">
        <v>7420.35</v>
      </c>
      <c r="O2587" s="3">
        <v>2268</v>
      </c>
      <c r="P2587" s="3" t="s">
        <v>34</v>
      </c>
    </row>
    <row r="2588" spans="1:16" x14ac:dyDescent="0.35">
      <c r="A2588" s="3" t="s">
        <v>3967</v>
      </c>
      <c r="B2588" s="3" t="s">
        <v>2969</v>
      </c>
      <c r="C2588" s="3" t="s">
        <v>137</v>
      </c>
      <c r="D2588" s="3" t="s">
        <v>90</v>
      </c>
      <c r="E2588" s="3" t="s">
        <v>91</v>
      </c>
      <c r="F2588" s="3" t="s">
        <v>92</v>
      </c>
      <c r="G2588" s="3" t="s">
        <v>30</v>
      </c>
      <c r="H2588" s="3" t="s">
        <v>73</v>
      </c>
      <c r="I2588" s="3" t="s">
        <v>1208</v>
      </c>
      <c r="J2588" s="3" t="s">
        <v>154</v>
      </c>
      <c r="K2588" s="3">
        <v>7</v>
      </c>
      <c r="L2588" s="3">
        <v>3420.72</v>
      </c>
      <c r="M2588" s="3">
        <v>23945.040000000001</v>
      </c>
      <c r="N2588" s="3">
        <v>16839.509999999998</v>
      </c>
      <c r="O2588" s="3">
        <v>7105.53</v>
      </c>
      <c r="P2588" s="3" t="s">
        <v>26</v>
      </c>
    </row>
    <row r="2589" spans="1:16" x14ac:dyDescent="0.35">
      <c r="A2589" s="3" t="s">
        <v>3968</v>
      </c>
      <c r="B2589" s="3" t="s">
        <v>245</v>
      </c>
      <c r="C2589" s="3" t="s">
        <v>29</v>
      </c>
      <c r="D2589" s="3" t="s">
        <v>38</v>
      </c>
      <c r="E2589" s="3" t="s">
        <v>109</v>
      </c>
      <c r="F2589" s="3" t="s">
        <v>110</v>
      </c>
      <c r="G2589" s="3" t="s">
        <v>30</v>
      </c>
      <c r="H2589" s="3" t="s">
        <v>67</v>
      </c>
      <c r="I2589" s="3" t="s">
        <v>697</v>
      </c>
      <c r="J2589" s="3" t="s">
        <v>131</v>
      </c>
      <c r="K2589" s="3">
        <v>6</v>
      </c>
      <c r="L2589" s="3">
        <v>10171.76</v>
      </c>
      <c r="M2589" s="3">
        <v>61030.559999999998</v>
      </c>
      <c r="N2589" s="3">
        <v>45539.45</v>
      </c>
      <c r="O2589" s="3">
        <v>15491.11</v>
      </c>
      <c r="P2589" s="3" t="s">
        <v>26</v>
      </c>
    </row>
    <row r="2590" spans="1:16" x14ac:dyDescent="0.35">
      <c r="A2590" s="3" t="s">
        <v>3969</v>
      </c>
      <c r="B2590" s="3" t="s">
        <v>792</v>
      </c>
      <c r="C2590" s="3" t="s">
        <v>72</v>
      </c>
      <c r="D2590" s="3" t="s">
        <v>38</v>
      </c>
      <c r="E2590" s="3" t="s">
        <v>109</v>
      </c>
      <c r="F2590" s="3" t="s">
        <v>110</v>
      </c>
      <c r="G2590" s="3" t="s">
        <v>30</v>
      </c>
      <c r="H2590" s="3" t="s">
        <v>67</v>
      </c>
      <c r="I2590" s="3" t="s">
        <v>3970</v>
      </c>
      <c r="J2590" s="3" t="s">
        <v>171</v>
      </c>
      <c r="K2590" s="3">
        <v>8</v>
      </c>
      <c r="L2590" s="3">
        <v>9824.61</v>
      </c>
      <c r="M2590" s="3">
        <v>78596.88</v>
      </c>
      <c r="N2590" s="3">
        <v>58951.98</v>
      </c>
      <c r="O2590" s="3">
        <v>19644.900000000001</v>
      </c>
      <c r="P2590" s="3" t="s">
        <v>45</v>
      </c>
    </row>
    <row r="2591" spans="1:16" x14ac:dyDescent="0.35">
      <c r="A2591" s="3" t="s">
        <v>3971</v>
      </c>
      <c r="B2591" s="3" t="s">
        <v>1567</v>
      </c>
      <c r="C2591" s="3" t="s">
        <v>82</v>
      </c>
      <c r="D2591" s="3" t="s">
        <v>38</v>
      </c>
      <c r="E2591" s="3" t="s">
        <v>109</v>
      </c>
      <c r="F2591" s="3" t="s">
        <v>110</v>
      </c>
      <c r="G2591" s="3" t="s">
        <v>51</v>
      </c>
      <c r="H2591" s="3" t="s">
        <v>145</v>
      </c>
      <c r="I2591" s="3" t="s">
        <v>1793</v>
      </c>
      <c r="J2591" s="3" t="s">
        <v>100</v>
      </c>
      <c r="K2591" s="3">
        <v>5</v>
      </c>
      <c r="L2591" s="3">
        <v>131.47</v>
      </c>
      <c r="M2591" s="3">
        <v>657.35</v>
      </c>
      <c r="N2591" s="3">
        <v>307.39999999999998</v>
      </c>
      <c r="O2591" s="3">
        <v>349.95</v>
      </c>
      <c r="P2591" s="3" t="s">
        <v>86</v>
      </c>
    </row>
    <row r="2592" spans="1:16" x14ac:dyDescent="0.35">
      <c r="A2592" s="3" t="s">
        <v>3972</v>
      </c>
      <c r="B2592" s="3" t="s">
        <v>1113</v>
      </c>
      <c r="C2592" s="3" t="s">
        <v>82</v>
      </c>
      <c r="D2592" s="3" t="s">
        <v>90</v>
      </c>
      <c r="E2592" s="3" t="s">
        <v>119</v>
      </c>
      <c r="F2592" s="3" t="s">
        <v>120</v>
      </c>
      <c r="G2592" s="3" t="s">
        <v>22</v>
      </c>
      <c r="H2592" s="3" t="s">
        <v>93</v>
      </c>
      <c r="I2592" s="3" t="s">
        <v>1256</v>
      </c>
      <c r="J2592" s="3" t="s">
        <v>154</v>
      </c>
      <c r="K2592" s="3">
        <v>2</v>
      </c>
      <c r="L2592" s="3">
        <v>6992.28</v>
      </c>
      <c r="M2592" s="3">
        <v>13984.56</v>
      </c>
      <c r="N2592" s="3">
        <v>9732.48</v>
      </c>
      <c r="O2592" s="3">
        <v>4252.08</v>
      </c>
      <c r="P2592" s="3" t="s">
        <v>34</v>
      </c>
    </row>
    <row r="2593" spans="1:16" x14ac:dyDescent="0.35">
      <c r="A2593" s="3" t="s">
        <v>3973</v>
      </c>
      <c r="B2593" s="3" t="s">
        <v>485</v>
      </c>
      <c r="C2593" s="3" t="s">
        <v>114</v>
      </c>
      <c r="D2593" s="3" t="s">
        <v>58</v>
      </c>
      <c r="E2593" s="3" t="s">
        <v>176</v>
      </c>
      <c r="F2593" s="3" t="s">
        <v>177</v>
      </c>
      <c r="G2593" s="3" t="s">
        <v>22</v>
      </c>
      <c r="H2593" s="3" t="s">
        <v>93</v>
      </c>
      <c r="I2593" s="3" t="s">
        <v>1681</v>
      </c>
      <c r="J2593" s="3" t="s">
        <v>100</v>
      </c>
      <c r="K2593" s="3">
        <v>5</v>
      </c>
      <c r="L2593" s="3">
        <v>6845.14</v>
      </c>
      <c r="M2593" s="3">
        <v>34225.699999999997</v>
      </c>
      <c r="N2593" s="3">
        <v>25030.17</v>
      </c>
      <c r="O2593" s="3">
        <v>9195.5300000000007</v>
      </c>
      <c r="P2593" s="3" t="s">
        <v>26</v>
      </c>
    </row>
    <row r="2594" spans="1:16" x14ac:dyDescent="0.35">
      <c r="A2594" s="3" t="s">
        <v>3974</v>
      </c>
      <c r="B2594" s="3" t="s">
        <v>779</v>
      </c>
      <c r="C2594" s="3" t="s">
        <v>114</v>
      </c>
      <c r="D2594" s="3" t="s">
        <v>19</v>
      </c>
      <c r="E2594" s="3" t="s">
        <v>49</v>
      </c>
      <c r="F2594" s="3" t="s">
        <v>50</v>
      </c>
      <c r="G2594" s="3" t="s">
        <v>51</v>
      </c>
      <c r="H2594" s="3" t="s">
        <v>77</v>
      </c>
      <c r="I2594" s="3" t="s">
        <v>679</v>
      </c>
      <c r="J2594" s="3" t="s">
        <v>106</v>
      </c>
      <c r="K2594" s="3">
        <v>1</v>
      </c>
      <c r="L2594" s="3">
        <v>12536.07</v>
      </c>
      <c r="M2594" s="3">
        <v>12536.07</v>
      </c>
      <c r="N2594" s="3">
        <v>9130.1200000000008</v>
      </c>
      <c r="O2594" s="3">
        <v>3405.95</v>
      </c>
      <c r="P2594" s="3" t="s">
        <v>26</v>
      </c>
    </row>
    <row r="2595" spans="1:16" x14ac:dyDescent="0.35">
      <c r="A2595" s="3" t="s">
        <v>3975</v>
      </c>
      <c r="B2595" s="3" t="s">
        <v>449</v>
      </c>
      <c r="C2595" s="3" t="s">
        <v>37</v>
      </c>
      <c r="D2595" s="3" t="s">
        <v>90</v>
      </c>
      <c r="E2595" s="3" t="s">
        <v>91</v>
      </c>
      <c r="F2595" s="3" t="s">
        <v>92</v>
      </c>
      <c r="G2595" s="3" t="s">
        <v>30</v>
      </c>
      <c r="H2595" s="3" t="s">
        <v>67</v>
      </c>
      <c r="I2595" s="3" t="s">
        <v>62</v>
      </c>
      <c r="J2595" s="3" t="s">
        <v>33</v>
      </c>
      <c r="K2595" s="3">
        <v>2</v>
      </c>
      <c r="L2595" s="3">
        <v>10410.56</v>
      </c>
      <c r="M2595" s="3">
        <v>20821.12</v>
      </c>
      <c r="N2595" s="3">
        <v>15329.05</v>
      </c>
      <c r="O2595" s="3">
        <v>5492.07</v>
      </c>
      <c r="P2595" s="3" t="s">
        <v>86</v>
      </c>
    </row>
    <row r="2596" spans="1:16" x14ac:dyDescent="0.35">
      <c r="A2596" s="3" t="s">
        <v>3976</v>
      </c>
      <c r="B2596" s="3" t="s">
        <v>1752</v>
      </c>
      <c r="C2596" s="3" t="s">
        <v>114</v>
      </c>
      <c r="D2596" s="3" t="s">
        <v>38</v>
      </c>
      <c r="E2596" s="3" t="s">
        <v>39</v>
      </c>
      <c r="F2596" s="3" t="s">
        <v>40</v>
      </c>
      <c r="G2596" s="3" t="s">
        <v>51</v>
      </c>
      <c r="H2596" s="3" t="s">
        <v>77</v>
      </c>
      <c r="I2596" s="3" t="s">
        <v>563</v>
      </c>
      <c r="J2596" s="3" t="s">
        <v>106</v>
      </c>
      <c r="K2596" s="3">
        <v>2</v>
      </c>
      <c r="L2596" s="3">
        <v>12381.72</v>
      </c>
      <c r="M2596" s="3">
        <v>24763.439999999999</v>
      </c>
      <c r="N2596" s="3">
        <v>18792.419999999998</v>
      </c>
      <c r="O2596" s="3">
        <v>5971.02</v>
      </c>
      <c r="P2596" s="3" t="s">
        <v>26</v>
      </c>
    </row>
    <row r="2597" spans="1:16" x14ac:dyDescent="0.35">
      <c r="A2597" s="3" t="s">
        <v>3977</v>
      </c>
      <c r="B2597" s="3" t="s">
        <v>169</v>
      </c>
      <c r="C2597" s="3" t="s">
        <v>37</v>
      </c>
      <c r="D2597" s="3" t="s">
        <v>19</v>
      </c>
      <c r="E2597" s="3" t="s">
        <v>49</v>
      </c>
      <c r="F2597" s="3" t="s">
        <v>50</v>
      </c>
      <c r="G2597" s="3" t="s">
        <v>41</v>
      </c>
      <c r="H2597" s="3" t="s">
        <v>61</v>
      </c>
      <c r="I2597" s="3" t="s">
        <v>246</v>
      </c>
      <c r="J2597" s="3" t="s">
        <v>54</v>
      </c>
      <c r="K2597" s="3">
        <v>5</v>
      </c>
      <c r="L2597" s="3">
        <v>2576.6799999999998</v>
      </c>
      <c r="M2597" s="3">
        <v>12883.4</v>
      </c>
      <c r="N2597" s="3">
        <v>7798.59</v>
      </c>
      <c r="O2597" s="3">
        <v>5084.8100000000004</v>
      </c>
      <c r="P2597" s="3" t="s">
        <v>26</v>
      </c>
    </row>
    <row r="2598" spans="1:16" x14ac:dyDescent="0.35">
      <c r="A2598" s="3" t="s">
        <v>3978</v>
      </c>
      <c r="B2598" s="3" t="s">
        <v>565</v>
      </c>
      <c r="C2598" s="3" t="s">
        <v>137</v>
      </c>
      <c r="D2598" s="3" t="s">
        <v>38</v>
      </c>
      <c r="E2598" s="3" t="s">
        <v>39</v>
      </c>
      <c r="F2598" s="3" t="s">
        <v>40</v>
      </c>
      <c r="G2598" s="3" t="s">
        <v>41</v>
      </c>
      <c r="H2598" s="3" t="s">
        <v>138</v>
      </c>
      <c r="I2598" s="3" t="s">
        <v>3479</v>
      </c>
      <c r="J2598" s="3" t="s">
        <v>79</v>
      </c>
      <c r="K2598" s="3">
        <v>7</v>
      </c>
      <c r="L2598" s="3">
        <v>18699.3</v>
      </c>
      <c r="M2598" s="3">
        <v>130895.1</v>
      </c>
      <c r="N2598" s="3">
        <v>96260.03</v>
      </c>
      <c r="O2598" s="3">
        <v>34635.07</v>
      </c>
      <c r="P2598" s="3" t="s">
        <v>26</v>
      </c>
    </row>
    <row r="2599" spans="1:16" x14ac:dyDescent="0.35">
      <c r="A2599" s="3" t="s">
        <v>3979</v>
      </c>
      <c r="B2599" s="3" t="s">
        <v>958</v>
      </c>
      <c r="C2599" s="3" t="s">
        <v>118</v>
      </c>
      <c r="D2599" s="3" t="s">
        <v>58</v>
      </c>
      <c r="E2599" s="3" t="s">
        <v>65</v>
      </c>
      <c r="F2599" s="3" t="s">
        <v>66</v>
      </c>
      <c r="G2599" s="3" t="s">
        <v>30</v>
      </c>
      <c r="H2599" s="3" t="s">
        <v>67</v>
      </c>
      <c r="I2599" s="3" t="s">
        <v>471</v>
      </c>
      <c r="J2599" s="3" t="s">
        <v>171</v>
      </c>
      <c r="K2599" s="3">
        <v>8</v>
      </c>
      <c r="L2599" s="3">
        <v>9003.35</v>
      </c>
      <c r="M2599" s="3">
        <v>72026.8</v>
      </c>
      <c r="N2599" s="3">
        <v>57896.67</v>
      </c>
      <c r="O2599" s="3">
        <v>14130.13</v>
      </c>
      <c r="P2599" s="3" t="s">
        <v>34</v>
      </c>
    </row>
    <row r="2600" spans="1:16" x14ac:dyDescent="0.35">
      <c r="A2600" s="3" t="s">
        <v>3980</v>
      </c>
      <c r="B2600" s="3" t="s">
        <v>1159</v>
      </c>
      <c r="C2600" s="3" t="s">
        <v>29</v>
      </c>
      <c r="D2600" s="3" t="s">
        <v>38</v>
      </c>
      <c r="E2600" s="3" t="s">
        <v>104</v>
      </c>
      <c r="F2600" s="3" t="s">
        <v>104</v>
      </c>
      <c r="G2600" s="3" t="s">
        <v>51</v>
      </c>
      <c r="H2600" s="3" t="s">
        <v>52</v>
      </c>
      <c r="I2600" s="3" t="s">
        <v>3386</v>
      </c>
      <c r="J2600" s="3" t="s">
        <v>85</v>
      </c>
      <c r="K2600" s="3">
        <v>4</v>
      </c>
      <c r="L2600" s="3">
        <v>26.66</v>
      </c>
      <c r="M2600" s="3">
        <v>106.64</v>
      </c>
      <c r="N2600" s="3">
        <v>40.1</v>
      </c>
      <c r="O2600" s="3">
        <v>66.540000000000006</v>
      </c>
      <c r="P2600" s="3" t="s">
        <v>69</v>
      </c>
    </row>
    <row r="2601" spans="1:16" x14ac:dyDescent="0.35">
      <c r="A2601" s="3" t="s">
        <v>3981</v>
      </c>
      <c r="B2601" s="3" t="s">
        <v>285</v>
      </c>
      <c r="C2601" s="3" t="s">
        <v>18</v>
      </c>
      <c r="D2601" s="3" t="s">
        <v>19</v>
      </c>
      <c r="E2601" s="3" t="s">
        <v>20</v>
      </c>
      <c r="F2601" s="3" t="s">
        <v>21</v>
      </c>
      <c r="G2601" s="3" t="s">
        <v>41</v>
      </c>
      <c r="H2601" s="3" t="s">
        <v>61</v>
      </c>
      <c r="I2601" s="3" t="s">
        <v>2163</v>
      </c>
      <c r="J2601" s="3" t="s">
        <v>85</v>
      </c>
      <c r="K2601" s="3">
        <v>8</v>
      </c>
      <c r="L2601" s="3">
        <v>2328.5</v>
      </c>
      <c r="M2601" s="3">
        <v>18628</v>
      </c>
      <c r="N2601" s="3">
        <v>12782.2</v>
      </c>
      <c r="O2601" s="3">
        <v>5845.8</v>
      </c>
      <c r="P2601" s="3" t="s">
        <v>26</v>
      </c>
    </row>
    <row r="2602" spans="1:16" x14ac:dyDescent="0.35">
      <c r="A2602" s="3" t="s">
        <v>3982</v>
      </c>
      <c r="B2602" s="3" t="s">
        <v>291</v>
      </c>
      <c r="C2602" s="3" t="s">
        <v>48</v>
      </c>
      <c r="D2602" s="3" t="s">
        <v>38</v>
      </c>
      <c r="E2602" s="3" t="s">
        <v>104</v>
      </c>
      <c r="F2602" s="3" t="s">
        <v>104</v>
      </c>
      <c r="G2602" s="3" t="s">
        <v>51</v>
      </c>
      <c r="H2602" s="3" t="s">
        <v>52</v>
      </c>
      <c r="I2602" s="3" t="s">
        <v>2752</v>
      </c>
      <c r="J2602" s="3" t="s">
        <v>154</v>
      </c>
      <c r="K2602" s="3">
        <v>2</v>
      </c>
      <c r="L2602" s="3">
        <v>23.52</v>
      </c>
      <c r="M2602" s="3">
        <v>47.04</v>
      </c>
      <c r="N2602" s="3">
        <v>20.2</v>
      </c>
      <c r="O2602" s="3">
        <v>26.84</v>
      </c>
      <c r="P2602" s="3" t="s">
        <v>34</v>
      </c>
    </row>
    <row r="2603" spans="1:16" x14ac:dyDescent="0.35">
      <c r="A2603" s="3" t="s">
        <v>3983</v>
      </c>
      <c r="B2603" s="3" t="s">
        <v>367</v>
      </c>
      <c r="C2603" s="3" t="s">
        <v>29</v>
      </c>
      <c r="D2603" s="3" t="s">
        <v>90</v>
      </c>
      <c r="E2603" s="3" t="s">
        <v>119</v>
      </c>
      <c r="F2603" s="3" t="s">
        <v>120</v>
      </c>
      <c r="G2603" s="3" t="s">
        <v>41</v>
      </c>
      <c r="H2603" s="3" t="s">
        <v>138</v>
      </c>
      <c r="I2603" s="3" t="s">
        <v>1038</v>
      </c>
      <c r="J2603" s="3" t="s">
        <v>25</v>
      </c>
      <c r="K2603" s="3">
        <v>6</v>
      </c>
      <c r="L2603" s="3">
        <v>17040.16</v>
      </c>
      <c r="M2603" s="3">
        <v>102240.96000000001</v>
      </c>
      <c r="N2603" s="3">
        <v>83930.19</v>
      </c>
      <c r="O2603" s="3">
        <v>18310.77</v>
      </c>
      <c r="P2603" s="3" t="s">
        <v>69</v>
      </c>
    </row>
    <row r="2604" spans="1:16" x14ac:dyDescent="0.35">
      <c r="A2604" s="3" t="s">
        <v>3984</v>
      </c>
      <c r="B2604" s="3" t="s">
        <v>762</v>
      </c>
      <c r="C2604" s="3" t="s">
        <v>137</v>
      </c>
      <c r="D2604" s="3" t="s">
        <v>90</v>
      </c>
      <c r="E2604" s="3" t="s">
        <v>119</v>
      </c>
      <c r="F2604" s="3" t="s">
        <v>120</v>
      </c>
      <c r="G2604" s="3" t="s">
        <v>30</v>
      </c>
      <c r="H2604" s="3" t="s">
        <v>73</v>
      </c>
      <c r="I2604" s="3" t="s">
        <v>193</v>
      </c>
      <c r="J2604" s="3" t="s">
        <v>147</v>
      </c>
      <c r="K2604" s="3">
        <v>2</v>
      </c>
      <c r="L2604" s="3">
        <v>3026.64</v>
      </c>
      <c r="M2604" s="3">
        <v>6053.28</v>
      </c>
      <c r="N2604" s="3">
        <v>4805.47</v>
      </c>
      <c r="O2604" s="3">
        <v>1247.81</v>
      </c>
      <c r="P2604" s="3" t="s">
        <v>86</v>
      </c>
    </row>
    <row r="2605" spans="1:16" x14ac:dyDescent="0.35">
      <c r="A2605" s="3" t="s">
        <v>3985</v>
      </c>
      <c r="B2605" s="3" t="s">
        <v>387</v>
      </c>
      <c r="C2605" s="3" t="s">
        <v>82</v>
      </c>
      <c r="D2605" s="3" t="s">
        <v>90</v>
      </c>
      <c r="E2605" s="3" t="s">
        <v>97</v>
      </c>
      <c r="F2605" s="3" t="s">
        <v>98</v>
      </c>
      <c r="G2605" s="3" t="s">
        <v>41</v>
      </c>
      <c r="H2605" s="3" t="s">
        <v>138</v>
      </c>
      <c r="I2605" s="3" t="s">
        <v>450</v>
      </c>
      <c r="J2605" s="3" t="s">
        <v>131</v>
      </c>
      <c r="K2605" s="3">
        <v>3</v>
      </c>
      <c r="L2605" s="3">
        <v>18602.060000000001</v>
      </c>
      <c r="M2605" s="3">
        <v>55806.18</v>
      </c>
      <c r="N2605" s="3">
        <v>43508.46</v>
      </c>
      <c r="O2605" s="3">
        <v>12297.72</v>
      </c>
      <c r="P2605" s="3" t="s">
        <v>26</v>
      </c>
    </row>
    <row r="2606" spans="1:16" x14ac:dyDescent="0.35">
      <c r="A2606" s="3" t="s">
        <v>3986</v>
      </c>
      <c r="B2606" s="3" t="s">
        <v>1435</v>
      </c>
      <c r="C2606" s="3" t="s">
        <v>137</v>
      </c>
      <c r="D2606" s="3" t="s">
        <v>38</v>
      </c>
      <c r="E2606" s="3" t="s">
        <v>109</v>
      </c>
      <c r="F2606" s="3" t="s">
        <v>110</v>
      </c>
      <c r="G2606" s="3" t="s">
        <v>30</v>
      </c>
      <c r="H2606" s="3" t="s">
        <v>73</v>
      </c>
      <c r="I2606" s="3" t="s">
        <v>3435</v>
      </c>
      <c r="J2606" s="3" t="s">
        <v>188</v>
      </c>
      <c r="K2606" s="3">
        <v>5</v>
      </c>
      <c r="L2606" s="3">
        <v>3183.21</v>
      </c>
      <c r="M2606" s="3">
        <v>15916.05</v>
      </c>
      <c r="N2606" s="3">
        <v>12428.69</v>
      </c>
      <c r="O2606" s="3">
        <v>3487.36</v>
      </c>
      <c r="P2606" s="3" t="s">
        <v>26</v>
      </c>
    </row>
    <row r="2607" spans="1:16" x14ac:dyDescent="0.35">
      <c r="A2607" s="3" t="s">
        <v>3987</v>
      </c>
      <c r="B2607" s="3" t="s">
        <v>913</v>
      </c>
      <c r="C2607" s="3" t="s">
        <v>48</v>
      </c>
      <c r="D2607" s="3" t="s">
        <v>38</v>
      </c>
      <c r="E2607" s="3" t="s">
        <v>39</v>
      </c>
      <c r="F2607" s="3" t="s">
        <v>40</v>
      </c>
      <c r="G2607" s="3" t="s">
        <v>30</v>
      </c>
      <c r="H2607" s="3" t="s">
        <v>73</v>
      </c>
      <c r="I2607" s="3" t="s">
        <v>1256</v>
      </c>
      <c r="J2607" s="3" t="s">
        <v>131</v>
      </c>
      <c r="K2607" s="3">
        <v>2</v>
      </c>
      <c r="L2607" s="3">
        <v>3100.34</v>
      </c>
      <c r="M2607" s="3">
        <v>6200.68</v>
      </c>
      <c r="N2607" s="3">
        <v>4717.63</v>
      </c>
      <c r="O2607" s="3">
        <v>1483.05</v>
      </c>
      <c r="P2607" s="3" t="s">
        <v>45</v>
      </c>
    </row>
    <row r="2608" spans="1:16" x14ac:dyDescent="0.35">
      <c r="A2608" s="3" t="s">
        <v>3988</v>
      </c>
      <c r="B2608" s="3" t="s">
        <v>144</v>
      </c>
      <c r="C2608" s="3" t="s">
        <v>37</v>
      </c>
      <c r="D2608" s="3" t="s">
        <v>90</v>
      </c>
      <c r="E2608" s="3" t="s">
        <v>119</v>
      </c>
      <c r="F2608" s="3" t="s">
        <v>120</v>
      </c>
      <c r="G2608" s="3" t="s">
        <v>51</v>
      </c>
      <c r="H2608" s="3" t="s">
        <v>77</v>
      </c>
      <c r="I2608" s="3" t="s">
        <v>1668</v>
      </c>
      <c r="J2608" s="3" t="s">
        <v>161</v>
      </c>
      <c r="K2608" s="3">
        <v>5</v>
      </c>
      <c r="L2608" s="3">
        <v>12571.75</v>
      </c>
      <c r="M2608" s="3">
        <v>62858.75</v>
      </c>
      <c r="N2608" s="3">
        <v>45038.61</v>
      </c>
      <c r="O2608" s="3">
        <v>17820.14</v>
      </c>
      <c r="P2608" s="3" t="s">
        <v>26</v>
      </c>
    </row>
    <row r="2609" spans="1:16" x14ac:dyDescent="0.35">
      <c r="A2609" s="3" t="s">
        <v>3989</v>
      </c>
      <c r="B2609" s="3" t="s">
        <v>141</v>
      </c>
      <c r="C2609" s="3" t="s">
        <v>57</v>
      </c>
      <c r="D2609" s="3" t="s">
        <v>58</v>
      </c>
      <c r="E2609" s="3" t="s">
        <v>65</v>
      </c>
      <c r="F2609" s="3" t="s">
        <v>66</v>
      </c>
      <c r="G2609" s="3" t="s">
        <v>22</v>
      </c>
      <c r="H2609" s="3" t="s">
        <v>83</v>
      </c>
      <c r="I2609" s="3" t="s">
        <v>652</v>
      </c>
      <c r="J2609" s="3" t="s">
        <v>85</v>
      </c>
      <c r="K2609" s="3">
        <v>7</v>
      </c>
      <c r="L2609" s="3">
        <v>22256.48</v>
      </c>
      <c r="M2609" s="3">
        <v>155795.35999999999</v>
      </c>
      <c r="N2609" s="3">
        <v>113573.55</v>
      </c>
      <c r="O2609" s="3">
        <v>42221.81</v>
      </c>
      <c r="P2609" s="3" t="s">
        <v>69</v>
      </c>
    </row>
    <row r="2610" spans="1:16" x14ac:dyDescent="0.35">
      <c r="A2610" s="3" t="s">
        <v>3990</v>
      </c>
      <c r="B2610" s="3" t="s">
        <v>733</v>
      </c>
      <c r="C2610" s="3" t="s">
        <v>89</v>
      </c>
      <c r="D2610" s="3" t="s">
        <v>38</v>
      </c>
      <c r="E2610" s="3" t="s">
        <v>109</v>
      </c>
      <c r="F2610" s="3" t="s">
        <v>110</v>
      </c>
      <c r="G2610" s="3" t="s">
        <v>51</v>
      </c>
      <c r="H2610" s="3" t="s">
        <v>145</v>
      </c>
      <c r="I2610" s="3" t="s">
        <v>2006</v>
      </c>
      <c r="J2610" s="3" t="s">
        <v>147</v>
      </c>
      <c r="K2610" s="3">
        <v>8</v>
      </c>
      <c r="L2610" s="3">
        <v>121.85</v>
      </c>
      <c r="M2610" s="3">
        <v>974.8</v>
      </c>
      <c r="N2610" s="3">
        <v>500.6</v>
      </c>
      <c r="O2610" s="3">
        <v>474.2</v>
      </c>
      <c r="P2610" s="3" t="s">
        <v>34</v>
      </c>
    </row>
    <row r="2611" spans="1:16" x14ac:dyDescent="0.35">
      <c r="A2611" s="3" t="s">
        <v>3991</v>
      </c>
      <c r="B2611" s="3" t="s">
        <v>358</v>
      </c>
      <c r="C2611" s="3" t="s">
        <v>72</v>
      </c>
      <c r="D2611" s="3" t="s">
        <v>19</v>
      </c>
      <c r="E2611" s="3" t="s">
        <v>20</v>
      </c>
      <c r="F2611" s="3" t="s">
        <v>21</v>
      </c>
      <c r="G2611" s="3" t="s">
        <v>41</v>
      </c>
      <c r="H2611" s="3" t="s">
        <v>61</v>
      </c>
      <c r="I2611" s="3" t="s">
        <v>1793</v>
      </c>
      <c r="J2611" s="3" t="s">
        <v>154</v>
      </c>
      <c r="K2611" s="3">
        <v>2</v>
      </c>
      <c r="L2611" s="3">
        <v>2524.85</v>
      </c>
      <c r="M2611" s="3">
        <v>5049.7</v>
      </c>
      <c r="N2611" s="3">
        <v>3231.53</v>
      </c>
      <c r="O2611" s="3">
        <v>1818.17</v>
      </c>
      <c r="P2611" s="3" t="s">
        <v>34</v>
      </c>
    </row>
    <row r="2612" spans="1:16" x14ac:dyDescent="0.35">
      <c r="A2612" s="3" t="s">
        <v>3992</v>
      </c>
      <c r="B2612" s="3" t="s">
        <v>133</v>
      </c>
      <c r="C2612" s="3" t="s">
        <v>18</v>
      </c>
      <c r="D2612" s="3" t="s">
        <v>38</v>
      </c>
      <c r="E2612" s="3" t="s">
        <v>104</v>
      </c>
      <c r="F2612" s="3" t="s">
        <v>104</v>
      </c>
      <c r="G2612" s="3" t="s">
        <v>51</v>
      </c>
      <c r="H2612" s="3" t="s">
        <v>77</v>
      </c>
      <c r="I2612" s="3" t="s">
        <v>3077</v>
      </c>
      <c r="J2612" s="3" t="s">
        <v>131</v>
      </c>
      <c r="K2612" s="3">
        <v>2</v>
      </c>
      <c r="L2612" s="3">
        <v>13071.38</v>
      </c>
      <c r="M2612" s="3">
        <v>26142.76</v>
      </c>
      <c r="N2612" s="3">
        <v>17931.21</v>
      </c>
      <c r="O2612" s="3">
        <v>8211.5499999999993</v>
      </c>
      <c r="P2612" s="3" t="s">
        <v>69</v>
      </c>
    </row>
    <row r="2613" spans="1:16" x14ac:dyDescent="0.35">
      <c r="A2613" s="3" t="s">
        <v>3993</v>
      </c>
      <c r="B2613" s="3" t="s">
        <v>802</v>
      </c>
      <c r="C2613" s="3" t="s">
        <v>118</v>
      </c>
      <c r="D2613" s="3" t="s">
        <v>38</v>
      </c>
      <c r="E2613" s="3" t="s">
        <v>109</v>
      </c>
      <c r="F2613" s="3" t="s">
        <v>110</v>
      </c>
      <c r="G2613" s="3" t="s">
        <v>22</v>
      </c>
      <c r="H2613" s="3" t="s">
        <v>23</v>
      </c>
      <c r="I2613" s="3" t="s">
        <v>1967</v>
      </c>
      <c r="J2613" s="3" t="s">
        <v>154</v>
      </c>
      <c r="K2613" s="3">
        <v>8</v>
      </c>
      <c r="L2613" s="3">
        <v>3169.84</v>
      </c>
      <c r="M2613" s="3">
        <v>25358.720000000001</v>
      </c>
      <c r="N2613" s="3">
        <v>17313.150000000001</v>
      </c>
      <c r="O2613" s="3">
        <v>8045.57</v>
      </c>
      <c r="P2613" s="3" t="s">
        <v>34</v>
      </c>
    </row>
    <row r="2614" spans="1:16" x14ac:dyDescent="0.35">
      <c r="A2614" s="3" t="s">
        <v>3994</v>
      </c>
      <c r="B2614" s="3" t="s">
        <v>547</v>
      </c>
      <c r="C2614" s="3" t="s">
        <v>89</v>
      </c>
      <c r="D2614" s="3" t="s">
        <v>38</v>
      </c>
      <c r="E2614" s="3" t="s">
        <v>109</v>
      </c>
      <c r="F2614" s="3" t="s">
        <v>110</v>
      </c>
      <c r="G2614" s="3" t="s">
        <v>41</v>
      </c>
      <c r="H2614" s="3" t="s">
        <v>138</v>
      </c>
      <c r="I2614" s="3" t="s">
        <v>2151</v>
      </c>
      <c r="J2614" s="3" t="s">
        <v>161</v>
      </c>
      <c r="K2614" s="3">
        <v>3</v>
      </c>
      <c r="L2614" s="3">
        <v>16683.63</v>
      </c>
      <c r="M2614" s="3">
        <v>50050.89</v>
      </c>
      <c r="N2614" s="3">
        <v>43834.97</v>
      </c>
      <c r="O2614" s="3">
        <v>6215.92</v>
      </c>
      <c r="P2614" s="3" t="s">
        <v>45</v>
      </c>
    </row>
    <row r="2615" spans="1:16" x14ac:dyDescent="0.35">
      <c r="A2615" s="3" t="s">
        <v>3995</v>
      </c>
      <c r="B2615" s="3" t="s">
        <v>837</v>
      </c>
      <c r="C2615" s="3" t="s">
        <v>72</v>
      </c>
      <c r="D2615" s="3" t="s">
        <v>58</v>
      </c>
      <c r="E2615" s="3" t="s">
        <v>65</v>
      </c>
      <c r="F2615" s="3" t="s">
        <v>66</v>
      </c>
      <c r="G2615" s="3" t="s">
        <v>30</v>
      </c>
      <c r="H2615" s="3" t="s">
        <v>67</v>
      </c>
      <c r="I2615" s="3" t="s">
        <v>508</v>
      </c>
      <c r="J2615" s="3" t="s">
        <v>188</v>
      </c>
      <c r="K2615" s="3">
        <v>1</v>
      </c>
      <c r="L2615" s="3">
        <v>9173.64</v>
      </c>
      <c r="M2615" s="3">
        <v>9173.64</v>
      </c>
      <c r="N2615" s="3">
        <v>7923.64</v>
      </c>
      <c r="O2615" s="3">
        <v>1250</v>
      </c>
      <c r="P2615" s="3" t="s">
        <v>69</v>
      </c>
    </row>
    <row r="2616" spans="1:16" x14ac:dyDescent="0.35">
      <c r="A2616" s="3" t="s">
        <v>3996</v>
      </c>
      <c r="B2616" s="3" t="s">
        <v>994</v>
      </c>
      <c r="C2616" s="3" t="s">
        <v>29</v>
      </c>
      <c r="D2616" s="3" t="s">
        <v>19</v>
      </c>
      <c r="E2616" s="3" t="s">
        <v>20</v>
      </c>
      <c r="F2616" s="3" t="s">
        <v>21</v>
      </c>
      <c r="G2616" s="3" t="s">
        <v>51</v>
      </c>
      <c r="H2616" s="3" t="s">
        <v>77</v>
      </c>
      <c r="I2616" s="3" t="s">
        <v>573</v>
      </c>
      <c r="J2616" s="3" t="s">
        <v>100</v>
      </c>
      <c r="K2616" s="3">
        <v>1</v>
      </c>
      <c r="L2616" s="3">
        <v>12916.28</v>
      </c>
      <c r="M2616" s="3">
        <v>12916.28</v>
      </c>
      <c r="N2616" s="3">
        <v>9363.5499999999993</v>
      </c>
      <c r="O2616" s="3">
        <v>3552.73</v>
      </c>
      <c r="P2616" s="3" t="s">
        <v>34</v>
      </c>
    </row>
    <row r="2617" spans="1:16" x14ac:dyDescent="0.35">
      <c r="A2617" s="3" t="s">
        <v>3997</v>
      </c>
      <c r="B2617" s="3" t="s">
        <v>1255</v>
      </c>
      <c r="C2617" s="3" t="s">
        <v>72</v>
      </c>
      <c r="D2617" s="3" t="s">
        <v>19</v>
      </c>
      <c r="E2617" s="3" t="s">
        <v>49</v>
      </c>
      <c r="F2617" s="3" t="s">
        <v>50</v>
      </c>
      <c r="G2617" s="3" t="s">
        <v>41</v>
      </c>
      <c r="H2617" s="3" t="s">
        <v>138</v>
      </c>
      <c r="I2617" s="3" t="s">
        <v>1387</v>
      </c>
      <c r="J2617" s="3" t="s">
        <v>161</v>
      </c>
      <c r="K2617" s="3">
        <v>4</v>
      </c>
      <c r="L2617" s="3">
        <v>18582.759999999998</v>
      </c>
      <c r="M2617" s="3">
        <v>74331.039999999994</v>
      </c>
      <c r="N2617" s="3">
        <v>56772.72</v>
      </c>
      <c r="O2617" s="3">
        <v>17558.32</v>
      </c>
      <c r="P2617" s="3" t="s">
        <v>34</v>
      </c>
    </row>
    <row r="2618" spans="1:16" x14ac:dyDescent="0.35">
      <c r="A2618" s="3" t="s">
        <v>3998</v>
      </c>
      <c r="B2618" s="3" t="s">
        <v>666</v>
      </c>
      <c r="C2618" s="3" t="s">
        <v>37</v>
      </c>
      <c r="D2618" s="3" t="s">
        <v>38</v>
      </c>
      <c r="E2618" s="3" t="s">
        <v>104</v>
      </c>
      <c r="F2618" s="3" t="s">
        <v>104</v>
      </c>
      <c r="G2618" s="3" t="s">
        <v>51</v>
      </c>
      <c r="H2618" s="3" t="s">
        <v>77</v>
      </c>
      <c r="I2618" s="3" t="s">
        <v>1561</v>
      </c>
      <c r="J2618" s="3" t="s">
        <v>79</v>
      </c>
      <c r="K2618" s="3">
        <v>1</v>
      </c>
      <c r="L2618" s="3">
        <v>11811.76</v>
      </c>
      <c r="M2618" s="3">
        <v>11811.76</v>
      </c>
      <c r="N2618" s="3">
        <v>8693.3700000000008</v>
      </c>
      <c r="O2618" s="3">
        <v>3118.39</v>
      </c>
      <c r="P2618" s="3" t="s">
        <v>34</v>
      </c>
    </row>
    <row r="2619" spans="1:16" x14ac:dyDescent="0.35">
      <c r="A2619" s="3" t="s">
        <v>3999</v>
      </c>
      <c r="B2619" s="3" t="s">
        <v>607</v>
      </c>
      <c r="C2619" s="3" t="s">
        <v>114</v>
      </c>
      <c r="D2619" s="3" t="s">
        <v>38</v>
      </c>
      <c r="E2619" s="3" t="s">
        <v>109</v>
      </c>
      <c r="F2619" s="3" t="s">
        <v>110</v>
      </c>
      <c r="G2619" s="3" t="s">
        <v>22</v>
      </c>
      <c r="H2619" s="3" t="s">
        <v>23</v>
      </c>
      <c r="I2619" s="3" t="s">
        <v>850</v>
      </c>
      <c r="J2619" s="3" t="s">
        <v>100</v>
      </c>
      <c r="K2619" s="3">
        <v>4</v>
      </c>
      <c r="L2619" s="3">
        <v>3457.55</v>
      </c>
      <c r="M2619" s="3">
        <v>13830.2</v>
      </c>
      <c r="N2619" s="3">
        <v>9209.08</v>
      </c>
      <c r="O2619" s="3">
        <v>4621.12</v>
      </c>
      <c r="P2619" s="3" t="s">
        <v>86</v>
      </c>
    </row>
    <row r="2620" spans="1:16" x14ac:dyDescent="0.35">
      <c r="A2620" s="3" t="s">
        <v>4000</v>
      </c>
      <c r="B2620" s="3" t="s">
        <v>856</v>
      </c>
      <c r="C2620" s="3" t="s">
        <v>103</v>
      </c>
      <c r="D2620" s="3" t="s">
        <v>38</v>
      </c>
      <c r="E2620" s="3" t="s">
        <v>109</v>
      </c>
      <c r="F2620" s="3" t="s">
        <v>110</v>
      </c>
      <c r="G2620" s="3" t="s">
        <v>30</v>
      </c>
      <c r="H2620" s="3" t="s">
        <v>31</v>
      </c>
      <c r="I2620" s="3" t="s">
        <v>1981</v>
      </c>
      <c r="J2620" s="3" t="s">
        <v>106</v>
      </c>
      <c r="K2620" s="3">
        <v>2</v>
      </c>
      <c r="L2620" s="3">
        <v>2710.82</v>
      </c>
      <c r="M2620" s="3">
        <v>5421.64</v>
      </c>
      <c r="N2620" s="3">
        <v>3930.53</v>
      </c>
      <c r="O2620" s="3">
        <v>1491.11</v>
      </c>
      <c r="P2620" s="3" t="s">
        <v>86</v>
      </c>
    </row>
    <row r="2621" spans="1:16" x14ac:dyDescent="0.35">
      <c r="A2621" s="3" t="s">
        <v>4001</v>
      </c>
      <c r="B2621" s="3" t="s">
        <v>570</v>
      </c>
      <c r="C2621" s="3" t="s">
        <v>18</v>
      </c>
      <c r="D2621" s="3" t="s">
        <v>19</v>
      </c>
      <c r="E2621" s="3" t="s">
        <v>20</v>
      </c>
      <c r="F2621" s="3" t="s">
        <v>21</v>
      </c>
      <c r="G2621" s="3" t="s">
        <v>22</v>
      </c>
      <c r="H2621" s="3" t="s">
        <v>83</v>
      </c>
      <c r="I2621" s="3" t="s">
        <v>237</v>
      </c>
      <c r="J2621" s="3" t="s">
        <v>188</v>
      </c>
      <c r="K2621" s="3">
        <v>7</v>
      </c>
      <c r="L2621" s="3">
        <v>20405.349999999999</v>
      </c>
      <c r="M2621" s="3">
        <v>142837.45000000001</v>
      </c>
      <c r="N2621" s="3">
        <v>114236.71</v>
      </c>
      <c r="O2621" s="3">
        <v>28600.74</v>
      </c>
      <c r="P2621" s="3" t="s">
        <v>45</v>
      </c>
    </row>
    <row r="2622" spans="1:16" x14ac:dyDescent="0.35">
      <c r="A2622" s="3" t="s">
        <v>4002</v>
      </c>
      <c r="B2622" s="3" t="s">
        <v>133</v>
      </c>
      <c r="C2622" s="3" t="s">
        <v>18</v>
      </c>
      <c r="D2622" s="3" t="s">
        <v>19</v>
      </c>
      <c r="E2622" s="3" t="s">
        <v>49</v>
      </c>
      <c r="F2622" s="3" t="s">
        <v>50</v>
      </c>
      <c r="G2622" s="3" t="s">
        <v>22</v>
      </c>
      <c r="H2622" s="3" t="s">
        <v>93</v>
      </c>
      <c r="I2622" s="3" t="s">
        <v>1753</v>
      </c>
      <c r="J2622" s="3" t="s">
        <v>79</v>
      </c>
      <c r="K2622" s="3">
        <v>5</v>
      </c>
      <c r="L2622" s="3">
        <v>6360.2</v>
      </c>
      <c r="M2622" s="3">
        <v>31801</v>
      </c>
      <c r="N2622" s="3">
        <v>24358.15</v>
      </c>
      <c r="O2622" s="3">
        <v>7442.85</v>
      </c>
      <c r="P2622" s="3" t="s">
        <v>34</v>
      </c>
    </row>
    <row r="2623" spans="1:16" x14ac:dyDescent="0.35">
      <c r="A2623" s="3" t="s">
        <v>4003</v>
      </c>
      <c r="B2623" s="3" t="s">
        <v>381</v>
      </c>
      <c r="C2623" s="3" t="s">
        <v>18</v>
      </c>
      <c r="D2623" s="3" t="s">
        <v>58</v>
      </c>
      <c r="E2623" s="3" t="s">
        <v>176</v>
      </c>
      <c r="F2623" s="3" t="s">
        <v>177</v>
      </c>
      <c r="G2623" s="3" t="s">
        <v>41</v>
      </c>
      <c r="H2623" s="3" t="s">
        <v>42</v>
      </c>
      <c r="I2623" s="3" t="s">
        <v>1601</v>
      </c>
      <c r="J2623" s="3" t="s">
        <v>131</v>
      </c>
      <c r="K2623" s="3">
        <v>3</v>
      </c>
      <c r="L2623" s="3">
        <v>42935.41</v>
      </c>
      <c r="M2623" s="3">
        <v>128806.23</v>
      </c>
      <c r="N2623" s="3">
        <v>101462.44</v>
      </c>
      <c r="O2623" s="3">
        <v>27343.79</v>
      </c>
      <c r="P2623" s="3" t="s">
        <v>26</v>
      </c>
    </row>
    <row r="2624" spans="1:16" x14ac:dyDescent="0.35">
      <c r="A2624" s="3" t="s">
        <v>4004</v>
      </c>
      <c r="B2624" s="3" t="s">
        <v>381</v>
      </c>
      <c r="C2624" s="3" t="s">
        <v>18</v>
      </c>
      <c r="D2624" s="3" t="s">
        <v>19</v>
      </c>
      <c r="E2624" s="3" t="s">
        <v>20</v>
      </c>
      <c r="F2624" s="3" t="s">
        <v>21</v>
      </c>
      <c r="G2624" s="3" t="s">
        <v>51</v>
      </c>
      <c r="H2624" s="3" t="s">
        <v>77</v>
      </c>
      <c r="I2624" s="3" t="s">
        <v>2960</v>
      </c>
      <c r="J2624" s="3" t="s">
        <v>171</v>
      </c>
      <c r="K2624" s="3">
        <v>5</v>
      </c>
      <c r="L2624" s="3">
        <v>12332.99</v>
      </c>
      <c r="M2624" s="3">
        <v>61664.95</v>
      </c>
      <c r="N2624" s="3">
        <v>46903.23</v>
      </c>
      <c r="O2624" s="3">
        <v>14761.72</v>
      </c>
      <c r="P2624" s="3" t="s">
        <v>26</v>
      </c>
    </row>
    <row r="2625" spans="1:16" x14ac:dyDescent="0.35">
      <c r="A2625" s="3" t="s">
        <v>4005</v>
      </c>
      <c r="B2625" s="3" t="s">
        <v>367</v>
      </c>
      <c r="C2625" s="3" t="s">
        <v>29</v>
      </c>
      <c r="D2625" s="3" t="s">
        <v>19</v>
      </c>
      <c r="E2625" s="3" t="s">
        <v>49</v>
      </c>
      <c r="F2625" s="3" t="s">
        <v>50</v>
      </c>
      <c r="G2625" s="3" t="s">
        <v>41</v>
      </c>
      <c r="H2625" s="3" t="s">
        <v>138</v>
      </c>
      <c r="I2625" s="3" t="s">
        <v>24</v>
      </c>
      <c r="J2625" s="3" t="s">
        <v>106</v>
      </c>
      <c r="K2625" s="3">
        <v>3</v>
      </c>
      <c r="L2625" s="3">
        <v>16869.27</v>
      </c>
      <c r="M2625" s="3">
        <v>50607.81</v>
      </c>
      <c r="N2625" s="3">
        <v>43308.31</v>
      </c>
      <c r="O2625" s="3">
        <v>7299.5</v>
      </c>
      <c r="P2625" s="3" t="s">
        <v>45</v>
      </c>
    </row>
    <row r="2626" spans="1:16" x14ac:dyDescent="0.35">
      <c r="A2626" s="3" t="s">
        <v>4006</v>
      </c>
      <c r="B2626" s="3" t="s">
        <v>458</v>
      </c>
      <c r="C2626" s="3" t="s">
        <v>18</v>
      </c>
      <c r="D2626" s="3" t="s">
        <v>38</v>
      </c>
      <c r="E2626" s="3" t="s">
        <v>39</v>
      </c>
      <c r="F2626" s="3" t="s">
        <v>40</v>
      </c>
      <c r="G2626" s="3" t="s">
        <v>22</v>
      </c>
      <c r="H2626" s="3" t="s">
        <v>93</v>
      </c>
      <c r="I2626" s="3" t="s">
        <v>2443</v>
      </c>
      <c r="J2626" s="3" t="s">
        <v>147</v>
      </c>
      <c r="K2626" s="3">
        <v>4</v>
      </c>
      <c r="L2626" s="3">
        <v>6406.83</v>
      </c>
      <c r="M2626" s="3">
        <v>25627.32</v>
      </c>
      <c r="N2626" s="3">
        <v>20536.939999999999</v>
      </c>
      <c r="O2626" s="3">
        <v>5090.38</v>
      </c>
      <c r="P2626" s="3" t="s">
        <v>45</v>
      </c>
    </row>
    <row r="2627" spans="1:16" x14ac:dyDescent="0.35">
      <c r="A2627" s="3" t="s">
        <v>4007</v>
      </c>
      <c r="B2627" s="3" t="s">
        <v>1082</v>
      </c>
      <c r="C2627" s="3" t="s">
        <v>114</v>
      </c>
      <c r="D2627" s="3" t="s">
        <v>19</v>
      </c>
      <c r="E2627" s="3" t="s">
        <v>49</v>
      </c>
      <c r="F2627" s="3" t="s">
        <v>50</v>
      </c>
      <c r="G2627" s="3" t="s">
        <v>51</v>
      </c>
      <c r="H2627" s="3" t="s">
        <v>145</v>
      </c>
      <c r="I2627" s="3" t="s">
        <v>755</v>
      </c>
      <c r="J2627" s="3" t="s">
        <v>100</v>
      </c>
      <c r="K2627" s="3">
        <v>4</v>
      </c>
      <c r="L2627" s="3">
        <v>112.32</v>
      </c>
      <c r="M2627" s="3">
        <v>449.28</v>
      </c>
      <c r="N2627" s="3">
        <v>237.47</v>
      </c>
      <c r="O2627" s="3">
        <v>211.81</v>
      </c>
      <c r="P2627" s="3" t="s">
        <v>86</v>
      </c>
    </row>
    <row r="2628" spans="1:16" x14ac:dyDescent="0.35">
      <c r="A2628" s="3" t="s">
        <v>4008</v>
      </c>
      <c r="B2628" s="3" t="s">
        <v>871</v>
      </c>
      <c r="C2628" s="3" t="s">
        <v>103</v>
      </c>
      <c r="D2628" s="3" t="s">
        <v>38</v>
      </c>
      <c r="E2628" s="3" t="s">
        <v>104</v>
      </c>
      <c r="F2628" s="3" t="s">
        <v>104</v>
      </c>
      <c r="G2628" s="3" t="s">
        <v>30</v>
      </c>
      <c r="H2628" s="3" t="s">
        <v>31</v>
      </c>
      <c r="I2628" s="3" t="s">
        <v>914</v>
      </c>
      <c r="J2628" s="3" t="s">
        <v>188</v>
      </c>
      <c r="K2628" s="3">
        <v>2</v>
      </c>
      <c r="L2628" s="3">
        <v>2848.81</v>
      </c>
      <c r="M2628" s="3">
        <v>5697.62</v>
      </c>
      <c r="N2628" s="3">
        <v>3699.3</v>
      </c>
      <c r="O2628" s="3">
        <v>1998.32</v>
      </c>
      <c r="P2628" s="3" t="s">
        <v>45</v>
      </c>
    </row>
    <row r="2629" spans="1:16" x14ac:dyDescent="0.35">
      <c r="A2629" s="3" t="s">
        <v>4009</v>
      </c>
      <c r="B2629" s="3" t="s">
        <v>407</v>
      </c>
      <c r="C2629" s="3" t="s">
        <v>48</v>
      </c>
      <c r="D2629" s="3" t="s">
        <v>58</v>
      </c>
      <c r="E2629" s="3" t="s">
        <v>65</v>
      </c>
      <c r="F2629" s="3" t="s">
        <v>66</v>
      </c>
      <c r="G2629" s="3" t="s">
        <v>41</v>
      </c>
      <c r="H2629" s="3" t="s">
        <v>61</v>
      </c>
      <c r="I2629" s="3" t="s">
        <v>1217</v>
      </c>
      <c r="J2629" s="3" t="s">
        <v>100</v>
      </c>
      <c r="K2629" s="3">
        <v>2</v>
      </c>
      <c r="L2629" s="3">
        <v>2744.97</v>
      </c>
      <c r="M2629" s="3">
        <v>5489.94</v>
      </c>
      <c r="N2629" s="3">
        <v>3090.55</v>
      </c>
      <c r="O2629" s="3">
        <v>2399.39</v>
      </c>
      <c r="P2629" s="3" t="s">
        <v>26</v>
      </c>
    </row>
    <row r="2630" spans="1:16" x14ac:dyDescent="0.35">
      <c r="A2630" s="3" t="s">
        <v>4010</v>
      </c>
      <c r="B2630" s="3" t="s">
        <v>589</v>
      </c>
      <c r="C2630" s="3" t="s">
        <v>137</v>
      </c>
      <c r="D2630" s="3" t="s">
        <v>90</v>
      </c>
      <c r="E2630" s="3" t="s">
        <v>97</v>
      </c>
      <c r="F2630" s="3" t="s">
        <v>98</v>
      </c>
      <c r="G2630" s="3" t="s">
        <v>22</v>
      </c>
      <c r="H2630" s="3" t="s">
        <v>23</v>
      </c>
      <c r="I2630" s="3" t="s">
        <v>466</v>
      </c>
      <c r="J2630" s="3" t="s">
        <v>85</v>
      </c>
      <c r="K2630" s="3">
        <v>7</v>
      </c>
      <c r="L2630" s="3">
        <v>3807.81</v>
      </c>
      <c r="M2630" s="3">
        <v>26654.67</v>
      </c>
      <c r="N2630" s="3">
        <v>15360.24</v>
      </c>
      <c r="O2630" s="3">
        <v>11294.43</v>
      </c>
      <c r="P2630" s="3" t="s">
        <v>45</v>
      </c>
    </row>
    <row r="2631" spans="1:16" x14ac:dyDescent="0.35">
      <c r="A2631" s="3" t="s">
        <v>4011</v>
      </c>
      <c r="B2631" s="3" t="s">
        <v>583</v>
      </c>
      <c r="C2631" s="3" t="s">
        <v>89</v>
      </c>
      <c r="D2631" s="3" t="s">
        <v>38</v>
      </c>
      <c r="E2631" s="3" t="s">
        <v>104</v>
      </c>
      <c r="F2631" s="3" t="s">
        <v>104</v>
      </c>
      <c r="G2631" s="3" t="s">
        <v>30</v>
      </c>
      <c r="H2631" s="3" t="s">
        <v>67</v>
      </c>
      <c r="I2631" s="3" t="s">
        <v>491</v>
      </c>
      <c r="J2631" s="3" t="s">
        <v>161</v>
      </c>
      <c r="K2631" s="3">
        <v>3</v>
      </c>
      <c r="L2631" s="3">
        <v>8550.24</v>
      </c>
      <c r="M2631" s="3">
        <v>25650.720000000001</v>
      </c>
      <c r="N2631" s="3">
        <v>23725.75</v>
      </c>
      <c r="O2631" s="3">
        <v>1924.97</v>
      </c>
      <c r="P2631" s="3" t="s">
        <v>34</v>
      </c>
    </row>
    <row r="2632" spans="1:16" x14ac:dyDescent="0.35">
      <c r="A2632" s="3" t="s">
        <v>4012</v>
      </c>
      <c r="B2632" s="3" t="s">
        <v>1021</v>
      </c>
      <c r="C2632" s="3" t="s">
        <v>82</v>
      </c>
      <c r="D2632" s="3" t="s">
        <v>19</v>
      </c>
      <c r="E2632" s="3" t="s">
        <v>199</v>
      </c>
      <c r="F2632" s="3" t="s">
        <v>200</v>
      </c>
      <c r="G2632" s="3" t="s">
        <v>22</v>
      </c>
      <c r="H2632" s="3" t="s">
        <v>93</v>
      </c>
      <c r="I2632" s="3" t="s">
        <v>489</v>
      </c>
      <c r="J2632" s="3" t="s">
        <v>106</v>
      </c>
      <c r="K2632" s="3">
        <v>6</v>
      </c>
      <c r="L2632" s="3">
        <v>6942.6</v>
      </c>
      <c r="M2632" s="3">
        <v>41655.599999999999</v>
      </c>
      <c r="N2632" s="3">
        <v>31412.39</v>
      </c>
      <c r="O2632" s="3">
        <v>10243.209999999999</v>
      </c>
      <c r="P2632" s="3" t="s">
        <v>34</v>
      </c>
    </row>
    <row r="2633" spans="1:16" x14ac:dyDescent="0.35">
      <c r="A2633" s="3" t="s">
        <v>4013</v>
      </c>
      <c r="B2633" s="3" t="s">
        <v>2089</v>
      </c>
      <c r="C2633" s="3" t="s">
        <v>29</v>
      </c>
      <c r="D2633" s="3" t="s">
        <v>58</v>
      </c>
      <c r="E2633" s="3" t="s">
        <v>65</v>
      </c>
      <c r="F2633" s="3" t="s">
        <v>66</v>
      </c>
      <c r="G2633" s="3" t="s">
        <v>51</v>
      </c>
      <c r="H2633" s="3" t="s">
        <v>145</v>
      </c>
      <c r="I2633" s="3" t="s">
        <v>1778</v>
      </c>
      <c r="J2633" s="3" t="s">
        <v>188</v>
      </c>
      <c r="K2633" s="3">
        <v>8</v>
      </c>
      <c r="L2633" s="3">
        <v>121.25</v>
      </c>
      <c r="M2633" s="3">
        <v>970</v>
      </c>
      <c r="N2633" s="3">
        <v>459.22</v>
      </c>
      <c r="O2633" s="3">
        <v>510.78</v>
      </c>
      <c r="P2633" s="3" t="s">
        <v>69</v>
      </c>
    </row>
    <row r="2634" spans="1:16" x14ac:dyDescent="0.35">
      <c r="A2634" s="3" t="s">
        <v>4014</v>
      </c>
      <c r="B2634" s="3" t="s">
        <v>318</v>
      </c>
      <c r="C2634" s="3" t="s">
        <v>37</v>
      </c>
      <c r="D2634" s="3" t="s">
        <v>19</v>
      </c>
      <c r="E2634" s="3" t="s">
        <v>49</v>
      </c>
      <c r="F2634" s="3" t="s">
        <v>50</v>
      </c>
      <c r="G2634" s="3" t="s">
        <v>51</v>
      </c>
      <c r="H2634" s="3" t="s">
        <v>77</v>
      </c>
      <c r="I2634" s="3" t="s">
        <v>557</v>
      </c>
      <c r="J2634" s="3" t="s">
        <v>154</v>
      </c>
      <c r="K2634" s="3">
        <v>5</v>
      </c>
      <c r="L2634" s="3">
        <v>12501.53</v>
      </c>
      <c r="M2634" s="3">
        <v>62507.65</v>
      </c>
      <c r="N2634" s="3">
        <v>44562.53</v>
      </c>
      <c r="O2634" s="3">
        <v>17945.12</v>
      </c>
      <c r="P2634" s="3" t="s">
        <v>26</v>
      </c>
    </row>
    <row r="2635" spans="1:16" x14ac:dyDescent="0.35">
      <c r="A2635" s="3" t="s">
        <v>4015</v>
      </c>
      <c r="B2635" s="3" t="s">
        <v>765</v>
      </c>
      <c r="C2635" s="3" t="s">
        <v>57</v>
      </c>
      <c r="D2635" s="3" t="s">
        <v>19</v>
      </c>
      <c r="E2635" s="3" t="s">
        <v>199</v>
      </c>
      <c r="F2635" s="3" t="s">
        <v>200</v>
      </c>
      <c r="G2635" s="3" t="s">
        <v>30</v>
      </c>
      <c r="H2635" s="3" t="s">
        <v>31</v>
      </c>
      <c r="I2635" s="3" t="s">
        <v>829</v>
      </c>
      <c r="J2635" s="3" t="s">
        <v>33</v>
      </c>
      <c r="K2635" s="3">
        <v>7</v>
      </c>
      <c r="L2635" s="3">
        <v>2858.38</v>
      </c>
      <c r="M2635" s="3">
        <v>20008.66</v>
      </c>
      <c r="N2635" s="3">
        <v>13050.17</v>
      </c>
      <c r="O2635" s="3">
        <v>6958.49</v>
      </c>
      <c r="P2635" s="3" t="s">
        <v>86</v>
      </c>
    </row>
    <row r="2636" spans="1:16" x14ac:dyDescent="0.35">
      <c r="A2636" s="3" t="s">
        <v>4016</v>
      </c>
      <c r="B2636" s="3" t="s">
        <v>559</v>
      </c>
      <c r="C2636" s="3" t="s">
        <v>89</v>
      </c>
      <c r="D2636" s="3" t="s">
        <v>90</v>
      </c>
      <c r="E2636" s="3" t="s">
        <v>91</v>
      </c>
      <c r="F2636" s="3" t="s">
        <v>92</v>
      </c>
      <c r="G2636" s="3" t="s">
        <v>22</v>
      </c>
      <c r="H2636" s="3" t="s">
        <v>23</v>
      </c>
      <c r="I2636" s="3" t="s">
        <v>1497</v>
      </c>
      <c r="J2636" s="3" t="s">
        <v>79</v>
      </c>
      <c r="K2636" s="3">
        <v>7</v>
      </c>
      <c r="L2636" s="3">
        <v>3575.24</v>
      </c>
      <c r="M2636" s="3">
        <v>25026.68</v>
      </c>
      <c r="N2636" s="3">
        <v>15633.43</v>
      </c>
      <c r="O2636" s="3">
        <v>9393.25</v>
      </c>
      <c r="P2636" s="3" t="s">
        <v>45</v>
      </c>
    </row>
    <row r="2637" spans="1:16" x14ac:dyDescent="0.35">
      <c r="A2637" s="3" t="s">
        <v>4017</v>
      </c>
      <c r="B2637" s="3" t="s">
        <v>536</v>
      </c>
      <c r="C2637" s="3" t="s">
        <v>18</v>
      </c>
      <c r="D2637" s="3" t="s">
        <v>19</v>
      </c>
      <c r="E2637" s="3" t="s">
        <v>199</v>
      </c>
      <c r="F2637" s="3" t="s">
        <v>200</v>
      </c>
      <c r="G2637" s="3" t="s">
        <v>41</v>
      </c>
      <c r="H2637" s="3" t="s">
        <v>42</v>
      </c>
      <c r="I2637" s="3" t="s">
        <v>1099</v>
      </c>
      <c r="J2637" s="3" t="s">
        <v>171</v>
      </c>
      <c r="K2637" s="3">
        <v>4</v>
      </c>
      <c r="L2637" s="3">
        <v>42485.96</v>
      </c>
      <c r="M2637" s="3">
        <v>169943.84</v>
      </c>
      <c r="N2637" s="3">
        <v>145559.89000000001</v>
      </c>
      <c r="O2637" s="3">
        <v>24383.95</v>
      </c>
      <c r="P2637" s="3" t="s">
        <v>34</v>
      </c>
    </row>
    <row r="2638" spans="1:16" x14ac:dyDescent="0.35">
      <c r="A2638" s="3" t="s">
        <v>4018</v>
      </c>
      <c r="B2638" s="3" t="s">
        <v>2028</v>
      </c>
      <c r="C2638" s="3" t="s">
        <v>137</v>
      </c>
      <c r="D2638" s="3" t="s">
        <v>90</v>
      </c>
      <c r="E2638" s="3" t="s">
        <v>97</v>
      </c>
      <c r="F2638" s="3" t="s">
        <v>98</v>
      </c>
      <c r="G2638" s="3" t="s">
        <v>51</v>
      </c>
      <c r="H2638" s="3" t="s">
        <v>52</v>
      </c>
      <c r="I2638" s="3" t="s">
        <v>790</v>
      </c>
      <c r="J2638" s="3" t="s">
        <v>100</v>
      </c>
      <c r="K2638" s="3">
        <v>7</v>
      </c>
      <c r="L2638" s="3">
        <v>23.22</v>
      </c>
      <c r="M2638" s="3">
        <v>162.54</v>
      </c>
      <c r="N2638" s="3">
        <v>72.489999999999995</v>
      </c>
      <c r="O2638" s="3">
        <v>90.05</v>
      </c>
      <c r="P2638" s="3" t="s">
        <v>45</v>
      </c>
    </row>
    <row r="2639" spans="1:16" x14ac:dyDescent="0.35">
      <c r="A2639" s="3" t="s">
        <v>4019</v>
      </c>
      <c r="B2639" s="3" t="s">
        <v>1320</v>
      </c>
      <c r="C2639" s="3" t="s">
        <v>37</v>
      </c>
      <c r="D2639" s="3" t="s">
        <v>58</v>
      </c>
      <c r="E2639" s="3" t="s">
        <v>59</v>
      </c>
      <c r="F2639" s="3" t="s">
        <v>60</v>
      </c>
      <c r="G2639" s="3" t="s">
        <v>41</v>
      </c>
      <c r="H2639" s="3" t="s">
        <v>42</v>
      </c>
      <c r="I2639" s="3" t="s">
        <v>3243</v>
      </c>
      <c r="J2639" s="3" t="s">
        <v>79</v>
      </c>
      <c r="K2639" s="3">
        <v>1</v>
      </c>
      <c r="L2639" s="3">
        <v>42933.54</v>
      </c>
      <c r="M2639" s="3">
        <v>42933.54</v>
      </c>
      <c r="N2639" s="3">
        <v>36367.39</v>
      </c>
      <c r="O2639" s="3">
        <v>6566.15</v>
      </c>
      <c r="P2639" s="3" t="s">
        <v>34</v>
      </c>
    </row>
    <row r="2640" spans="1:16" x14ac:dyDescent="0.35">
      <c r="A2640" s="3" t="s">
        <v>4020</v>
      </c>
      <c r="B2640" s="3" t="s">
        <v>1727</v>
      </c>
      <c r="C2640" s="3" t="s">
        <v>89</v>
      </c>
      <c r="D2640" s="3" t="s">
        <v>90</v>
      </c>
      <c r="E2640" s="3" t="s">
        <v>119</v>
      </c>
      <c r="F2640" s="3" t="s">
        <v>120</v>
      </c>
      <c r="G2640" s="3" t="s">
        <v>30</v>
      </c>
      <c r="H2640" s="3" t="s">
        <v>31</v>
      </c>
      <c r="I2640" s="3" t="s">
        <v>3863</v>
      </c>
      <c r="J2640" s="3" t="s">
        <v>106</v>
      </c>
      <c r="K2640" s="3">
        <v>5</v>
      </c>
      <c r="L2640" s="3">
        <v>2751.02</v>
      </c>
      <c r="M2640" s="3">
        <v>13755.1</v>
      </c>
      <c r="N2640" s="3">
        <v>9499.51</v>
      </c>
      <c r="O2640" s="3">
        <v>4255.59</v>
      </c>
      <c r="P2640" s="3" t="s">
        <v>86</v>
      </c>
    </row>
    <row r="2641" spans="1:16" x14ac:dyDescent="0.35">
      <c r="A2641" s="3" t="s">
        <v>4021</v>
      </c>
      <c r="B2641" s="3" t="s">
        <v>209</v>
      </c>
      <c r="C2641" s="3" t="s">
        <v>118</v>
      </c>
      <c r="D2641" s="3" t="s">
        <v>19</v>
      </c>
      <c r="E2641" s="3" t="s">
        <v>199</v>
      </c>
      <c r="F2641" s="3" t="s">
        <v>200</v>
      </c>
      <c r="G2641" s="3" t="s">
        <v>51</v>
      </c>
      <c r="H2641" s="3" t="s">
        <v>52</v>
      </c>
      <c r="I2641" s="3" t="s">
        <v>483</v>
      </c>
      <c r="J2641" s="3" t="s">
        <v>147</v>
      </c>
      <c r="K2641" s="3">
        <v>5</v>
      </c>
      <c r="L2641" s="3">
        <v>24.76</v>
      </c>
      <c r="M2641" s="3">
        <v>123.8</v>
      </c>
      <c r="N2641" s="3">
        <v>49.56</v>
      </c>
      <c r="O2641" s="3">
        <v>74.239999999999995</v>
      </c>
      <c r="P2641" s="3" t="s">
        <v>69</v>
      </c>
    </row>
    <row r="2642" spans="1:16" x14ac:dyDescent="0.35">
      <c r="A2642" s="3" t="s">
        <v>4022</v>
      </c>
      <c r="B2642" s="3" t="s">
        <v>1499</v>
      </c>
      <c r="C2642" s="3" t="s">
        <v>103</v>
      </c>
      <c r="D2642" s="3" t="s">
        <v>19</v>
      </c>
      <c r="E2642" s="3" t="s">
        <v>49</v>
      </c>
      <c r="F2642" s="3" t="s">
        <v>50</v>
      </c>
      <c r="G2642" s="3" t="s">
        <v>51</v>
      </c>
      <c r="H2642" s="3" t="s">
        <v>52</v>
      </c>
      <c r="I2642" s="3" t="s">
        <v>2485</v>
      </c>
      <c r="J2642" s="3" t="s">
        <v>44</v>
      </c>
      <c r="K2642" s="3">
        <v>1</v>
      </c>
      <c r="L2642" s="3">
        <v>26.15</v>
      </c>
      <c r="M2642" s="3">
        <v>26.15</v>
      </c>
      <c r="N2642" s="3">
        <v>9.92</v>
      </c>
      <c r="O2642" s="3">
        <v>16.23</v>
      </c>
      <c r="P2642" s="3" t="s">
        <v>86</v>
      </c>
    </row>
    <row r="2643" spans="1:16" x14ac:dyDescent="0.35">
      <c r="A2643" s="3" t="s">
        <v>4023</v>
      </c>
      <c r="B2643" s="3" t="s">
        <v>757</v>
      </c>
      <c r="C2643" s="3" t="s">
        <v>137</v>
      </c>
      <c r="D2643" s="3" t="s">
        <v>38</v>
      </c>
      <c r="E2643" s="3" t="s">
        <v>109</v>
      </c>
      <c r="F2643" s="3" t="s">
        <v>110</v>
      </c>
      <c r="G2643" s="3" t="s">
        <v>22</v>
      </c>
      <c r="H2643" s="3" t="s">
        <v>83</v>
      </c>
      <c r="I2643" s="3" t="s">
        <v>505</v>
      </c>
      <c r="J2643" s="3" t="s">
        <v>154</v>
      </c>
      <c r="K2643" s="3">
        <v>5</v>
      </c>
      <c r="L2643" s="3">
        <v>21461.68</v>
      </c>
      <c r="M2643" s="3">
        <v>107308.4</v>
      </c>
      <c r="N2643" s="3">
        <v>89192.52</v>
      </c>
      <c r="O2643" s="3">
        <v>18115.88</v>
      </c>
      <c r="P2643" s="3" t="s">
        <v>69</v>
      </c>
    </row>
    <row r="2644" spans="1:16" x14ac:dyDescent="0.35">
      <c r="A2644" s="3" t="s">
        <v>4024</v>
      </c>
      <c r="B2644" s="3" t="s">
        <v>260</v>
      </c>
      <c r="C2644" s="3" t="s">
        <v>37</v>
      </c>
      <c r="D2644" s="3" t="s">
        <v>90</v>
      </c>
      <c r="E2644" s="3" t="s">
        <v>119</v>
      </c>
      <c r="F2644" s="3" t="s">
        <v>120</v>
      </c>
      <c r="G2644" s="3" t="s">
        <v>51</v>
      </c>
      <c r="H2644" s="3" t="s">
        <v>145</v>
      </c>
      <c r="I2644" s="3" t="s">
        <v>835</v>
      </c>
      <c r="J2644" s="3" t="s">
        <v>54</v>
      </c>
      <c r="K2644" s="3">
        <v>3</v>
      </c>
      <c r="L2644" s="3">
        <v>131.32</v>
      </c>
      <c r="M2644" s="3">
        <v>393.96</v>
      </c>
      <c r="N2644" s="3">
        <v>177.83</v>
      </c>
      <c r="O2644" s="3">
        <v>216.13</v>
      </c>
      <c r="P2644" s="3" t="s">
        <v>86</v>
      </c>
    </row>
    <row r="2645" spans="1:16" x14ac:dyDescent="0.35">
      <c r="A2645" s="3" t="s">
        <v>4025</v>
      </c>
      <c r="B2645" s="3" t="s">
        <v>1202</v>
      </c>
      <c r="C2645" s="3" t="s">
        <v>118</v>
      </c>
      <c r="D2645" s="3" t="s">
        <v>58</v>
      </c>
      <c r="E2645" s="3" t="s">
        <v>176</v>
      </c>
      <c r="F2645" s="3" t="s">
        <v>177</v>
      </c>
      <c r="G2645" s="3" t="s">
        <v>22</v>
      </c>
      <c r="H2645" s="3" t="s">
        <v>83</v>
      </c>
      <c r="I2645" s="3" t="s">
        <v>3528</v>
      </c>
      <c r="J2645" s="3" t="s">
        <v>147</v>
      </c>
      <c r="K2645" s="3">
        <v>2</v>
      </c>
      <c r="L2645" s="3">
        <v>22086.09</v>
      </c>
      <c r="M2645" s="3">
        <v>44172.18</v>
      </c>
      <c r="N2645" s="3">
        <v>33709.11</v>
      </c>
      <c r="O2645" s="3">
        <v>10463.07</v>
      </c>
      <c r="P2645" s="3" t="s">
        <v>26</v>
      </c>
    </row>
    <row r="2646" spans="1:16" x14ac:dyDescent="0.35">
      <c r="A2646" s="3" t="s">
        <v>4026</v>
      </c>
      <c r="B2646" s="3" t="s">
        <v>974</v>
      </c>
      <c r="C2646" s="3" t="s">
        <v>29</v>
      </c>
      <c r="D2646" s="3" t="s">
        <v>90</v>
      </c>
      <c r="E2646" s="3" t="s">
        <v>97</v>
      </c>
      <c r="F2646" s="3" t="s">
        <v>98</v>
      </c>
      <c r="G2646" s="3" t="s">
        <v>22</v>
      </c>
      <c r="H2646" s="3" t="s">
        <v>93</v>
      </c>
      <c r="I2646" s="3" t="s">
        <v>1626</v>
      </c>
      <c r="J2646" s="3" t="s">
        <v>85</v>
      </c>
      <c r="K2646" s="3">
        <v>4</v>
      </c>
      <c r="L2646" s="3">
        <v>7075.74</v>
      </c>
      <c r="M2646" s="3">
        <v>28302.959999999999</v>
      </c>
      <c r="N2646" s="3">
        <v>20325.75</v>
      </c>
      <c r="O2646" s="3">
        <v>7977.21</v>
      </c>
      <c r="P2646" s="3" t="s">
        <v>45</v>
      </c>
    </row>
    <row r="2647" spans="1:16" x14ac:dyDescent="0.35">
      <c r="A2647" s="3" t="s">
        <v>4027</v>
      </c>
      <c r="B2647" s="3" t="s">
        <v>1392</v>
      </c>
      <c r="C2647" s="3" t="s">
        <v>103</v>
      </c>
      <c r="D2647" s="3" t="s">
        <v>38</v>
      </c>
      <c r="E2647" s="3" t="s">
        <v>39</v>
      </c>
      <c r="F2647" s="3" t="s">
        <v>40</v>
      </c>
      <c r="G2647" s="3" t="s">
        <v>22</v>
      </c>
      <c r="H2647" s="3" t="s">
        <v>93</v>
      </c>
      <c r="I2647" s="3" t="s">
        <v>3120</v>
      </c>
      <c r="J2647" s="3" t="s">
        <v>147</v>
      </c>
      <c r="K2647" s="3">
        <v>2</v>
      </c>
      <c r="L2647" s="3">
        <v>7509.2</v>
      </c>
      <c r="M2647" s="3">
        <v>15018.4</v>
      </c>
      <c r="N2647" s="3">
        <v>9779.75</v>
      </c>
      <c r="O2647" s="3">
        <v>5238.6499999999996</v>
      </c>
      <c r="P2647" s="3" t="s">
        <v>26</v>
      </c>
    </row>
    <row r="2648" spans="1:16" x14ac:dyDescent="0.35">
      <c r="A2648" s="3" t="s">
        <v>4028</v>
      </c>
      <c r="B2648" s="3" t="s">
        <v>782</v>
      </c>
      <c r="C2648" s="3" t="s">
        <v>114</v>
      </c>
      <c r="D2648" s="3" t="s">
        <v>90</v>
      </c>
      <c r="E2648" s="3" t="s">
        <v>97</v>
      </c>
      <c r="F2648" s="3" t="s">
        <v>98</v>
      </c>
      <c r="G2648" s="3" t="s">
        <v>30</v>
      </c>
      <c r="H2648" s="3" t="s">
        <v>67</v>
      </c>
      <c r="I2648" s="3" t="s">
        <v>258</v>
      </c>
      <c r="J2648" s="3" t="s">
        <v>100</v>
      </c>
      <c r="K2648" s="3">
        <v>4</v>
      </c>
      <c r="L2648" s="3">
        <v>9645.9699999999993</v>
      </c>
      <c r="M2648" s="3">
        <v>38583.879999999997</v>
      </c>
      <c r="N2648" s="3">
        <v>30804.18</v>
      </c>
      <c r="O2648" s="3">
        <v>7779.7</v>
      </c>
      <c r="P2648" s="3" t="s">
        <v>45</v>
      </c>
    </row>
    <row r="2649" spans="1:16" x14ac:dyDescent="0.35">
      <c r="A2649" s="3" t="s">
        <v>4029</v>
      </c>
      <c r="B2649" s="3" t="s">
        <v>195</v>
      </c>
      <c r="C2649" s="3" t="s">
        <v>18</v>
      </c>
      <c r="D2649" s="3" t="s">
        <v>58</v>
      </c>
      <c r="E2649" s="3" t="s">
        <v>59</v>
      </c>
      <c r="F2649" s="3" t="s">
        <v>60</v>
      </c>
      <c r="G2649" s="3" t="s">
        <v>51</v>
      </c>
      <c r="H2649" s="3" t="s">
        <v>145</v>
      </c>
      <c r="I2649" s="3" t="s">
        <v>2006</v>
      </c>
      <c r="J2649" s="3" t="s">
        <v>33</v>
      </c>
      <c r="K2649" s="3">
        <v>3</v>
      </c>
      <c r="L2649" s="3">
        <v>115.87</v>
      </c>
      <c r="M2649" s="3">
        <v>347.61</v>
      </c>
      <c r="N2649" s="3">
        <v>187.72</v>
      </c>
      <c r="O2649" s="3">
        <v>159.88999999999999</v>
      </c>
      <c r="P2649" s="3" t="s">
        <v>69</v>
      </c>
    </row>
    <row r="2650" spans="1:16" x14ac:dyDescent="0.35">
      <c r="A2650" s="3" t="s">
        <v>4030</v>
      </c>
      <c r="B2650" s="3" t="s">
        <v>1092</v>
      </c>
      <c r="C2650" s="3" t="s">
        <v>103</v>
      </c>
      <c r="D2650" s="3" t="s">
        <v>19</v>
      </c>
      <c r="E2650" s="3" t="s">
        <v>49</v>
      </c>
      <c r="F2650" s="3" t="s">
        <v>50</v>
      </c>
      <c r="G2650" s="3" t="s">
        <v>41</v>
      </c>
      <c r="H2650" s="3" t="s">
        <v>42</v>
      </c>
      <c r="I2650" s="3" t="s">
        <v>1532</v>
      </c>
      <c r="J2650" s="3" t="s">
        <v>154</v>
      </c>
      <c r="K2650" s="3">
        <v>6</v>
      </c>
      <c r="L2650" s="3">
        <v>47393.94</v>
      </c>
      <c r="M2650" s="3">
        <v>284363.64</v>
      </c>
      <c r="N2650" s="3">
        <v>217336</v>
      </c>
      <c r="O2650" s="3">
        <v>67027.64</v>
      </c>
      <c r="P2650" s="3" t="s">
        <v>45</v>
      </c>
    </row>
    <row r="2651" spans="1:16" x14ac:dyDescent="0.35">
      <c r="A2651" s="3" t="s">
        <v>4031</v>
      </c>
      <c r="B2651" s="3" t="s">
        <v>183</v>
      </c>
      <c r="C2651" s="3" t="s">
        <v>114</v>
      </c>
      <c r="D2651" s="3" t="s">
        <v>58</v>
      </c>
      <c r="E2651" s="3" t="s">
        <v>59</v>
      </c>
      <c r="F2651" s="3" t="s">
        <v>60</v>
      </c>
      <c r="G2651" s="3" t="s">
        <v>30</v>
      </c>
      <c r="H2651" s="3" t="s">
        <v>73</v>
      </c>
      <c r="I2651" s="3" t="s">
        <v>3444</v>
      </c>
      <c r="J2651" s="3" t="s">
        <v>85</v>
      </c>
      <c r="K2651" s="3">
        <v>5</v>
      </c>
      <c r="L2651" s="3">
        <v>3452.25</v>
      </c>
      <c r="M2651" s="3">
        <v>17261.25</v>
      </c>
      <c r="N2651" s="3">
        <v>12475.92</v>
      </c>
      <c r="O2651" s="3">
        <v>4785.33</v>
      </c>
      <c r="P2651" s="3" t="s">
        <v>34</v>
      </c>
    </row>
    <row r="2652" spans="1:16" x14ac:dyDescent="0.35">
      <c r="A2652" s="3" t="s">
        <v>4032</v>
      </c>
      <c r="B2652" s="3" t="s">
        <v>921</v>
      </c>
      <c r="C2652" s="3" t="s">
        <v>103</v>
      </c>
      <c r="D2652" s="3" t="s">
        <v>90</v>
      </c>
      <c r="E2652" s="3" t="s">
        <v>91</v>
      </c>
      <c r="F2652" s="3" t="s">
        <v>92</v>
      </c>
      <c r="G2652" s="3" t="s">
        <v>51</v>
      </c>
      <c r="H2652" s="3" t="s">
        <v>52</v>
      </c>
      <c r="I2652" s="3" t="s">
        <v>1111</v>
      </c>
      <c r="J2652" s="3" t="s">
        <v>188</v>
      </c>
      <c r="K2652" s="3">
        <v>8</v>
      </c>
      <c r="L2652" s="3">
        <v>23.77</v>
      </c>
      <c r="M2652" s="3">
        <v>190.16</v>
      </c>
      <c r="N2652" s="3">
        <v>82.24</v>
      </c>
      <c r="O2652" s="3">
        <v>107.92</v>
      </c>
      <c r="P2652" s="3" t="s">
        <v>86</v>
      </c>
    </row>
    <row r="2653" spans="1:16" x14ac:dyDescent="0.35">
      <c r="A2653" s="3" t="s">
        <v>4033</v>
      </c>
      <c r="B2653" s="3" t="s">
        <v>1499</v>
      </c>
      <c r="C2653" s="3" t="s">
        <v>103</v>
      </c>
      <c r="D2653" s="3" t="s">
        <v>58</v>
      </c>
      <c r="E2653" s="3" t="s">
        <v>65</v>
      </c>
      <c r="F2653" s="3" t="s">
        <v>66</v>
      </c>
      <c r="G2653" s="3" t="s">
        <v>41</v>
      </c>
      <c r="H2653" s="3" t="s">
        <v>61</v>
      </c>
      <c r="I2653" s="3" t="s">
        <v>2276</v>
      </c>
      <c r="J2653" s="3" t="s">
        <v>131</v>
      </c>
      <c r="K2653" s="3">
        <v>5</v>
      </c>
      <c r="L2653" s="3">
        <v>2668.4</v>
      </c>
      <c r="M2653" s="3">
        <v>13342</v>
      </c>
      <c r="N2653" s="3">
        <v>7677.18</v>
      </c>
      <c r="O2653" s="3">
        <v>5664.82</v>
      </c>
      <c r="P2653" s="3" t="s">
        <v>45</v>
      </c>
    </row>
    <row r="2654" spans="1:16" x14ac:dyDescent="0.35">
      <c r="A2654" s="3" t="s">
        <v>4034</v>
      </c>
      <c r="B2654" s="3" t="s">
        <v>169</v>
      </c>
      <c r="C2654" s="3" t="s">
        <v>37</v>
      </c>
      <c r="D2654" s="3" t="s">
        <v>58</v>
      </c>
      <c r="E2654" s="3" t="s">
        <v>65</v>
      </c>
      <c r="F2654" s="3" t="s">
        <v>66</v>
      </c>
      <c r="G2654" s="3" t="s">
        <v>30</v>
      </c>
      <c r="H2654" s="3" t="s">
        <v>67</v>
      </c>
      <c r="I2654" s="3" t="s">
        <v>2758</v>
      </c>
      <c r="J2654" s="3" t="s">
        <v>85</v>
      </c>
      <c r="K2654" s="3">
        <v>2</v>
      </c>
      <c r="L2654" s="3">
        <v>9524.9500000000007</v>
      </c>
      <c r="M2654" s="3">
        <v>19049.900000000001</v>
      </c>
      <c r="N2654" s="3">
        <v>14833.16</v>
      </c>
      <c r="O2654" s="3">
        <v>4216.74</v>
      </c>
      <c r="P2654" s="3" t="s">
        <v>45</v>
      </c>
    </row>
    <row r="2655" spans="1:16" x14ac:dyDescent="0.35">
      <c r="A2655" s="3" t="s">
        <v>4035</v>
      </c>
      <c r="B2655" s="3" t="s">
        <v>424</v>
      </c>
      <c r="C2655" s="3" t="s">
        <v>72</v>
      </c>
      <c r="D2655" s="3" t="s">
        <v>58</v>
      </c>
      <c r="E2655" s="3" t="s">
        <v>59</v>
      </c>
      <c r="F2655" s="3" t="s">
        <v>60</v>
      </c>
      <c r="G2655" s="3" t="s">
        <v>22</v>
      </c>
      <c r="H2655" s="3" t="s">
        <v>23</v>
      </c>
      <c r="I2655" s="3" t="s">
        <v>808</v>
      </c>
      <c r="J2655" s="3" t="s">
        <v>85</v>
      </c>
      <c r="K2655" s="3">
        <v>8</v>
      </c>
      <c r="L2655" s="3">
        <v>3820.79</v>
      </c>
      <c r="M2655" s="3">
        <v>30566.32</v>
      </c>
      <c r="N2655" s="3">
        <v>18111.53</v>
      </c>
      <c r="O2655" s="3">
        <v>12454.79</v>
      </c>
      <c r="P2655" s="3" t="s">
        <v>26</v>
      </c>
    </row>
    <row r="2656" spans="1:16" x14ac:dyDescent="0.35">
      <c r="A2656" s="3" t="s">
        <v>4036</v>
      </c>
      <c r="B2656" s="3" t="s">
        <v>1159</v>
      </c>
      <c r="C2656" s="3" t="s">
        <v>29</v>
      </c>
      <c r="D2656" s="3" t="s">
        <v>38</v>
      </c>
      <c r="E2656" s="3" t="s">
        <v>104</v>
      </c>
      <c r="F2656" s="3" t="s">
        <v>104</v>
      </c>
      <c r="G2656" s="3" t="s">
        <v>41</v>
      </c>
      <c r="H2656" s="3" t="s">
        <v>138</v>
      </c>
      <c r="I2656" s="3" t="s">
        <v>1800</v>
      </c>
      <c r="J2656" s="3" t="s">
        <v>171</v>
      </c>
      <c r="K2656" s="3">
        <v>3</v>
      </c>
      <c r="L2656" s="3">
        <v>17411.53</v>
      </c>
      <c r="M2656" s="3">
        <v>52234.59</v>
      </c>
      <c r="N2656" s="3">
        <v>41655.269999999997</v>
      </c>
      <c r="O2656" s="3">
        <v>10579.32</v>
      </c>
      <c r="P2656" s="3" t="s">
        <v>69</v>
      </c>
    </row>
    <row r="2657" spans="1:16" x14ac:dyDescent="0.35">
      <c r="A2657" s="3" t="s">
        <v>4037</v>
      </c>
      <c r="B2657" s="3" t="s">
        <v>198</v>
      </c>
      <c r="C2657" s="3" t="s">
        <v>29</v>
      </c>
      <c r="D2657" s="3" t="s">
        <v>38</v>
      </c>
      <c r="E2657" s="3" t="s">
        <v>39</v>
      </c>
      <c r="F2657" s="3" t="s">
        <v>40</v>
      </c>
      <c r="G2657" s="3" t="s">
        <v>51</v>
      </c>
      <c r="H2657" s="3" t="s">
        <v>145</v>
      </c>
      <c r="I2657" s="3" t="s">
        <v>891</v>
      </c>
      <c r="J2657" s="3" t="s">
        <v>171</v>
      </c>
      <c r="K2657" s="3">
        <v>1</v>
      </c>
      <c r="L2657" s="3">
        <v>108.04</v>
      </c>
      <c r="M2657" s="3">
        <v>108.04</v>
      </c>
      <c r="N2657" s="3">
        <v>57.35</v>
      </c>
      <c r="O2657" s="3">
        <v>50.69</v>
      </c>
      <c r="P2657" s="3" t="s">
        <v>26</v>
      </c>
    </row>
    <row r="2658" spans="1:16" x14ac:dyDescent="0.35">
      <c r="A2658" s="3" t="s">
        <v>4038</v>
      </c>
      <c r="B2658" s="3" t="s">
        <v>534</v>
      </c>
      <c r="C2658" s="3" t="s">
        <v>29</v>
      </c>
      <c r="D2658" s="3" t="s">
        <v>58</v>
      </c>
      <c r="E2658" s="3" t="s">
        <v>59</v>
      </c>
      <c r="F2658" s="3" t="s">
        <v>60</v>
      </c>
      <c r="G2658" s="3" t="s">
        <v>22</v>
      </c>
      <c r="H2658" s="3" t="s">
        <v>93</v>
      </c>
      <c r="I2658" s="3" t="s">
        <v>1368</v>
      </c>
      <c r="J2658" s="3" t="s">
        <v>79</v>
      </c>
      <c r="K2658" s="3">
        <v>8</v>
      </c>
      <c r="L2658" s="3">
        <v>7467.61</v>
      </c>
      <c r="M2658" s="3">
        <v>59740.88</v>
      </c>
      <c r="N2658" s="3">
        <v>40743.360000000001</v>
      </c>
      <c r="O2658" s="3">
        <v>18997.52</v>
      </c>
      <c r="P2658" s="3" t="s">
        <v>34</v>
      </c>
    </row>
    <row r="2659" spans="1:16" x14ac:dyDescent="0.35">
      <c r="A2659" s="3" t="s">
        <v>4039</v>
      </c>
      <c r="B2659" s="3" t="s">
        <v>511</v>
      </c>
      <c r="C2659" s="3" t="s">
        <v>29</v>
      </c>
      <c r="D2659" s="3" t="s">
        <v>38</v>
      </c>
      <c r="E2659" s="3" t="s">
        <v>109</v>
      </c>
      <c r="F2659" s="3" t="s">
        <v>110</v>
      </c>
      <c r="G2659" s="3" t="s">
        <v>51</v>
      </c>
      <c r="H2659" s="3" t="s">
        <v>145</v>
      </c>
      <c r="I2659" s="3" t="s">
        <v>4040</v>
      </c>
      <c r="J2659" s="3" t="s">
        <v>154</v>
      </c>
      <c r="K2659" s="3">
        <v>5</v>
      </c>
      <c r="L2659" s="3">
        <v>117.19</v>
      </c>
      <c r="M2659" s="3">
        <v>585.95000000000005</v>
      </c>
      <c r="N2659" s="3">
        <v>290.89</v>
      </c>
      <c r="O2659" s="3">
        <v>295.06</v>
      </c>
      <c r="P2659" s="3" t="s">
        <v>26</v>
      </c>
    </row>
    <row r="2660" spans="1:16" x14ac:dyDescent="0.35">
      <c r="A2660" s="3" t="s">
        <v>4041</v>
      </c>
      <c r="B2660" s="3" t="s">
        <v>1502</v>
      </c>
      <c r="C2660" s="3" t="s">
        <v>57</v>
      </c>
      <c r="D2660" s="3" t="s">
        <v>38</v>
      </c>
      <c r="E2660" s="3" t="s">
        <v>104</v>
      </c>
      <c r="F2660" s="3" t="s">
        <v>104</v>
      </c>
      <c r="G2660" s="3" t="s">
        <v>51</v>
      </c>
      <c r="H2660" s="3" t="s">
        <v>52</v>
      </c>
      <c r="I2660" s="3" t="s">
        <v>4042</v>
      </c>
      <c r="J2660" s="3" t="s">
        <v>25</v>
      </c>
      <c r="K2660" s="3">
        <v>3</v>
      </c>
      <c r="L2660" s="3">
        <v>25.02</v>
      </c>
      <c r="M2660" s="3">
        <v>75.06</v>
      </c>
      <c r="N2660" s="3">
        <v>31.47</v>
      </c>
      <c r="O2660" s="3">
        <v>43.59</v>
      </c>
      <c r="P2660" s="3" t="s">
        <v>69</v>
      </c>
    </row>
    <row r="2661" spans="1:16" x14ac:dyDescent="0.35">
      <c r="A2661" s="3" t="s">
        <v>4043</v>
      </c>
      <c r="B2661" s="3" t="s">
        <v>1704</v>
      </c>
      <c r="C2661" s="3" t="s">
        <v>48</v>
      </c>
      <c r="D2661" s="3" t="s">
        <v>90</v>
      </c>
      <c r="E2661" s="3" t="s">
        <v>97</v>
      </c>
      <c r="F2661" s="3" t="s">
        <v>98</v>
      </c>
      <c r="G2661" s="3" t="s">
        <v>30</v>
      </c>
      <c r="H2661" s="3" t="s">
        <v>73</v>
      </c>
      <c r="I2661" s="3" t="s">
        <v>4044</v>
      </c>
      <c r="J2661" s="3" t="s">
        <v>33</v>
      </c>
      <c r="K2661" s="3">
        <v>1</v>
      </c>
      <c r="L2661" s="3">
        <v>2938.68</v>
      </c>
      <c r="M2661" s="3">
        <v>2938.68</v>
      </c>
      <c r="N2661" s="3">
        <v>2420.84</v>
      </c>
      <c r="O2661" s="3">
        <v>517.84</v>
      </c>
      <c r="P2661" s="3" t="s">
        <v>69</v>
      </c>
    </row>
    <row r="2662" spans="1:16" x14ac:dyDescent="0.35">
      <c r="A2662" s="3" t="s">
        <v>4045</v>
      </c>
      <c r="B2662" s="3" t="s">
        <v>407</v>
      </c>
      <c r="C2662" s="3" t="s">
        <v>48</v>
      </c>
      <c r="D2662" s="3" t="s">
        <v>38</v>
      </c>
      <c r="E2662" s="3" t="s">
        <v>104</v>
      </c>
      <c r="F2662" s="3" t="s">
        <v>104</v>
      </c>
      <c r="G2662" s="3" t="s">
        <v>51</v>
      </c>
      <c r="H2662" s="3" t="s">
        <v>52</v>
      </c>
      <c r="I2662" s="3" t="s">
        <v>311</v>
      </c>
      <c r="J2662" s="3" t="s">
        <v>217</v>
      </c>
      <c r="K2662" s="3">
        <v>2</v>
      </c>
      <c r="L2662" s="3">
        <v>27.19</v>
      </c>
      <c r="M2662" s="3">
        <v>54.38</v>
      </c>
      <c r="N2662" s="3">
        <v>19.399999999999999</v>
      </c>
      <c r="O2662" s="3">
        <v>34.979999999999997</v>
      </c>
      <c r="P2662" s="3" t="s">
        <v>86</v>
      </c>
    </row>
    <row r="2663" spans="1:16" x14ac:dyDescent="0.35">
      <c r="A2663" s="3" t="s">
        <v>4046</v>
      </c>
      <c r="B2663" s="3" t="s">
        <v>76</v>
      </c>
      <c r="C2663" s="3" t="s">
        <v>48</v>
      </c>
      <c r="D2663" s="3" t="s">
        <v>90</v>
      </c>
      <c r="E2663" s="3" t="s">
        <v>97</v>
      </c>
      <c r="F2663" s="3" t="s">
        <v>98</v>
      </c>
      <c r="G2663" s="3" t="s">
        <v>51</v>
      </c>
      <c r="H2663" s="3" t="s">
        <v>52</v>
      </c>
      <c r="I2663" s="3" t="s">
        <v>3526</v>
      </c>
      <c r="J2663" s="3" t="s">
        <v>44</v>
      </c>
      <c r="K2663" s="3">
        <v>7</v>
      </c>
      <c r="L2663" s="3">
        <v>24.36</v>
      </c>
      <c r="M2663" s="3">
        <v>170.52</v>
      </c>
      <c r="N2663" s="3">
        <v>73.17</v>
      </c>
      <c r="O2663" s="3">
        <v>97.35</v>
      </c>
      <c r="P2663" s="3" t="s">
        <v>26</v>
      </c>
    </row>
    <row r="2664" spans="1:16" x14ac:dyDescent="0.35">
      <c r="A2664" s="3" t="s">
        <v>4047</v>
      </c>
      <c r="B2664" s="3" t="s">
        <v>1187</v>
      </c>
      <c r="C2664" s="3" t="s">
        <v>18</v>
      </c>
      <c r="D2664" s="3" t="s">
        <v>58</v>
      </c>
      <c r="E2664" s="3" t="s">
        <v>65</v>
      </c>
      <c r="F2664" s="3" t="s">
        <v>66</v>
      </c>
      <c r="G2664" s="3" t="s">
        <v>22</v>
      </c>
      <c r="H2664" s="3" t="s">
        <v>83</v>
      </c>
      <c r="I2664" s="3" t="s">
        <v>3397</v>
      </c>
      <c r="J2664" s="3" t="s">
        <v>131</v>
      </c>
      <c r="K2664" s="3">
        <v>6</v>
      </c>
      <c r="L2664" s="3">
        <v>23750.23</v>
      </c>
      <c r="M2664" s="3">
        <v>142501.38</v>
      </c>
      <c r="N2664" s="3">
        <v>103689.75</v>
      </c>
      <c r="O2664" s="3">
        <v>38811.629999999997</v>
      </c>
      <c r="P2664" s="3" t="s">
        <v>26</v>
      </c>
    </row>
    <row r="2665" spans="1:16" x14ac:dyDescent="0.35">
      <c r="A2665" s="3" t="s">
        <v>4048</v>
      </c>
      <c r="B2665" s="3" t="s">
        <v>1159</v>
      </c>
      <c r="C2665" s="3" t="s">
        <v>29</v>
      </c>
      <c r="D2665" s="3" t="s">
        <v>38</v>
      </c>
      <c r="E2665" s="3" t="s">
        <v>39</v>
      </c>
      <c r="F2665" s="3" t="s">
        <v>40</v>
      </c>
      <c r="G2665" s="3" t="s">
        <v>41</v>
      </c>
      <c r="H2665" s="3" t="s">
        <v>138</v>
      </c>
      <c r="I2665" s="3" t="s">
        <v>456</v>
      </c>
      <c r="J2665" s="3" t="s">
        <v>44</v>
      </c>
      <c r="K2665" s="3">
        <v>3</v>
      </c>
      <c r="L2665" s="3">
        <v>17645.05</v>
      </c>
      <c r="M2665" s="3">
        <v>52935.15</v>
      </c>
      <c r="N2665" s="3">
        <v>41125.269999999997</v>
      </c>
      <c r="O2665" s="3">
        <v>11809.88</v>
      </c>
      <c r="P2665" s="3" t="s">
        <v>26</v>
      </c>
    </row>
    <row r="2666" spans="1:16" x14ac:dyDescent="0.35">
      <c r="A2666" s="3" t="s">
        <v>4049</v>
      </c>
      <c r="B2666" s="3" t="s">
        <v>324</v>
      </c>
      <c r="C2666" s="3" t="s">
        <v>29</v>
      </c>
      <c r="D2666" s="3" t="s">
        <v>90</v>
      </c>
      <c r="E2666" s="3" t="s">
        <v>91</v>
      </c>
      <c r="F2666" s="3" t="s">
        <v>92</v>
      </c>
      <c r="G2666" s="3" t="s">
        <v>30</v>
      </c>
      <c r="H2666" s="3" t="s">
        <v>67</v>
      </c>
      <c r="I2666" s="3" t="s">
        <v>167</v>
      </c>
      <c r="J2666" s="3" t="s">
        <v>54</v>
      </c>
      <c r="K2666" s="3">
        <v>8</v>
      </c>
      <c r="L2666" s="3">
        <v>10272.59</v>
      </c>
      <c r="M2666" s="3">
        <v>82180.72</v>
      </c>
      <c r="N2666" s="3">
        <v>62134.73</v>
      </c>
      <c r="O2666" s="3">
        <v>20045.990000000002</v>
      </c>
      <c r="P2666" s="3" t="s">
        <v>86</v>
      </c>
    </row>
    <row r="2667" spans="1:16" x14ac:dyDescent="0.35">
      <c r="A2667" s="3" t="s">
        <v>4050</v>
      </c>
      <c r="B2667" s="3" t="s">
        <v>802</v>
      </c>
      <c r="C2667" s="3" t="s">
        <v>118</v>
      </c>
      <c r="D2667" s="3" t="s">
        <v>58</v>
      </c>
      <c r="E2667" s="3" t="s">
        <v>65</v>
      </c>
      <c r="F2667" s="3" t="s">
        <v>66</v>
      </c>
      <c r="G2667" s="3" t="s">
        <v>30</v>
      </c>
      <c r="H2667" s="3" t="s">
        <v>67</v>
      </c>
      <c r="I2667" s="3" t="s">
        <v>3444</v>
      </c>
      <c r="J2667" s="3" t="s">
        <v>100</v>
      </c>
      <c r="K2667" s="3">
        <v>3</v>
      </c>
      <c r="L2667" s="3">
        <v>9303.8799999999992</v>
      </c>
      <c r="M2667" s="3">
        <v>27911.64</v>
      </c>
      <c r="N2667" s="3">
        <v>22030.31</v>
      </c>
      <c r="O2667" s="3">
        <v>5881.33</v>
      </c>
      <c r="P2667" s="3" t="s">
        <v>26</v>
      </c>
    </row>
    <row r="2668" spans="1:16" x14ac:dyDescent="0.35">
      <c r="A2668" s="3" t="s">
        <v>4051</v>
      </c>
      <c r="B2668" s="3" t="s">
        <v>458</v>
      </c>
      <c r="C2668" s="3" t="s">
        <v>18</v>
      </c>
      <c r="D2668" s="3" t="s">
        <v>90</v>
      </c>
      <c r="E2668" s="3" t="s">
        <v>97</v>
      </c>
      <c r="F2668" s="3" t="s">
        <v>98</v>
      </c>
      <c r="G2668" s="3" t="s">
        <v>51</v>
      </c>
      <c r="H2668" s="3" t="s">
        <v>52</v>
      </c>
      <c r="I2668" s="3" t="s">
        <v>1497</v>
      </c>
      <c r="J2668" s="3" t="s">
        <v>85</v>
      </c>
      <c r="K2668" s="3">
        <v>7</v>
      </c>
      <c r="L2668" s="3">
        <v>27.33</v>
      </c>
      <c r="M2668" s="3">
        <v>191.31</v>
      </c>
      <c r="N2668" s="3">
        <v>70.180000000000007</v>
      </c>
      <c r="O2668" s="3">
        <v>121.13</v>
      </c>
      <c r="P2668" s="3" t="s">
        <v>69</v>
      </c>
    </row>
    <row r="2669" spans="1:16" x14ac:dyDescent="0.35">
      <c r="A2669" s="3" t="s">
        <v>4052</v>
      </c>
      <c r="B2669" s="3" t="s">
        <v>1306</v>
      </c>
      <c r="C2669" s="3" t="s">
        <v>57</v>
      </c>
      <c r="D2669" s="3" t="s">
        <v>38</v>
      </c>
      <c r="E2669" s="3" t="s">
        <v>39</v>
      </c>
      <c r="F2669" s="3" t="s">
        <v>40</v>
      </c>
      <c r="G2669" s="3" t="s">
        <v>51</v>
      </c>
      <c r="H2669" s="3" t="s">
        <v>145</v>
      </c>
      <c r="I2669" s="3" t="s">
        <v>965</v>
      </c>
      <c r="J2669" s="3" t="s">
        <v>131</v>
      </c>
      <c r="K2669" s="3">
        <v>5</v>
      </c>
      <c r="L2669" s="3">
        <v>120.69</v>
      </c>
      <c r="M2669" s="3">
        <v>603.45000000000005</v>
      </c>
      <c r="N2669" s="3">
        <v>291.72000000000003</v>
      </c>
      <c r="O2669" s="3">
        <v>311.73</v>
      </c>
      <c r="P2669" s="3" t="s">
        <v>26</v>
      </c>
    </row>
    <row r="2670" spans="1:16" x14ac:dyDescent="0.35">
      <c r="A2670" s="3" t="s">
        <v>4053</v>
      </c>
      <c r="B2670" s="3" t="s">
        <v>435</v>
      </c>
      <c r="C2670" s="3" t="s">
        <v>18</v>
      </c>
      <c r="D2670" s="3" t="s">
        <v>19</v>
      </c>
      <c r="E2670" s="3" t="s">
        <v>20</v>
      </c>
      <c r="F2670" s="3" t="s">
        <v>21</v>
      </c>
      <c r="G2670" s="3" t="s">
        <v>22</v>
      </c>
      <c r="H2670" s="3" t="s">
        <v>93</v>
      </c>
      <c r="I2670" s="3" t="s">
        <v>1948</v>
      </c>
      <c r="J2670" s="3" t="s">
        <v>188</v>
      </c>
      <c r="K2670" s="3">
        <v>5</v>
      </c>
      <c r="L2670" s="3">
        <v>6972.33</v>
      </c>
      <c r="M2670" s="3">
        <v>34861.65</v>
      </c>
      <c r="N2670" s="3">
        <v>24784.39</v>
      </c>
      <c r="O2670" s="3">
        <v>10077.26</v>
      </c>
      <c r="P2670" s="3" t="s">
        <v>34</v>
      </c>
    </row>
    <row r="2671" spans="1:16" x14ac:dyDescent="0.35">
      <c r="A2671" s="3" t="s">
        <v>4054</v>
      </c>
      <c r="B2671" s="3" t="s">
        <v>2688</v>
      </c>
      <c r="C2671" s="3" t="s">
        <v>48</v>
      </c>
      <c r="D2671" s="3" t="s">
        <v>19</v>
      </c>
      <c r="E2671" s="3" t="s">
        <v>20</v>
      </c>
      <c r="F2671" s="3" t="s">
        <v>21</v>
      </c>
      <c r="G2671" s="3" t="s">
        <v>41</v>
      </c>
      <c r="H2671" s="3" t="s">
        <v>138</v>
      </c>
      <c r="I2671" s="3" t="s">
        <v>2567</v>
      </c>
      <c r="J2671" s="3" t="s">
        <v>54</v>
      </c>
      <c r="K2671" s="3">
        <v>5</v>
      </c>
      <c r="L2671" s="3">
        <v>19241.580000000002</v>
      </c>
      <c r="M2671" s="3">
        <v>96207.9</v>
      </c>
      <c r="N2671" s="3">
        <v>71822.44</v>
      </c>
      <c r="O2671" s="3">
        <v>24385.46</v>
      </c>
      <c r="P2671" s="3" t="s">
        <v>86</v>
      </c>
    </row>
    <row r="2672" spans="1:16" x14ac:dyDescent="0.35">
      <c r="A2672" s="3" t="s">
        <v>4055</v>
      </c>
      <c r="B2672" s="3" t="s">
        <v>1898</v>
      </c>
      <c r="C2672" s="3" t="s">
        <v>29</v>
      </c>
      <c r="D2672" s="3" t="s">
        <v>38</v>
      </c>
      <c r="E2672" s="3" t="s">
        <v>104</v>
      </c>
      <c r="F2672" s="3" t="s">
        <v>104</v>
      </c>
      <c r="G2672" s="3" t="s">
        <v>41</v>
      </c>
      <c r="H2672" s="3" t="s">
        <v>42</v>
      </c>
      <c r="I2672" s="3" t="s">
        <v>625</v>
      </c>
      <c r="J2672" s="3" t="s">
        <v>33</v>
      </c>
      <c r="K2672" s="3">
        <v>1</v>
      </c>
      <c r="L2672" s="3">
        <v>48212.32</v>
      </c>
      <c r="M2672" s="3">
        <v>48212.32</v>
      </c>
      <c r="N2672" s="3">
        <v>34189.1</v>
      </c>
      <c r="O2672" s="3">
        <v>14023.22</v>
      </c>
      <c r="P2672" s="3" t="s">
        <v>34</v>
      </c>
    </row>
    <row r="2673" spans="1:16" x14ac:dyDescent="0.35">
      <c r="A2673" s="3" t="s">
        <v>4056</v>
      </c>
      <c r="B2673" s="3" t="s">
        <v>798</v>
      </c>
      <c r="C2673" s="3" t="s">
        <v>18</v>
      </c>
      <c r="D2673" s="3" t="s">
        <v>58</v>
      </c>
      <c r="E2673" s="3" t="s">
        <v>65</v>
      </c>
      <c r="F2673" s="3" t="s">
        <v>66</v>
      </c>
      <c r="G2673" s="3" t="s">
        <v>30</v>
      </c>
      <c r="H2673" s="3" t="s">
        <v>73</v>
      </c>
      <c r="I2673" s="3" t="s">
        <v>201</v>
      </c>
      <c r="J2673" s="3" t="s">
        <v>33</v>
      </c>
      <c r="K2673" s="3">
        <v>7</v>
      </c>
      <c r="L2673" s="3">
        <v>3475.93</v>
      </c>
      <c r="M2673" s="3">
        <v>24331.51</v>
      </c>
      <c r="N2673" s="3">
        <v>16821.55</v>
      </c>
      <c r="O2673" s="3">
        <v>7509.96</v>
      </c>
      <c r="P2673" s="3" t="s">
        <v>34</v>
      </c>
    </row>
    <row r="2674" spans="1:16" x14ac:dyDescent="0.35">
      <c r="A2674" s="3" t="s">
        <v>4057</v>
      </c>
      <c r="B2674" s="3" t="s">
        <v>604</v>
      </c>
      <c r="C2674" s="3" t="s">
        <v>118</v>
      </c>
      <c r="D2674" s="3" t="s">
        <v>19</v>
      </c>
      <c r="E2674" s="3" t="s">
        <v>20</v>
      </c>
      <c r="F2674" s="3" t="s">
        <v>21</v>
      </c>
      <c r="G2674" s="3" t="s">
        <v>51</v>
      </c>
      <c r="H2674" s="3" t="s">
        <v>77</v>
      </c>
      <c r="I2674" s="3" t="s">
        <v>4058</v>
      </c>
      <c r="J2674" s="3" t="s">
        <v>154</v>
      </c>
      <c r="K2674" s="3">
        <v>2</v>
      </c>
      <c r="L2674" s="3">
        <v>11595.58</v>
      </c>
      <c r="M2674" s="3">
        <v>23191.16</v>
      </c>
      <c r="N2674" s="3">
        <v>17207.89</v>
      </c>
      <c r="O2674" s="3">
        <v>5983.27</v>
      </c>
      <c r="P2674" s="3" t="s">
        <v>86</v>
      </c>
    </row>
    <row r="2675" spans="1:16" x14ac:dyDescent="0.35">
      <c r="A2675" s="3" t="s">
        <v>4059</v>
      </c>
      <c r="B2675" s="3" t="s">
        <v>392</v>
      </c>
      <c r="C2675" s="3" t="s">
        <v>103</v>
      </c>
      <c r="D2675" s="3" t="s">
        <v>19</v>
      </c>
      <c r="E2675" s="3" t="s">
        <v>199</v>
      </c>
      <c r="F2675" s="3" t="s">
        <v>200</v>
      </c>
      <c r="G2675" s="3" t="s">
        <v>41</v>
      </c>
      <c r="H2675" s="3" t="s">
        <v>138</v>
      </c>
      <c r="I2675" s="3" t="s">
        <v>1200</v>
      </c>
      <c r="J2675" s="3" t="s">
        <v>85</v>
      </c>
      <c r="K2675" s="3">
        <v>8</v>
      </c>
      <c r="L2675" s="3">
        <v>17244.310000000001</v>
      </c>
      <c r="M2675" s="3">
        <v>137954.48000000001</v>
      </c>
      <c r="N2675" s="3">
        <v>108128.23</v>
      </c>
      <c r="O2675" s="3">
        <v>29826.25</v>
      </c>
      <c r="P2675" s="3" t="s">
        <v>26</v>
      </c>
    </row>
    <row r="2676" spans="1:16" x14ac:dyDescent="0.35">
      <c r="A2676" s="3" t="s">
        <v>4060</v>
      </c>
      <c r="B2676" s="3" t="s">
        <v>960</v>
      </c>
      <c r="C2676" s="3" t="s">
        <v>114</v>
      </c>
      <c r="D2676" s="3" t="s">
        <v>90</v>
      </c>
      <c r="E2676" s="3" t="s">
        <v>91</v>
      </c>
      <c r="F2676" s="3" t="s">
        <v>92</v>
      </c>
      <c r="G2676" s="3" t="s">
        <v>30</v>
      </c>
      <c r="H2676" s="3" t="s">
        <v>31</v>
      </c>
      <c r="I2676" s="3" t="s">
        <v>178</v>
      </c>
      <c r="J2676" s="3" t="s">
        <v>161</v>
      </c>
      <c r="K2676" s="3">
        <v>3</v>
      </c>
      <c r="L2676" s="3">
        <v>2890.08</v>
      </c>
      <c r="M2676" s="3">
        <v>8670.24</v>
      </c>
      <c r="N2676" s="3">
        <v>5496.47</v>
      </c>
      <c r="O2676" s="3">
        <v>3173.77</v>
      </c>
      <c r="P2676" s="3" t="s">
        <v>86</v>
      </c>
    </row>
    <row r="2677" spans="1:16" x14ac:dyDescent="0.35">
      <c r="A2677" s="3" t="s">
        <v>4061</v>
      </c>
      <c r="B2677" s="3" t="s">
        <v>1667</v>
      </c>
      <c r="C2677" s="3" t="s">
        <v>48</v>
      </c>
      <c r="D2677" s="3" t="s">
        <v>38</v>
      </c>
      <c r="E2677" s="3" t="s">
        <v>109</v>
      </c>
      <c r="F2677" s="3" t="s">
        <v>110</v>
      </c>
      <c r="G2677" s="3" t="s">
        <v>41</v>
      </c>
      <c r="H2677" s="3" t="s">
        <v>61</v>
      </c>
      <c r="I2677" s="3" t="s">
        <v>625</v>
      </c>
      <c r="J2677" s="3" t="s">
        <v>25</v>
      </c>
      <c r="K2677" s="3">
        <v>2</v>
      </c>
      <c r="L2677" s="3">
        <v>2720.9</v>
      </c>
      <c r="M2677" s="3">
        <v>5441.8</v>
      </c>
      <c r="N2677" s="3">
        <v>3251.29</v>
      </c>
      <c r="O2677" s="3">
        <v>2190.5100000000002</v>
      </c>
      <c r="P2677" s="3" t="s">
        <v>45</v>
      </c>
    </row>
    <row r="2678" spans="1:16" x14ac:dyDescent="0.35">
      <c r="A2678" s="3" t="s">
        <v>4062</v>
      </c>
      <c r="B2678" s="3" t="s">
        <v>166</v>
      </c>
      <c r="C2678" s="3" t="s">
        <v>37</v>
      </c>
      <c r="D2678" s="3" t="s">
        <v>90</v>
      </c>
      <c r="E2678" s="3" t="s">
        <v>119</v>
      </c>
      <c r="F2678" s="3" t="s">
        <v>120</v>
      </c>
      <c r="G2678" s="3" t="s">
        <v>41</v>
      </c>
      <c r="H2678" s="3" t="s">
        <v>42</v>
      </c>
      <c r="I2678" s="3" t="s">
        <v>3660</v>
      </c>
      <c r="J2678" s="3" t="s">
        <v>147</v>
      </c>
      <c r="K2678" s="3">
        <v>1</v>
      </c>
      <c r="L2678" s="3">
        <v>43537.7</v>
      </c>
      <c r="M2678" s="3">
        <v>43537.7</v>
      </c>
      <c r="N2678" s="3">
        <v>33968.300000000003</v>
      </c>
      <c r="O2678" s="3">
        <v>9569.4</v>
      </c>
      <c r="P2678" s="3" t="s">
        <v>69</v>
      </c>
    </row>
    <row r="2679" spans="1:16" x14ac:dyDescent="0.35">
      <c r="A2679" s="3" t="s">
        <v>4063</v>
      </c>
      <c r="B2679" s="3" t="s">
        <v>136</v>
      </c>
      <c r="C2679" s="3" t="s">
        <v>137</v>
      </c>
      <c r="D2679" s="3" t="s">
        <v>19</v>
      </c>
      <c r="E2679" s="3" t="s">
        <v>49</v>
      </c>
      <c r="F2679" s="3" t="s">
        <v>50</v>
      </c>
      <c r="G2679" s="3" t="s">
        <v>22</v>
      </c>
      <c r="H2679" s="3" t="s">
        <v>93</v>
      </c>
      <c r="I2679" s="3" t="s">
        <v>2591</v>
      </c>
      <c r="J2679" s="3" t="s">
        <v>85</v>
      </c>
      <c r="K2679" s="3">
        <v>5</v>
      </c>
      <c r="L2679" s="3">
        <v>6679.53</v>
      </c>
      <c r="M2679" s="3">
        <v>33397.65</v>
      </c>
      <c r="N2679" s="3">
        <v>24331.5</v>
      </c>
      <c r="O2679" s="3">
        <v>9066.15</v>
      </c>
      <c r="P2679" s="3" t="s">
        <v>26</v>
      </c>
    </row>
    <row r="2680" spans="1:16" x14ac:dyDescent="0.35">
      <c r="A2680" s="3" t="s">
        <v>4064</v>
      </c>
      <c r="B2680" s="3" t="s">
        <v>376</v>
      </c>
      <c r="C2680" s="3" t="s">
        <v>37</v>
      </c>
      <c r="D2680" s="3" t="s">
        <v>90</v>
      </c>
      <c r="E2680" s="3" t="s">
        <v>97</v>
      </c>
      <c r="F2680" s="3" t="s">
        <v>98</v>
      </c>
      <c r="G2680" s="3" t="s">
        <v>41</v>
      </c>
      <c r="H2680" s="3" t="s">
        <v>138</v>
      </c>
      <c r="I2680" s="3" t="s">
        <v>1500</v>
      </c>
      <c r="J2680" s="3" t="s">
        <v>171</v>
      </c>
      <c r="K2680" s="3">
        <v>1</v>
      </c>
      <c r="L2680" s="3">
        <v>18595.21</v>
      </c>
      <c r="M2680" s="3">
        <v>18595.21</v>
      </c>
      <c r="N2680" s="3">
        <v>14389.08</v>
      </c>
      <c r="O2680" s="3">
        <v>4206.13</v>
      </c>
      <c r="P2680" s="3" t="s">
        <v>34</v>
      </c>
    </row>
    <row r="2681" spans="1:16" x14ac:dyDescent="0.35">
      <c r="A2681" s="3" t="s">
        <v>4065</v>
      </c>
      <c r="B2681" s="3" t="s">
        <v>349</v>
      </c>
      <c r="C2681" s="3" t="s">
        <v>72</v>
      </c>
      <c r="D2681" s="3" t="s">
        <v>19</v>
      </c>
      <c r="E2681" s="3" t="s">
        <v>49</v>
      </c>
      <c r="F2681" s="3" t="s">
        <v>50</v>
      </c>
      <c r="G2681" s="3" t="s">
        <v>51</v>
      </c>
      <c r="H2681" s="3" t="s">
        <v>145</v>
      </c>
      <c r="I2681" s="3" t="s">
        <v>2901</v>
      </c>
      <c r="J2681" s="3" t="s">
        <v>33</v>
      </c>
      <c r="K2681" s="3">
        <v>8</v>
      </c>
      <c r="L2681" s="3">
        <v>113.68</v>
      </c>
      <c r="M2681" s="3">
        <v>909.44</v>
      </c>
      <c r="N2681" s="3">
        <v>475.25</v>
      </c>
      <c r="O2681" s="3">
        <v>434.19</v>
      </c>
      <c r="P2681" s="3" t="s">
        <v>69</v>
      </c>
    </row>
    <row r="2682" spans="1:16" x14ac:dyDescent="0.35">
      <c r="A2682" s="3" t="s">
        <v>4066</v>
      </c>
      <c r="B2682" s="3" t="s">
        <v>941</v>
      </c>
      <c r="C2682" s="3" t="s">
        <v>118</v>
      </c>
      <c r="D2682" s="3" t="s">
        <v>19</v>
      </c>
      <c r="E2682" s="3" t="s">
        <v>199</v>
      </c>
      <c r="F2682" s="3" t="s">
        <v>200</v>
      </c>
      <c r="G2682" s="3" t="s">
        <v>22</v>
      </c>
      <c r="H2682" s="3" t="s">
        <v>23</v>
      </c>
      <c r="I2682" s="3" t="s">
        <v>2804</v>
      </c>
      <c r="J2682" s="3" t="s">
        <v>188</v>
      </c>
      <c r="K2682" s="3">
        <v>6</v>
      </c>
      <c r="L2682" s="3">
        <v>3778.77</v>
      </c>
      <c r="M2682" s="3">
        <v>22672.62</v>
      </c>
      <c r="N2682" s="3">
        <v>13560.01</v>
      </c>
      <c r="O2682" s="3">
        <v>9112.61</v>
      </c>
      <c r="P2682" s="3" t="s">
        <v>86</v>
      </c>
    </row>
    <row r="2683" spans="1:16" x14ac:dyDescent="0.35">
      <c r="A2683" s="3" t="s">
        <v>4067</v>
      </c>
      <c r="B2683" s="3" t="s">
        <v>1062</v>
      </c>
      <c r="C2683" s="3" t="s">
        <v>89</v>
      </c>
      <c r="D2683" s="3" t="s">
        <v>58</v>
      </c>
      <c r="E2683" s="3" t="s">
        <v>65</v>
      </c>
      <c r="F2683" s="3" t="s">
        <v>66</v>
      </c>
      <c r="G2683" s="3" t="s">
        <v>41</v>
      </c>
      <c r="H2683" s="3" t="s">
        <v>138</v>
      </c>
      <c r="I2683" s="3" t="s">
        <v>862</v>
      </c>
      <c r="J2683" s="3" t="s">
        <v>188</v>
      </c>
      <c r="K2683" s="3">
        <v>7</v>
      </c>
      <c r="L2683" s="3">
        <v>17375.77</v>
      </c>
      <c r="M2683" s="3">
        <v>121630.39</v>
      </c>
      <c r="N2683" s="3">
        <v>93257.64</v>
      </c>
      <c r="O2683" s="3">
        <v>28372.75</v>
      </c>
      <c r="P2683" s="3" t="s">
        <v>69</v>
      </c>
    </row>
    <row r="2684" spans="1:16" x14ac:dyDescent="0.35">
      <c r="A2684" s="3" t="s">
        <v>4068</v>
      </c>
      <c r="B2684" s="3" t="s">
        <v>656</v>
      </c>
      <c r="C2684" s="3" t="s">
        <v>89</v>
      </c>
      <c r="D2684" s="3" t="s">
        <v>19</v>
      </c>
      <c r="E2684" s="3" t="s">
        <v>20</v>
      </c>
      <c r="F2684" s="3" t="s">
        <v>21</v>
      </c>
      <c r="G2684" s="3" t="s">
        <v>22</v>
      </c>
      <c r="H2684" s="3" t="s">
        <v>93</v>
      </c>
      <c r="I2684" s="3" t="s">
        <v>2415</v>
      </c>
      <c r="J2684" s="3" t="s">
        <v>188</v>
      </c>
      <c r="K2684" s="3">
        <v>2</v>
      </c>
      <c r="L2684" s="3">
        <v>7419.99</v>
      </c>
      <c r="M2684" s="3">
        <v>14839.98</v>
      </c>
      <c r="N2684" s="3">
        <v>9670.7999999999993</v>
      </c>
      <c r="O2684" s="3">
        <v>5169.18</v>
      </c>
      <c r="P2684" s="3" t="s">
        <v>26</v>
      </c>
    </row>
    <row r="2685" spans="1:16" x14ac:dyDescent="0.35">
      <c r="A2685" s="3" t="s">
        <v>4069</v>
      </c>
      <c r="B2685" s="3" t="s">
        <v>2280</v>
      </c>
      <c r="C2685" s="3" t="s">
        <v>89</v>
      </c>
      <c r="D2685" s="3" t="s">
        <v>58</v>
      </c>
      <c r="E2685" s="3" t="s">
        <v>65</v>
      </c>
      <c r="F2685" s="3" t="s">
        <v>66</v>
      </c>
      <c r="G2685" s="3" t="s">
        <v>22</v>
      </c>
      <c r="H2685" s="3" t="s">
        <v>93</v>
      </c>
      <c r="I2685" s="3" t="s">
        <v>2315</v>
      </c>
      <c r="J2685" s="3" t="s">
        <v>85</v>
      </c>
      <c r="K2685" s="3">
        <v>5</v>
      </c>
      <c r="L2685" s="3">
        <v>7336.59</v>
      </c>
      <c r="M2685" s="3">
        <v>36682.949999999997</v>
      </c>
      <c r="N2685" s="3">
        <v>25842.240000000002</v>
      </c>
      <c r="O2685" s="3">
        <v>10840.71</v>
      </c>
      <c r="P2685" s="3" t="s">
        <v>45</v>
      </c>
    </row>
    <row r="2686" spans="1:16" x14ac:dyDescent="0.35">
      <c r="A2686" s="3" t="s">
        <v>4070</v>
      </c>
      <c r="B2686" s="3" t="s">
        <v>2580</v>
      </c>
      <c r="C2686" s="3" t="s">
        <v>37</v>
      </c>
      <c r="D2686" s="3" t="s">
        <v>19</v>
      </c>
      <c r="E2686" s="3" t="s">
        <v>20</v>
      </c>
      <c r="F2686" s="3" t="s">
        <v>21</v>
      </c>
      <c r="G2686" s="3" t="s">
        <v>22</v>
      </c>
      <c r="H2686" s="3" t="s">
        <v>23</v>
      </c>
      <c r="I2686" s="3" t="s">
        <v>4071</v>
      </c>
      <c r="J2686" s="3" t="s">
        <v>100</v>
      </c>
      <c r="K2686" s="3">
        <v>7</v>
      </c>
      <c r="L2686" s="3">
        <v>3842.23</v>
      </c>
      <c r="M2686" s="3">
        <v>26895.61</v>
      </c>
      <c r="N2686" s="3">
        <v>15455.24</v>
      </c>
      <c r="O2686" s="3">
        <v>11440.37</v>
      </c>
      <c r="P2686" s="3" t="s">
        <v>45</v>
      </c>
    </row>
    <row r="2687" spans="1:16" x14ac:dyDescent="0.35">
      <c r="A2687" s="3" t="s">
        <v>4072</v>
      </c>
      <c r="B2687" s="3" t="s">
        <v>254</v>
      </c>
      <c r="C2687" s="3" t="s">
        <v>82</v>
      </c>
      <c r="D2687" s="3" t="s">
        <v>38</v>
      </c>
      <c r="E2687" s="3" t="s">
        <v>39</v>
      </c>
      <c r="F2687" s="3" t="s">
        <v>40</v>
      </c>
      <c r="G2687" s="3" t="s">
        <v>30</v>
      </c>
      <c r="H2687" s="3" t="s">
        <v>67</v>
      </c>
      <c r="I2687" s="3" t="s">
        <v>146</v>
      </c>
      <c r="J2687" s="3" t="s">
        <v>33</v>
      </c>
      <c r="K2687" s="3">
        <v>6</v>
      </c>
      <c r="L2687" s="3">
        <v>9391.0400000000009</v>
      </c>
      <c r="M2687" s="3">
        <v>56346.239999999998</v>
      </c>
      <c r="N2687" s="3">
        <v>43667.25</v>
      </c>
      <c r="O2687" s="3">
        <v>12678.99</v>
      </c>
      <c r="P2687" s="3" t="s">
        <v>26</v>
      </c>
    </row>
    <row r="2688" spans="1:16" x14ac:dyDescent="0.35">
      <c r="A2688" s="3" t="s">
        <v>4073</v>
      </c>
      <c r="B2688" s="3" t="s">
        <v>893</v>
      </c>
      <c r="C2688" s="3" t="s">
        <v>89</v>
      </c>
      <c r="D2688" s="3" t="s">
        <v>90</v>
      </c>
      <c r="E2688" s="3" t="s">
        <v>119</v>
      </c>
      <c r="F2688" s="3" t="s">
        <v>120</v>
      </c>
      <c r="G2688" s="3" t="s">
        <v>22</v>
      </c>
      <c r="H2688" s="3" t="s">
        <v>23</v>
      </c>
      <c r="I2688" s="3" t="s">
        <v>1345</v>
      </c>
      <c r="J2688" s="3" t="s">
        <v>106</v>
      </c>
      <c r="K2688" s="3">
        <v>7</v>
      </c>
      <c r="L2688" s="3">
        <v>3593.64</v>
      </c>
      <c r="M2688" s="3">
        <v>25155.48</v>
      </c>
      <c r="N2688" s="3">
        <v>15333.35</v>
      </c>
      <c r="O2688" s="3">
        <v>9822.1299999999992</v>
      </c>
      <c r="P2688" s="3" t="s">
        <v>86</v>
      </c>
    </row>
    <row r="2689" spans="1:16" x14ac:dyDescent="0.35">
      <c r="A2689" s="3" t="s">
        <v>4074</v>
      </c>
      <c r="B2689" s="3" t="s">
        <v>1053</v>
      </c>
      <c r="C2689" s="3" t="s">
        <v>82</v>
      </c>
      <c r="D2689" s="3" t="s">
        <v>58</v>
      </c>
      <c r="E2689" s="3" t="s">
        <v>59</v>
      </c>
      <c r="F2689" s="3" t="s">
        <v>60</v>
      </c>
      <c r="G2689" s="3" t="s">
        <v>41</v>
      </c>
      <c r="H2689" s="3" t="s">
        <v>61</v>
      </c>
      <c r="I2689" s="3" t="s">
        <v>1868</v>
      </c>
      <c r="J2689" s="3" t="s">
        <v>217</v>
      </c>
      <c r="K2689" s="3">
        <v>6</v>
      </c>
      <c r="L2689" s="3">
        <v>2567.48</v>
      </c>
      <c r="M2689" s="3">
        <v>15404.88</v>
      </c>
      <c r="N2689" s="3">
        <v>9606.3799999999992</v>
      </c>
      <c r="O2689" s="3">
        <v>5798.5</v>
      </c>
      <c r="P2689" s="3" t="s">
        <v>45</v>
      </c>
    </row>
    <row r="2690" spans="1:16" x14ac:dyDescent="0.35">
      <c r="A2690" s="3" t="s">
        <v>4075</v>
      </c>
      <c r="B2690" s="3" t="s">
        <v>1872</v>
      </c>
      <c r="C2690" s="3" t="s">
        <v>82</v>
      </c>
      <c r="D2690" s="3" t="s">
        <v>58</v>
      </c>
      <c r="E2690" s="3" t="s">
        <v>176</v>
      </c>
      <c r="F2690" s="3" t="s">
        <v>177</v>
      </c>
      <c r="G2690" s="3" t="s">
        <v>22</v>
      </c>
      <c r="H2690" s="3" t="s">
        <v>93</v>
      </c>
      <c r="I2690" s="3" t="s">
        <v>3374</v>
      </c>
      <c r="J2690" s="3" t="s">
        <v>147</v>
      </c>
      <c r="K2690" s="3">
        <v>5</v>
      </c>
      <c r="L2690" s="3">
        <v>6691.2</v>
      </c>
      <c r="M2690" s="3">
        <v>33456</v>
      </c>
      <c r="N2690" s="3">
        <v>24779.23</v>
      </c>
      <c r="O2690" s="3">
        <v>8676.77</v>
      </c>
      <c r="P2690" s="3" t="s">
        <v>45</v>
      </c>
    </row>
    <row r="2691" spans="1:16" x14ac:dyDescent="0.35">
      <c r="A2691" s="3" t="s">
        <v>4076</v>
      </c>
      <c r="B2691" s="3" t="s">
        <v>307</v>
      </c>
      <c r="C2691" s="3" t="s">
        <v>103</v>
      </c>
      <c r="D2691" s="3" t="s">
        <v>19</v>
      </c>
      <c r="E2691" s="3" t="s">
        <v>20</v>
      </c>
      <c r="F2691" s="3" t="s">
        <v>21</v>
      </c>
      <c r="G2691" s="3" t="s">
        <v>22</v>
      </c>
      <c r="H2691" s="3" t="s">
        <v>83</v>
      </c>
      <c r="I2691" s="3" t="s">
        <v>2198</v>
      </c>
      <c r="J2691" s="3" t="s">
        <v>217</v>
      </c>
      <c r="K2691" s="3">
        <v>2</v>
      </c>
      <c r="L2691" s="3">
        <v>21157.71</v>
      </c>
      <c r="M2691" s="3">
        <v>42315.42</v>
      </c>
      <c r="N2691" s="3">
        <v>35408.93</v>
      </c>
      <c r="O2691" s="3">
        <v>6906.49</v>
      </c>
      <c r="P2691" s="3" t="s">
        <v>45</v>
      </c>
    </row>
    <row r="2692" spans="1:16" x14ac:dyDescent="0.35">
      <c r="A2692" s="3" t="s">
        <v>4077</v>
      </c>
      <c r="B2692" s="3" t="s">
        <v>1502</v>
      </c>
      <c r="C2692" s="3" t="s">
        <v>57</v>
      </c>
      <c r="D2692" s="3" t="s">
        <v>38</v>
      </c>
      <c r="E2692" s="3" t="s">
        <v>109</v>
      </c>
      <c r="F2692" s="3" t="s">
        <v>110</v>
      </c>
      <c r="G2692" s="3" t="s">
        <v>22</v>
      </c>
      <c r="H2692" s="3" t="s">
        <v>83</v>
      </c>
      <c r="I2692" s="3" t="s">
        <v>2990</v>
      </c>
      <c r="J2692" s="3" t="s">
        <v>100</v>
      </c>
      <c r="K2692" s="3">
        <v>6</v>
      </c>
      <c r="L2692" s="3">
        <v>20910.05</v>
      </c>
      <c r="M2692" s="3">
        <v>125460.3</v>
      </c>
      <c r="N2692" s="3">
        <v>97864.44</v>
      </c>
      <c r="O2692" s="3">
        <v>27595.86</v>
      </c>
      <c r="P2692" s="3" t="s">
        <v>26</v>
      </c>
    </row>
    <row r="2693" spans="1:16" x14ac:dyDescent="0.35">
      <c r="A2693" s="3" t="s">
        <v>4078</v>
      </c>
      <c r="B2693" s="3" t="s">
        <v>656</v>
      </c>
      <c r="C2693" s="3" t="s">
        <v>89</v>
      </c>
      <c r="D2693" s="3" t="s">
        <v>38</v>
      </c>
      <c r="E2693" s="3" t="s">
        <v>104</v>
      </c>
      <c r="F2693" s="3" t="s">
        <v>104</v>
      </c>
      <c r="G2693" s="3" t="s">
        <v>51</v>
      </c>
      <c r="H2693" s="3" t="s">
        <v>52</v>
      </c>
      <c r="I2693" s="3" t="s">
        <v>3489</v>
      </c>
      <c r="J2693" s="3" t="s">
        <v>85</v>
      </c>
      <c r="K2693" s="3">
        <v>4</v>
      </c>
      <c r="L2693" s="3">
        <v>22.71</v>
      </c>
      <c r="M2693" s="3">
        <v>90.84</v>
      </c>
      <c r="N2693" s="3">
        <v>40.869999999999997</v>
      </c>
      <c r="O2693" s="3">
        <v>49.97</v>
      </c>
      <c r="P2693" s="3" t="s">
        <v>45</v>
      </c>
    </row>
    <row r="2694" spans="1:16" x14ac:dyDescent="0.35">
      <c r="A2694" s="3" t="s">
        <v>4079</v>
      </c>
      <c r="B2694" s="3" t="s">
        <v>1898</v>
      </c>
      <c r="C2694" s="3" t="s">
        <v>29</v>
      </c>
      <c r="D2694" s="3" t="s">
        <v>58</v>
      </c>
      <c r="E2694" s="3" t="s">
        <v>65</v>
      </c>
      <c r="F2694" s="3" t="s">
        <v>66</v>
      </c>
      <c r="G2694" s="3" t="s">
        <v>51</v>
      </c>
      <c r="H2694" s="3" t="s">
        <v>77</v>
      </c>
      <c r="I2694" s="3" t="s">
        <v>1778</v>
      </c>
      <c r="J2694" s="3" t="s">
        <v>106</v>
      </c>
      <c r="K2694" s="3">
        <v>6</v>
      </c>
      <c r="L2694" s="3">
        <v>12344.33</v>
      </c>
      <c r="M2694" s="3">
        <v>74065.98</v>
      </c>
      <c r="N2694" s="3">
        <v>55729.599999999999</v>
      </c>
      <c r="O2694" s="3">
        <v>18336.38</v>
      </c>
      <c r="P2694" s="3" t="s">
        <v>45</v>
      </c>
    </row>
    <row r="2695" spans="1:16" x14ac:dyDescent="0.35">
      <c r="A2695" s="3" t="s">
        <v>4080</v>
      </c>
      <c r="B2695" s="3" t="s">
        <v>1205</v>
      </c>
      <c r="C2695" s="3" t="s">
        <v>114</v>
      </c>
      <c r="D2695" s="3" t="s">
        <v>90</v>
      </c>
      <c r="E2695" s="3" t="s">
        <v>91</v>
      </c>
      <c r="F2695" s="3" t="s">
        <v>92</v>
      </c>
      <c r="G2695" s="3" t="s">
        <v>51</v>
      </c>
      <c r="H2695" s="3" t="s">
        <v>145</v>
      </c>
      <c r="I2695" s="3" t="s">
        <v>595</v>
      </c>
      <c r="J2695" s="3" t="s">
        <v>100</v>
      </c>
      <c r="K2695" s="3">
        <v>4</v>
      </c>
      <c r="L2695" s="3">
        <v>110.55</v>
      </c>
      <c r="M2695" s="3">
        <v>442.2</v>
      </c>
      <c r="N2695" s="3">
        <v>240.36</v>
      </c>
      <c r="O2695" s="3">
        <v>201.84</v>
      </c>
      <c r="P2695" s="3" t="s">
        <v>26</v>
      </c>
    </row>
    <row r="2696" spans="1:16" x14ac:dyDescent="0.35">
      <c r="A2696" s="3" t="s">
        <v>4081</v>
      </c>
      <c r="B2696" s="3" t="s">
        <v>156</v>
      </c>
      <c r="C2696" s="3" t="s">
        <v>103</v>
      </c>
      <c r="D2696" s="3" t="s">
        <v>58</v>
      </c>
      <c r="E2696" s="3" t="s">
        <v>65</v>
      </c>
      <c r="F2696" s="3" t="s">
        <v>66</v>
      </c>
      <c r="G2696" s="3" t="s">
        <v>41</v>
      </c>
      <c r="H2696" s="3" t="s">
        <v>138</v>
      </c>
      <c r="I2696" s="3" t="s">
        <v>937</v>
      </c>
      <c r="J2696" s="3" t="s">
        <v>188</v>
      </c>
      <c r="K2696" s="3">
        <v>1</v>
      </c>
      <c r="L2696" s="3">
        <v>16681.93</v>
      </c>
      <c r="M2696" s="3">
        <v>16681.93</v>
      </c>
      <c r="N2696" s="3">
        <v>13588.53</v>
      </c>
      <c r="O2696" s="3">
        <v>3093.4</v>
      </c>
      <c r="P2696" s="3" t="s">
        <v>69</v>
      </c>
    </row>
    <row r="2697" spans="1:16" x14ac:dyDescent="0.35">
      <c r="A2697" s="3" t="s">
        <v>4082</v>
      </c>
      <c r="B2697" s="3" t="s">
        <v>186</v>
      </c>
      <c r="C2697" s="3" t="s">
        <v>89</v>
      </c>
      <c r="D2697" s="3" t="s">
        <v>90</v>
      </c>
      <c r="E2697" s="3" t="s">
        <v>97</v>
      </c>
      <c r="F2697" s="3" t="s">
        <v>98</v>
      </c>
      <c r="G2697" s="3" t="s">
        <v>41</v>
      </c>
      <c r="H2697" s="3" t="s">
        <v>61</v>
      </c>
      <c r="I2697" s="3" t="s">
        <v>4083</v>
      </c>
      <c r="J2697" s="3" t="s">
        <v>131</v>
      </c>
      <c r="K2697" s="3">
        <v>6</v>
      </c>
      <c r="L2697" s="3">
        <v>2526.12</v>
      </c>
      <c r="M2697" s="3">
        <v>15156.72</v>
      </c>
      <c r="N2697" s="3">
        <v>9967.69</v>
      </c>
      <c r="O2697" s="3">
        <v>5189.03</v>
      </c>
      <c r="P2697" s="3" t="s">
        <v>69</v>
      </c>
    </row>
    <row r="2698" spans="1:16" x14ac:dyDescent="0.35">
      <c r="A2698" s="3" t="s">
        <v>4084</v>
      </c>
      <c r="B2698" s="3" t="s">
        <v>518</v>
      </c>
      <c r="C2698" s="3" t="s">
        <v>89</v>
      </c>
      <c r="D2698" s="3" t="s">
        <v>58</v>
      </c>
      <c r="E2698" s="3" t="s">
        <v>65</v>
      </c>
      <c r="F2698" s="3" t="s">
        <v>66</v>
      </c>
      <c r="G2698" s="3" t="s">
        <v>41</v>
      </c>
      <c r="H2698" s="3" t="s">
        <v>138</v>
      </c>
      <c r="I2698" s="3" t="s">
        <v>2415</v>
      </c>
      <c r="J2698" s="3" t="s">
        <v>44</v>
      </c>
      <c r="K2698" s="3">
        <v>1</v>
      </c>
      <c r="L2698" s="3">
        <v>16699.29</v>
      </c>
      <c r="M2698" s="3">
        <v>16699.29</v>
      </c>
      <c r="N2698" s="3">
        <v>14185.32</v>
      </c>
      <c r="O2698" s="3">
        <v>2513.9699999999998</v>
      </c>
      <c r="P2698" s="3" t="s">
        <v>86</v>
      </c>
    </row>
    <row r="2699" spans="1:16" x14ac:dyDescent="0.35">
      <c r="A2699" s="3" t="s">
        <v>4085</v>
      </c>
      <c r="B2699" s="3" t="s">
        <v>834</v>
      </c>
      <c r="C2699" s="3" t="s">
        <v>114</v>
      </c>
      <c r="D2699" s="3" t="s">
        <v>90</v>
      </c>
      <c r="E2699" s="3" t="s">
        <v>119</v>
      </c>
      <c r="F2699" s="3" t="s">
        <v>120</v>
      </c>
      <c r="G2699" s="3" t="s">
        <v>41</v>
      </c>
      <c r="H2699" s="3" t="s">
        <v>138</v>
      </c>
      <c r="I2699" s="3" t="s">
        <v>1718</v>
      </c>
      <c r="J2699" s="3" t="s">
        <v>217</v>
      </c>
      <c r="K2699" s="3">
        <v>5</v>
      </c>
      <c r="L2699" s="3">
        <v>19313.05</v>
      </c>
      <c r="M2699" s="3">
        <v>96565.25</v>
      </c>
      <c r="N2699" s="3">
        <v>66621.8</v>
      </c>
      <c r="O2699" s="3">
        <v>29943.45</v>
      </c>
      <c r="P2699" s="3" t="s">
        <v>45</v>
      </c>
    </row>
    <row r="2700" spans="1:16" x14ac:dyDescent="0.35">
      <c r="A2700" s="3" t="s">
        <v>4086</v>
      </c>
      <c r="B2700" s="3" t="s">
        <v>288</v>
      </c>
      <c r="C2700" s="3" t="s">
        <v>118</v>
      </c>
      <c r="D2700" s="3" t="s">
        <v>38</v>
      </c>
      <c r="E2700" s="3" t="s">
        <v>39</v>
      </c>
      <c r="F2700" s="3" t="s">
        <v>40</v>
      </c>
      <c r="G2700" s="3" t="s">
        <v>51</v>
      </c>
      <c r="H2700" s="3" t="s">
        <v>145</v>
      </c>
      <c r="I2700" s="3" t="s">
        <v>2475</v>
      </c>
      <c r="J2700" s="3" t="s">
        <v>217</v>
      </c>
      <c r="K2700" s="3">
        <v>1</v>
      </c>
      <c r="L2700" s="3">
        <v>117.46</v>
      </c>
      <c r="M2700" s="3">
        <v>117.46</v>
      </c>
      <c r="N2700" s="3">
        <v>62.27</v>
      </c>
      <c r="O2700" s="3">
        <v>55.19</v>
      </c>
      <c r="P2700" s="3" t="s">
        <v>69</v>
      </c>
    </row>
    <row r="2701" spans="1:16" x14ac:dyDescent="0.35">
      <c r="A2701" s="3" t="s">
        <v>4087</v>
      </c>
      <c r="B2701" s="3" t="s">
        <v>762</v>
      </c>
      <c r="C2701" s="3" t="s">
        <v>137</v>
      </c>
      <c r="D2701" s="3" t="s">
        <v>90</v>
      </c>
      <c r="E2701" s="3" t="s">
        <v>119</v>
      </c>
      <c r="F2701" s="3" t="s">
        <v>120</v>
      </c>
      <c r="G2701" s="3" t="s">
        <v>22</v>
      </c>
      <c r="H2701" s="3" t="s">
        <v>93</v>
      </c>
      <c r="I2701" s="3" t="s">
        <v>2728</v>
      </c>
      <c r="J2701" s="3" t="s">
        <v>171</v>
      </c>
      <c r="K2701" s="3">
        <v>2</v>
      </c>
      <c r="L2701" s="3">
        <v>6529.13</v>
      </c>
      <c r="M2701" s="3">
        <v>13058.26</v>
      </c>
      <c r="N2701" s="3">
        <v>9961.24</v>
      </c>
      <c r="O2701" s="3">
        <v>3097.02</v>
      </c>
      <c r="P2701" s="3" t="s">
        <v>26</v>
      </c>
    </row>
    <row r="2702" spans="1:16" x14ac:dyDescent="0.35">
      <c r="A2702" s="3" t="s">
        <v>4088</v>
      </c>
      <c r="B2702" s="3" t="s">
        <v>702</v>
      </c>
      <c r="C2702" s="3" t="s">
        <v>57</v>
      </c>
      <c r="D2702" s="3" t="s">
        <v>90</v>
      </c>
      <c r="E2702" s="3" t="s">
        <v>97</v>
      </c>
      <c r="F2702" s="3" t="s">
        <v>98</v>
      </c>
      <c r="G2702" s="3" t="s">
        <v>51</v>
      </c>
      <c r="H2702" s="3" t="s">
        <v>77</v>
      </c>
      <c r="I2702" s="3" t="s">
        <v>584</v>
      </c>
      <c r="J2702" s="3" t="s">
        <v>106</v>
      </c>
      <c r="K2702" s="3">
        <v>5</v>
      </c>
      <c r="L2702" s="3">
        <v>12403.83</v>
      </c>
      <c r="M2702" s="3">
        <v>62019.15</v>
      </c>
      <c r="N2702" s="3">
        <v>43705.38</v>
      </c>
      <c r="O2702" s="3">
        <v>18313.77</v>
      </c>
      <c r="P2702" s="3" t="s">
        <v>34</v>
      </c>
    </row>
    <row r="2703" spans="1:16" x14ac:dyDescent="0.35">
      <c r="A2703" s="3" t="s">
        <v>4089</v>
      </c>
      <c r="B2703" s="3" t="s">
        <v>344</v>
      </c>
      <c r="C2703" s="3" t="s">
        <v>48</v>
      </c>
      <c r="D2703" s="3" t="s">
        <v>90</v>
      </c>
      <c r="E2703" s="3" t="s">
        <v>119</v>
      </c>
      <c r="F2703" s="3" t="s">
        <v>120</v>
      </c>
      <c r="G2703" s="3" t="s">
        <v>41</v>
      </c>
      <c r="H2703" s="3" t="s">
        <v>42</v>
      </c>
      <c r="I2703" s="3" t="s">
        <v>1327</v>
      </c>
      <c r="J2703" s="3" t="s">
        <v>100</v>
      </c>
      <c r="K2703" s="3">
        <v>8</v>
      </c>
      <c r="L2703" s="3">
        <v>43972.51</v>
      </c>
      <c r="M2703" s="3">
        <v>351780.08</v>
      </c>
      <c r="N2703" s="3">
        <v>285799.19</v>
      </c>
      <c r="O2703" s="3">
        <v>65980.89</v>
      </c>
      <c r="P2703" s="3" t="s">
        <v>45</v>
      </c>
    </row>
    <row r="2704" spans="1:16" x14ac:dyDescent="0.35">
      <c r="A2704" s="3" t="s">
        <v>4090</v>
      </c>
      <c r="B2704" s="3" t="s">
        <v>559</v>
      </c>
      <c r="C2704" s="3" t="s">
        <v>89</v>
      </c>
      <c r="D2704" s="3" t="s">
        <v>58</v>
      </c>
      <c r="E2704" s="3" t="s">
        <v>176</v>
      </c>
      <c r="F2704" s="3" t="s">
        <v>177</v>
      </c>
      <c r="G2704" s="3" t="s">
        <v>41</v>
      </c>
      <c r="H2704" s="3" t="s">
        <v>138</v>
      </c>
      <c r="I2704" s="3" t="s">
        <v>1170</v>
      </c>
      <c r="J2704" s="3" t="s">
        <v>44</v>
      </c>
      <c r="K2704" s="3">
        <v>1</v>
      </c>
      <c r="L2704" s="3">
        <v>19224.169999999998</v>
      </c>
      <c r="M2704" s="3">
        <v>19224.169999999998</v>
      </c>
      <c r="N2704" s="3">
        <v>13826.14</v>
      </c>
      <c r="O2704" s="3">
        <v>5398.03</v>
      </c>
      <c r="P2704" s="3" t="s">
        <v>34</v>
      </c>
    </row>
    <row r="2705" spans="1:16" x14ac:dyDescent="0.35">
      <c r="A2705" s="3" t="s">
        <v>4091</v>
      </c>
      <c r="B2705" s="3" t="s">
        <v>649</v>
      </c>
      <c r="C2705" s="3" t="s">
        <v>29</v>
      </c>
      <c r="D2705" s="3" t="s">
        <v>38</v>
      </c>
      <c r="E2705" s="3" t="s">
        <v>109</v>
      </c>
      <c r="F2705" s="3" t="s">
        <v>110</v>
      </c>
      <c r="G2705" s="3" t="s">
        <v>30</v>
      </c>
      <c r="H2705" s="3" t="s">
        <v>67</v>
      </c>
      <c r="I2705" s="3" t="s">
        <v>1203</v>
      </c>
      <c r="J2705" s="3" t="s">
        <v>188</v>
      </c>
      <c r="K2705" s="3">
        <v>8</v>
      </c>
      <c r="L2705" s="3">
        <v>9299.1</v>
      </c>
      <c r="M2705" s="3">
        <v>74392.800000000003</v>
      </c>
      <c r="N2705" s="3">
        <v>61096.58</v>
      </c>
      <c r="O2705" s="3">
        <v>13296.22</v>
      </c>
      <c r="P2705" s="3" t="s">
        <v>34</v>
      </c>
    </row>
    <row r="2706" spans="1:16" x14ac:dyDescent="0.35">
      <c r="A2706" s="3" t="s">
        <v>4092</v>
      </c>
      <c r="B2706" s="3" t="s">
        <v>180</v>
      </c>
      <c r="C2706" s="3" t="s">
        <v>48</v>
      </c>
      <c r="D2706" s="3" t="s">
        <v>19</v>
      </c>
      <c r="E2706" s="3" t="s">
        <v>20</v>
      </c>
      <c r="F2706" s="3" t="s">
        <v>21</v>
      </c>
      <c r="G2706" s="3" t="s">
        <v>22</v>
      </c>
      <c r="H2706" s="3" t="s">
        <v>83</v>
      </c>
      <c r="I2706" s="3" t="s">
        <v>4093</v>
      </c>
      <c r="J2706" s="3" t="s">
        <v>44</v>
      </c>
      <c r="K2706" s="3">
        <v>8</v>
      </c>
      <c r="L2706" s="3">
        <v>21238.45</v>
      </c>
      <c r="M2706" s="3">
        <v>169907.6</v>
      </c>
      <c r="N2706" s="3">
        <v>135030.20000000001</v>
      </c>
      <c r="O2706" s="3">
        <v>34877.4</v>
      </c>
      <c r="P2706" s="3" t="s">
        <v>26</v>
      </c>
    </row>
    <row r="2707" spans="1:16" x14ac:dyDescent="0.35">
      <c r="A2707" s="3" t="s">
        <v>4094</v>
      </c>
      <c r="B2707" s="3" t="s">
        <v>1182</v>
      </c>
      <c r="C2707" s="3" t="s">
        <v>48</v>
      </c>
      <c r="D2707" s="3" t="s">
        <v>58</v>
      </c>
      <c r="E2707" s="3" t="s">
        <v>59</v>
      </c>
      <c r="F2707" s="3" t="s">
        <v>60</v>
      </c>
      <c r="G2707" s="3" t="s">
        <v>51</v>
      </c>
      <c r="H2707" s="3" t="s">
        <v>145</v>
      </c>
      <c r="I2707" s="3" t="s">
        <v>1387</v>
      </c>
      <c r="J2707" s="3" t="s">
        <v>171</v>
      </c>
      <c r="K2707" s="3">
        <v>5</v>
      </c>
      <c r="L2707" s="3">
        <v>110.82</v>
      </c>
      <c r="M2707" s="3">
        <v>554.1</v>
      </c>
      <c r="N2707" s="3">
        <v>303.18</v>
      </c>
      <c r="O2707" s="3">
        <v>250.92</v>
      </c>
      <c r="P2707" s="3" t="s">
        <v>34</v>
      </c>
    </row>
    <row r="2708" spans="1:16" x14ac:dyDescent="0.35">
      <c r="A2708" s="3" t="s">
        <v>4095</v>
      </c>
      <c r="B2708" s="3" t="s">
        <v>583</v>
      </c>
      <c r="C2708" s="3" t="s">
        <v>89</v>
      </c>
      <c r="D2708" s="3" t="s">
        <v>90</v>
      </c>
      <c r="E2708" s="3" t="s">
        <v>91</v>
      </c>
      <c r="F2708" s="3" t="s">
        <v>92</v>
      </c>
      <c r="G2708" s="3" t="s">
        <v>41</v>
      </c>
      <c r="H2708" s="3" t="s">
        <v>138</v>
      </c>
      <c r="I2708" s="3" t="s">
        <v>2209</v>
      </c>
      <c r="J2708" s="3" t="s">
        <v>188</v>
      </c>
      <c r="K2708" s="3">
        <v>1</v>
      </c>
      <c r="L2708" s="3">
        <v>18478.599999999999</v>
      </c>
      <c r="M2708" s="3">
        <v>18478.599999999999</v>
      </c>
      <c r="N2708" s="3">
        <v>14134.17</v>
      </c>
      <c r="O2708" s="3">
        <v>4344.43</v>
      </c>
      <c r="P2708" s="3" t="s">
        <v>34</v>
      </c>
    </row>
    <row r="2709" spans="1:16" x14ac:dyDescent="0.35">
      <c r="A2709" s="3" t="s">
        <v>4096</v>
      </c>
      <c r="B2709" s="3" t="s">
        <v>666</v>
      </c>
      <c r="C2709" s="3" t="s">
        <v>37</v>
      </c>
      <c r="D2709" s="3" t="s">
        <v>38</v>
      </c>
      <c r="E2709" s="3" t="s">
        <v>109</v>
      </c>
      <c r="F2709" s="3" t="s">
        <v>110</v>
      </c>
      <c r="G2709" s="3" t="s">
        <v>30</v>
      </c>
      <c r="H2709" s="3" t="s">
        <v>31</v>
      </c>
      <c r="I2709" s="3" t="s">
        <v>1078</v>
      </c>
      <c r="J2709" s="3" t="s">
        <v>106</v>
      </c>
      <c r="K2709" s="3">
        <v>2</v>
      </c>
      <c r="L2709" s="3">
        <v>2805.27</v>
      </c>
      <c r="M2709" s="3">
        <v>5610.54</v>
      </c>
      <c r="N2709" s="3">
        <v>3874.73</v>
      </c>
      <c r="O2709" s="3">
        <v>1735.81</v>
      </c>
      <c r="P2709" s="3" t="s">
        <v>69</v>
      </c>
    </row>
    <row r="2710" spans="1:16" x14ac:dyDescent="0.35">
      <c r="A2710" s="3" t="s">
        <v>4097</v>
      </c>
      <c r="B2710" s="3" t="s">
        <v>987</v>
      </c>
      <c r="C2710" s="3" t="s">
        <v>82</v>
      </c>
      <c r="D2710" s="3" t="s">
        <v>38</v>
      </c>
      <c r="E2710" s="3" t="s">
        <v>39</v>
      </c>
      <c r="F2710" s="3" t="s">
        <v>40</v>
      </c>
      <c r="G2710" s="3" t="s">
        <v>51</v>
      </c>
      <c r="H2710" s="3" t="s">
        <v>145</v>
      </c>
      <c r="I2710" s="3" t="s">
        <v>1979</v>
      </c>
      <c r="J2710" s="3" t="s">
        <v>161</v>
      </c>
      <c r="K2710" s="3">
        <v>6</v>
      </c>
      <c r="L2710" s="3">
        <v>109.3</v>
      </c>
      <c r="M2710" s="3">
        <v>655.8</v>
      </c>
      <c r="N2710" s="3">
        <v>352.53</v>
      </c>
      <c r="O2710" s="3">
        <v>303.27</v>
      </c>
      <c r="P2710" s="3" t="s">
        <v>45</v>
      </c>
    </row>
    <row r="2711" spans="1:16" x14ac:dyDescent="0.35">
      <c r="A2711" s="3" t="s">
        <v>4098</v>
      </c>
      <c r="B2711" s="3" t="s">
        <v>654</v>
      </c>
      <c r="C2711" s="3" t="s">
        <v>103</v>
      </c>
      <c r="D2711" s="3" t="s">
        <v>58</v>
      </c>
      <c r="E2711" s="3" t="s">
        <v>65</v>
      </c>
      <c r="F2711" s="3" t="s">
        <v>66</v>
      </c>
      <c r="G2711" s="3" t="s">
        <v>22</v>
      </c>
      <c r="H2711" s="3" t="s">
        <v>23</v>
      </c>
      <c r="I2711" s="3" t="s">
        <v>105</v>
      </c>
      <c r="J2711" s="3" t="s">
        <v>188</v>
      </c>
      <c r="K2711" s="3">
        <v>6</v>
      </c>
      <c r="L2711" s="3">
        <v>3272.95</v>
      </c>
      <c r="M2711" s="3">
        <v>19637.7</v>
      </c>
      <c r="N2711" s="3">
        <v>13529.71</v>
      </c>
      <c r="O2711" s="3">
        <v>6107.99</v>
      </c>
      <c r="P2711" s="3" t="s">
        <v>69</v>
      </c>
    </row>
    <row r="2712" spans="1:16" x14ac:dyDescent="0.35">
      <c r="A2712" s="3" t="s">
        <v>4099</v>
      </c>
      <c r="B2712" s="3" t="s">
        <v>361</v>
      </c>
      <c r="C2712" s="3" t="s">
        <v>137</v>
      </c>
      <c r="D2712" s="3" t="s">
        <v>58</v>
      </c>
      <c r="E2712" s="3" t="s">
        <v>65</v>
      </c>
      <c r="F2712" s="3" t="s">
        <v>66</v>
      </c>
      <c r="G2712" s="3" t="s">
        <v>22</v>
      </c>
      <c r="H2712" s="3" t="s">
        <v>93</v>
      </c>
      <c r="I2712" s="3" t="s">
        <v>2740</v>
      </c>
      <c r="J2712" s="3" t="s">
        <v>147</v>
      </c>
      <c r="K2712" s="3">
        <v>3</v>
      </c>
      <c r="L2712" s="3">
        <v>6400.77</v>
      </c>
      <c r="M2712" s="3">
        <v>19202.310000000001</v>
      </c>
      <c r="N2712" s="3">
        <v>14963.23</v>
      </c>
      <c r="O2712" s="3">
        <v>4239.08</v>
      </c>
      <c r="P2712" s="3" t="s">
        <v>34</v>
      </c>
    </row>
    <row r="2713" spans="1:16" x14ac:dyDescent="0.35">
      <c r="A2713" s="3" t="s">
        <v>4100</v>
      </c>
      <c r="B2713" s="3" t="s">
        <v>1429</v>
      </c>
      <c r="C2713" s="3" t="s">
        <v>89</v>
      </c>
      <c r="D2713" s="3" t="s">
        <v>58</v>
      </c>
      <c r="E2713" s="3" t="s">
        <v>176</v>
      </c>
      <c r="F2713" s="3" t="s">
        <v>177</v>
      </c>
      <c r="G2713" s="3" t="s">
        <v>51</v>
      </c>
      <c r="H2713" s="3" t="s">
        <v>77</v>
      </c>
      <c r="I2713" s="3" t="s">
        <v>848</v>
      </c>
      <c r="J2713" s="3" t="s">
        <v>79</v>
      </c>
      <c r="K2713" s="3">
        <v>8</v>
      </c>
      <c r="L2713" s="3">
        <v>11641.04</v>
      </c>
      <c r="M2713" s="3">
        <v>93128.320000000007</v>
      </c>
      <c r="N2713" s="3">
        <v>71669.42</v>
      </c>
      <c r="O2713" s="3">
        <v>21458.9</v>
      </c>
      <c r="P2713" s="3" t="s">
        <v>26</v>
      </c>
    </row>
    <row r="2714" spans="1:16" x14ac:dyDescent="0.35">
      <c r="A2714" s="3" t="s">
        <v>4101</v>
      </c>
      <c r="B2714" s="3" t="s">
        <v>28</v>
      </c>
      <c r="C2714" s="3" t="s">
        <v>29</v>
      </c>
      <c r="D2714" s="3" t="s">
        <v>38</v>
      </c>
      <c r="E2714" s="3" t="s">
        <v>104</v>
      </c>
      <c r="F2714" s="3" t="s">
        <v>104</v>
      </c>
      <c r="G2714" s="3" t="s">
        <v>30</v>
      </c>
      <c r="H2714" s="3" t="s">
        <v>73</v>
      </c>
      <c r="I2714" s="3" t="s">
        <v>4102</v>
      </c>
      <c r="J2714" s="3" t="s">
        <v>25</v>
      </c>
      <c r="K2714" s="3">
        <v>3</v>
      </c>
      <c r="L2714" s="3">
        <v>3355.9</v>
      </c>
      <c r="M2714" s="3">
        <v>10067.700000000001</v>
      </c>
      <c r="N2714" s="3">
        <v>7218.7</v>
      </c>
      <c r="O2714" s="3">
        <v>2849</v>
      </c>
      <c r="P2714" s="3" t="s">
        <v>26</v>
      </c>
    </row>
    <row r="2715" spans="1:16" x14ac:dyDescent="0.35">
      <c r="A2715" s="3" t="s">
        <v>4103</v>
      </c>
      <c r="B2715" s="3" t="s">
        <v>770</v>
      </c>
      <c r="C2715" s="3" t="s">
        <v>72</v>
      </c>
      <c r="D2715" s="3" t="s">
        <v>90</v>
      </c>
      <c r="E2715" s="3" t="s">
        <v>91</v>
      </c>
      <c r="F2715" s="3" t="s">
        <v>92</v>
      </c>
      <c r="G2715" s="3" t="s">
        <v>41</v>
      </c>
      <c r="H2715" s="3" t="s">
        <v>138</v>
      </c>
      <c r="I2715" s="3" t="s">
        <v>2629</v>
      </c>
      <c r="J2715" s="3" t="s">
        <v>85</v>
      </c>
      <c r="K2715" s="3">
        <v>6</v>
      </c>
      <c r="L2715" s="3">
        <v>18950.330000000002</v>
      </c>
      <c r="M2715" s="3">
        <v>113701.98</v>
      </c>
      <c r="N2715" s="3">
        <v>83674.37</v>
      </c>
      <c r="O2715" s="3">
        <v>30027.61</v>
      </c>
      <c r="P2715" s="3" t="s">
        <v>45</v>
      </c>
    </row>
    <row r="2716" spans="1:16" x14ac:dyDescent="0.35">
      <c r="A2716" s="3" t="s">
        <v>4104</v>
      </c>
      <c r="B2716" s="3" t="s">
        <v>924</v>
      </c>
      <c r="C2716" s="3" t="s">
        <v>18</v>
      </c>
      <c r="D2716" s="3" t="s">
        <v>19</v>
      </c>
      <c r="E2716" s="3" t="s">
        <v>20</v>
      </c>
      <c r="F2716" s="3" t="s">
        <v>21</v>
      </c>
      <c r="G2716" s="3" t="s">
        <v>41</v>
      </c>
      <c r="H2716" s="3" t="s">
        <v>138</v>
      </c>
      <c r="I2716" s="3" t="s">
        <v>679</v>
      </c>
      <c r="J2716" s="3" t="s">
        <v>131</v>
      </c>
      <c r="K2716" s="3">
        <v>8</v>
      </c>
      <c r="L2716" s="3">
        <v>19164.169999999998</v>
      </c>
      <c r="M2716" s="3">
        <v>153313.35999999999</v>
      </c>
      <c r="N2716" s="3">
        <v>116983.28</v>
      </c>
      <c r="O2716" s="3">
        <v>36330.080000000002</v>
      </c>
      <c r="P2716" s="3" t="s">
        <v>45</v>
      </c>
    </row>
    <row r="2717" spans="1:16" x14ac:dyDescent="0.35">
      <c r="A2717" s="3" t="s">
        <v>4105</v>
      </c>
      <c r="B2717" s="3" t="s">
        <v>2197</v>
      </c>
      <c r="C2717" s="3" t="s">
        <v>18</v>
      </c>
      <c r="D2717" s="3" t="s">
        <v>90</v>
      </c>
      <c r="E2717" s="3" t="s">
        <v>91</v>
      </c>
      <c r="F2717" s="3" t="s">
        <v>92</v>
      </c>
      <c r="G2717" s="3" t="s">
        <v>30</v>
      </c>
      <c r="H2717" s="3" t="s">
        <v>67</v>
      </c>
      <c r="I2717" s="3" t="s">
        <v>3248</v>
      </c>
      <c r="J2717" s="3" t="s">
        <v>171</v>
      </c>
      <c r="K2717" s="3">
        <v>8</v>
      </c>
      <c r="L2717" s="3">
        <v>8885.59</v>
      </c>
      <c r="M2717" s="3">
        <v>71084.72</v>
      </c>
      <c r="N2717" s="3">
        <v>62725.15</v>
      </c>
      <c r="O2717" s="3">
        <v>8359.57</v>
      </c>
      <c r="P2717" s="3" t="s">
        <v>34</v>
      </c>
    </row>
    <row r="2718" spans="1:16" x14ac:dyDescent="0.35">
      <c r="A2718" s="3" t="s">
        <v>4106</v>
      </c>
      <c r="B2718" s="3" t="s">
        <v>1964</v>
      </c>
      <c r="C2718" s="3" t="s">
        <v>57</v>
      </c>
      <c r="D2718" s="3" t="s">
        <v>38</v>
      </c>
      <c r="E2718" s="3" t="s">
        <v>39</v>
      </c>
      <c r="F2718" s="3" t="s">
        <v>40</v>
      </c>
      <c r="G2718" s="3" t="s">
        <v>22</v>
      </c>
      <c r="H2718" s="3" t="s">
        <v>93</v>
      </c>
      <c r="I2718" s="3" t="s">
        <v>4107</v>
      </c>
      <c r="J2718" s="3" t="s">
        <v>154</v>
      </c>
      <c r="K2718" s="3">
        <v>5</v>
      </c>
      <c r="L2718" s="3">
        <v>7324.09</v>
      </c>
      <c r="M2718" s="3">
        <v>36620.449999999997</v>
      </c>
      <c r="N2718" s="3">
        <v>24360.11</v>
      </c>
      <c r="O2718" s="3">
        <v>12260.34</v>
      </c>
      <c r="P2718" s="3" t="s">
        <v>86</v>
      </c>
    </row>
    <row r="2719" spans="1:16" x14ac:dyDescent="0.35">
      <c r="A2719" s="3" t="s">
        <v>4108</v>
      </c>
      <c r="B2719" s="3" t="s">
        <v>370</v>
      </c>
      <c r="C2719" s="3" t="s">
        <v>137</v>
      </c>
      <c r="D2719" s="3" t="s">
        <v>19</v>
      </c>
      <c r="E2719" s="3" t="s">
        <v>199</v>
      </c>
      <c r="F2719" s="3" t="s">
        <v>200</v>
      </c>
      <c r="G2719" s="3" t="s">
        <v>51</v>
      </c>
      <c r="H2719" s="3" t="s">
        <v>77</v>
      </c>
      <c r="I2719" s="3" t="s">
        <v>220</v>
      </c>
      <c r="J2719" s="3" t="s">
        <v>85</v>
      </c>
      <c r="K2719" s="3">
        <v>7</v>
      </c>
      <c r="L2719" s="3">
        <v>12570.95</v>
      </c>
      <c r="M2719" s="3">
        <v>87996.65</v>
      </c>
      <c r="N2719" s="3">
        <v>64824.4</v>
      </c>
      <c r="O2719" s="3">
        <v>23172.25</v>
      </c>
      <c r="P2719" s="3" t="s">
        <v>69</v>
      </c>
    </row>
    <row r="2720" spans="1:16" x14ac:dyDescent="0.35">
      <c r="A2720" s="3" t="s">
        <v>4109</v>
      </c>
      <c r="B2720" s="3" t="s">
        <v>307</v>
      </c>
      <c r="C2720" s="3" t="s">
        <v>103</v>
      </c>
      <c r="D2720" s="3" t="s">
        <v>19</v>
      </c>
      <c r="E2720" s="3" t="s">
        <v>199</v>
      </c>
      <c r="F2720" s="3" t="s">
        <v>200</v>
      </c>
      <c r="G2720" s="3" t="s">
        <v>22</v>
      </c>
      <c r="H2720" s="3" t="s">
        <v>93</v>
      </c>
      <c r="I2720" s="3" t="s">
        <v>1837</v>
      </c>
      <c r="J2720" s="3" t="s">
        <v>154</v>
      </c>
      <c r="K2720" s="3">
        <v>1</v>
      </c>
      <c r="L2720" s="3">
        <v>6838.34</v>
      </c>
      <c r="M2720" s="3">
        <v>6838.34</v>
      </c>
      <c r="N2720" s="3">
        <v>4963.82</v>
      </c>
      <c r="O2720" s="3">
        <v>1874.52</v>
      </c>
      <c r="P2720" s="3" t="s">
        <v>26</v>
      </c>
    </row>
    <row r="2721" spans="1:16" x14ac:dyDescent="0.35">
      <c r="A2721" s="3" t="s">
        <v>4110</v>
      </c>
      <c r="B2721" s="3" t="s">
        <v>126</v>
      </c>
      <c r="C2721" s="3" t="s">
        <v>103</v>
      </c>
      <c r="D2721" s="3" t="s">
        <v>38</v>
      </c>
      <c r="E2721" s="3" t="s">
        <v>109</v>
      </c>
      <c r="F2721" s="3" t="s">
        <v>110</v>
      </c>
      <c r="G2721" s="3" t="s">
        <v>22</v>
      </c>
      <c r="H2721" s="3" t="s">
        <v>23</v>
      </c>
      <c r="I2721" s="3" t="s">
        <v>1143</v>
      </c>
      <c r="J2721" s="3" t="s">
        <v>106</v>
      </c>
      <c r="K2721" s="3">
        <v>8</v>
      </c>
      <c r="L2721" s="3">
        <v>3263.27</v>
      </c>
      <c r="M2721" s="3">
        <v>26106.16</v>
      </c>
      <c r="N2721" s="3">
        <v>18341.47</v>
      </c>
      <c r="O2721" s="3">
        <v>7764.69</v>
      </c>
      <c r="P2721" s="3" t="s">
        <v>26</v>
      </c>
    </row>
    <row r="2722" spans="1:16" x14ac:dyDescent="0.35">
      <c r="A2722" s="3" t="s">
        <v>4111</v>
      </c>
      <c r="B2722" s="3" t="s">
        <v>435</v>
      </c>
      <c r="C2722" s="3" t="s">
        <v>18</v>
      </c>
      <c r="D2722" s="3" t="s">
        <v>58</v>
      </c>
      <c r="E2722" s="3" t="s">
        <v>176</v>
      </c>
      <c r="F2722" s="3" t="s">
        <v>177</v>
      </c>
      <c r="G2722" s="3" t="s">
        <v>22</v>
      </c>
      <c r="H2722" s="3" t="s">
        <v>93</v>
      </c>
      <c r="I2722" s="3" t="s">
        <v>2543</v>
      </c>
      <c r="J2722" s="3" t="s">
        <v>188</v>
      </c>
      <c r="K2722" s="3">
        <v>1</v>
      </c>
      <c r="L2722" s="3">
        <v>6715.31</v>
      </c>
      <c r="M2722" s="3">
        <v>6715.31</v>
      </c>
      <c r="N2722" s="3">
        <v>4997.6099999999997</v>
      </c>
      <c r="O2722" s="3">
        <v>1717.7</v>
      </c>
      <c r="P2722" s="3" t="s">
        <v>34</v>
      </c>
    </row>
    <row r="2723" spans="1:16" x14ac:dyDescent="0.35">
      <c r="A2723" s="3" t="s">
        <v>4112</v>
      </c>
      <c r="B2723" s="3" t="s">
        <v>792</v>
      </c>
      <c r="C2723" s="3" t="s">
        <v>72</v>
      </c>
      <c r="D2723" s="3" t="s">
        <v>58</v>
      </c>
      <c r="E2723" s="3" t="s">
        <v>176</v>
      </c>
      <c r="F2723" s="3" t="s">
        <v>177</v>
      </c>
      <c r="G2723" s="3" t="s">
        <v>41</v>
      </c>
      <c r="H2723" s="3" t="s">
        <v>61</v>
      </c>
      <c r="I2723" s="3" t="s">
        <v>2990</v>
      </c>
      <c r="J2723" s="3" t="s">
        <v>79</v>
      </c>
      <c r="K2723" s="3">
        <v>2</v>
      </c>
      <c r="L2723" s="3">
        <v>2695.8</v>
      </c>
      <c r="M2723" s="3">
        <v>5391.6</v>
      </c>
      <c r="N2723" s="3">
        <v>3100.9</v>
      </c>
      <c r="O2723" s="3">
        <v>2290.6999999999998</v>
      </c>
      <c r="P2723" s="3" t="s">
        <v>45</v>
      </c>
    </row>
    <row r="2724" spans="1:16" x14ac:dyDescent="0.35">
      <c r="A2724" s="3" t="s">
        <v>4113</v>
      </c>
      <c r="B2724" s="3" t="s">
        <v>274</v>
      </c>
      <c r="C2724" s="3" t="s">
        <v>57</v>
      </c>
      <c r="D2724" s="3" t="s">
        <v>38</v>
      </c>
      <c r="E2724" s="3" t="s">
        <v>104</v>
      </c>
      <c r="F2724" s="3" t="s">
        <v>104</v>
      </c>
      <c r="G2724" s="3" t="s">
        <v>30</v>
      </c>
      <c r="H2724" s="3" t="s">
        <v>73</v>
      </c>
      <c r="I2724" s="3" t="s">
        <v>1208</v>
      </c>
      <c r="J2724" s="3" t="s">
        <v>154</v>
      </c>
      <c r="K2724" s="3">
        <v>6</v>
      </c>
      <c r="L2724" s="3">
        <v>2976.68</v>
      </c>
      <c r="M2724" s="3">
        <v>17860.080000000002</v>
      </c>
      <c r="N2724" s="3">
        <v>13783.82</v>
      </c>
      <c r="O2724" s="3">
        <v>4076.26</v>
      </c>
      <c r="P2724" s="3" t="s">
        <v>86</v>
      </c>
    </row>
    <row r="2725" spans="1:16" x14ac:dyDescent="0.35">
      <c r="A2725" s="3" t="s">
        <v>4114</v>
      </c>
      <c r="B2725" s="3" t="s">
        <v>108</v>
      </c>
      <c r="C2725" s="3" t="s">
        <v>72</v>
      </c>
      <c r="D2725" s="3" t="s">
        <v>38</v>
      </c>
      <c r="E2725" s="3" t="s">
        <v>39</v>
      </c>
      <c r="F2725" s="3" t="s">
        <v>40</v>
      </c>
      <c r="G2725" s="3" t="s">
        <v>51</v>
      </c>
      <c r="H2725" s="3" t="s">
        <v>145</v>
      </c>
      <c r="I2725" s="3" t="s">
        <v>1404</v>
      </c>
      <c r="J2725" s="3" t="s">
        <v>33</v>
      </c>
      <c r="K2725" s="3">
        <v>2</v>
      </c>
      <c r="L2725" s="3">
        <v>126.58</v>
      </c>
      <c r="M2725" s="3">
        <v>253.16</v>
      </c>
      <c r="N2725" s="3">
        <v>116.16</v>
      </c>
      <c r="O2725" s="3">
        <v>137</v>
      </c>
      <c r="P2725" s="3" t="s">
        <v>34</v>
      </c>
    </row>
    <row r="2726" spans="1:16" x14ac:dyDescent="0.35">
      <c r="A2726" s="3" t="s">
        <v>4115</v>
      </c>
      <c r="B2726" s="3" t="s">
        <v>642</v>
      </c>
      <c r="C2726" s="3" t="s">
        <v>18</v>
      </c>
      <c r="D2726" s="3" t="s">
        <v>19</v>
      </c>
      <c r="E2726" s="3" t="s">
        <v>49</v>
      </c>
      <c r="F2726" s="3" t="s">
        <v>50</v>
      </c>
      <c r="G2726" s="3" t="s">
        <v>51</v>
      </c>
      <c r="H2726" s="3" t="s">
        <v>77</v>
      </c>
      <c r="I2726" s="3" t="s">
        <v>2417</v>
      </c>
      <c r="J2726" s="3" t="s">
        <v>147</v>
      </c>
      <c r="K2726" s="3">
        <v>4</v>
      </c>
      <c r="L2726" s="3">
        <v>13100.36</v>
      </c>
      <c r="M2726" s="3">
        <v>52401.440000000002</v>
      </c>
      <c r="N2726" s="3">
        <v>36932.589999999997</v>
      </c>
      <c r="O2726" s="3">
        <v>15468.85</v>
      </c>
      <c r="P2726" s="3" t="s">
        <v>69</v>
      </c>
    </row>
    <row r="2727" spans="1:16" x14ac:dyDescent="0.35">
      <c r="A2727" s="3" t="s">
        <v>4116</v>
      </c>
      <c r="B2727" s="3" t="s">
        <v>133</v>
      </c>
      <c r="C2727" s="3" t="s">
        <v>18</v>
      </c>
      <c r="D2727" s="3" t="s">
        <v>90</v>
      </c>
      <c r="E2727" s="3" t="s">
        <v>119</v>
      </c>
      <c r="F2727" s="3" t="s">
        <v>120</v>
      </c>
      <c r="G2727" s="3" t="s">
        <v>51</v>
      </c>
      <c r="H2727" s="3" t="s">
        <v>145</v>
      </c>
      <c r="I2727" s="3" t="s">
        <v>985</v>
      </c>
      <c r="J2727" s="3" t="s">
        <v>25</v>
      </c>
      <c r="K2727" s="3">
        <v>5</v>
      </c>
      <c r="L2727" s="3">
        <v>124.06</v>
      </c>
      <c r="M2727" s="3">
        <v>620.29999999999995</v>
      </c>
      <c r="N2727" s="3">
        <v>287.41000000000003</v>
      </c>
      <c r="O2727" s="3">
        <v>332.89</v>
      </c>
      <c r="P2727" s="3" t="s">
        <v>34</v>
      </c>
    </row>
    <row r="2728" spans="1:16" x14ac:dyDescent="0.35">
      <c r="A2728" s="3" t="s">
        <v>4117</v>
      </c>
      <c r="B2728" s="3" t="s">
        <v>429</v>
      </c>
      <c r="C2728" s="3" t="s">
        <v>137</v>
      </c>
      <c r="D2728" s="3" t="s">
        <v>19</v>
      </c>
      <c r="E2728" s="3" t="s">
        <v>20</v>
      </c>
      <c r="F2728" s="3" t="s">
        <v>21</v>
      </c>
      <c r="G2728" s="3" t="s">
        <v>41</v>
      </c>
      <c r="H2728" s="3" t="s">
        <v>61</v>
      </c>
      <c r="I2728" s="3" t="s">
        <v>2176</v>
      </c>
      <c r="J2728" s="3" t="s">
        <v>147</v>
      </c>
      <c r="K2728" s="3">
        <v>5</v>
      </c>
      <c r="L2728" s="3">
        <v>2719.75</v>
      </c>
      <c r="M2728" s="3">
        <v>13598.75</v>
      </c>
      <c r="N2728" s="3">
        <v>8035.81</v>
      </c>
      <c r="O2728" s="3">
        <v>5562.94</v>
      </c>
      <c r="P2728" s="3" t="s">
        <v>45</v>
      </c>
    </row>
    <row r="2729" spans="1:16" x14ac:dyDescent="0.35">
      <c r="A2729" s="3" t="s">
        <v>4118</v>
      </c>
      <c r="B2729" s="3" t="s">
        <v>847</v>
      </c>
      <c r="C2729" s="3" t="s">
        <v>89</v>
      </c>
      <c r="D2729" s="3" t="s">
        <v>38</v>
      </c>
      <c r="E2729" s="3" t="s">
        <v>104</v>
      </c>
      <c r="F2729" s="3" t="s">
        <v>104</v>
      </c>
      <c r="G2729" s="3" t="s">
        <v>30</v>
      </c>
      <c r="H2729" s="3" t="s">
        <v>67</v>
      </c>
      <c r="I2729" s="3" t="s">
        <v>512</v>
      </c>
      <c r="J2729" s="3" t="s">
        <v>161</v>
      </c>
      <c r="K2729" s="3">
        <v>2</v>
      </c>
      <c r="L2729" s="3">
        <v>9842.24</v>
      </c>
      <c r="M2729" s="3">
        <v>19684.48</v>
      </c>
      <c r="N2729" s="3">
        <v>15833.88</v>
      </c>
      <c r="O2729" s="3">
        <v>3850.6</v>
      </c>
      <c r="P2729" s="3" t="s">
        <v>26</v>
      </c>
    </row>
    <row r="2730" spans="1:16" x14ac:dyDescent="0.35">
      <c r="A2730" s="3" t="s">
        <v>4119</v>
      </c>
      <c r="B2730" s="3" t="s">
        <v>847</v>
      </c>
      <c r="C2730" s="3" t="s">
        <v>89</v>
      </c>
      <c r="D2730" s="3" t="s">
        <v>38</v>
      </c>
      <c r="E2730" s="3" t="s">
        <v>104</v>
      </c>
      <c r="F2730" s="3" t="s">
        <v>104</v>
      </c>
      <c r="G2730" s="3" t="s">
        <v>30</v>
      </c>
      <c r="H2730" s="3" t="s">
        <v>73</v>
      </c>
      <c r="I2730" s="3" t="s">
        <v>3359</v>
      </c>
      <c r="J2730" s="3" t="s">
        <v>54</v>
      </c>
      <c r="K2730" s="3">
        <v>6</v>
      </c>
      <c r="L2730" s="3">
        <v>3219.76</v>
      </c>
      <c r="M2730" s="3">
        <v>19318.560000000001</v>
      </c>
      <c r="N2730" s="3">
        <v>14914.21</v>
      </c>
      <c r="O2730" s="3">
        <v>4404.3500000000004</v>
      </c>
      <c r="P2730" s="3" t="s">
        <v>34</v>
      </c>
    </row>
    <row r="2731" spans="1:16" x14ac:dyDescent="0.35">
      <c r="A2731" s="3" t="s">
        <v>4120</v>
      </c>
      <c r="B2731" s="3" t="s">
        <v>852</v>
      </c>
      <c r="C2731" s="3" t="s">
        <v>118</v>
      </c>
      <c r="D2731" s="3" t="s">
        <v>90</v>
      </c>
      <c r="E2731" s="3" t="s">
        <v>97</v>
      </c>
      <c r="F2731" s="3" t="s">
        <v>98</v>
      </c>
      <c r="G2731" s="3" t="s">
        <v>51</v>
      </c>
      <c r="H2731" s="3" t="s">
        <v>145</v>
      </c>
      <c r="I2731" s="3" t="s">
        <v>1961</v>
      </c>
      <c r="J2731" s="3" t="s">
        <v>33</v>
      </c>
      <c r="K2731" s="3">
        <v>1</v>
      </c>
      <c r="L2731" s="3">
        <v>126.44</v>
      </c>
      <c r="M2731" s="3">
        <v>126.44</v>
      </c>
      <c r="N2731" s="3">
        <v>61.51</v>
      </c>
      <c r="O2731" s="3">
        <v>64.930000000000007</v>
      </c>
      <c r="P2731" s="3" t="s">
        <v>45</v>
      </c>
    </row>
    <row r="2732" spans="1:16" x14ac:dyDescent="0.35">
      <c r="A2732" s="3" t="s">
        <v>4121</v>
      </c>
      <c r="B2732" s="3" t="s">
        <v>795</v>
      </c>
      <c r="C2732" s="3" t="s">
        <v>82</v>
      </c>
      <c r="D2732" s="3" t="s">
        <v>58</v>
      </c>
      <c r="E2732" s="3" t="s">
        <v>65</v>
      </c>
      <c r="F2732" s="3" t="s">
        <v>66</v>
      </c>
      <c r="G2732" s="3" t="s">
        <v>41</v>
      </c>
      <c r="H2732" s="3" t="s">
        <v>61</v>
      </c>
      <c r="I2732" s="3" t="s">
        <v>216</v>
      </c>
      <c r="J2732" s="3" t="s">
        <v>147</v>
      </c>
      <c r="K2732" s="3">
        <v>5</v>
      </c>
      <c r="L2732" s="3">
        <v>2310.0500000000002</v>
      </c>
      <c r="M2732" s="3">
        <v>11550.25</v>
      </c>
      <c r="N2732" s="3">
        <v>7866.26</v>
      </c>
      <c r="O2732" s="3">
        <v>3683.99</v>
      </c>
      <c r="P2732" s="3" t="s">
        <v>86</v>
      </c>
    </row>
    <row r="2733" spans="1:16" x14ac:dyDescent="0.35">
      <c r="A2733" s="3" t="s">
        <v>4122</v>
      </c>
      <c r="B2733" s="3" t="s">
        <v>1086</v>
      </c>
      <c r="C2733" s="3" t="s">
        <v>37</v>
      </c>
      <c r="D2733" s="3" t="s">
        <v>38</v>
      </c>
      <c r="E2733" s="3" t="s">
        <v>39</v>
      </c>
      <c r="F2733" s="3" t="s">
        <v>40</v>
      </c>
      <c r="G2733" s="3" t="s">
        <v>51</v>
      </c>
      <c r="H2733" s="3" t="s">
        <v>145</v>
      </c>
      <c r="I2733" s="3" t="s">
        <v>662</v>
      </c>
      <c r="J2733" s="3" t="s">
        <v>154</v>
      </c>
      <c r="K2733" s="3">
        <v>1</v>
      </c>
      <c r="L2733" s="3">
        <v>117.21</v>
      </c>
      <c r="M2733" s="3">
        <v>117.21</v>
      </c>
      <c r="N2733" s="3">
        <v>58.65</v>
      </c>
      <c r="O2733" s="3">
        <v>58.56</v>
      </c>
      <c r="P2733" s="3" t="s">
        <v>86</v>
      </c>
    </row>
    <row r="2734" spans="1:16" x14ac:dyDescent="0.35">
      <c r="A2734" s="3" t="s">
        <v>4123</v>
      </c>
      <c r="B2734" s="3" t="s">
        <v>1502</v>
      </c>
      <c r="C2734" s="3" t="s">
        <v>57</v>
      </c>
      <c r="D2734" s="3" t="s">
        <v>38</v>
      </c>
      <c r="E2734" s="3" t="s">
        <v>109</v>
      </c>
      <c r="F2734" s="3" t="s">
        <v>110</v>
      </c>
      <c r="G2734" s="3" t="s">
        <v>51</v>
      </c>
      <c r="H2734" s="3" t="s">
        <v>77</v>
      </c>
      <c r="I2734" s="3" t="s">
        <v>493</v>
      </c>
      <c r="J2734" s="3" t="s">
        <v>44</v>
      </c>
      <c r="K2734" s="3">
        <v>4</v>
      </c>
      <c r="L2734" s="3">
        <v>11122.1</v>
      </c>
      <c r="M2734" s="3">
        <v>44488.4</v>
      </c>
      <c r="N2734" s="3">
        <v>34618.82</v>
      </c>
      <c r="O2734" s="3">
        <v>9869.58</v>
      </c>
      <c r="P2734" s="3" t="s">
        <v>26</v>
      </c>
    </row>
    <row r="2735" spans="1:16" x14ac:dyDescent="0.35">
      <c r="A2735" s="3" t="s">
        <v>4124</v>
      </c>
      <c r="B2735" s="3" t="s">
        <v>2580</v>
      </c>
      <c r="C2735" s="3" t="s">
        <v>37</v>
      </c>
      <c r="D2735" s="3" t="s">
        <v>19</v>
      </c>
      <c r="E2735" s="3" t="s">
        <v>199</v>
      </c>
      <c r="F2735" s="3" t="s">
        <v>200</v>
      </c>
      <c r="G2735" s="3" t="s">
        <v>51</v>
      </c>
      <c r="H2735" s="3" t="s">
        <v>77</v>
      </c>
      <c r="I2735" s="3" t="s">
        <v>3248</v>
      </c>
      <c r="J2735" s="3" t="s">
        <v>131</v>
      </c>
      <c r="K2735" s="3">
        <v>6</v>
      </c>
      <c r="L2735" s="3">
        <v>11650.17</v>
      </c>
      <c r="M2735" s="3">
        <v>69901.02</v>
      </c>
      <c r="N2735" s="3">
        <v>55838.87</v>
      </c>
      <c r="O2735" s="3">
        <v>14062.15</v>
      </c>
      <c r="P2735" s="3" t="s">
        <v>34</v>
      </c>
    </row>
    <row r="2736" spans="1:16" x14ac:dyDescent="0.35">
      <c r="A2736" s="3" t="s">
        <v>4125</v>
      </c>
      <c r="B2736" s="3" t="s">
        <v>770</v>
      </c>
      <c r="C2736" s="3" t="s">
        <v>72</v>
      </c>
      <c r="D2736" s="3" t="s">
        <v>19</v>
      </c>
      <c r="E2736" s="3" t="s">
        <v>20</v>
      </c>
      <c r="F2736" s="3" t="s">
        <v>21</v>
      </c>
      <c r="G2736" s="3" t="s">
        <v>41</v>
      </c>
      <c r="H2736" s="3" t="s">
        <v>138</v>
      </c>
      <c r="I2736" s="3" t="s">
        <v>3109</v>
      </c>
      <c r="J2736" s="3" t="s">
        <v>79</v>
      </c>
      <c r="K2736" s="3">
        <v>7</v>
      </c>
      <c r="L2736" s="3">
        <v>16266.6</v>
      </c>
      <c r="M2736" s="3">
        <v>113866.2</v>
      </c>
      <c r="N2736" s="3">
        <v>101183.35</v>
      </c>
      <c r="O2736" s="3">
        <v>12682.85</v>
      </c>
      <c r="P2736" s="3" t="s">
        <v>26</v>
      </c>
    </row>
    <row r="2737" spans="1:16" x14ac:dyDescent="0.35">
      <c r="A2737" s="3" t="s">
        <v>4126</v>
      </c>
      <c r="B2737" s="3" t="s">
        <v>1205</v>
      </c>
      <c r="C2737" s="3" t="s">
        <v>114</v>
      </c>
      <c r="D2737" s="3" t="s">
        <v>38</v>
      </c>
      <c r="E2737" s="3" t="s">
        <v>39</v>
      </c>
      <c r="F2737" s="3" t="s">
        <v>40</v>
      </c>
      <c r="G2737" s="3" t="s">
        <v>51</v>
      </c>
      <c r="H2737" s="3" t="s">
        <v>77</v>
      </c>
      <c r="I2737" s="3" t="s">
        <v>550</v>
      </c>
      <c r="J2737" s="3" t="s">
        <v>154</v>
      </c>
      <c r="K2737" s="3">
        <v>2</v>
      </c>
      <c r="L2737" s="3">
        <v>12089.18</v>
      </c>
      <c r="M2737" s="3">
        <v>24178.36</v>
      </c>
      <c r="N2737" s="3">
        <v>18840.73</v>
      </c>
      <c r="O2737" s="3">
        <v>5337.63</v>
      </c>
      <c r="P2737" s="3" t="s">
        <v>34</v>
      </c>
    </row>
    <row r="2738" spans="1:16" x14ac:dyDescent="0.35">
      <c r="A2738" s="3" t="s">
        <v>4127</v>
      </c>
      <c r="B2738" s="3" t="s">
        <v>149</v>
      </c>
      <c r="C2738" s="3" t="s">
        <v>118</v>
      </c>
      <c r="D2738" s="3" t="s">
        <v>38</v>
      </c>
      <c r="E2738" s="3" t="s">
        <v>109</v>
      </c>
      <c r="F2738" s="3" t="s">
        <v>110</v>
      </c>
      <c r="G2738" s="3" t="s">
        <v>41</v>
      </c>
      <c r="H2738" s="3" t="s">
        <v>138</v>
      </c>
      <c r="I2738" s="3" t="s">
        <v>975</v>
      </c>
      <c r="J2738" s="3" t="s">
        <v>131</v>
      </c>
      <c r="K2738" s="3">
        <v>3</v>
      </c>
      <c r="L2738" s="3">
        <v>19467.77</v>
      </c>
      <c r="M2738" s="3">
        <v>58403.31</v>
      </c>
      <c r="N2738" s="3">
        <v>43217.96</v>
      </c>
      <c r="O2738" s="3">
        <v>15185.35</v>
      </c>
      <c r="P2738" s="3" t="s">
        <v>86</v>
      </c>
    </row>
    <row r="2739" spans="1:16" x14ac:dyDescent="0.35">
      <c r="A2739" s="3" t="s">
        <v>4128</v>
      </c>
      <c r="B2739" s="3" t="s">
        <v>717</v>
      </c>
      <c r="C2739" s="3" t="s">
        <v>114</v>
      </c>
      <c r="D2739" s="3" t="s">
        <v>38</v>
      </c>
      <c r="E2739" s="3" t="s">
        <v>104</v>
      </c>
      <c r="F2739" s="3" t="s">
        <v>104</v>
      </c>
      <c r="G2739" s="3" t="s">
        <v>30</v>
      </c>
      <c r="H2739" s="3" t="s">
        <v>31</v>
      </c>
      <c r="I2739" s="3" t="s">
        <v>1049</v>
      </c>
      <c r="J2739" s="3" t="s">
        <v>188</v>
      </c>
      <c r="K2739" s="3">
        <v>8</v>
      </c>
      <c r="L2739" s="3">
        <v>2646.83</v>
      </c>
      <c r="M2739" s="3">
        <v>21174.639999999999</v>
      </c>
      <c r="N2739" s="3">
        <v>15930.52</v>
      </c>
      <c r="O2739" s="3">
        <v>5244.12</v>
      </c>
      <c r="P2739" s="3" t="s">
        <v>26</v>
      </c>
    </row>
    <row r="2740" spans="1:16" x14ac:dyDescent="0.35">
      <c r="A2740" s="3" t="s">
        <v>4129</v>
      </c>
      <c r="B2740" s="3" t="s">
        <v>552</v>
      </c>
      <c r="C2740" s="3" t="s">
        <v>89</v>
      </c>
      <c r="D2740" s="3" t="s">
        <v>90</v>
      </c>
      <c r="E2740" s="3" t="s">
        <v>119</v>
      </c>
      <c r="F2740" s="3" t="s">
        <v>120</v>
      </c>
      <c r="G2740" s="3" t="s">
        <v>22</v>
      </c>
      <c r="H2740" s="3" t="s">
        <v>23</v>
      </c>
      <c r="I2740" s="3" t="s">
        <v>2011</v>
      </c>
      <c r="J2740" s="3" t="s">
        <v>25</v>
      </c>
      <c r="K2740" s="3">
        <v>7</v>
      </c>
      <c r="L2740" s="3">
        <v>3552.71</v>
      </c>
      <c r="M2740" s="3">
        <v>24868.97</v>
      </c>
      <c r="N2740" s="3">
        <v>15857.19</v>
      </c>
      <c r="O2740" s="3">
        <v>9011.7800000000007</v>
      </c>
      <c r="P2740" s="3" t="s">
        <v>86</v>
      </c>
    </row>
    <row r="2741" spans="1:16" x14ac:dyDescent="0.35">
      <c r="A2741" s="3" t="s">
        <v>4130</v>
      </c>
      <c r="B2741" s="3" t="s">
        <v>1898</v>
      </c>
      <c r="C2741" s="3" t="s">
        <v>29</v>
      </c>
      <c r="D2741" s="3" t="s">
        <v>58</v>
      </c>
      <c r="E2741" s="3" t="s">
        <v>65</v>
      </c>
      <c r="F2741" s="3" t="s">
        <v>66</v>
      </c>
      <c r="G2741" s="3" t="s">
        <v>51</v>
      </c>
      <c r="H2741" s="3" t="s">
        <v>145</v>
      </c>
      <c r="I2741" s="3" t="s">
        <v>1368</v>
      </c>
      <c r="J2741" s="3" t="s">
        <v>54</v>
      </c>
      <c r="K2741" s="3">
        <v>7</v>
      </c>
      <c r="L2741" s="3">
        <v>120.9</v>
      </c>
      <c r="M2741" s="3">
        <v>846.3</v>
      </c>
      <c r="N2741" s="3">
        <v>424.82</v>
      </c>
      <c r="O2741" s="3">
        <v>421.48</v>
      </c>
      <c r="P2741" s="3" t="s">
        <v>34</v>
      </c>
    </row>
    <row r="2742" spans="1:16" x14ac:dyDescent="0.35">
      <c r="A2742" s="3" t="s">
        <v>4131</v>
      </c>
      <c r="B2742" s="3" t="s">
        <v>2028</v>
      </c>
      <c r="C2742" s="3" t="s">
        <v>137</v>
      </c>
      <c r="D2742" s="3" t="s">
        <v>58</v>
      </c>
      <c r="E2742" s="3" t="s">
        <v>176</v>
      </c>
      <c r="F2742" s="3" t="s">
        <v>177</v>
      </c>
      <c r="G2742" s="3" t="s">
        <v>41</v>
      </c>
      <c r="H2742" s="3" t="s">
        <v>61</v>
      </c>
      <c r="I2742" s="3" t="s">
        <v>1288</v>
      </c>
      <c r="J2742" s="3" t="s">
        <v>154</v>
      </c>
      <c r="K2742" s="3">
        <v>3</v>
      </c>
      <c r="L2742" s="3">
        <v>2727.24</v>
      </c>
      <c r="M2742" s="3">
        <v>8181.72</v>
      </c>
      <c r="N2742" s="3">
        <v>4867.0600000000004</v>
      </c>
      <c r="O2742" s="3">
        <v>3314.66</v>
      </c>
      <c r="P2742" s="3" t="s">
        <v>34</v>
      </c>
    </row>
    <row r="2743" spans="1:16" x14ac:dyDescent="0.35">
      <c r="A2743" s="3" t="s">
        <v>4132</v>
      </c>
      <c r="B2743" s="3" t="s">
        <v>547</v>
      </c>
      <c r="C2743" s="3" t="s">
        <v>89</v>
      </c>
      <c r="D2743" s="3" t="s">
        <v>19</v>
      </c>
      <c r="E2743" s="3" t="s">
        <v>199</v>
      </c>
      <c r="F2743" s="3" t="s">
        <v>200</v>
      </c>
      <c r="G2743" s="3" t="s">
        <v>22</v>
      </c>
      <c r="H2743" s="3" t="s">
        <v>93</v>
      </c>
      <c r="I2743" s="3" t="s">
        <v>850</v>
      </c>
      <c r="J2743" s="3" t="s">
        <v>131</v>
      </c>
      <c r="K2743" s="3">
        <v>8</v>
      </c>
      <c r="L2743" s="3">
        <v>7467.95</v>
      </c>
      <c r="M2743" s="3">
        <v>59743.6</v>
      </c>
      <c r="N2743" s="3">
        <v>41731.03</v>
      </c>
      <c r="O2743" s="3">
        <v>18012.57</v>
      </c>
      <c r="P2743" s="3" t="s">
        <v>45</v>
      </c>
    </row>
    <row r="2744" spans="1:16" x14ac:dyDescent="0.35">
      <c r="A2744" s="3" t="s">
        <v>4133</v>
      </c>
      <c r="B2744" s="3" t="s">
        <v>507</v>
      </c>
      <c r="C2744" s="3" t="s">
        <v>118</v>
      </c>
      <c r="D2744" s="3" t="s">
        <v>58</v>
      </c>
      <c r="E2744" s="3" t="s">
        <v>176</v>
      </c>
      <c r="F2744" s="3" t="s">
        <v>177</v>
      </c>
      <c r="G2744" s="3" t="s">
        <v>22</v>
      </c>
      <c r="H2744" s="3" t="s">
        <v>23</v>
      </c>
      <c r="I2744" s="3" t="s">
        <v>1208</v>
      </c>
      <c r="J2744" s="3" t="s">
        <v>33</v>
      </c>
      <c r="K2744" s="3">
        <v>1</v>
      </c>
      <c r="L2744" s="3">
        <v>3435.28</v>
      </c>
      <c r="M2744" s="3">
        <v>3435.28</v>
      </c>
      <c r="N2744" s="3">
        <v>2252.63</v>
      </c>
      <c r="O2744" s="3">
        <v>1182.6500000000001</v>
      </c>
      <c r="P2744" s="3" t="s">
        <v>69</v>
      </c>
    </row>
    <row r="2745" spans="1:16" x14ac:dyDescent="0.35">
      <c r="A2745" s="3" t="s">
        <v>4134</v>
      </c>
      <c r="B2745" s="3" t="s">
        <v>774</v>
      </c>
      <c r="C2745" s="3" t="s">
        <v>82</v>
      </c>
      <c r="D2745" s="3" t="s">
        <v>90</v>
      </c>
      <c r="E2745" s="3" t="s">
        <v>97</v>
      </c>
      <c r="F2745" s="3" t="s">
        <v>98</v>
      </c>
      <c r="G2745" s="3" t="s">
        <v>51</v>
      </c>
      <c r="H2745" s="3" t="s">
        <v>52</v>
      </c>
      <c r="I2745" s="3" t="s">
        <v>608</v>
      </c>
      <c r="J2745" s="3" t="s">
        <v>188</v>
      </c>
      <c r="K2745" s="3">
        <v>1</v>
      </c>
      <c r="L2745" s="3">
        <v>25.29</v>
      </c>
      <c r="M2745" s="3">
        <v>25.29</v>
      </c>
      <c r="N2745" s="3">
        <v>9.82</v>
      </c>
      <c r="O2745" s="3">
        <v>15.47</v>
      </c>
      <c r="P2745" s="3" t="s">
        <v>69</v>
      </c>
    </row>
    <row r="2746" spans="1:16" x14ac:dyDescent="0.35">
      <c r="A2746" s="3" t="s">
        <v>4135</v>
      </c>
      <c r="B2746" s="3" t="s">
        <v>344</v>
      </c>
      <c r="C2746" s="3" t="s">
        <v>48</v>
      </c>
      <c r="D2746" s="3" t="s">
        <v>38</v>
      </c>
      <c r="E2746" s="3" t="s">
        <v>104</v>
      </c>
      <c r="F2746" s="3" t="s">
        <v>104</v>
      </c>
      <c r="G2746" s="3" t="s">
        <v>51</v>
      </c>
      <c r="H2746" s="3" t="s">
        <v>145</v>
      </c>
      <c r="I2746" s="3" t="s">
        <v>1229</v>
      </c>
      <c r="J2746" s="3" t="s">
        <v>44</v>
      </c>
      <c r="K2746" s="3">
        <v>4</v>
      </c>
      <c r="L2746" s="3">
        <v>122.82</v>
      </c>
      <c r="M2746" s="3">
        <v>491.28</v>
      </c>
      <c r="N2746" s="3">
        <v>248.02</v>
      </c>
      <c r="O2746" s="3">
        <v>243.26</v>
      </c>
      <c r="P2746" s="3" t="s">
        <v>69</v>
      </c>
    </row>
    <row r="2747" spans="1:16" x14ac:dyDescent="0.35">
      <c r="A2747" s="3" t="s">
        <v>4136</v>
      </c>
      <c r="B2747" s="3" t="s">
        <v>1670</v>
      </c>
      <c r="C2747" s="3" t="s">
        <v>114</v>
      </c>
      <c r="D2747" s="3" t="s">
        <v>90</v>
      </c>
      <c r="E2747" s="3" t="s">
        <v>119</v>
      </c>
      <c r="F2747" s="3" t="s">
        <v>120</v>
      </c>
      <c r="G2747" s="3" t="s">
        <v>22</v>
      </c>
      <c r="H2747" s="3" t="s">
        <v>83</v>
      </c>
      <c r="I2747" s="3" t="s">
        <v>261</v>
      </c>
      <c r="J2747" s="3" t="s">
        <v>79</v>
      </c>
      <c r="K2747" s="3">
        <v>5</v>
      </c>
      <c r="L2747" s="3">
        <v>20317.71</v>
      </c>
      <c r="M2747" s="3">
        <v>101588.55</v>
      </c>
      <c r="N2747" s="3">
        <v>82475.7</v>
      </c>
      <c r="O2747" s="3">
        <v>19112.849999999999</v>
      </c>
      <c r="P2747" s="3" t="s">
        <v>34</v>
      </c>
    </row>
    <row r="2748" spans="1:16" x14ac:dyDescent="0.35">
      <c r="A2748" s="3" t="s">
        <v>4137</v>
      </c>
      <c r="B2748" s="3" t="s">
        <v>661</v>
      </c>
      <c r="C2748" s="3" t="s">
        <v>114</v>
      </c>
      <c r="D2748" s="3" t="s">
        <v>58</v>
      </c>
      <c r="E2748" s="3" t="s">
        <v>59</v>
      </c>
      <c r="F2748" s="3" t="s">
        <v>60</v>
      </c>
      <c r="G2748" s="3" t="s">
        <v>51</v>
      </c>
      <c r="H2748" s="3" t="s">
        <v>77</v>
      </c>
      <c r="I2748" s="3" t="s">
        <v>3238</v>
      </c>
      <c r="J2748" s="3" t="s">
        <v>100</v>
      </c>
      <c r="K2748" s="3">
        <v>3</v>
      </c>
      <c r="L2748" s="3">
        <v>11150.02</v>
      </c>
      <c r="M2748" s="3">
        <v>33450.06</v>
      </c>
      <c r="N2748" s="3">
        <v>28052.89</v>
      </c>
      <c r="O2748" s="3">
        <v>5397.17</v>
      </c>
      <c r="P2748" s="3" t="s">
        <v>26</v>
      </c>
    </row>
    <row r="2749" spans="1:16" x14ac:dyDescent="0.35">
      <c r="A2749" s="3" t="s">
        <v>4138</v>
      </c>
      <c r="B2749" s="3" t="s">
        <v>1031</v>
      </c>
      <c r="C2749" s="3" t="s">
        <v>82</v>
      </c>
      <c r="D2749" s="3" t="s">
        <v>90</v>
      </c>
      <c r="E2749" s="3" t="s">
        <v>97</v>
      </c>
      <c r="F2749" s="3" t="s">
        <v>98</v>
      </c>
      <c r="G2749" s="3" t="s">
        <v>51</v>
      </c>
      <c r="H2749" s="3" t="s">
        <v>145</v>
      </c>
      <c r="I2749" s="3" t="s">
        <v>2547</v>
      </c>
      <c r="J2749" s="3" t="s">
        <v>171</v>
      </c>
      <c r="K2749" s="3">
        <v>7</v>
      </c>
      <c r="L2749" s="3">
        <v>121.9</v>
      </c>
      <c r="M2749" s="3">
        <v>853.3</v>
      </c>
      <c r="N2749" s="3">
        <v>416.23</v>
      </c>
      <c r="O2749" s="3">
        <v>437.07</v>
      </c>
      <c r="P2749" s="3" t="s">
        <v>86</v>
      </c>
    </row>
    <row r="2750" spans="1:16" x14ac:dyDescent="0.35">
      <c r="A2750" s="3" t="s">
        <v>4139</v>
      </c>
      <c r="B2750" s="3" t="s">
        <v>1082</v>
      </c>
      <c r="C2750" s="3" t="s">
        <v>114</v>
      </c>
      <c r="D2750" s="3" t="s">
        <v>58</v>
      </c>
      <c r="E2750" s="3" t="s">
        <v>65</v>
      </c>
      <c r="F2750" s="3" t="s">
        <v>66</v>
      </c>
      <c r="G2750" s="3" t="s">
        <v>41</v>
      </c>
      <c r="H2750" s="3" t="s">
        <v>138</v>
      </c>
      <c r="I2750" s="3" t="s">
        <v>1440</v>
      </c>
      <c r="J2750" s="3" t="s">
        <v>154</v>
      </c>
      <c r="K2750" s="3">
        <v>6</v>
      </c>
      <c r="L2750" s="3">
        <v>17298.11</v>
      </c>
      <c r="M2750" s="3">
        <v>103788.66</v>
      </c>
      <c r="N2750" s="3">
        <v>83936.75</v>
      </c>
      <c r="O2750" s="3">
        <v>19851.91</v>
      </c>
      <c r="P2750" s="3" t="s">
        <v>26</v>
      </c>
    </row>
    <row r="2751" spans="1:16" x14ac:dyDescent="0.35">
      <c r="A2751" s="3" t="s">
        <v>4140</v>
      </c>
      <c r="B2751" s="3" t="s">
        <v>324</v>
      </c>
      <c r="C2751" s="3" t="s">
        <v>29</v>
      </c>
      <c r="D2751" s="3" t="s">
        <v>19</v>
      </c>
      <c r="E2751" s="3" t="s">
        <v>199</v>
      </c>
      <c r="F2751" s="3" t="s">
        <v>200</v>
      </c>
      <c r="G2751" s="3" t="s">
        <v>30</v>
      </c>
      <c r="H2751" s="3" t="s">
        <v>67</v>
      </c>
      <c r="I2751" s="3" t="s">
        <v>4141</v>
      </c>
      <c r="J2751" s="3" t="s">
        <v>100</v>
      </c>
      <c r="K2751" s="3">
        <v>3</v>
      </c>
      <c r="L2751" s="3">
        <v>9424.83</v>
      </c>
      <c r="M2751" s="3">
        <v>28274.49</v>
      </c>
      <c r="N2751" s="3">
        <v>23635.72</v>
      </c>
      <c r="O2751" s="3">
        <v>4638.7700000000004</v>
      </c>
      <c r="P2751" s="3" t="s">
        <v>45</v>
      </c>
    </row>
    <row r="2752" spans="1:16" x14ac:dyDescent="0.35">
      <c r="A2752" s="3" t="s">
        <v>4142</v>
      </c>
      <c r="B2752" s="3" t="s">
        <v>149</v>
      </c>
      <c r="C2752" s="3" t="s">
        <v>118</v>
      </c>
      <c r="D2752" s="3" t="s">
        <v>38</v>
      </c>
      <c r="E2752" s="3" t="s">
        <v>39</v>
      </c>
      <c r="F2752" s="3" t="s">
        <v>40</v>
      </c>
      <c r="G2752" s="3" t="s">
        <v>22</v>
      </c>
      <c r="H2752" s="3" t="s">
        <v>83</v>
      </c>
      <c r="I2752" s="3" t="s">
        <v>1561</v>
      </c>
      <c r="J2752" s="3" t="s">
        <v>85</v>
      </c>
      <c r="K2752" s="3">
        <v>6</v>
      </c>
      <c r="L2752" s="3">
        <v>23418.99</v>
      </c>
      <c r="M2752" s="3">
        <v>140513.94</v>
      </c>
      <c r="N2752" s="3">
        <v>98513.37</v>
      </c>
      <c r="O2752" s="3">
        <v>42000.57</v>
      </c>
      <c r="P2752" s="3" t="s">
        <v>45</v>
      </c>
    </row>
    <row r="2753" spans="1:16" x14ac:dyDescent="0.35">
      <c r="A2753" s="3" t="s">
        <v>4143</v>
      </c>
      <c r="B2753" s="3" t="s">
        <v>521</v>
      </c>
      <c r="C2753" s="3" t="s">
        <v>18</v>
      </c>
      <c r="D2753" s="3" t="s">
        <v>38</v>
      </c>
      <c r="E2753" s="3" t="s">
        <v>104</v>
      </c>
      <c r="F2753" s="3" t="s">
        <v>104</v>
      </c>
      <c r="G2753" s="3" t="s">
        <v>30</v>
      </c>
      <c r="H2753" s="3" t="s">
        <v>31</v>
      </c>
      <c r="I2753" s="3" t="s">
        <v>4144</v>
      </c>
      <c r="J2753" s="3" t="s">
        <v>217</v>
      </c>
      <c r="K2753" s="3">
        <v>6</v>
      </c>
      <c r="L2753" s="3">
        <v>2724.69</v>
      </c>
      <c r="M2753" s="3">
        <v>16348.14</v>
      </c>
      <c r="N2753" s="3">
        <v>10879.14</v>
      </c>
      <c r="O2753" s="3">
        <v>5469</v>
      </c>
      <c r="P2753" s="3" t="s">
        <v>34</v>
      </c>
    </row>
    <row r="2754" spans="1:16" x14ac:dyDescent="0.35">
      <c r="A2754" s="3" t="s">
        <v>4145</v>
      </c>
      <c r="B2754" s="3" t="s">
        <v>1552</v>
      </c>
      <c r="C2754" s="3" t="s">
        <v>114</v>
      </c>
      <c r="D2754" s="3" t="s">
        <v>58</v>
      </c>
      <c r="E2754" s="3" t="s">
        <v>59</v>
      </c>
      <c r="F2754" s="3" t="s">
        <v>60</v>
      </c>
      <c r="G2754" s="3" t="s">
        <v>30</v>
      </c>
      <c r="H2754" s="3" t="s">
        <v>31</v>
      </c>
      <c r="I2754" s="3" t="s">
        <v>1399</v>
      </c>
      <c r="J2754" s="3" t="s">
        <v>25</v>
      </c>
      <c r="K2754" s="3">
        <v>7</v>
      </c>
      <c r="L2754" s="3">
        <v>2643.38</v>
      </c>
      <c r="M2754" s="3">
        <v>18503.66</v>
      </c>
      <c r="N2754" s="3">
        <v>13787.52</v>
      </c>
      <c r="O2754" s="3">
        <v>4716.1400000000003</v>
      </c>
      <c r="P2754" s="3" t="s">
        <v>26</v>
      </c>
    </row>
    <row r="2755" spans="1:16" x14ac:dyDescent="0.35">
      <c r="A2755" s="3" t="s">
        <v>4146</v>
      </c>
      <c r="B2755" s="3" t="s">
        <v>2365</v>
      </c>
      <c r="C2755" s="3" t="s">
        <v>57</v>
      </c>
      <c r="D2755" s="3" t="s">
        <v>19</v>
      </c>
      <c r="E2755" s="3" t="s">
        <v>49</v>
      </c>
      <c r="F2755" s="3" t="s">
        <v>50</v>
      </c>
      <c r="G2755" s="3" t="s">
        <v>30</v>
      </c>
      <c r="H2755" s="3" t="s">
        <v>67</v>
      </c>
      <c r="I2755" s="3" t="s">
        <v>2360</v>
      </c>
      <c r="J2755" s="3" t="s">
        <v>54</v>
      </c>
      <c r="K2755" s="3">
        <v>7</v>
      </c>
      <c r="L2755" s="3">
        <v>9825.2800000000007</v>
      </c>
      <c r="M2755" s="3">
        <v>68776.960000000006</v>
      </c>
      <c r="N2755" s="3">
        <v>55435.9</v>
      </c>
      <c r="O2755" s="3">
        <v>13341.06</v>
      </c>
      <c r="P2755" s="3" t="s">
        <v>45</v>
      </c>
    </row>
    <row r="2756" spans="1:16" x14ac:dyDescent="0.35">
      <c r="A2756" s="3" t="s">
        <v>4147</v>
      </c>
      <c r="B2756" s="3" t="s">
        <v>463</v>
      </c>
      <c r="C2756" s="3" t="s">
        <v>29</v>
      </c>
      <c r="D2756" s="3" t="s">
        <v>90</v>
      </c>
      <c r="E2756" s="3" t="s">
        <v>119</v>
      </c>
      <c r="F2756" s="3" t="s">
        <v>120</v>
      </c>
      <c r="G2756" s="3" t="s">
        <v>41</v>
      </c>
      <c r="H2756" s="3" t="s">
        <v>61</v>
      </c>
      <c r="I2756" s="3" t="s">
        <v>593</v>
      </c>
      <c r="J2756" s="3" t="s">
        <v>154</v>
      </c>
      <c r="K2756" s="3">
        <v>1</v>
      </c>
      <c r="L2756" s="3">
        <v>2281.2800000000002</v>
      </c>
      <c r="M2756" s="3">
        <v>2281.2800000000002</v>
      </c>
      <c r="N2756" s="3">
        <v>1642.21</v>
      </c>
      <c r="O2756" s="3">
        <v>639.07000000000005</v>
      </c>
      <c r="P2756" s="3" t="s">
        <v>69</v>
      </c>
    </row>
    <row r="2757" spans="1:16" x14ac:dyDescent="0.35">
      <c r="A2757" s="3" t="s">
        <v>4148</v>
      </c>
      <c r="B2757" s="3" t="s">
        <v>1182</v>
      </c>
      <c r="C2757" s="3" t="s">
        <v>48</v>
      </c>
      <c r="D2757" s="3" t="s">
        <v>38</v>
      </c>
      <c r="E2757" s="3" t="s">
        <v>104</v>
      </c>
      <c r="F2757" s="3" t="s">
        <v>104</v>
      </c>
      <c r="G2757" s="3" t="s">
        <v>30</v>
      </c>
      <c r="H2757" s="3" t="s">
        <v>31</v>
      </c>
      <c r="I2757" s="3" t="s">
        <v>3444</v>
      </c>
      <c r="J2757" s="3" t="s">
        <v>79</v>
      </c>
      <c r="K2757" s="3">
        <v>4</v>
      </c>
      <c r="L2757" s="3">
        <v>2786.11</v>
      </c>
      <c r="M2757" s="3">
        <v>11144.44</v>
      </c>
      <c r="N2757" s="3">
        <v>7770.55</v>
      </c>
      <c r="O2757" s="3">
        <v>3373.89</v>
      </c>
      <c r="P2757" s="3" t="s">
        <v>26</v>
      </c>
    </row>
    <row r="2758" spans="1:16" x14ac:dyDescent="0.35">
      <c r="A2758" s="3" t="s">
        <v>4149</v>
      </c>
      <c r="B2758" s="3" t="s">
        <v>565</v>
      </c>
      <c r="C2758" s="3" t="s">
        <v>137</v>
      </c>
      <c r="D2758" s="3" t="s">
        <v>19</v>
      </c>
      <c r="E2758" s="3" t="s">
        <v>20</v>
      </c>
      <c r="F2758" s="3" t="s">
        <v>21</v>
      </c>
      <c r="G2758" s="3" t="s">
        <v>30</v>
      </c>
      <c r="H2758" s="3" t="s">
        <v>67</v>
      </c>
      <c r="I2758" s="3" t="s">
        <v>1103</v>
      </c>
      <c r="J2758" s="3" t="s">
        <v>106</v>
      </c>
      <c r="K2758" s="3">
        <v>4</v>
      </c>
      <c r="L2758" s="3">
        <v>8717.3799999999992</v>
      </c>
      <c r="M2758" s="3">
        <v>34869.519999999997</v>
      </c>
      <c r="N2758" s="3">
        <v>29028.03</v>
      </c>
      <c r="O2758" s="3">
        <v>5841.49</v>
      </c>
      <c r="P2758" s="3" t="s">
        <v>69</v>
      </c>
    </row>
    <row r="2759" spans="1:16" x14ac:dyDescent="0.35">
      <c r="A2759" s="3" t="s">
        <v>4150</v>
      </c>
      <c r="B2759" s="3" t="s">
        <v>782</v>
      </c>
      <c r="C2759" s="3" t="s">
        <v>114</v>
      </c>
      <c r="D2759" s="3" t="s">
        <v>58</v>
      </c>
      <c r="E2759" s="3" t="s">
        <v>65</v>
      </c>
      <c r="F2759" s="3" t="s">
        <v>66</v>
      </c>
      <c r="G2759" s="3" t="s">
        <v>30</v>
      </c>
      <c r="H2759" s="3" t="s">
        <v>73</v>
      </c>
      <c r="I2759" s="3" t="s">
        <v>1075</v>
      </c>
      <c r="J2759" s="3" t="s">
        <v>217</v>
      </c>
      <c r="K2759" s="3">
        <v>4</v>
      </c>
      <c r="L2759" s="3">
        <v>3099.7</v>
      </c>
      <c r="M2759" s="3">
        <v>12398.8</v>
      </c>
      <c r="N2759" s="3">
        <v>9226.2800000000007</v>
      </c>
      <c r="O2759" s="3">
        <v>3172.52</v>
      </c>
      <c r="P2759" s="3" t="s">
        <v>26</v>
      </c>
    </row>
    <row r="2760" spans="1:16" x14ac:dyDescent="0.35">
      <c r="A2760" s="3" t="s">
        <v>4151</v>
      </c>
      <c r="B2760" s="3" t="s">
        <v>1240</v>
      </c>
      <c r="C2760" s="3" t="s">
        <v>118</v>
      </c>
      <c r="D2760" s="3" t="s">
        <v>58</v>
      </c>
      <c r="E2760" s="3" t="s">
        <v>176</v>
      </c>
      <c r="F2760" s="3" t="s">
        <v>177</v>
      </c>
      <c r="G2760" s="3" t="s">
        <v>41</v>
      </c>
      <c r="H2760" s="3" t="s">
        <v>42</v>
      </c>
      <c r="I2760" s="3" t="s">
        <v>311</v>
      </c>
      <c r="J2760" s="3" t="s">
        <v>85</v>
      </c>
      <c r="K2760" s="3">
        <v>6</v>
      </c>
      <c r="L2760" s="3">
        <v>44362.19</v>
      </c>
      <c r="M2760" s="3">
        <v>266173.14</v>
      </c>
      <c r="N2760" s="3">
        <v>200075.43</v>
      </c>
      <c r="O2760" s="3">
        <v>66097.710000000006</v>
      </c>
      <c r="P2760" s="3" t="s">
        <v>45</v>
      </c>
    </row>
    <row r="2761" spans="1:16" x14ac:dyDescent="0.35">
      <c r="A2761" s="3" t="s">
        <v>4152</v>
      </c>
      <c r="B2761" s="3" t="s">
        <v>1166</v>
      </c>
      <c r="C2761" s="3" t="s">
        <v>118</v>
      </c>
      <c r="D2761" s="3" t="s">
        <v>38</v>
      </c>
      <c r="E2761" s="3" t="s">
        <v>39</v>
      </c>
      <c r="F2761" s="3" t="s">
        <v>40</v>
      </c>
      <c r="G2761" s="3" t="s">
        <v>41</v>
      </c>
      <c r="H2761" s="3" t="s">
        <v>138</v>
      </c>
      <c r="I2761" s="3" t="s">
        <v>3660</v>
      </c>
      <c r="J2761" s="3" t="s">
        <v>85</v>
      </c>
      <c r="K2761" s="3">
        <v>2</v>
      </c>
      <c r="L2761" s="3">
        <v>19727.77</v>
      </c>
      <c r="M2761" s="3">
        <v>39455.54</v>
      </c>
      <c r="N2761" s="3">
        <v>27489.56</v>
      </c>
      <c r="O2761" s="3">
        <v>11965.98</v>
      </c>
      <c r="P2761" s="3" t="s">
        <v>86</v>
      </c>
    </row>
    <row r="2762" spans="1:16" x14ac:dyDescent="0.35">
      <c r="A2762" s="3" t="s">
        <v>4153</v>
      </c>
      <c r="B2762" s="3" t="s">
        <v>1772</v>
      </c>
      <c r="C2762" s="3" t="s">
        <v>114</v>
      </c>
      <c r="D2762" s="3" t="s">
        <v>19</v>
      </c>
      <c r="E2762" s="3" t="s">
        <v>20</v>
      </c>
      <c r="F2762" s="3" t="s">
        <v>21</v>
      </c>
      <c r="G2762" s="3" t="s">
        <v>30</v>
      </c>
      <c r="H2762" s="3" t="s">
        <v>73</v>
      </c>
      <c r="I2762" s="3" t="s">
        <v>2443</v>
      </c>
      <c r="J2762" s="3" t="s">
        <v>171</v>
      </c>
      <c r="K2762" s="3">
        <v>7</v>
      </c>
      <c r="L2762" s="3">
        <v>2955.06</v>
      </c>
      <c r="M2762" s="3">
        <v>20685.419999999998</v>
      </c>
      <c r="N2762" s="3">
        <v>16136.64</v>
      </c>
      <c r="O2762" s="3">
        <v>4548.78</v>
      </c>
      <c r="P2762" s="3" t="s">
        <v>45</v>
      </c>
    </row>
    <row r="2763" spans="1:16" x14ac:dyDescent="0.35">
      <c r="A2763" s="3" t="s">
        <v>4154</v>
      </c>
      <c r="B2763" s="3" t="s">
        <v>102</v>
      </c>
      <c r="C2763" s="3" t="s">
        <v>103</v>
      </c>
      <c r="D2763" s="3" t="s">
        <v>19</v>
      </c>
      <c r="E2763" s="3" t="s">
        <v>199</v>
      </c>
      <c r="F2763" s="3" t="s">
        <v>200</v>
      </c>
      <c r="G2763" s="3" t="s">
        <v>41</v>
      </c>
      <c r="H2763" s="3" t="s">
        <v>138</v>
      </c>
      <c r="I2763" s="3" t="s">
        <v>1318</v>
      </c>
      <c r="J2763" s="3" t="s">
        <v>171</v>
      </c>
      <c r="K2763" s="3">
        <v>4</v>
      </c>
      <c r="L2763" s="3">
        <v>18604.39</v>
      </c>
      <c r="M2763" s="3">
        <v>74417.56</v>
      </c>
      <c r="N2763" s="3">
        <v>57231.73</v>
      </c>
      <c r="O2763" s="3">
        <v>17185.830000000002</v>
      </c>
      <c r="P2763" s="3" t="s">
        <v>86</v>
      </c>
    </row>
    <row r="2764" spans="1:16" x14ac:dyDescent="0.35">
      <c r="A2764" s="3" t="s">
        <v>4155</v>
      </c>
      <c r="B2764" s="3" t="s">
        <v>2801</v>
      </c>
      <c r="C2764" s="3" t="s">
        <v>29</v>
      </c>
      <c r="D2764" s="3" t="s">
        <v>58</v>
      </c>
      <c r="E2764" s="3" t="s">
        <v>59</v>
      </c>
      <c r="F2764" s="3" t="s">
        <v>60</v>
      </c>
      <c r="G2764" s="3" t="s">
        <v>22</v>
      </c>
      <c r="H2764" s="3" t="s">
        <v>93</v>
      </c>
      <c r="I2764" s="3" t="s">
        <v>2349</v>
      </c>
      <c r="J2764" s="3" t="s">
        <v>79</v>
      </c>
      <c r="K2764" s="3">
        <v>6</v>
      </c>
      <c r="L2764" s="3">
        <v>7229.82</v>
      </c>
      <c r="M2764" s="3">
        <v>43378.92</v>
      </c>
      <c r="N2764" s="3">
        <v>31210.71</v>
      </c>
      <c r="O2764" s="3">
        <v>12168.21</v>
      </c>
      <c r="P2764" s="3" t="s">
        <v>34</v>
      </c>
    </row>
    <row r="2765" spans="1:16" x14ac:dyDescent="0.35">
      <c r="A2765" s="3" t="s">
        <v>4156</v>
      </c>
      <c r="B2765" s="3" t="s">
        <v>941</v>
      </c>
      <c r="C2765" s="3" t="s">
        <v>118</v>
      </c>
      <c r="D2765" s="3" t="s">
        <v>90</v>
      </c>
      <c r="E2765" s="3" t="s">
        <v>91</v>
      </c>
      <c r="F2765" s="3" t="s">
        <v>92</v>
      </c>
      <c r="G2765" s="3" t="s">
        <v>22</v>
      </c>
      <c r="H2765" s="3" t="s">
        <v>83</v>
      </c>
      <c r="I2765" s="3" t="s">
        <v>393</v>
      </c>
      <c r="J2765" s="3" t="s">
        <v>25</v>
      </c>
      <c r="K2765" s="3">
        <v>1</v>
      </c>
      <c r="L2765" s="3">
        <v>20575.509999999998</v>
      </c>
      <c r="M2765" s="3">
        <v>20575.509999999998</v>
      </c>
      <c r="N2765" s="3">
        <v>17439.419999999998</v>
      </c>
      <c r="O2765" s="3">
        <v>3136.09</v>
      </c>
      <c r="P2765" s="3" t="s">
        <v>26</v>
      </c>
    </row>
    <row r="2766" spans="1:16" x14ac:dyDescent="0.35">
      <c r="A2766" s="3" t="s">
        <v>4157</v>
      </c>
      <c r="B2766" s="3" t="s">
        <v>1098</v>
      </c>
      <c r="C2766" s="3" t="s">
        <v>57</v>
      </c>
      <c r="D2766" s="3" t="s">
        <v>19</v>
      </c>
      <c r="E2766" s="3" t="s">
        <v>20</v>
      </c>
      <c r="F2766" s="3" t="s">
        <v>21</v>
      </c>
      <c r="G2766" s="3" t="s">
        <v>30</v>
      </c>
      <c r="H2766" s="3" t="s">
        <v>67</v>
      </c>
      <c r="I2766" s="3" t="s">
        <v>3927</v>
      </c>
      <c r="J2766" s="3" t="s">
        <v>188</v>
      </c>
      <c r="K2766" s="3">
        <v>2</v>
      </c>
      <c r="L2766" s="3">
        <v>10070.18</v>
      </c>
      <c r="M2766" s="3">
        <v>20140.36</v>
      </c>
      <c r="N2766" s="3">
        <v>14575.16</v>
      </c>
      <c r="O2766" s="3">
        <v>5565.2</v>
      </c>
      <c r="P2766" s="3" t="s">
        <v>26</v>
      </c>
    </row>
    <row r="2767" spans="1:16" x14ac:dyDescent="0.35">
      <c r="A2767" s="3" t="s">
        <v>4158</v>
      </c>
      <c r="B2767" s="3" t="s">
        <v>601</v>
      </c>
      <c r="C2767" s="3" t="s">
        <v>82</v>
      </c>
      <c r="D2767" s="3" t="s">
        <v>38</v>
      </c>
      <c r="E2767" s="3" t="s">
        <v>104</v>
      </c>
      <c r="F2767" s="3" t="s">
        <v>104</v>
      </c>
      <c r="G2767" s="3" t="s">
        <v>30</v>
      </c>
      <c r="H2767" s="3" t="s">
        <v>31</v>
      </c>
      <c r="I2767" s="3" t="s">
        <v>4107</v>
      </c>
      <c r="J2767" s="3" t="s">
        <v>85</v>
      </c>
      <c r="K2767" s="3">
        <v>8</v>
      </c>
      <c r="L2767" s="3">
        <v>2684.56</v>
      </c>
      <c r="M2767" s="3">
        <v>21476.48</v>
      </c>
      <c r="N2767" s="3">
        <v>14922.82</v>
      </c>
      <c r="O2767" s="3">
        <v>6553.66</v>
      </c>
      <c r="P2767" s="3" t="s">
        <v>86</v>
      </c>
    </row>
    <row r="2768" spans="1:16" x14ac:dyDescent="0.35">
      <c r="A2768" s="3" t="s">
        <v>4159</v>
      </c>
      <c r="B2768" s="3" t="s">
        <v>1255</v>
      </c>
      <c r="C2768" s="3" t="s">
        <v>72</v>
      </c>
      <c r="D2768" s="3" t="s">
        <v>90</v>
      </c>
      <c r="E2768" s="3" t="s">
        <v>97</v>
      </c>
      <c r="F2768" s="3" t="s">
        <v>98</v>
      </c>
      <c r="G2768" s="3" t="s">
        <v>30</v>
      </c>
      <c r="H2768" s="3" t="s">
        <v>73</v>
      </c>
      <c r="I2768" s="3" t="s">
        <v>4160</v>
      </c>
      <c r="J2768" s="3" t="s">
        <v>79</v>
      </c>
      <c r="K2768" s="3">
        <v>3</v>
      </c>
      <c r="L2768" s="3">
        <v>3353.92</v>
      </c>
      <c r="M2768" s="3">
        <v>10061.76</v>
      </c>
      <c r="N2768" s="3">
        <v>7527.13</v>
      </c>
      <c r="O2768" s="3">
        <v>2534.63</v>
      </c>
      <c r="P2768" s="3" t="s">
        <v>26</v>
      </c>
    </row>
    <row r="2769" spans="1:16" x14ac:dyDescent="0.35">
      <c r="A2769" s="3" t="s">
        <v>4161</v>
      </c>
      <c r="B2769" s="3" t="s">
        <v>305</v>
      </c>
      <c r="C2769" s="3" t="s">
        <v>18</v>
      </c>
      <c r="D2769" s="3" t="s">
        <v>19</v>
      </c>
      <c r="E2769" s="3" t="s">
        <v>20</v>
      </c>
      <c r="F2769" s="3" t="s">
        <v>21</v>
      </c>
      <c r="G2769" s="3" t="s">
        <v>22</v>
      </c>
      <c r="H2769" s="3" t="s">
        <v>93</v>
      </c>
      <c r="I2769" s="3" t="s">
        <v>1099</v>
      </c>
      <c r="J2769" s="3" t="s">
        <v>188</v>
      </c>
      <c r="K2769" s="3">
        <v>1</v>
      </c>
      <c r="L2769" s="3">
        <v>7638</v>
      </c>
      <c r="M2769" s="3">
        <v>7638</v>
      </c>
      <c r="N2769" s="3">
        <v>5137.7700000000004</v>
      </c>
      <c r="O2769" s="3">
        <v>2500.23</v>
      </c>
      <c r="P2769" s="3" t="s">
        <v>45</v>
      </c>
    </row>
    <row r="2770" spans="1:16" x14ac:dyDescent="0.35">
      <c r="A2770" s="3" t="s">
        <v>4162</v>
      </c>
      <c r="B2770" s="3" t="s">
        <v>1360</v>
      </c>
      <c r="C2770" s="3" t="s">
        <v>72</v>
      </c>
      <c r="D2770" s="3" t="s">
        <v>38</v>
      </c>
      <c r="E2770" s="3" t="s">
        <v>104</v>
      </c>
      <c r="F2770" s="3" t="s">
        <v>104</v>
      </c>
      <c r="G2770" s="3" t="s">
        <v>30</v>
      </c>
      <c r="H2770" s="3" t="s">
        <v>73</v>
      </c>
      <c r="I2770" s="3" t="s">
        <v>4163</v>
      </c>
      <c r="J2770" s="3" t="s">
        <v>147</v>
      </c>
      <c r="K2770" s="3">
        <v>5</v>
      </c>
      <c r="L2770" s="3">
        <v>3223.95</v>
      </c>
      <c r="M2770" s="3">
        <v>16119.75</v>
      </c>
      <c r="N2770" s="3">
        <v>12379.45</v>
      </c>
      <c r="O2770" s="3">
        <v>3740.3</v>
      </c>
      <c r="P2770" s="3" t="s">
        <v>34</v>
      </c>
    </row>
    <row r="2771" spans="1:16" x14ac:dyDescent="0.35">
      <c r="A2771" s="3" t="s">
        <v>4164</v>
      </c>
      <c r="B2771" s="3" t="s">
        <v>183</v>
      </c>
      <c r="C2771" s="3" t="s">
        <v>114</v>
      </c>
      <c r="D2771" s="3" t="s">
        <v>19</v>
      </c>
      <c r="E2771" s="3" t="s">
        <v>20</v>
      </c>
      <c r="F2771" s="3" t="s">
        <v>21</v>
      </c>
      <c r="G2771" s="3" t="s">
        <v>22</v>
      </c>
      <c r="H2771" s="3" t="s">
        <v>23</v>
      </c>
      <c r="I2771" s="3" t="s">
        <v>2286</v>
      </c>
      <c r="J2771" s="3" t="s">
        <v>154</v>
      </c>
      <c r="K2771" s="3">
        <v>7</v>
      </c>
      <c r="L2771" s="3">
        <v>3680.83</v>
      </c>
      <c r="M2771" s="3">
        <v>25765.81</v>
      </c>
      <c r="N2771" s="3">
        <v>15819.92</v>
      </c>
      <c r="O2771" s="3">
        <v>9945.89</v>
      </c>
      <c r="P2771" s="3" t="s">
        <v>69</v>
      </c>
    </row>
    <row r="2772" spans="1:16" x14ac:dyDescent="0.35">
      <c r="A2772" s="3" t="s">
        <v>4165</v>
      </c>
      <c r="B2772" s="3" t="s">
        <v>1546</v>
      </c>
      <c r="C2772" s="3" t="s">
        <v>82</v>
      </c>
      <c r="D2772" s="3" t="s">
        <v>90</v>
      </c>
      <c r="E2772" s="3" t="s">
        <v>119</v>
      </c>
      <c r="F2772" s="3" t="s">
        <v>120</v>
      </c>
      <c r="G2772" s="3" t="s">
        <v>41</v>
      </c>
      <c r="H2772" s="3" t="s">
        <v>138</v>
      </c>
      <c r="I2772" s="3" t="s">
        <v>1791</v>
      </c>
      <c r="J2772" s="3" t="s">
        <v>33</v>
      </c>
      <c r="K2772" s="3">
        <v>1</v>
      </c>
      <c r="L2772" s="3">
        <v>18903.16</v>
      </c>
      <c r="M2772" s="3">
        <v>18903.16</v>
      </c>
      <c r="N2772" s="3">
        <v>14451.65</v>
      </c>
      <c r="O2772" s="3">
        <v>4451.51</v>
      </c>
      <c r="P2772" s="3" t="s">
        <v>69</v>
      </c>
    </row>
    <row r="2773" spans="1:16" x14ac:dyDescent="0.35">
      <c r="A2773" s="3" t="s">
        <v>4166</v>
      </c>
      <c r="B2773" s="3" t="s">
        <v>499</v>
      </c>
      <c r="C2773" s="3" t="s">
        <v>103</v>
      </c>
      <c r="D2773" s="3" t="s">
        <v>90</v>
      </c>
      <c r="E2773" s="3" t="s">
        <v>97</v>
      </c>
      <c r="F2773" s="3" t="s">
        <v>98</v>
      </c>
      <c r="G2773" s="3" t="s">
        <v>41</v>
      </c>
      <c r="H2773" s="3" t="s">
        <v>138</v>
      </c>
      <c r="I2773" s="3" t="s">
        <v>1893</v>
      </c>
      <c r="J2773" s="3" t="s">
        <v>217</v>
      </c>
      <c r="K2773" s="3">
        <v>3</v>
      </c>
      <c r="L2773" s="3">
        <v>18819.400000000001</v>
      </c>
      <c r="M2773" s="3">
        <v>56458.2</v>
      </c>
      <c r="N2773" s="3">
        <v>42923.44</v>
      </c>
      <c r="O2773" s="3">
        <v>13534.76</v>
      </c>
      <c r="P2773" s="3" t="s">
        <v>86</v>
      </c>
    </row>
    <row r="2774" spans="1:16" x14ac:dyDescent="0.35">
      <c r="A2774" s="3" t="s">
        <v>4167</v>
      </c>
      <c r="B2774" s="3" t="s">
        <v>1086</v>
      </c>
      <c r="C2774" s="3" t="s">
        <v>37</v>
      </c>
      <c r="D2774" s="3" t="s">
        <v>90</v>
      </c>
      <c r="E2774" s="3" t="s">
        <v>119</v>
      </c>
      <c r="F2774" s="3" t="s">
        <v>120</v>
      </c>
      <c r="G2774" s="3" t="s">
        <v>51</v>
      </c>
      <c r="H2774" s="3" t="s">
        <v>77</v>
      </c>
      <c r="I2774" s="3" t="s">
        <v>4107</v>
      </c>
      <c r="J2774" s="3" t="s">
        <v>161</v>
      </c>
      <c r="K2774" s="3">
        <v>2</v>
      </c>
      <c r="L2774" s="3">
        <v>12561.4</v>
      </c>
      <c r="M2774" s="3">
        <v>25122.799999999999</v>
      </c>
      <c r="N2774" s="3">
        <v>17449.900000000001</v>
      </c>
      <c r="O2774" s="3">
        <v>7672.9</v>
      </c>
      <c r="P2774" s="3" t="s">
        <v>86</v>
      </c>
    </row>
    <row r="2775" spans="1:16" x14ac:dyDescent="0.35">
      <c r="A2775" s="3" t="s">
        <v>4168</v>
      </c>
      <c r="B2775" s="3" t="s">
        <v>536</v>
      </c>
      <c r="C2775" s="3" t="s">
        <v>18</v>
      </c>
      <c r="D2775" s="3" t="s">
        <v>58</v>
      </c>
      <c r="E2775" s="3" t="s">
        <v>59</v>
      </c>
      <c r="F2775" s="3" t="s">
        <v>60</v>
      </c>
      <c r="G2775" s="3" t="s">
        <v>30</v>
      </c>
      <c r="H2775" s="3" t="s">
        <v>67</v>
      </c>
      <c r="I2775" s="3" t="s">
        <v>2219</v>
      </c>
      <c r="J2775" s="3" t="s">
        <v>147</v>
      </c>
      <c r="K2775" s="3">
        <v>3</v>
      </c>
      <c r="L2775" s="3">
        <v>9613.82</v>
      </c>
      <c r="M2775" s="3">
        <v>28841.46</v>
      </c>
      <c r="N2775" s="3">
        <v>23308.2</v>
      </c>
      <c r="O2775" s="3">
        <v>5533.26</v>
      </c>
      <c r="P2775" s="3" t="s">
        <v>34</v>
      </c>
    </row>
    <row r="2776" spans="1:16" x14ac:dyDescent="0.35">
      <c r="A2776" s="3" t="s">
        <v>4169</v>
      </c>
      <c r="B2776" s="3" t="s">
        <v>1187</v>
      </c>
      <c r="C2776" s="3" t="s">
        <v>18</v>
      </c>
      <c r="D2776" s="3" t="s">
        <v>19</v>
      </c>
      <c r="E2776" s="3" t="s">
        <v>49</v>
      </c>
      <c r="F2776" s="3" t="s">
        <v>50</v>
      </c>
      <c r="G2776" s="3" t="s">
        <v>22</v>
      </c>
      <c r="H2776" s="3" t="s">
        <v>93</v>
      </c>
      <c r="I2776" s="3" t="s">
        <v>2728</v>
      </c>
      <c r="J2776" s="3" t="s">
        <v>79</v>
      </c>
      <c r="K2776" s="3">
        <v>8</v>
      </c>
      <c r="L2776" s="3">
        <v>7574.51</v>
      </c>
      <c r="M2776" s="3">
        <v>60596.08</v>
      </c>
      <c r="N2776" s="3">
        <v>38384.31</v>
      </c>
      <c r="O2776" s="3">
        <v>22211.77</v>
      </c>
      <c r="P2776" s="3" t="s">
        <v>34</v>
      </c>
    </row>
    <row r="2777" spans="1:16" x14ac:dyDescent="0.35">
      <c r="A2777" s="3" t="s">
        <v>4170</v>
      </c>
      <c r="B2777" s="3" t="s">
        <v>1042</v>
      </c>
      <c r="C2777" s="3" t="s">
        <v>118</v>
      </c>
      <c r="D2777" s="3" t="s">
        <v>38</v>
      </c>
      <c r="E2777" s="3" t="s">
        <v>39</v>
      </c>
      <c r="F2777" s="3" t="s">
        <v>40</v>
      </c>
      <c r="G2777" s="3" t="s">
        <v>22</v>
      </c>
      <c r="H2777" s="3" t="s">
        <v>23</v>
      </c>
      <c r="I2777" s="3" t="s">
        <v>2885</v>
      </c>
      <c r="J2777" s="3" t="s">
        <v>161</v>
      </c>
      <c r="K2777" s="3">
        <v>8</v>
      </c>
      <c r="L2777" s="3">
        <v>3418.09</v>
      </c>
      <c r="M2777" s="3">
        <v>27344.720000000001</v>
      </c>
      <c r="N2777" s="3">
        <v>17096.759999999998</v>
      </c>
      <c r="O2777" s="3">
        <v>10247.959999999999</v>
      </c>
      <c r="P2777" s="3" t="s">
        <v>69</v>
      </c>
    </row>
    <row r="2778" spans="1:16" x14ac:dyDescent="0.35">
      <c r="A2778" s="3" t="s">
        <v>4171</v>
      </c>
      <c r="B2778" s="3" t="s">
        <v>1766</v>
      </c>
      <c r="C2778" s="3" t="s">
        <v>48</v>
      </c>
      <c r="D2778" s="3" t="s">
        <v>19</v>
      </c>
      <c r="E2778" s="3" t="s">
        <v>49</v>
      </c>
      <c r="F2778" s="3" t="s">
        <v>50</v>
      </c>
      <c r="G2778" s="3" t="s">
        <v>22</v>
      </c>
      <c r="H2778" s="3" t="s">
        <v>93</v>
      </c>
      <c r="I2778" s="3" t="s">
        <v>1614</v>
      </c>
      <c r="J2778" s="3" t="s">
        <v>171</v>
      </c>
      <c r="K2778" s="3">
        <v>3</v>
      </c>
      <c r="L2778" s="3">
        <v>7255.65</v>
      </c>
      <c r="M2778" s="3">
        <v>21766.95</v>
      </c>
      <c r="N2778" s="3">
        <v>14658.21</v>
      </c>
      <c r="O2778" s="3">
        <v>7108.74</v>
      </c>
      <c r="P2778" s="3" t="s">
        <v>45</v>
      </c>
    </row>
    <row r="2779" spans="1:16" x14ac:dyDescent="0.35">
      <c r="A2779" s="3" t="s">
        <v>4172</v>
      </c>
      <c r="B2779" s="3" t="s">
        <v>47</v>
      </c>
      <c r="C2779" s="3" t="s">
        <v>48</v>
      </c>
      <c r="D2779" s="3" t="s">
        <v>90</v>
      </c>
      <c r="E2779" s="3" t="s">
        <v>97</v>
      </c>
      <c r="F2779" s="3" t="s">
        <v>98</v>
      </c>
      <c r="G2779" s="3" t="s">
        <v>41</v>
      </c>
      <c r="H2779" s="3" t="s">
        <v>138</v>
      </c>
      <c r="I2779" s="3" t="s">
        <v>597</v>
      </c>
      <c r="J2779" s="3" t="s">
        <v>79</v>
      </c>
      <c r="K2779" s="3">
        <v>3</v>
      </c>
      <c r="L2779" s="3">
        <v>18161.18</v>
      </c>
      <c r="M2779" s="3">
        <v>54483.54</v>
      </c>
      <c r="N2779" s="3">
        <v>42516.65</v>
      </c>
      <c r="O2779" s="3">
        <v>11966.89</v>
      </c>
      <c r="P2779" s="3" t="s">
        <v>86</v>
      </c>
    </row>
    <row r="2780" spans="1:16" x14ac:dyDescent="0.35">
      <c r="A2780" s="3" t="s">
        <v>4173</v>
      </c>
      <c r="B2780" s="3" t="s">
        <v>1301</v>
      </c>
      <c r="C2780" s="3" t="s">
        <v>18</v>
      </c>
      <c r="D2780" s="3" t="s">
        <v>58</v>
      </c>
      <c r="E2780" s="3" t="s">
        <v>176</v>
      </c>
      <c r="F2780" s="3" t="s">
        <v>177</v>
      </c>
      <c r="G2780" s="3" t="s">
        <v>51</v>
      </c>
      <c r="H2780" s="3" t="s">
        <v>52</v>
      </c>
      <c r="I2780" s="3" t="s">
        <v>3898</v>
      </c>
      <c r="J2780" s="3" t="s">
        <v>44</v>
      </c>
      <c r="K2780" s="3">
        <v>4</v>
      </c>
      <c r="L2780" s="3">
        <v>23.16</v>
      </c>
      <c r="M2780" s="3">
        <v>92.64</v>
      </c>
      <c r="N2780" s="3">
        <v>38.1</v>
      </c>
      <c r="O2780" s="3">
        <v>54.54</v>
      </c>
      <c r="P2780" s="3" t="s">
        <v>69</v>
      </c>
    </row>
    <row r="2781" spans="1:16" x14ac:dyDescent="0.35">
      <c r="A2781" s="3" t="s">
        <v>4174</v>
      </c>
      <c r="B2781" s="3" t="s">
        <v>260</v>
      </c>
      <c r="C2781" s="3" t="s">
        <v>37</v>
      </c>
      <c r="D2781" s="3" t="s">
        <v>19</v>
      </c>
      <c r="E2781" s="3" t="s">
        <v>199</v>
      </c>
      <c r="F2781" s="3" t="s">
        <v>200</v>
      </c>
      <c r="G2781" s="3" t="s">
        <v>51</v>
      </c>
      <c r="H2781" s="3" t="s">
        <v>145</v>
      </c>
      <c r="I2781" s="3" t="s">
        <v>4175</v>
      </c>
      <c r="J2781" s="3" t="s">
        <v>171</v>
      </c>
      <c r="K2781" s="3">
        <v>3</v>
      </c>
      <c r="L2781" s="3">
        <v>119.33</v>
      </c>
      <c r="M2781" s="3">
        <v>357.99</v>
      </c>
      <c r="N2781" s="3">
        <v>187.42</v>
      </c>
      <c r="O2781" s="3">
        <v>170.57</v>
      </c>
      <c r="P2781" s="3" t="s">
        <v>86</v>
      </c>
    </row>
    <row r="2782" spans="1:16" x14ac:dyDescent="0.35">
      <c r="A2782" s="3" t="s">
        <v>4176</v>
      </c>
      <c r="B2782" s="3" t="s">
        <v>1322</v>
      </c>
      <c r="C2782" s="3" t="s">
        <v>72</v>
      </c>
      <c r="D2782" s="3" t="s">
        <v>19</v>
      </c>
      <c r="E2782" s="3" t="s">
        <v>20</v>
      </c>
      <c r="F2782" s="3" t="s">
        <v>21</v>
      </c>
      <c r="G2782" s="3" t="s">
        <v>41</v>
      </c>
      <c r="H2782" s="3" t="s">
        <v>42</v>
      </c>
      <c r="I2782" s="3" t="s">
        <v>1803</v>
      </c>
      <c r="J2782" s="3" t="s">
        <v>25</v>
      </c>
      <c r="K2782" s="3">
        <v>4</v>
      </c>
      <c r="L2782" s="3">
        <v>47663.01</v>
      </c>
      <c r="M2782" s="3">
        <v>190652.04</v>
      </c>
      <c r="N2782" s="3">
        <v>139089.29</v>
      </c>
      <c r="O2782" s="3">
        <v>51562.75</v>
      </c>
      <c r="P2782" s="3" t="s">
        <v>26</v>
      </c>
    </row>
    <row r="2783" spans="1:16" x14ac:dyDescent="0.35">
      <c r="A2783" s="3" t="s">
        <v>4177</v>
      </c>
      <c r="B2783" s="3" t="s">
        <v>108</v>
      </c>
      <c r="C2783" s="3" t="s">
        <v>72</v>
      </c>
      <c r="D2783" s="3" t="s">
        <v>90</v>
      </c>
      <c r="E2783" s="3" t="s">
        <v>119</v>
      </c>
      <c r="F2783" s="3" t="s">
        <v>120</v>
      </c>
      <c r="G2783" s="3" t="s">
        <v>41</v>
      </c>
      <c r="H2783" s="3" t="s">
        <v>42</v>
      </c>
      <c r="I2783" s="3" t="s">
        <v>1796</v>
      </c>
      <c r="J2783" s="3" t="s">
        <v>131</v>
      </c>
      <c r="K2783" s="3">
        <v>5</v>
      </c>
      <c r="L2783" s="3">
        <v>44147.66</v>
      </c>
      <c r="M2783" s="3">
        <v>220738.3</v>
      </c>
      <c r="N2783" s="3">
        <v>170929.54</v>
      </c>
      <c r="O2783" s="3">
        <v>49808.76</v>
      </c>
      <c r="P2783" s="3" t="s">
        <v>45</v>
      </c>
    </row>
    <row r="2784" spans="1:16" x14ac:dyDescent="0.35">
      <c r="A2784" s="3" t="s">
        <v>4178</v>
      </c>
      <c r="B2784" s="3" t="s">
        <v>2041</v>
      </c>
      <c r="C2784" s="3" t="s">
        <v>89</v>
      </c>
      <c r="D2784" s="3" t="s">
        <v>58</v>
      </c>
      <c r="E2784" s="3" t="s">
        <v>176</v>
      </c>
      <c r="F2784" s="3" t="s">
        <v>177</v>
      </c>
      <c r="G2784" s="3" t="s">
        <v>22</v>
      </c>
      <c r="H2784" s="3" t="s">
        <v>93</v>
      </c>
      <c r="I2784" s="3" t="s">
        <v>758</v>
      </c>
      <c r="J2784" s="3" t="s">
        <v>54</v>
      </c>
      <c r="K2784" s="3">
        <v>6</v>
      </c>
      <c r="L2784" s="3">
        <v>7038.81</v>
      </c>
      <c r="M2784" s="3">
        <v>42232.86</v>
      </c>
      <c r="N2784" s="3">
        <v>29637.58</v>
      </c>
      <c r="O2784" s="3">
        <v>12595.28</v>
      </c>
      <c r="P2784" s="3" t="s">
        <v>69</v>
      </c>
    </row>
    <row r="2785" spans="1:16" x14ac:dyDescent="0.35">
      <c r="A2785" s="3" t="s">
        <v>4179</v>
      </c>
      <c r="B2785" s="3" t="s">
        <v>1935</v>
      </c>
      <c r="C2785" s="3" t="s">
        <v>72</v>
      </c>
      <c r="D2785" s="3" t="s">
        <v>58</v>
      </c>
      <c r="E2785" s="3" t="s">
        <v>176</v>
      </c>
      <c r="F2785" s="3" t="s">
        <v>177</v>
      </c>
      <c r="G2785" s="3" t="s">
        <v>30</v>
      </c>
      <c r="H2785" s="3" t="s">
        <v>73</v>
      </c>
      <c r="I2785" s="3" t="s">
        <v>3372</v>
      </c>
      <c r="J2785" s="3" t="s">
        <v>217</v>
      </c>
      <c r="K2785" s="3">
        <v>7</v>
      </c>
      <c r="L2785" s="3">
        <v>3456.53</v>
      </c>
      <c r="M2785" s="3">
        <v>24195.71</v>
      </c>
      <c r="N2785" s="3">
        <v>16772.57</v>
      </c>
      <c r="O2785" s="3">
        <v>7423.14</v>
      </c>
      <c r="P2785" s="3" t="s">
        <v>86</v>
      </c>
    </row>
    <row r="2786" spans="1:16" x14ac:dyDescent="0.35">
      <c r="A2786" s="3" t="s">
        <v>4180</v>
      </c>
      <c r="B2786" s="3" t="s">
        <v>1089</v>
      </c>
      <c r="C2786" s="3" t="s">
        <v>48</v>
      </c>
      <c r="D2786" s="3" t="s">
        <v>58</v>
      </c>
      <c r="E2786" s="3" t="s">
        <v>65</v>
      </c>
      <c r="F2786" s="3" t="s">
        <v>66</v>
      </c>
      <c r="G2786" s="3" t="s">
        <v>41</v>
      </c>
      <c r="H2786" s="3" t="s">
        <v>61</v>
      </c>
      <c r="I2786" s="3" t="s">
        <v>362</v>
      </c>
      <c r="J2786" s="3" t="s">
        <v>79</v>
      </c>
      <c r="K2786" s="3">
        <v>5</v>
      </c>
      <c r="L2786" s="3">
        <v>2499.86</v>
      </c>
      <c r="M2786" s="3">
        <v>12499.3</v>
      </c>
      <c r="N2786" s="3">
        <v>8309.6200000000008</v>
      </c>
      <c r="O2786" s="3">
        <v>4189.68</v>
      </c>
      <c r="P2786" s="3" t="s">
        <v>26</v>
      </c>
    </row>
    <row r="2787" spans="1:16" x14ac:dyDescent="0.35">
      <c r="A2787" s="3" t="s">
        <v>4181</v>
      </c>
      <c r="B2787" s="3" t="s">
        <v>856</v>
      </c>
      <c r="C2787" s="3" t="s">
        <v>103</v>
      </c>
      <c r="D2787" s="3" t="s">
        <v>19</v>
      </c>
      <c r="E2787" s="3" t="s">
        <v>199</v>
      </c>
      <c r="F2787" s="3" t="s">
        <v>200</v>
      </c>
      <c r="G2787" s="3" t="s">
        <v>51</v>
      </c>
      <c r="H2787" s="3" t="s">
        <v>145</v>
      </c>
      <c r="I2787" s="3" t="s">
        <v>744</v>
      </c>
      <c r="J2787" s="3" t="s">
        <v>79</v>
      </c>
      <c r="K2787" s="3">
        <v>5</v>
      </c>
      <c r="L2787" s="3">
        <v>109.96</v>
      </c>
      <c r="M2787" s="3">
        <v>549.79999999999995</v>
      </c>
      <c r="N2787" s="3">
        <v>292.89999999999998</v>
      </c>
      <c r="O2787" s="3">
        <v>256.89999999999998</v>
      </c>
      <c r="P2787" s="3" t="s">
        <v>34</v>
      </c>
    </row>
    <row r="2788" spans="1:16" x14ac:dyDescent="0.35">
      <c r="A2788" s="3" t="s">
        <v>4182</v>
      </c>
      <c r="B2788" s="3" t="s">
        <v>583</v>
      </c>
      <c r="C2788" s="3" t="s">
        <v>89</v>
      </c>
      <c r="D2788" s="3" t="s">
        <v>58</v>
      </c>
      <c r="E2788" s="3" t="s">
        <v>176</v>
      </c>
      <c r="F2788" s="3" t="s">
        <v>177</v>
      </c>
      <c r="G2788" s="3" t="s">
        <v>41</v>
      </c>
      <c r="H2788" s="3" t="s">
        <v>61</v>
      </c>
      <c r="I2788" s="3" t="s">
        <v>1489</v>
      </c>
      <c r="J2788" s="3" t="s">
        <v>106</v>
      </c>
      <c r="K2788" s="3">
        <v>4</v>
      </c>
      <c r="L2788" s="3">
        <v>2376.25</v>
      </c>
      <c r="M2788" s="3">
        <v>9505</v>
      </c>
      <c r="N2788" s="3">
        <v>6411.48</v>
      </c>
      <c r="O2788" s="3">
        <v>3093.52</v>
      </c>
      <c r="P2788" s="3" t="s">
        <v>86</v>
      </c>
    </row>
    <row r="2789" spans="1:16" x14ac:dyDescent="0.35">
      <c r="A2789" s="3" t="s">
        <v>4183</v>
      </c>
      <c r="B2789" s="3" t="s">
        <v>1429</v>
      </c>
      <c r="C2789" s="3" t="s">
        <v>89</v>
      </c>
      <c r="D2789" s="3" t="s">
        <v>58</v>
      </c>
      <c r="E2789" s="3" t="s">
        <v>65</v>
      </c>
      <c r="F2789" s="3" t="s">
        <v>66</v>
      </c>
      <c r="G2789" s="3" t="s">
        <v>22</v>
      </c>
      <c r="H2789" s="3" t="s">
        <v>93</v>
      </c>
      <c r="I2789" s="3" t="s">
        <v>1924</v>
      </c>
      <c r="J2789" s="3" t="s">
        <v>188</v>
      </c>
      <c r="K2789" s="3">
        <v>5</v>
      </c>
      <c r="L2789" s="3">
        <v>6647.42</v>
      </c>
      <c r="M2789" s="3">
        <v>33237.1</v>
      </c>
      <c r="N2789" s="3">
        <v>24211.82</v>
      </c>
      <c r="O2789" s="3">
        <v>9025.2800000000007</v>
      </c>
      <c r="P2789" s="3" t="s">
        <v>69</v>
      </c>
    </row>
    <row r="2790" spans="1:16" x14ac:dyDescent="0.35">
      <c r="A2790" s="3" t="s">
        <v>4184</v>
      </c>
      <c r="B2790" s="3" t="s">
        <v>1136</v>
      </c>
      <c r="C2790" s="3" t="s">
        <v>118</v>
      </c>
      <c r="D2790" s="3" t="s">
        <v>58</v>
      </c>
      <c r="E2790" s="3" t="s">
        <v>59</v>
      </c>
      <c r="F2790" s="3" t="s">
        <v>60</v>
      </c>
      <c r="G2790" s="3" t="s">
        <v>41</v>
      </c>
      <c r="H2790" s="3" t="s">
        <v>42</v>
      </c>
      <c r="I2790" s="3" t="s">
        <v>785</v>
      </c>
      <c r="J2790" s="3" t="s">
        <v>44</v>
      </c>
      <c r="K2790" s="3">
        <v>1</v>
      </c>
      <c r="L2790" s="3">
        <v>42011.45</v>
      </c>
      <c r="M2790" s="3">
        <v>42011.45</v>
      </c>
      <c r="N2790" s="3">
        <v>36473.15</v>
      </c>
      <c r="O2790" s="3">
        <v>5538.3</v>
      </c>
      <c r="P2790" s="3" t="s">
        <v>45</v>
      </c>
    </row>
    <row r="2791" spans="1:16" x14ac:dyDescent="0.35">
      <c r="A2791" s="3" t="s">
        <v>4185</v>
      </c>
      <c r="B2791" s="3" t="s">
        <v>798</v>
      </c>
      <c r="C2791" s="3" t="s">
        <v>18</v>
      </c>
      <c r="D2791" s="3" t="s">
        <v>90</v>
      </c>
      <c r="E2791" s="3" t="s">
        <v>91</v>
      </c>
      <c r="F2791" s="3" t="s">
        <v>92</v>
      </c>
      <c r="G2791" s="3" t="s">
        <v>41</v>
      </c>
      <c r="H2791" s="3" t="s">
        <v>42</v>
      </c>
      <c r="I2791" s="3" t="s">
        <v>1965</v>
      </c>
      <c r="J2791" s="3" t="s">
        <v>106</v>
      </c>
      <c r="K2791" s="3">
        <v>7</v>
      </c>
      <c r="L2791" s="3">
        <v>41228.1</v>
      </c>
      <c r="M2791" s="3">
        <v>288596.7</v>
      </c>
      <c r="N2791" s="3">
        <v>241070.23</v>
      </c>
      <c r="O2791" s="3">
        <v>47526.47</v>
      </c>
      <c r="P2791" s="3" t="s">
        <v>34</v>
      </c>
    </row>
    <row r="2792" spans="1:16" x14ac:dyDescent="0.35">
      <c r="A2792" s="3" t="s">
        <v>4186</v>
      </c>
      <c r="B2792" s="3" t="s">
        <v>1761</v>
      </c>
      <c r="C2792" s="3" t="s">
        <v>72</v>
      </c>
      <c r="D2792" s="3" t="s">
        <v>19</v>
      </c>
      <c r="E2792" s="3" t="s">
        <v>20</v>
      </c>
      <c r="F2792" s="3" t="s">
        <v>21</v>
      </c>
      <c r="G2792" s="3" t="s">
        <v>22</v>
      </c>
      <c r="H2792" s="3" t="s">
        <v>23</v>
      </c>
      <c r="I2792" s="3" t="s">
        <v>1087</v>
      </c>
      <c r="J2792" s="3" t="s">
        <v>131</v>
      </c>
      <c r="K2792" s="3">
        <v>2</v>
      </c>
      <c r="L2792" s="3">
        <v>3270.81</v>
      </c>
      <c r="M2792" s="3">
        <v>6541.62</v>
      </c>
      <c r="N2792" s="3">
        <v>4560.57</v>
      </c>
      <c r="O2792" s="3">
        <v>1981.05</v>
      </c>
      <c r="P2792" s="3" t="s">
        <v>86</v>
      </c>
    </row>
    <row r="2793" spans="1:16" x14ac:dyDescent="0.35">
      <c r="A2793" s="3" t="s">
        <v>4187</v>
      </c>
      <c r="B2793" s="3" t="s">
        <v>192</v>
      </c>
      <c r="C2793" s="3" t="s">
        <v>103</v>
      </c>
      <c r="D2793" s="3" t="s">
        <v>90</v>
      </c>
      <c r="E2793" s="3" t="s">
        <v>91</v>
      </c>
      <c r="F2793" s="3" t="s">
        <v>92</v>
      </c>
      <c r="G2793" s="3" t="s">
        <v>30</v>
      </c>
      <c r="H2793" s="3" t="s">
        <v>73</v>
      </c>
      <c r="I2793" s="3" t="s">
        <v>1866</v>
      </c>
      <c r="J2793" s="3" t="s">
        <v>188</v>
      </c>
      <c r="K2793" s="3">
        <v>2</v>
      </c>
      <c r="L2793" s="3">
        <v>3415.71</v>
      </c>
      <c r="M2793" s="3">
        <v>6831.42</v>
      </c>
      <c r="N2793" s="3">
        <v>4856.38</v>
      </c>
      <c r="O2793" s="3">
        <v>1975.04</v>
      </c>
      <c r="P2793" s="3" t="s">
        <v>34</v>
      </c>
    </row>
    <row r="2794" spans="1:16" x14ac:dyDescent="0.35">
      <c r="A2794" s="3" t="s">
        <v>4188</v>
      </c>
      <c r="B2794" s="3" t="s">
        <v>1166</v>
      </c>
      <c r="C2794" s="3" t="s">
        <v>118</v>
      </c>
      <c r="D2794" s="3" t="s">
        <v>90</v>
      </c>
      <c r="E2794" s="3" t="s">
        <v>91</v>
      </c>
      <c r="F2794" s="3" t="s">
        <v>92</v>
      </c>
      <c r="G2794" s="3" t="s">
        <v>30</v>
      </c>
      <c r="H2794" s="3" t="s">
        <v>73</v>
      </c>
      <c r="I2794" s="3" t="s">
        <v>352</v>
      </c>
      <c r="J2794" s="3" t="s">
        <v>25</v>
      </c>
      <c r="K2794" s="3">
        <v>6</v>
      </c>
      <c r="L2794" s="3">
        <v>3476.53</v>
      </c>
      <c r="M2794" s="3">
        <v>20859.18</v>
      </c>
      <c r="N2794" s="3">
        <v>14301.37</v>
      </c>
      <c r="O2794" s="3">
        <v>6557.81</v>
      </c>
      <c r="P2794" s="3" t="s">
        <v>26</v>
      </c>
    </row>
    <row r="2795" spans="1:16" x14ac:dyDescent="0.35">
      <c r="A2795" s="3" t="s">
        <v>4189</v>
      </c>
      <c r="B2795" s="3" t="s">
        <v>559</v>
      </c>
      <c r="C2795" s="3" t="s">
        <v>89</v>
      </c>
      <c r="D2795" s="3" t="s">
        <v>38</v>
      </c>
      <c r="E2795" s="3" t="s">
        <v>104</v>
      </c>
      <c r="F2795" s="3" t="s">
        <v>104</v>
      </c>
      <c r="G2795" s="3" t="s">
        <v>51</v>
      </c>
      <c r="H2795" s="3" t="s">
        <v>145</v>
      </c>
      <c r="I2795" s="3" t="s">
        <v>2763</v>
      </c>
      <c r="J2795" s="3" t="s">
        <v>44</v>
      </c>
      <c r="K2795" s="3">
        <v>4</v>
      </c>
      <c r="L2795" s="3">
        <v>115.37</v>
      </c>
      <c r="M2795" s="3">
        <v>461.48</v>
      </c>
      <c r="N2795" s="3">
        <v>242.91</v>
      </c>
      <c r="O2795" s="3">
        <v>218.57</v>
      </c>
      <c r="P2795" s="3" t="s">
        <v>45</v>
      </c>
    </row>
    <row r="2796" spans="1:16" x14ac:dyDescent="0.35">
      <c r="A2796" s="3" t="s">
        <v>4190</v>
      </c>
      <c r="B2796" s="3" t="s">
        <v>936</v>
      </c>
      <c r="C2796" s="3" t="s">
        <v>89</v>
      </c>
      <c r="D2796" s="3" t="s">
        <v>58</v>
      </c>
      <c r="E2796" s="3" t="s">
        <v>65</v>
      </c>
      <c r="F2796" s="3" t="s">
        <v>66</v>
      </c>
      <c r="G2796" s="3" t="s">
        <v>51</v>
      </c>
      <c r="H2796" s="3" t="s">
        <v>77</v>
      </c>
      <c r="I2796" s="3" t="s">
        <v>2495</v>
      </c>
      <c r="J2796" s="3" t="s">
        <v>217</v>
      </c>
      <c r="K2796" s="3">
        <v>2</v>
      </c>
      <c r="L2796" s="3">
        <v>11858.03</v>
      </c>
      <c r="M2796" s="3">
        <v>23716.06</v>
      </c>
      <c r="N2796" s="3">
        <v>18537.32</v>
      </c>
      <c r="O2796" s="3">
        <v>5178.74</v>
      </c>
      <c r="P2796" s="3" t="s">
        <v>26</v>
      </c>
    </row>
    <row r="2797" spans="1:16" x14ac:dyDescent="0.35">
      <c r="A2797" s="3" t="s">
        <v>4191</v>
      </c>
      <c r="B2797" s="3" t="s">
        <v>539</v>
      </c>
      <c r="C2797" s="3" t="s">
        <v>89</v>
      </c>
      <c r="D2797" s="3" t="s">
        <v>90</v>
      </c>
      <c r="E2797" s="3" t="s">
        <v>97</v>
      </c>
      <c r="F2797" s="3" t="s">
        <v>98</v>
      </c>
      <c r="G2797" s="3" t="s">
        <v>41</v>
      </c>
      <c r="H2797" s="3" t="s">
        <v>61</v>
      </c>
      <c r="I2797" s="3" t="s">
        <v>1986</v>
      </c>
      <c r="J2797" s="3" t="s">
        <v>33</v>
      </c>
      <c r="K2797" s="3">
        <v>8</v>
      </c>
      <c r="L2797" s="3">
        <v>2336.64</v>
      </c>
      <c r="M2797" s="3">
        <v>18693.12</v>
      </c>
      <c r="N2797" s="3">
        <v>12583.58</v>
      </c>
      <c r="O2797" s="3">
        <v>6109.54</v>
      </c>
      <c r="P2797" s="3" t="s">
        <v>69</v>
      </c>
    </row>
    <row r="2798" spans="1:16" x14ac:dyDescent="0.35">
      <c r="A2798" s="3" t="s">
        <v>4192</v>
      </c>
      <c r="B2798" s="3" t="s">
        <v>1733</v>
      </c>
      <c r="C2798" s="3" t="s">
        <v>137</v>
      </c>
      <c r="D2798" s="3" t="s">
        <v>19</v>
      </c>
      <c r="E2798" s="3" t="s">
        <v>20</v>
      </c>
      <c r="F2798" s="3" t="s">
        <v>21</v>
      </c>
      <c r="G2798" s="3" t="s">
        <v>22</v>
      </c>
      <c r="H2798" s="3" t="s">
        <v>23</v>
      </c>
      <c r="I2798" s="3" t="s">
        <v>2119</v>
      </c>
      <c r="J2798" s="3" t="s">
        <v>25</v>
      </c>
      <c r="K2798" s="3">
        <v>1</v>
      </c>
      <c r="L2798" s="3">
        <v>3247.67</v>
      </c>
      <c r="M2798" s="3">
        <v>3247.67</v>
      </c>
      <c r="N2798" s="3">
        <v>2135.2399999999998</v>
      </c>
      <c r="O2798" s="3">
        <v>1112.43</v>
      </c>
      <c r="P2798" s="3" t="s">
        <v>45</v>
      </c>
    </row>
    <row r="2799" spans="1:16" x14ac:dyDescent="0.35">
      <c r="A2799" s="3" t="s">
        <v>4193</v>
      </c>
      <c r="B2799" s="3" t="s">
        <v>743</v>
      </c>
      <c r="C2799" s="3" t="s">
        <v>72</v>
      </c>
      <c r="D2799" s="3" t="s">
        <v>38</v>
      </c>
      <c r="E2799" s="3" t="s">
        <v>109</v>
      </c>
      <c r="F2799" s="3" t="s">
        <v>110</v>
      </c>
      <c r="G2799" s="3" t="s">
        <v>30</v>
      </c>
      <c r="H2799" s="3" t="s">
        <v>73</v>
      </c>
      <c r="I2799" s="3" t="s">
        <v>164</v>
      </c>
      <c r="J2799" s="3" t="s">
        <v>171</v>
      </c>
      <c r="K2799" s="3">
        <v>8</v>
      </c>
      <c r="L2799" s="3">
        <v>3510.81</v>
      </c>
      <c r="M2799" s="3">
        <v>28086.48</v>
      </c>
      <c r="N2799" s="3">
        <v>18270.599999999999</v>
      </c>
      <c r="O2799" s="3">
        <v>9815.8799999999992</v>
      </c>
      <c r="P2799" s="3" t="s">
        <v>26</v>
      </c>
    </row>
    <row r="2800" spans="1:16" x14ac:dyDescent="0.35">
      <c r="A2800" s="3" t="s">
        <v>4194</v>
      </c>
      <c r="B2800" s="3" t="s">
        <v>1140</v>
      </c>
      <c r="C2800" s="3" t="s">
        <v>48</v>
      </c>
      <c r="D2800" s="3" t="s">
        <v>38</v>
      </c>
      <c r="E2800" s="3" t="s">
        <v>109</v>
      </c>
      <c r="F2800" s="3" t="s">
        <v>110</v>
      </c>
      <c r="G2800" s="3" t="s">
        <v>30</v>
      </c>
      <c r="H2800" s="3" t="s">
        <v>31</v>
      </c>
      <c r="I2800" s="3" t="s">
        <v>1469</v>
      </c>
      <c r="J2800" s="3" t="s">
        <v>106</v>
      </c>
      <c r="K2800" s="3">
        <v>2</v>
      </c>
      <c r="L2800" s="3">
        <v>2534.88</v>
      </c>
      <c r="M2800" s="3">
        <v>5069.76</v>
      </c>
      <c r="N2800" s="3">
        <v>3689.3</v>
      </c>
      <c r="O2800" s="3">
        <v>1380.46</v>
      </c>
      <c r="P2800" s="3" t="s">
        <v>69</v>
      </c>
    </row>
    <row r="2801" spans="1:16" x14ac:dyDescent="0.35">
      <c r="A2801" s="3" t="s">
        <v>4195</v>
      </c>
      <c r="B2801" s="3" t="s">
        <v>834</v>
      </c>
      <c r="C2801" s="3" t="s">
        <v>114</v>
      </c>
      <c r="D2801" s="3" t="s">
        <v>58</v>
      </c>
      <c r="E2801" s="3" t="s">
        <v>176</v>
      </c>
      <c r="F2801" s="3" t="s">
        <v>177</v>
      </c>
      <c r="G2801" s="3" t="s">
        <v>30</v>
      </c>
      <c r="H2801" s="3" t="s">
        <v>67</v>
      </c>
      <c r="I2801" s="3" t="s">
        <v>2945</v>
      </c>
      <c r="J2801" s="3" t="s">
        <v>79</v>
      </c>
      <c r="K2801" s="3">
        <v>1</v>
      </c>
      <c r="L2801" s="3">
        <v>10195.780000000001</v>
      </c>
      <c r="M2801" s="3">
        <v>10195.780000000001</v>
      </c>
      <c r="N2801" s="3">
        <v>7516.07</v>
      </c>
      <c r="O2801" s="3">
        <v>2679.71</v>
      </c>
      <c r="P2801" s="3" t="s">
        <v>45</v>
      </c>
    </row>
    <row r="2802" spans="1:16" x14ac:dyDescent="0.35">
      <c r="A2802" s="3" t="s">
        <v>4196</v>
      </c>
      <c r="B2802" s="3" t="s">
        <v>344</v>
      </c>
      <c r="C2802" s="3" t="s">
        <v>48</v>
      </c>
      <c r="D2802" s="3" t="s">
        <v>19</v>
      </c>
      <c r="E2802" s="3" t="s">
        <v>20</v>
      </c>
      <c r="F2802" s="3" t="s">
        <v>21</v>
      </c>
      <c r="G2802" s="3" t="s">
        <v>41</v>
      </c>
      <c r="H2802" s="3" t="s">
        <v>138</v>
      </c>
      <c r="I2802" s="3" t="s">
        <v>1220</v>
      </c>
      <c r="J2802" s="3" t="s">
        <v>85</v>
      </c>
      <c r="K2802" s="3">
        <v>5</v>
      </c>
      <c r="L2802" s="3">
        <v>17957.18</v>
      </c>
      <c r="M2802" s="3">
        <v>89785.9</v>
      </c>
      <c r="N2802" s="3">
        <v>72672.539999999994</v>
      </c>
      <c r="O2802" s="3">
        <v>17113.36</v>
      </c>
      <c r="P2802" s="3" t="s">
        <v>34</v>
      </c>
    </row>
    <row r="2803" spans="1:16" x14ac:dyDescent="0.35">
      <c r="A2803" s="3" t="s">
        <v>4197</v>
      </c>
      <c r="B2803" s="3" t="s">
        <v>612</v>
      </c>
      <c r="C2803" s="3" t="s">
        <v>57</v>
      </c>
      <c r="D2803" s="3" t="s">
        <v>19</v>
      </c>
      <c r="E2803" s="3" t="s">
        <v>20</v>
      </c>
      <c r="F2803" s="3" t="s">
        <v>21</v>
      </c>
      <c r="G2803" s="3" t="s">
        <v>22</v>
      </c>
      <c r="H2803" s="3" t="s">
        <v>23</v>
      </c>
      <c r="I2803" s="3" t="s">
        <v>3587</v>
      </c>
      <c r="J2803" s="3" t="s">
        <v>147</v>
      </c>
      <c r="K2803" s="3">
        <v>5</v>
      </c>
      <c r="L2803" s="3">
        <v>3234.91</v>
      </c>
      <c r="M2803" s="3">
        <v>16174.55</v>
      </c>
      <c r="N2803" s="3">
        <v>11218.38</v>
      </c>
      <c r="O2803" s="3">
        <v>4956.17</v>
      </c>
      <c r="P2803" s="3" t="s">
        <v>86</v>
      </c>
    </row>
    <row r="2804" spans="1:16" x14ac:dyDescent="0.35">
      <c r="A2804" s="3" t="s">
        <v>4198</v>
      </c>
      <c r="B2804" s="3" t="s">
        <v>1670</v>
      </c>
      <c r="C2804" s="3" t="s">
        <v>114</v>
      </c>
      <c r="D2804" s="3" t="s">
        <v>90</v>
      </c>
      <c r="E2804" s="3" t="s">
        <v>97</v>
      </c>
      <c r="F2804" s="3" t="s">
        <v>98</v>
      </c>
      <c r="G2804" s="3" t="s">
        <v>51</v>
      </c>
      <c r="H2804" s="3" t="s">
        <v>52</v>
      </c>
      <c r="I2804" s="3" t="s">
        <v>1542</v>
      </c>
      <c r="J2804" s="3" t="s">
        <v>85</v>
      </c>
      <c r="K2804" s="3">
        <v>5</v>
      </c>
      <c r="L2804" s="3">
        <v>24.96</v>
      </c>
      <c r="M2804" s="3">
        <v>124.8</v>
      </c>
      <c r="N2804" s="3">
        <v>47.85</v>
      </c>
      <c r="O2804" s="3">
        <v>76.95</v>
      </c>
      <c r="P2804" s="3" t="s">
        <v>26</v>
      </c>
    </row>
    <row r="2805" spans="1:16" x14ac:dyDescent="0.35">
      <c r="A2805" s="3" t="s">
        <v>4199</v>
      </c>
      <c r="B2805" s="3" t="s">
        <v>163</v>
      </c>
      <c r="C2805" s="3" t="s">
        <v>137</v>
      </c>
      <c r="D2805" s="3" t="s">
        <v>90</v>
      </c>
      <c r="E2805" s="3" t="s">
        <v>119</v>
      </c>
      <c r="F2805" s="3" t="s">
        <v>120</v>
      </c>
      <c r="G2805" s="3" t="s">
        <v>22</v>
      </c>
      <c r="H2805" s="3" t="s">
        <v>93</v>
      </c>
      <c r="I2805" s="3" t="s">
        <v>1555</v>
      </c>
      <c r="J2805" s="3" t="s">
        <v>54</v>
      </c>
      <c r="K2805" s="3">
        <v>4</v>
      </c>
      <c r="L2805" s="3">
        <v>7028.19</v>
      </c>
      <c r="M2805" s="3">
        <v>28112.76</v>
      </c>
      <c r="N2805" s="3">
        <v>19640.2</v>
      </c>
      <c r="O2805" s="3">
        <v>8472.56</v>
      </c>
      <c r="P2805" s="3" t="s">
        <v>34</v>
      </c>
    </row>
    <row r="2806" spans="1:16" x14ac:dyDescent="0.35">
      <c r="A2806" s="3" t="s">
        <v>4200</v>
      </c>
      <c r="B2806" s="3" t="s">
        <v>555</v>
      </c>
      <c r="C2806" s="3" t="s">
        <v>137</v>
      </c>
      <c r="D2806" s="3" t="s">
        <v>58</v>
      </c>
      <c r="E2806" s="3" t="s">
        <v>59</v>
      </c>
      <c r="F2806" s="3" t="s">
        <v>60</v>
      </c>
      <c r="G2806" s="3" t="s">
        <v>51</v>
      </c>
      <c r="H2806" s="3" t="s">
        <v>52</v>
      </c>
      <c r="I2806" s="3" t="s">
        <v>427</v>
      </c>
      <c r="J2806" s="3" t="s">
        <v>106</v>
      </c>
      <c r="K2806" s="3">
        <v>5</v>
      </c>
      <c r="L2806" s="3">
        <v>23.44</v>
      </c>
      <c r="M2806" s="3">
        <v>117.2</v>
      </c>
      <c r="N2806" s="3">
        <v>49.66</v>
      </c>
      <c r="O2806" s="3">
        <v>67.540000000000006</v>
      </c>
      <c r="P2806" s="3" t="s">
        <v>34</v>
      </c>
    </row>
    <row r="2807" spans="1:16" x14ac:dyDescent="0.35">
      <c r="A2807" s="3" t="s">
        <v>4201</v>
      </c>
      <c r="B2807" s="3" t="s">
        <v>583</v>
      </c>
      <c r="C2807" s="3" t="s">
        <v>89</v>
      </c>
      <c r="D2807" s="3" t="s">
        <v>38</v>
      </c>
      <c r="E2807" s="3" t="s">
        <v>104</v>
      </c>
      <c r="F2807" s="3" t="s">
        <v>104</v>
      </c>
      <c r="G2807" s="3" t="s">
        <v>41</v>
      </c>
      <c r="H2807" s="3" t="s">
        <v>138</v>
      </c>
      <c r="I2807" s="3" t="s">
        <v>1547</v>
      </c>
      <c r="J2807" s="3" t="s">
        <v>100</v>
      </c>
      <c r="K2807" s="3">
        <v>3</v>
      </c>
      <c r="L2807" s="3">
        <v>17091.810000000001</v>
      </c>
      <c r="M2807" s="3">
        <v>51275.43</v>
      </c>
      <c r="N2807" s="3">
        <v>43380.31</v>
      </c>
      <c r="O2807" s="3">
        <v>7895.12</v>
      </c>
      <c r="P2807" s="3" t="s">
        <v>86</v>
      </c>
    </row>
    <row r="2808" spans="1:16" x14ac:dyDescent="0.35">
      <c r="A2808" s="3" t="s">
        <v>4202</v>
      </c>
      <c r="B2808" s="3" t="s">
        <v>133</v>
      </c>
      <c r="C2808" s="3" t="s">
        <v>18</v>
      </c>
      <c r="D2808" s="3" t="s">
        <v>19</v>
      </c>
      <c r="E2808" s="3" t="s">
        <v>199</v>
      </c>
      <c r="F2808" s="3" t="s">
        <v>200</v>
      </c>
      <c r="G2808" s="3" t="s">
        <v>30</v>
      </c>
      <c r="H2808" s="3" t="s">
        <v>67</v>
      </c>
      <c r="I2808" s="3" t="s">
        <v>2629</v>
      </c>
      <c r="J2808" s="3" t="s">
        <v>25</v>
      </c>
      <c r="K2808" s="3">
        <v>6</v>
      </c>
      <c r="L2808" s="3">
        <v>9823.74</v>
      </c>
      <c r="M2808" s="3">
        <v>58942.44</v>
      </c>
      <c r="N2808" s="3">
        <v>45408.74</v>
      </c>
      <c r="O2808" s="3">
        <v>13533.7</v>
      </c>
      <c r="P2808" s="3" t="s">
        <v>45</v>
      </c>
    </row>
    <row r="2809" spans="1:16" x14ac:dyDescent="0.35">
      <c r="A2809" s="3" t="s">
        <v>4203</v>
      </c>
      <c r="B2809" s="3" t="s">
        <v>2870</v>
      </c>
      <c r="C2809" s="3" t="s">
        <v>118</v>
      </c>
      <c r="D2809" s="3" t="s">
        <v>90</v>
      </c>
      <c r="E2809" s="3" t="s">
        <v>119</v>
      </c>
      <c r="F2809" s="3" t="s">
        <v>120</v>
      </c>
      <c r="G2809" s="3" t="s">
        <v>30</v>
      </c>
      <c r="H2809" s="3" t="s">
        <v>73</v>
      </c>
      <c r="I2809" s="3" t="s">
        <v>371</v>
      </c>
      <c r="J2809" s="3" t="s">
        <v>131</v>
      </c>
      <c r="K2809" s="3">
        <v>7</v>
      </c>
      <c r="L2809" s="3">
        <v>3013.24</v>
      </c>
      <c r="M2809" s="3">
        <v>21092.68</v>
      </c>
      <c r="N2809" s="3">
        <v>17298.810000000001</v>
      </c>
      <c r="O2809" s="3">
        <v>3793.87</v>
      </c>
      <c r="P2809" s="3" t="s">
        <v>34</v>
      </c>
    </row>
    <row r="2810" spans="1:16" x14ac:dyDescent="0.35">
      <c r="A2810" s="3" t="s">
        <v>4204</v>
      </c>
      <c r="B2810" s="3" t="s">
        <v>589</v>
      </c>
      <c r="C2810" s="3" t="s">
        <v>137</v>
      </c>
      <c r="D2810" s="3" t="s">
        <v>58</v>
      </c>
      <c r="E2810" s="3" t="s">
        <v>176</v>
      </c>
      <c r="F2810" s="3" t="s">
        <v>177</v>
      </c>
      <c r="G2810" s="3" t="s">
        <v>22</v>
      </c>
      <c r="H2810" s="3" t="s">
        <v>83</v>
      </c>
      <c r="I2810" s="3" t="s">
        <v>297</v>
      </c>
      <c r="J2810" s="3" t="s">
        <v>154</v>
      </c>
      <c r="K2810" s="3">
        <v>2</v>
      </c>
      <c r="L2810" s="3">
        <v>21728.400000000001</v>
      </c>
      <c r="M2810" s="3">
        <v>43456.800000000003</v>
      </c>
      <c r="N2810" s="3">
        <v>32779.06</v>
      </c>
      <c r="O2810" s="3">
        <v>10677.74</v>
      </c>
      <c r="P2810" s="3" t="s">
        <v>86</v>
      </c>
    </row>
    <row r="2811" spans="1:16" x14ac:dyDescent="0.35">
      <c r="A2811" s="3" t="s">
        <v>4205</v>
      </c>
      <c r="B2811" s="3" t="s">
        <v>233</v>
      </c>
      <c r="C2811" s="3" t="s">
        <v>103</v>
      </c>
      <c r="D2811" s="3" t="s">
        <v>90</v>
      </c>
      <c r="E2811" s="3" t="s">
        <v>91</v>
      </c>
      <c r="F2811" s="3" t="s">
        <v>92</v>
      </c>
      <c r="G2811" s="3" t="s">
        <v>30</v>
      </c>
      <c r="H2811" s="3" t="s">
        <v>67</v>
      </c>
      <c r="I2811" s="3" t="s">
        <v>1573</v>
      </c>
      <c r="J2811" s="3" t="s">
        <v>106</v>
      </c>
      <c r="K2811" s="3">
        <v>4</v>
      </c>
      <c r="L2811" s="3">
        <v>9922.48</v>
      </c>
      <c r="M2811" s="3">
        <v>39689.919999999998</v>
      </c>
      <c r="N2811" s="3">
        <v>29498.400000000001</v>
      </c>
      <c r="O2811" s="3">
        <v>10191.52</v>
      </c>
      <c r="P2811" s="3" t="s">
        <v>45</v>
      </c>
    </row>
    <row r="2812" spans="1:16" x14ac:dyDescent="0.35">
      <c r="A2812" s="3" t="s">
        <v>4206</v>
      </c>
      <c r="B2812" s="3" t="s">
        <v>1092</v>
      </c>
      <c r="C2812" s="3" t="s">
        <v>103</v>
      </c>
      <c r="D2812" s="3" t="s">
        <v>58</v>
      </c>
      <c r="E2812" s="3" t="s">
        <v>59</v>
      </c>
      <c r="F2812" s="3" t="s">
        <v>60</v>
      </c>
      <c r="G2812" s="3" t="s">
        <v>51</v>
      </c>
      <c r="H2812" s="3" t="s">
        <v>77</v>
      </c>
      <c r="I2812" s="3" t="s">
        <v>3227</v>
      </c>
      <c r="J2812" s="3" t="s">
        <v>79</v>
      </c>
      <c r="K2812" s="3">
        <v>5</v>
      </c>
      <c r="L2812" s="3">
        <v>12129.46</v>
      </c>
      <c r="M2812" s="3">
        <v>60647.3</v>
      </c>
      <c r="N2812" s="3">
        <v>44626.14</v>
      </c>
      <c r="O2812" s="3">
        <v>16021.16</v>
      </c>
      <c r="P2812" s="3" t="s">
        <v>45</v>
      </c>
    </row>
    <row r="2813" spans="1:16" x14ac:dyDescent="0.35">
      <c r="A2813" s="3" t="s">
        <v>4207</v>
      </c>
      <c r="B2813" s="3" t="s">
        <v>149</v>
      </c>
      <c r="C2813" s="3" t="s">
        <v>118</v>
      </c>
      <c r="D2813" s="3" t="s">
        <v>58</v>
      </c>
      <c r="E2813" s="3" t="s">
        <v>176</v>
      </c>
      <c r="F2813" s="3" t="s">
        <v>177</v>
      </c>
      <c r="G2813" s="3" t="s">
        <v>51</v>
      </c>
      <c r="H2813" s="3" t="s">
        <v>77</v>
      </c>
      <c r="I2813" s="3" t="s">
        <v>2608</v>
      </c>
      <c r="J2813" s="3" t="s">
        <v>100</v>
      </c>
      <c r="K2813" s="3">
        <v>5</v>
      </c>
      <c r="L2813" s="3">
        <v>12594.73</v>
      </c>
      <c r="M2813" s="3">
        <v>62973.65</v>
      </c>
      <c r="N2813" s="3">
        <v>43803.88</v>
      </c>
      <c r="O2813" s="3">
        <v>19169.77</v>
      </c>
      <c r="P2813" s="3" t="s">
        <v>26</v>
      </c>
    </row>
    <row r="2814" spans="1:16" x14ac:dyDescent="0.35">
      <c r="A2814" s="3" t="s">
        <v>4208</v>
      </c>
      <c r="B2814" s="3" t="s">
        <v>271</v>
      </c>
      <c r="C2814" s="3" t="s">
        <v>82</v>
      </c>
      <c r="D2814" s="3" t="s">
        <v>38</v>
      </c>
      <c r="E2814" s="3" t="s">
        <v>104</v>
      </c>
      <c r="F2814" s="3" t="s">
        <v>104</v>
      </c>
      <c r="G2814" s="3" t="s">
        <v>30</v>
      </c>
      <c r="H2814" s="3" t="s">
        <v>31</v>
      </c>
      <c r="I2814" s="3" t="s">
        <v>2063</v>
      </c>
      <c r="J2814" s="3" t="s">
        <v>54</v>
      </c>
      <c r="K2814" s="3">
        <v>7</v>
      </c>
      <c r="L2814" s="3">
        <v>2522.8000000000002</v>
      </c>
      <c r="M2814" s="3">
        <v>17659.599999999999</v>
      </c>
      <c r="N2814" s="3">
        <v>13262.45</v>
      </c>
      <c r="O2814" s="3">
        <v>4397.1499999999996</v>
      </c>
      <c r="P2814" s="3" t="s">
        <v>26</v>
      </c>
    </row>
    <row r="2815" spans="1:16" x14ac:dyDescent="0.35">
      <c r="A2815" s="3" t="s">
        <v>4209</v>
      </c>
      <c r="B2815" s="3" t="s">
        <v>141</v>
      </c>
      <c r="C2815" s="3" t="s">
        <v>57</v>
      </c>
      <c r="D2815" s="3" t="s">
        <v>58</v>
      </c>
      <c r="E2815" s="3" t="s">
        <v>59</v>
      </c>
      <c r="F2815" s="3" t="s">
        <v>60</v>
      </c>
      <c r="G2815" s="3" t="s">
        <v>22</v>
      </c>
      <c r="H2815" s="3" t="s">
        <v>83</v>
      </c>
      <c r="I2815" s="3" t="s">
        <v>715</v>
      </c>
      <c r="J2815" s="3" t="s">
        <v>171</v>
      </c>
      <c r="K2815" s="3">
        <v>6</v>
      </c>
      <c r="L2815" s="3">
        <v>23116.34</v>
      </c>
      <c r="M2815" s="3">
        <v>138698.04</v>
      </c>
      <c r="N2815" s="3">
        <v>98218.89</v>
      </c>
      <c r="O2815" s="3">
        <v>40479.15</v>
      </c>
      <c r="P2815" s="3" t="s">
        <v>26</v>
      </c>
    </row>
    <row r="2816" spans="1:16" x14ac:dyDescent="0.35">
      <c r="A2816" s="3" t="s">
        <v>4210</v>
      </c>
      <c r="B2816" s="3" t="s">
        <v>1594</v>
      </c>
      <c r="C2816" s="3" t="s">
        <v>48</v>
      </c>
      <c r="D2816" s="3" t="s">
        <v>38</v>
      </c>
      <c r="E2816" s="3" t="s">
        <v>39</v>
      </c>
      <c r="F2816" s="3" t="s">
        <v>40</v>
      </c>
      <c r="G2816" s="3" t="s">
        <v>30</v>
      </c>
      <c r="H2816" s="3" t="s">
        <v>31</v>
      </c>
      <c r="I2816" s="3" t="s">
        <v>1131</v>
      </c>
      <c r="J2816" s="3" t="s">
        <v>54</v>
      </c>
      <c r="K2816" s="3">
        <v>4</v>
      </c>
      <c r="L2816" s="3">
        <v>2877.04</v>
      </c>
      <c r="M2816" s="3">
        <v>11508.16</v>
      </c>
      <c r="N2816" s="3">
        <v>7864.19</v>
      </c>
      <c r="O2816" s="3">
        <v>3643.97</v>
      </c>
      <c r="P2816" s="3" t="s">
        <v>45</v>
      </c>
    </row>
    <row r="2817" spans="1:16" x14ac:dyDescent="0.35">
      <c r="A2817" s="3" t="s">
        <v>4211</v>
      </c>
      <c r="B2817" s="3" t="s">
        <v>675</v>
      </c>
      <c r="C2817" s="3" t="s">
        <v>82</v>
      </c>
      <c r="D2817" s="3" t="s">
        <v>58</v>
      </c>
      <c r="E2817" s="3" t="s">
        <v>65</v>
      </c>
      <c r="F2817" s="3" t="s">
        <v>66</v>
      </c>
      <c r="G2817" s="3" t="s">
        <v>51</v>
      </c>
      <c r="H2817" s="3" t="s">
        <v>145</v>
      </c>
      <c r="I2817" s="3" t="s">
        <v>1114</v>
      </c>
      <c r="J2817" s="3" t="s">
        <v>25</v>
      </c>
      <c r="K2817" s="3">
        <v>3</v>
      </c>
      <c r="L2817" s="3">
        <v>112.23</v>
      </c>
      <c r="M2817" s="3">
        <v>336.69</v>
      </c>
      <c r="N2817" s="3">
        <v>173.78</v>
      </c>
      <c r="O2817" s="3">
        <v>162.91</v>
      </c>
      <c r="P2817" s="3" t="s">
        <v>34</v>
      </c>
    </row>
    <row r="2818" spans="1:16" x14ac:dyDescent="0.35">
      <c r="A2818" s="3" t="s">
        <v>4212</v>
      </c>
      <c r="B2818" s="3" t="s">
        <v>1727</v>
      </c>
      <c r="C2818" s="3" t="s">
        <v>89</v>
      </c>
      <c r="D2818" s="3" t="s">
        <v>90</v>
      </c>
      <c r="E2818" s="3" t="s">
        <v>97</v>
      </c>
      <c r="F2818" s="3" t="s">
        <v>98</v>
      </c>
      <c r="G2818" s="3" t="s">
        <v>22</v>
      </c>
      <c r="H2818" s="3" t="s">
        <v>83</v>
      </c>
      <c r="I2818" s="3" t="s">
        <v>1334</v>
      </c>
      <c r="J2818" s="3" t="s">
        <v>100</v>
      </c>
      <c r="K2818" s="3">
        <v>7</v>
      </c>
      <c r="L2818" s="3">
        <v>22117.59</v>
      </c>
      <c r="M2818" s="3">
        <v>154823.13</v>
      </c>
      <c r="N2818" s="3">
        <v>114692.83</v>
      </c>
      <c r="O2818" s="3">
        <v>40130.300000000003</v>
      </c>
      <c r="P2818" s="3" t="s">
        <v>69</v>
      </c>
    </row>
    <row r="2819" spans="1:16" x14ac:dyDescent="0.35">
      <c r="A2819" s="3" t="s">
        <v>4213</v>
      </c>
      <c r="B2819" s="3" t="s">
        <v>930</v>
      </c>
      <c r="C2819" s="3" t="s">
        <v>103</v>
      </c>
      <c r="D2819" s="3" t="s">
        <v>58</v>
      </c>
      <c r="E2819" s="3" t="s">
        <v>65</v>
      </c>
      <c r="F2819" s="3" t="s">
        <v>66</v>
      </c>
      <c r="G2819" s="3" t="s">
        <v>30</v>
      </c>
      <c r="H2819" s="3" t="s">
        <v>73</v>
      </c>
      <c r="I2819" s="3" t="s">
        <v>4107</v>
      </c>
      <c r="J2819" s="3" t="s">
        <v>100</v>
      </c>
      <c r="K2819" s="3">
        <v>6</v>
      </c>
      <c r="L2819" s="3">
        <v>2964.32</v>
      </c>
      <c r="M2819" s="3">
        <v>17785.919999999998</v>
      </c>
      <c r="N2819" s="3">
        <v>14963.05</v>
      </c>
      <c r="O2819" s="3">
        <v>2822.87</v>
      </c>
      <c r="P2819" s="3" t="s">
        <v>45</v>
      </c>
    </row>
    <row r="2820" spans="1:16" x14ac:dyDescent="0.35">
      <c r="A2820" s="3" t="s">
        <v>4214</v>
      </c>
      <c r="B2820" s="3" t="s">
        <v>265</v>
      </c>
      <c r="C2820" s="3" t="s">
        <v>37</v>
      </c>
      <c r="D2820" s="3" t="s">
        <v>38</v>
      </c>
      <c r="E2820" s="3" t="s">
        <v>109</v>
      </c>
      <c r="F2820" s="3" t="s">
        <v>110</v>
      </c>
      <c r="G2820" s="3" t="s">
        <v>22</v>
      </c>
      <c r="H2820" s="3" t="s">
        <v>93</v>
      </c>
      <c r="I2820" s="3" t="s">
        <v>914</v>
      </c>
      <c r="J2820" s="3" t="s">
        <v>44</v>
      </c>
      <c r="K2820" s="3">
        <v>6</v>
      </c>
      <c r="L2820" s="3">
        <v>6445.99</v>
      </c>
      <c r="M2820" s="3">
        <v>38675.94</v>
      </c>
      <c r="N2820" s="3">
        <v>28796.45</v>
      </c>
      <c r="O2820" s="3">
        <v>9879.49</v>
      </c>
      <c r="P2820" s="3" t="s">
        <v>26</v>
      </c>
    </row>
    <row r="2821" spans="1:16" x14ac:dyDescent="0.35">
      <c r="A2821" s="3" t="s">
        <v>4215</v>
      </c>
      <c r="B2821" s="3" t="s">
        <v>415</v>
      </c>
      <c r="C2821" s="3" t="s">
        <v>18</v>
      </c>
      <c r="D2821" s="3" t="s">
        <v>90</v>
      </c>
      <c r="E2821" s="3" t="s">
        <v>91</v>
      </c>
      <c r="F2821" s="3" t="s">
        <v>92</v>
      </c>
      <c r="G2821" s="3" t="s">
        <v>51</v>
      </c>
      <c r="H2821" s="3" t="s">
        <v>145</v>
      </c>
      <c r="I2821" s="3" t="s">
        <v>481</v>
      </c>
      <c r="J2821" s="3" t="s">
        <v>171</v>
      </c>
      <c r="K2821" s="3">
        <v>2</v>
      </c>
      <c r="L2821" s="3">
        <v>115.16</v>
      </c>
      <c r="M2821" s="3">
        <v>230.32</v>
      </c>
      <c r="N2821" s="3">
        <v>121.49</v>
      </c>
      <c r="O2821" s="3">
        <v>108.83</v>
      </c>
      <c r="P2821" s="3" t="s">
        <v>26</v>
      </c>
    </row>
    <row r="2822" spans="1:16" x14ac:dyDescent="0.35">
      <c r="A2822" s="3" t="s">
        <v>4216</v>
      </c>
      <c r="B2822" s="3" t="s">
        <v>2127</v>
      </c>
      <c r="C2822" s="3" t="s">
        <v>48</v>
      </c>
      <c r="D2822" s="3" t="s">
        <v>90</v>
      </c>
      <c r="E2822" s="3" t="s">
        <v>119</v>
      </c>
      <c r="F2822" s="3" t="s">
        <v>120</v>
      </c>
      <c r="G2822" s="3" t="s">
        <v>51</v>
      </c>
      <c r="H2822" s="3" t="s">
        <v>52</v>
      </c>
      <c r="I2822" s="3" t="s">
        <v>204</v>
      </c>
      <c r="J2822" s="3" t="s">
        <v>188</v>
      </c>
      <c r="K2822" s="3">
        <v>5</v>
      </c>
      <c r="L2822" s="3">
        <v>26.92</v>
      </c>
      <c r="M2822" s="3">
        <v>134.6</v>
      </c>
      <c r="N2822" s="3">
        <v>51.07</v>
      </c>
      <c r="O2822" s="3">
        <v>83.53</v>
      </c>
      <c r="P2822" s="3" t="s">
        <v>26</v>
      </c>
    </row>
    <row r="2823" spans="1:16" x14ac:dyDescent="0.35">
      <c r="A2823" s="3" t="s">
        <v>4217</v>
      </c>
      <c r="B2823" s="3" t="s">
        <v>344</v>
      </c>
      <c r="C2823" s="3" t="s">
        <v>48</v>
      </c>
      <c r="D2823" s="3" t="s">
        <v>38</v>
      </c>
      <c r="E2823" s="3" t="s">
        <v>109</v>
      </c>
      <c r="F2823" s="3" t="s">
        <v>110</v>
      </c>
      <c r="G2823" s="3" t="s">
        <v>41</v>
      </c>
      <c r="H2823" s="3" t="s">
        <v>138</v>
      </c>
      <c r="I2823" s="3" t="s">
        <v>553</v>
      </c>
      <c r="J2823" s="3" t="s">
        <v>154</v>
      </c>
      <c r="K2823" s="3">
        <v>8</v>
      </c>
      <c r="L2823" s="3">
        <v>18618.060000000001</v>
      </c>
      <c r="M2823" s="3">
        <v>148944.48000000001</v>
      </c>
      <c r="N2823" s="3">
        <v>111381.48</v>
      </c>
      <c r="O2823" s="3">
        <v>37563</v>
      </c>
      <c r="P2823" s="3" t="s">
        <v>26</v>
      </c>
    </row>
    <row r="2824" spans="1:16" x14ac:dyDescent="0.35">
      <c r="A2824" s="3" t="s">
        <v>4218</v>
      </c>
      <c r="B2824" s="3" t="s">
        <v>1322</v>
      </c>
      <c r="C2824" s="3" t="s">
        <v>72</v>
      </c>
      <c r="D2824" s="3" t="s">
        <v>19</v>
      </c>
      <c r="E2824" s="3" t="s">
        <v>49</v>
      </c>
      <c r="F2824" s="3" t="s">
        <v>50</v>
      </c>
      <c r="G2824" s="3" t="s">
        <v>22</v>
      </c>
      <c r="H2824" s="3" t="s">
        <v>93</v>
      </c>
      <c r="I2824" s="3" t="s">
        <v>922</v>
      </c>
      <c r="J2824" s="3" t="s">
        <v>85</v>
      </c>
      <c r="K2824" s="3">
        <v>2</v>
      </c>
      <c r="L2824" s="3">
        <v>7424.71</v>
      </c>
      <c r="M2824" s="3">
        <v>14849.42</v>
      </c>
      <c r="N2824" s="3">
        <v>9532</v>
      </c>
      <c r="O2824" s="3">
        <v>5317.42</v>
      </c>
      <c r="P2824" s="3" t="s">
        <v>26</v>
      </c>
    </row>
    <row r="2825" spans="1:16" x14ac:dyDescent="0.35">
      <c r="A2825" s="3" t="s">
        <v>4219</v>
      </c>
      <c r="B2825" s="3" t="s">
        <v>123</v>
      </c>
      <c r="C2825" s="3" t="s">
        <v>18</v>
      </c>
      <c r="D2825" s="3" t="s">
        <v>19</v>
      </c>
      <c r="E2825" s="3" t="s">
        <v>49</v>
      </c>
      <c r="F2825" s="3" t="s">
        <v>50</v>
      </c>
      <c r="G2825" s="3" t="s">
        <v>41</v>
      </c>
      <c r="H2825" s="3" t="s">
        <v>42</v>
      </c>
      <c r="I2825" s="3" t="s">
        <v>3891</v>
      </c>
      <c r="J2825" s="3" t="s">
        <v>85</v>
      </c>
      <c r="K2825" s="3">
        <v>1</v>
      </c>
      <c r="L2825" s="3">
        <v>46656.36</v>
      </c>
      <c r="M2825" s="3">
        <v>46656.36</v>
      </c>
      <c r="N2825" s="3">
        <v>34369.01</v>
      </c>
      <c r="O2825" s="3">
        <v>12287.35</v>
      </c>
      <c r="P2825" s="3" t="s">
        <v>45</v>
      </c>
    </row>
    <row r="2826" spans="1:16" x14ac:dyDescent="0.35">
      <c r="A2826" s="3" t="s">
        <v>4220</v>
      </c>
      <c r="B2826" s="3" t="s">
        <v>1292</v>
      </c>
      <c r="C2826" s="3" t="s">
        <v>57</v>
      </c>
      <c r="D2826" s="3" t="s">
        <v>58</v>
      </c>
      <c r="E2826" s="3" t="s">
        <v>176</v>
      </c>
      <c r="F2826" s="3" t="s">
        <v>177</v>
      </c>
      <c r="G2826" s="3" t="s">
        <v>51</v>
      </c>
      <c r="H2826" s="3" t="s">
        <v>52</v>
      </c>
      <c r="I2826" s="3" t="s">
        <v>3034</v>
      </c>
      <c r="J2826" s="3" t="s">
        <v>147</v>
      </c>
      <c r="K2826" s="3">
        <v>2</v>
      </c>
      <c r="L2826" s="3">
        <v>23.46</v>
      </c>
      <c r="M2826" s="3">
        <v>46.92</v>
      </c>
      <c r="N2826" s="3">
        <v>19.579999999999998</v>
      </c>
      <c r="O2826" s="3">
        <v>27.34</v>
      </c>
      <c r="P2826" s="3" t="s">
        <v>26</v>
      </c>
    </row>
    <row r="2827" spans="1:16" x14ac:dyDescent="0.35">
      <c r="A2827" s="3" t="s">
        <v>4221</v>
      </c>
      <c r="B2827" s="3" t="s">
        <v>420</v>
      </c>
      <c r="C2827" s="3" t="s">
        <v>89</v>
      </c>
      <c r="D2827" s="3" t="s">
        <v>19</v>
      </c>
      <c r="E2827" s="3" t="s">
        <v>20</v>
      </c>
      <c r="F2827" s="3" t="s">
        <v>21</v>
      </c>
      <c r="G2827" s="3" t="s">
        <v>22</v>
      </c>
      <c r="H2827" s="3" t="s">
        <v>23</v>
      </c>
      <c r="I2827" s="3" t="s">
        <v>2998</v>
      </c>
      <c r="J2827" s="3" t="s">
        <v>79</v>
      </c>
      <c r="K2827" s="3">
        <v>2</v>
      </c>
      <c r="L2827" s="3">
        <v>3166.11</v>
      </c>
      <c r="M2827" s="3">
        <v>6332.22</v>
      </c>
      <c r="N2827" s="3">
        <v>4201.82</v>
      </c>
      <c r="O2827" s="3">
        <v>2130.4</v>
      </c>
      <c r="P2827" s="3" t="s">
        <v>26</v>
      </c>
    </row>
    <row r="2828" spans="1:16" x14ac:dyDescent="0.35">
      <c r="A2828" s="3" t="s">
        <v>4222</v>
      </c>
      <c r="B2828" s="3" t="s">
        <v>102</v>
      </c>
      <c r="C2828" s="3" t="s">
        <v>103</v>
      </c>
      <c r="D2828" s="3" t="s">
        <v>90</v>
      </c>
      <c r="E2828" s="3" t="s">
        <v>97</v>
      </c>
      <c r="F2828" s="3" t="s">
        <v>98</v>
      </c>
      <c r="G2828" s="3" t="s">
        <v>41</v>
      </c>
      <c r="H2828" s="3" t="s">
        <v>42</v>
      </c>
      <c r="I2828" s="3" t="s">
        <v>1038</v>
      </c>
      <c r="J2828" s="3" t="s">
        <v>44</v>
      </c>
      <c r="K2828" s="3">
        <v>3</v>
      </c>
      <c r="L2828" s="3">
        <v>49109.8</v>
      </c>
      <c r="M2828" s="3">
        <v>147329.4</v>
      </c>
      <c r="N2828" s="3">
        <v>109809.27</v>
      </c>
      <c r="O2828" s="3">
        <v>37520.129999999997</v>
      </c>
      <c r="P2828" s="3" t="s">
        <v>34</v>
      </c>
    </row>
    <row r="2829" spans="1:16" x14ac:dyDescent="0.35">
      <c r="A2829" s="3" t="s">
        <v>4223</v>
      </c>
      <c r="B2829" s="3" t="s">
        <v>488</v>
      </c>
      <c r="C2829" s="3" t="s">
        <v>29</v>
      </c>
      <c r="D2829" s="3" t="s">
        <v>38</v>
      </c>
      <c r="E2829" s="3" t="s">
        <v>109</v>
      </c>
      <c r="F2829" s="3" t="s">
        <v>110</v>
      </c>
      <c r="G2829" s="3" t="s">
        <v>41</v>
      </c>
      <c r="H2829" s="3" t="s">
        <v>138</v>
      </c>
      <c r="I2829" s="3" t="s">
        <v>2543</v>
      </c>
      <c r="J2829" s="3" t="s">
        <v>44</v>
      </c>
      <c r="K2829" s="3">
        <v>2</v>
      </c>
      <c r="L2829" s="3">
        <v>16595.13</v>
      </c>
      <c r="M2829" s="3">
        <v>33190.26</v>
      </c>
      <c r="N2829" s="3">
        <v>27575.13</v>
      </c>
      <c r="O2829" s="3">
        <v>5615.13</v>
      </c>
      <c r="P2829" s="3" t="s">
        <v>45</v>
      </c>
    </row>
    <row r="2830" spans="1:16" x14ac:dyDescent="0.35">
      <c r="A2830" s="3" t="s">
        <v>4224</v>
      </c>
      <c r="B2830" s="3" t="s">
        <v>847</v>
      </c>
      <c r="C2830" s="3" t="s">
        <v>89</v>
      </c>
      <c r="D2830" s="3" t="s">
        <v>58</v>
      </c>
      <c r="E2830" s="3" t="s">
        <v>176</v>
      </c>
      <c r="F2830" s="3" t="s">
        <v>177</v>
      </c>
      <c r="G2830" s="3" t="s">
        <v>22</v>
      </c>
      <c r="H2830" s="3" t="s">
        <v>83</v>
      </c>
      <c r="I2830" s="3" t="s">
        <v>715</v>
      </c>
      <c r="J2830" s="3" t="s">
        <v>79</v>
      </c>
      <c r="K2830" s="3">
        <v>4</v>
      </c>
      <c r="L2830" s="3">
        <v>20761.740000000002</v>
      </c>
      <c r="M2830" s="3">
        <v>83046.960000000006</v>
      </c>
      <c r="N2830" s="3">
        <v>69199.55</v>
      </c>
      <c r="O2830" s="3">
        <v>13847.41</v>
      </c>
      <c r="P2830" s="3" t="s">
        <v>69</v>
      </c>
    </row>
    <row r="2831" spans="1:16" x14ac:dyDescent="0.35">
      <c r="A2831" s="3" t="s">
        <v>4225</v>
      </c>
      <c r="B2831" s="3" t="s">
        <v>113</v>
      </c>
      <c r="C2831" s="3" t="s">
        <v>114</v>
      </c>
      <c r="D2831" s="3" t="s">
        <v>90</v>
      </c>
      <c r="E2831" s="3" t="s">
        <v>91</v>
      </c>
      <c r="F2831" s="3" t="s">
        <v>92</v>
      </c>
      <c r="G2831" s="3" t="s">
        <v>22</v>
      </c>
      <c r="H2831" s="3" t="s">
        <v>23</v>
      </c>
      <c r="I2831" s="3" t="s">
        <v>1579</v>
      </c>
      <c r="J2831" s="3" t="s">
        <v>25</v>
      </c>
      <c r="K2831" s="3">
        <v>6</v>
      </c>
      <c r="L2831" s="3">
        <v>3345.77</v>
      </c>
      <c r="M2831" s="3">
        <v>20074.62</v>
      </c>
      <c r="N2831" s="3">
        <v>12992.31</v>
      </c>
      <c r="O2831" s="3">
        <v>7082.31</v>
      </c>
      <c r="P2831" s="3" t="s">
        <v>34</v>
      </c>
    </row>
    <row r="2832" spans="1:16" x14ac:dyDescent="0.35">
      <c r="A2832" s="3" t="s">
        <v>4226</v>
      </c>
      <c r="B2832" s="3" t="s">
        <v>1527</v>
      </c>
      <c r="C2832" s="3" t="s">
        <v>114</v>
      </c>
      <c r="D2832" s="3" t="s">
        <v>19</v>
      </c>
      <c r="E2832" s="3" t="s">
        <v>49</v>
      </c>
      <c r="F2832" s="3" t="s">
        <v>50</v>
      </c>
      <c r="G2832" s="3" t="s">
        <v>22</v>
      </c>
      <c r="H2832" s="3" t="s">
        <v>83</v>
      </c>
      <c r="I2832" s="3" t="s">
        <v>255</v>
      </c>
      <c r="J2832" s="3" t="s">
        <v>171</v>
      </c>
      <c r="K2832" s="3">
        <v>3</v>
      </c>
      <c r="L2832" s="3">
        <v>20125.97</v>
      </c>
      <c r="M2832" s="3">
        <v>60377.91</v>
      </c>
      <c r="N2832" s="3">
        <v>49400.04</v>
      </c>
      <c r="O2832" s="3">
        <v>10977.87</v>
      </c>
      <c r="P2832" s="3" t="s">
        <v>69</v>
      </c>
    </row>
    <row r="2833" spans="1:16" x14ac:dyDescent="0.35">
      <c r="A2833" s="3" t="s">
        <v>4227</v>
      </c>
      <c r="B2833" s="3" t="s">
        <v>760</v>
      </c>
      <c r="C2833" s="3" t="s">
        <v>114</v>
      </c>
      <c r="D2833" s="3" t="s">
        <v>58</v>
      </c>
      <c r="E2833" s="3" t="s">
        <v>176</v>
      </c>
      <c r="F2833" s="3" t="s">
        <v>177</v>
      </c>
      <c r="G2833" s="3" t="s">
        <v>51</v>
      </c>
      <c r="H2833" s="3" t="s">
        <v>52</v>
      </c>
      <c r="I2833" s="3" t="s">
        <v>1803</v>
      </c>
      <c r="J2833" s="3" t="s">
        <v>79</v>
      </c>
      <c r="K2833" s="3">
        <v>3</v>
      </c>
      <c r="L2833" s="3">
        <v>23.28</v>
      </c>
      <c r="M2833" s="3">
        <v>69.84</v>
      </c>
      <c r="N2833" s="3">
        <v>28.84</v>
      </c>
      <c r="O2833" s="3">
        <v>41</v>
      </c>
      <c r="P2833" s="3" t="s">
        <v>86</v>
      </c>
    </row>
    <row r="2834" spans="1:16" x14ac:dyDescent="0.35">
      <c r="A2834" s="3" t="s">
        <v>4228</v>
      </c>
      <c r="B2834" s="3" t="s">
        <v>629</v>
      </c>
      <c r="C2834" s="3" t="s">
        <v>29</v>
      </c>
      <c r="D2834" s="3" t="s">
        <v>19</v>
      </c>
      <c r="E2834" s="3" t="s">
        <v>199</v>
      </c>
      <c r="F2834" s="3" t="s">
        <v>200</v>
      </c>
      <c r="G2834" s="3" t="s">
        <v>22</v>
      </c>
      <c r="H2834" s="3" t="s">
        <v>23</v>
      </c>
      <c r="I2834" s="3" t="s">
        <v>475</v>
      </c>
      <c r="J2834" s="3" t="s">
        <v>131</v>
      </c>
      <c r="K2834" s="3">
        <v>5</v>
      </c>
      <c r="L2834" s="3">
        <v>3700.32</v>
      </c>
      <c r="M2834" s="3">
        <v>18501.599999999999</v>
      </c>
      <c r="N2834" s="3">
        <v>10654.98</v>
      </c>
      <c r="O2834" s="3">
        <v>7846.62</v>
      </c>
      <c r="P2834" s="3" t="s">
        <v>34</v>
      </c>
    </row>
    <row r="2835" spans="1:16" x14ac:dyDescent="0.35">
      <c r="A2835" s="3" t="s">
        <v>4229</v>
      </c>
      <c r="B2835" s="3" t="s">
        <v>1546</v>
      </c>
      <c r="C2835" s="3" t="s">
        <v>82</v>
      </c>
      <c r="D2835" s="3" t="s">
        <v>38</v>
      </c>
      <c r="E2835" s="3" t="s">
        <v>39</v>
      </c>
      <c r="F2835" s="3" t="s">
        <v>40</v>
      </c>
      <c r="G2835" s="3" t="s">
        <v>30</v>
      </c>
      <c r="H2835" s="3" t="s">
        <v>73</v>
      </c>
      <c r="I2835" s="3" t="s">
        <v>1137</v>
      </c>
      <c r="J2835" s="3" t="s">
        <v>188</v>
      </c>
      <c r="K2835" s="3">
        <v>3</v>
      </c>
      <c r="L2835" s="3">
        <v>3461.15</v>
      </c>
      <c r="M2835" s="3">
        <v>10383.450000000001</v>
      </c>
      <c r="N2835" s="3">
        <v>7436.03</v>
      </c>
      <c r="O2835" s="3">
        <v>2947.42</v>
      </c>
      <c r="P2835" s="3" t="s">
        <v>45</v>
      </c>
    </row>
    <row r="2836" spans="1:16" x14ac:dyDescent="0.35">
      <c r="A2836" s="3" t="s">
        <v>4230</v>
      </c>
      <c r="B2836" s="3" t="s">
        <v>129</v>
      </c>
      <c r="C2836" s="3" t="s">
        <v>37</v>
      </c>
      <c r="D2836" s="3" t="s">
        <v>90</v>
      </c>
      <c r="E2836" s="3" t="s">
        <v>119</v>
      </c>
      <c r="F2836" s="3" t="s">
        <v>120</v>
      </c>
      <c r="G2836" s="3" t="s">
        <v>51</v>
      </c>
      <c r="H2836" s="3" t="s">
        <v>145</v>
      </c>
      <c r="I2836" s="3" t="s">
        <v>1068</v>
      </c>
      <c r="J2836" s="3" t="s">
        <v>161</v>
      </c>
      <c r="K2836" s="3">
        <v>8</v>
      </c>
      <c r="L2836" s="3">
        <v>121.84</v>
      </c>
      <c r="M2836" s="3">
        <v>974.72</v>
      </c>
      <c r="N2836" s="3">
        <v>493.96</v>
      </c>
      <c r="O2836" s="3">
        <v>480.76</v>
      </c>
      <c r="P2836" s="3" t="s">
        <v>45</v>
      </c>
    </row>
    <row r="2837" spans="1:16" x14ac:dyDescent="0.35">
      <c r="A2837" s="3" t="s">
        <v>4231</v>
      </c>
      <c r="B2837" s="3" t="s">
        <v>757</v>
      </c>
      <c r="C2837" s="3" t="s">
        <v>137</v>
      </c>
      <c r="D2837" s="3" t="s">
        <v>90</v>
      </c>
      <c r="E2837" s="3" t="s">
        <v>97</v>
      </c>
      <c r="F2837" s="3" t="s">
        <v>98</v>
      </c>
      <c r="G2837" s="3" t="s">
        <v>22</v>
      </c>
      <c r="H2837" s="3" t="s">
        <v>83</v>
      </c>
      <c r="I2837" s="3" t="s">
        <v>1948</v>
      </c>
      <c r="J2837" s="3" t="s">
        <v>188</v>
      </c>
      <c r="K2837" s="3">
        <v>3</v>
      </c>
      <c r="L2837" s="3">
        <v>20580.669999999998</v>
      </c>
      <c r="M2837" s="3">
        <v>61742.01</v>
      </c>
      <c r="N2837" s="3">
        <v>50580.01</v>
      </c>
      <c r="O2837" s="3">
        <v>11162</v>
      </c>
      <c r="P2837" s="3" t="s">
        <v>26</v>
      </c>
    </row>
    <row r="2838" spans="1:16" x14ac:dyDescent="0.35">
      <c r="A2838" s="3" t="s">
        <v>4232</v>
      </c>
      <c r="B2838" s="3" t="s">
        <v>173</v>
      </c>
      <c r="C2838" s="3" t="s">
        <v>118</v>
      </c>
      <c r="D2838" s="3" t="s">
        <v>90</v>
      </c>
      <c r="E2838" s="3" t="s">
        <v>97</v>
      </c>
      <c r="F2838" s="3" t="s">
        <v>98</v>
      </c>
      <c r="G2838" s="3" t="s">
        <v>30</v>
      </c>
      <c r="H2838" s="3" t="s">
        <v>31</v>
      </c>
      <c r="I2838" s="3" t="s">
        <v>283</v>
      </c>
      <c r="J2838" s="3" t="s">
        <v>147</v>
      </c>
      <c r="K2838" s="3">
        <v>7</v>
      </c>
      <c r="L2838" s="3">
        <v>2903.57</v>
      </c>
      <c r="M2838" s="3">
        <v>20324.990000000002</v>
      </c>
      <c r="N2838" s="3">
        <v>13086.39</v>
      </c>
      <c r="O2838" s="3">
        <v>7238.6</v>
      </c>
      <c r="P2838" s="3" t="s">
        <v>26</v>
      </c>
    </row>
    <row r="2839" spans="1:16" x14ac:dyDescent="0.35">
      <c r="A2839" s="3" t="s">
        <v>4233</v>
      </c>
      <c r="B2839" s="3" t="s">
        <v>723</v>
      </c>
      <c r="C2839" s="3" t="s">
        <v>137</v>
      </c>
      <c r="D2839" s="3" t="s">
        <v>19</v>
      </c>
      <c r="E2839" s="3" t="s">
        <v>20</v>
      </c>
      <c r="F2839" s="3" t="s">
        <v>21</v>
      </c>
      <c r="G2839" s="3" t="s">
        <v>30</v>
      </c>
      <c r="H2839" s="3" t="s">
        <v>67</v>
      </c>
      <c r="I2839" s="3" t="s">
        <v>2732</v>
      </c>
      <c r="J2839" s="3" t="s">
        <v>106</v>
      </c>
      <c r="K2839" s="3">
        <v>6</v>
      </c>
      <c r="L2839" s="3">
        <v>10302.530000000001</v>
      </c>
      <c r="M2839" s="3">
        <v>61815.18</v>
      </c>
      <c r="N2839" s="3">
        <v>46738.37</v>
      </c>
      <c r="O2839" s="3">
        <v>15076.81</v>
      </c>
      <c r="P2839" s="3" t="s">
        <v>69</v>
      </c>
    </row>
    <row r="2840" spans="1:16" x14ac:dyDescent="0.35">
      <c r="A2840" s="3" t="s">
        <v>4234</v>
      </c>
      <c r="B2840" s="3" t="s">
        <v>102</v>
      </c>
      <c r="C2840" s="3" t="s">
        <v>103</v>
      </c>
      <c r="D2840" s="3" t="s">
        <v>38</v>
      </c>
      <c r="E2840" s="3" t="s">
        <v>39</v>
      </c>
      <c r="F2840" s="3" t="s">
        <v>40</v>
      </c>
      <c r="G2840" s="3" t="s">
        <v>30</v>
      </c>
      <c r="H2840" s="3" t="s">
        <v>73</v>
      </c>
      <c r="I2840" s="3" t="s">
        <v>573</v>
      </c>
      <c r="J2840" s="3" t="s">
        <v>161</v>
      </c>
      <c r="K2840" s="3">
        <v>2</v>
      </c>
      <c r="L2840" s="3">
        <v>3324.6</v>
      </c>
      <c r="M2840" s="3">
        <v>6649.2</v>
      </c>
      <c r="N2840" s="3">
        <v>4953.5600000000004</v>
      </c>
      <c r="O2840" s="3">
        <v>1695.64</v>
      </c>
      <c r="P2840" s="3" t="s">
        <v>86</v>
      </c>
    </row>
    <row r="2841" spans="1:16" x14ac:dyDescent="0.35">
      <c r="A2841" s="3" t="s">
        <v>4235</v>
      </c>
      <c r="B2841" s="3" t="s">
        <v>1314</v>
      </c>
      <c r="C2841" s="3" t="s">
        <v>48</v>
      </c>
      <c r="D2841" s="3" t="s">
        <v>58</v>
      </c>
      <c r="E2841" s="3" t="s">
        <v>176</v>
      </c>
      <c r="F2841" s="3" t="s">
        <v>177</v>
      </c>
      <c r="G2841" s="3" t="s">
        <v>22</v>
      </c>
      <c r="H2841" s="3" t="s">
        <v>83</v>
      </c>
      <c r="I2841" s="3" t="s">
        <v>610</v>
      </c>
      <c r="J2841" s="3" t="s">
        <v>161</v>
      </c>
      <c r="K2841" s="3">
        <v>4</v>
      </c>
      <c r="L2841" s="3">
        <v>22121.11</v>
      </c>
      <c r="M2841" s="3">
        <v>88484.44</v>
      </c>
      <c r="N2841" s="3">
        <v>69475.199999999997</v>
      </c>
      <c r="O2841" s="3">
        <v>19009.240000000002</v>
      </c>
      <c r="P2841" s="3" t="s">
        <v>45</v>
      </c>
    </row>
    <row r="2842" spans="1:16" x14ac:dyDescent="0.35">
      <c r="A2842" s="3" t="s">
        <v>4236</v>
      </c>
      <c r="B2842" s="3" t="s">
        <v>696</v>
      </c>
      <c r="C2842" s="3" t="s">
        <v>82</v>
      </c>
      <c r="D2842" s="3" t="s">
        <v>90</v>
      </c>
      <c r="E2842" s="3" t="s">
        <v>97</v>
      </c>
      <c r="F2842" s="3" t="s">
        <v>98</v>
      </c>
      <c r="G2842" s="3" t="s">
        <v>22</v>
      </c>
      <c r="H2842" s="3" t="s">
        <v>93</v>
      </c>
      <c r="I2842" s="3" t="s">
        <v>2283</v>
      </c>
      <c r="J2842" s="3" t="s">
        <v>100</v>
      </c>
      <c r="K2842" s="3">
        <v>4</v>
      </c>
      <c r="L2842" s="3">
        <v>7672.38</v>
      </c>
      <c r="M2842" s="3">
        <v>30689.52</v>
      </c>
      <c r="N2842" s="3">
        <v>19800.18</v>
      </c>
      <c r="O2842" s="3">
        <v>10889.34</v>
      </c>
      <c r="P2842" s="3" t="s">
        <v>86</v>
      </c>
    </row>
    <row r="2843" spans="1:16" x14ac:dyDescent="0.35">
      <c r="A2843" s="3" t="s">
        <v>4237</v>
      </c>
      <c r="B2843" s="3" t="s">
        <v>765</v>
      </c>
      <c r="C2843" s="3" t="s">
        <v>57</v>
      </c>
      <c r="D2843" s="3" t="s">
        <v>19</v>
      </c>
      <c r="E2843" s="3" t="s">
        <v>20</v>
      </c>
      <c r="F2843" s="3" t="s">
        <v>21</v>
      </c>
      <c r="G2843" s="3" t="s">
        <v>51</v>
      </c>
      <c r="H2843" s="3" t="s">
        <v>77</v>
      </c>
      <c r="I2843" s="3" t="s">
        <v>4238</v>
      </c>
      <c r="J2843" s="3" t="s">
        <v>131</v>
      </c>
      <c r="K2843" s="3">
        <v>8</v>
      </c>
      <c r="L2843" s="3">
        <v>11102.27</v>
      </c>
      <c r="M2843" s="3">
        <v>88818.16</v>
      </c>
      <c r="N2843" s="3">
        <v>75012.399999999994</v>
      </c>
      <c r="O2843" s="3">
        <v>13805.76</v>
      </c>
      <c r="P2843" s="3" t="s">
        <v>26</v>
      </c>
    </row>
    <row r="2844" spans="1:16" x14ac:dyDescent="0.35">
      <c r="A2844" s="3" t="s">
        <v>4239</v>
      </c>
      <c r="B2844" s="3" t="s">
        <v>952</v>
      </c>
      <c r="C2844" s="3" t="s">
        <v>29</v>
      </c>
      <c r="D2844" s="3" t="s">
        <v>19</v>
      </c>
      <c r="E2844" s="3" t="s">
        <v>20</v>
      </c>
      <c r="F2844" s="3" t="s">
        <v>21</v>
      </c>
      <c r="G2844" s="3" t="s">
        <v>22</v>
      </c>
      <c r="H2844" s="3" t="s">
        <v>23</v>
      </c>
      <c r="I2844" s="3" t="s">
        <v>1127</v>
      </c>
      <c r="J2844" s="3" t="s">
        <v>188</v>
      </c>
      <c r="K2844" s="3">
        <v>7</v>
      </c>
      <c r="L2844" s="3">
        <v>3233.71</v>
      </c>
      <c r="M2844" s="3">
        <v>22635.97</v>
      </c>
      <c r="N2844" s="3">
        <v>15259.15</v>
      </c>
      <c r="O2844" s="3">
        <v>7376.82</v>
      </c>
      <c r="P2844" s="3" t="s">
        <v>26</v>
      </c>
    </row>
    <row r="2845" spans="1:16" x14ac:dyDescent="0.35">
      <c r="A2845" s="3" t="s">
        <v>4240</v>
      </c>
      <c r="B2845" s="3" t="s">
        <v>570</v>
      </c>
      <c r="C2845" s="3" t="s">
        <v>18</v>
      </c>
      <c r="D2845" s="3" t="s">
        <v>19</v>
      </c>
      <c r="E2845" s="3" t="s">
        <v>49</v>
      </c>
      <c r="F2845" s="3" t="s">
        <v>50</v>
      </c>
      <c r="G2845" s="3" t="s">
        <v>41</v>
      </c>
      <c r="H2845" s="3" t="s">
        <v>42</v>
      </c>
      <c r="I2845" s="3" t="s">
        <v>1628</v>
      </c>
      <c r="J2845" s="3" t="s">
        <v>147</v>
      </c>
      <c r="K2845" s="3">
        <v>6</v>
      </c>
      <c r="L2845" s="3">
        <v>42165.63</v>
      </c>
      <c r="M2845" s="3">
        <v>252993.78</v>
      </c>
      <c r="N2845" s="3">
        <v>208024.99</v>
      </c>
      <c r="O2845" s="3">
        <v>44968.79</v>
      </c>
      <c r="P2845" s="3" t="s">
        <v>26</v>
      </c>
    </row>
    <row r="2846" spans="1:16" x14ac:dyDescent="0.35">
      <c r="A2846" s="3" t="s">
        <v>4241</v>
      </c>
      <c r="B2846" s="3" t="s">
        <v>367</v>
      </c>
      <c r="C2846" s="3" t="s">
        <v>29</v>
      </c>
      <c r="D2846" s="3" t="s">
        <v>90</v>
      </c>
      <c r="E2846" s="3" t="s">
        <v>119</v>
      </c>
      <c r="F2846" s="3" t="s">
        <v>120</v>
      </c>
      <c r="G2846" s="3" t="s">
        <v>22</v>
      </c>
      <c r="H2846" s="3" t="s">
        <v>83</v>
      </c>
      <c r="I2846" s="3" t="s">
        <v>614</v>
      </c>
      <c r="J2846" s="3" t="s">
        <v>106</v>
      </c>
      <c r="K2846" s="3">
        <v>1</v>
      </c>
      <c r="L2846" s="3">
        <v>21447.07</v>
      </c>
      <c r="M2846" s="3">
        <v>21447.07</v>
      </c>
      <c r="N2846" s="3">
        <v>16910.02</v>
      </c>
      <c r="O2846" s="3">
        <v>4537.05</v>
      </c>
      <c r="P2846" s="3" t="s">
        <v>69</v>
      </c>
    </row>
    <row r="2847" spans="1:16" x14ac:dyDescent="0.35">
      <c r="A2847" s="3" t="s">
        <v>4242</v>
      </c>
      <c r="B2847" s="3" t="s">
        <v>1142</v>
      </c>
      <c r="C2847" s="3" t="s">
        <v>37</v>
      </c>
      <c r="D2847" s="3" t="s">
        <v>58</v>
      </c>
      <c r="E2847" s="3" t="s">
        <v>176</v>
      </c>
      <c r="F2847" s="3" t="s">
        <v>177</v>
      </c>
      <c r="G2847" s="3" t="s">
        <v>22</v>
      </c>
      <c r="H2847" s="3" t="s">
        <v>93</v>
      </c>
      <c r="I2847" s="3" t="s">
        <v>342</v>
      </c>
      <c r="J2847" s="3" t="s">
        <v>147</v>
      </c>
      <c r="K2847" s="3">
        <v>6</v>
      </c>
      <c r="L2847" s="3">
        <v>6993.93</v>
      </c>
      <c r="M2847" s="3">
        <v>41963.58</v>
      </c>
      <c r="N2847" s="3">
        <v>29080.880000000001</v>
      </c>
      <c r="O2847" s="3">
        <v>12882.7</v>
      </c>
      <c r="P2847" s="3" t="s">
        <v>34</v>
      </c>
    </row>
    <row r="2848" spans="1:16" x14ac:dyDescent="0.35">
      <c r="A2848" s="3" t="s">
        <v>4243</v>
      </c>
      <c r="B2848" s="3" t="s">
        <v>927</v>
      </c>
      <c r="C2848" s="3" t="s">
        <v>57</v>
      </c>
      <c r="D2848" s="3" t="s">
        <v>58</v>
      </c>
      <c r="E2848" s="3" t="s">
        <v>176</v>
      </c>
      <c r="F2848" s="3" t="s">
        <v>177</v>
      </c>
      <c r="G2848" s="3" t="s">
        <v>30</v>
      </c>
      <c r="H2848" s="3" t="s">
        <v>67</v>
      </c>
      <c r="I2848" s="3" t="s">
        <v>4244</v>
      </c>
      <c r="J2848" s="3" t="s">
        <v>217</v>
      </c>
      <c r="K2848" s="3">
        <v>6</v>
      </c>
      <c r="L2848" s="3">
        <v>9920.6200000000008</v>
      </c>
      <c r="M2848" s="3">
        <v>59523.72</v>
      </c>
      <c r="N2848" s="3">
        <v>44170.879999999997</v>
      </c>
      <c r="O2848" s="3">
        <v>15352.84</v>
      </c>
      <c r="P2848" s="3" t="s">
        <v>69</v>
      </c>
    </row>
    <row r="2849" spans="1:16" x14ac:dyDescent="0.35">
      <c r="A2849" s="3" t="s">
        <v>4245</v>
      </c>
      <c r="B2849" s="3" t="s">
        <v>760</v>
      </c>
      <c r="C2849" s="3" t="s">
        <v>114</v>
      </c>
      <c r="D2849" s="3" t="s">
        <v>58</v>
      </c>
      <c r="E2849" s="3" t="s">
        <v>65</v>
      </c>
      <c r="F2849" s="3" t="s">
        <v>66</v>
      </c>
      <c r="G2849" s="3" t="s">
        <v>51</v>
      </c>
      <c r="H2849" s="3" t="s">
        <v>145</v>
      </c>
      <c r="I2849" s="3" t="s">
        <v>3063</v>
      </c>
      <c r="J2849" s="3" t="s">
        <v>79</v>
      </c>
      <c r="K2849" s="3">
        <v>7</v>
      </c>
      <c r="L2849" s="3">
        <v>129.38</v>
      </c>
      <c r="M2849" s="3">
        <v>905.66</v>
      </c>
      <c r="N2849" s="3">
        <v>405.59</v>
      </c>
      <c r="O2849" s="3">
        <v>500.07</v>
      </c>
      <c r="P2849" s="3" t="s">
        <v>45</v>
      </c>
    </row>
    <row r="2850" spans="1:16" x14ac:dyDescent="0.35">
      <c r="A2850" s="3" t="s">
        <v>4246</v>
      </c>
      <c r="B2850" s="3" t="s">
        <v>2222</v>
      </c>
      <c r="C2850" s="3" t="s">
        <v>89</v>
      </c>
      <c r="D2850" s="3" t="s">
        <v>38</v>
      </c>
      <c r="E2850" s="3" t="s">
        <v>109</v>
      </c>
      <c r="F2850" s="3" t="s">
        <v>110</v>
      </c>
      <c r="G2850" s="3" t="s">
        <v>22</v>
      </c>
      <c r="H2850" s="3" t="s">
        <v>23</v>
      </c>
      <c r="I2850" s="3" t="s">
        <v>2583</v>
      </c>
      <c r="J2850" s="3" t="s">
        <v>154</v>
      </c>
      <c r="K2850" s="3">
        <v>4</v>
      </c>
      <c r="L2850" s="3">
        <v>3432.27</v>
      </c>
      <c r="M2850" s="3">
        <v>13729.08</v>
      </c>
      <c r="N2850" s="3">
        <v>8545.32</v>
      </c>
      <c r="O2850" s="3">
        <v>5183.76</v>
      </c>
      <c r="P2850" s="3" t="s">
        <v>69</v>
      </c>
    </row>
    <row r="2851" spans="1:16" x14ac:dyDescent="0.35">
      <c r="A2851" s="3" t="s">
        <v>4247</v>
      </c>
      <c r="B2851" s="3" t="s">
        <v>1018</v>
      </c>
      <c r="C2851" s="3" t="s">
        <v>37</v>
      </c>
      <c r="D2851" s="3" t="s">
        <v>90</v>
      </c>
      <c r="E2851" s="3" t="s">
        <v>97</v>
      </c>
      <c r="F2851" s="3" t="s">
        <v>98</v>
      </c>
      <c r="G2851" s="3" t="s">
        <v>22</v>
      </c>
      <c r="H2851" s="3" t="s">
        <v>83</v>
      </c>
      <c r="I2851" s="3" t="s">
        <v>697</v>
      </c>
      <c r="J2851" s="3" t="s">
        <v>161</v>
      </c>
      <c r="K2851" s="3">
        <v>1</v>
      </c>
      <c r="L2851" s="3">
        <v>21926.42</v>
      </c>
      <c r="M2851" s="3">
        <v>21926.42</v>
      </c>
      <c r="N2851" s="3">
        <v>17161.64</v>
      </c>
      <c r="O2851" s="3">
        <v>4764.78</v>
      </c>
      <c r="P2851" s="3" t="s">
        <v>86</v>
      </c>
    </row>
    <row r="2852" spans="1:16" x14ac:dyDescent="0.35">
      <c r="A2852" s="3" t="s">
        <v>4248</v>
      </c>
      <c r="B2852" s="3" t="s">
        <v>1224</v>
      </c>
      <c r="C2852" s="3" t="s">
        <v>37</v>
      </c>
      <c r="D2852" s="3" t="s">
        <v>58</v>
      </c>
      <c r="E2852" s="3" t="s">
        <v>59</v>
      </c>
      <c r="F2852" s="3" t="s">
        <v>60</v>
      </c>
      <c r="G2852" s="3" t="s">
        <v>22</v>
      </c>
      <c r="H2852" s="3" t="s">
        <v>83</v>
      </c>
      <c r="I2852" s="3" t="s">
        <v>2402</v>
      </c>
      <c r="J2852" s="3" t="s">
        <v>171</v>
      </c>
      <c r="K2852" s="3">
        <v>4</v>
      </c>
      <c r="L2852" s="3">
        <v>21584.02</v>
      </c>
      <c r="M2852" s="3">
        <v>86336.08</v>
      </c>
      <c r="N2852" s="3">
        <v>70243.25</v>
      </c>
      <c r="O2852" s="3">
        <v>16092.83</v>
      </c>
      <c r="P2852" s="3" t="s">
        <v>86</v>
      </c>
    </row>
    <row r="2853" spans="1:16" x14ac:dyDescent="0.35">
      <c r="A2853" s="3" t="s">
        <v>4249</v>
      </c>
      <c r="B2853" s="3" t="s">
        <v>994</v>
      </c>
      <c r="C2853" s="3" t="s">
        <v>29</v>
      </c>
      <c r="D2853" s="3" t="s">
        <v>90</v>
      </c>
      <c r="E2853" s="3" t="s">
        <v>97</v>
      </c>
      <c r="F2853" s="3" t="s">
        <v>98</v>
      </c>
      <c r="G2853" s="3" t="s">
        <v>41</v>
      </c>
      <c r="H2853" s="3" t="s">
        <v>138</v>
      </c>
      <c r="I2853" s="3" t="s">
        <v>2006</v>
      </c>
      <c r="J2853" s="3" t="s">
        <v>44</v>
      </c>
      <c r="K2853" s="3">
        <v>8</v>
      </c>
      <c r="L2853" s="3">
        <v>18152.68</v>
      </c>
      <c r="M2853" s="3">
        <v>145221.44</v>
      </c>
      <c r="N2853" s="3">
        <v>107495.33</v>
      </c>
      <c r="O2853" s="3">
        <v>37726.11</v>
      </c>
      <c r="P2853" s="3" t="s">
        <v>26</v>
      </c>
    </row>
    <row r="2854" spans="1:16" x14ac:dyDescent="0.35">
      <c r="A2854" s="3" t="s">
        <v>4250</v>
      </c>
      <c r="B2854" s="3" t="s">
        <v>1294</v>
      </c>
      <c r="C2854" s="3" t="s">
        <v>118</v>
      </c>
      <c r="D2854" s="3" t="s">
        <v>19</v>
      </c>
      <c r="E2854" s="3" t="s">
        <v>199</v>
      </c>
      <c r="F2854" s="3" t="s">
        <v>200</v>
      </c>
      <c r="G2854" s="3" t="s">
        <v>30</v>
      </c>
      <c r="H2854" s="3" t="s">
        <v>31</v>
      </c>
      <c r="I2854" s="3" t="s">
        <v>1002</v>
      </c>
      <c r="J2854" s="3" t="s">
        <v>79</v>
      </c>
      <c r="K2854" s="3">
        <v>2</v>
      </c>
      <c r="L2854" s="3">
        <v>2965.85</v>
      </c>
      <c r="M2854" s="3">
        <v>5931.7</v>
      </c>
      <c r="N2854" s="3">
        <v>3827.35</v>
      </c>
      <c r="O2854" s="3">
        <v>2104.35</v>
      </c>
      <c r="P2854" s="3" t="s">
        <v>45</v>
      </c>
    </row>
    <row r="2855" spans="1:16" x14ac:dyDescent="0.35">
      <c r="A2855" s="3" t="s">
        <v>4251</v>
      </c>
      <c r="B2855" s="3" t="s">
        <v>2343</v>
      </c>
      <c r="C2855" s="3" t="s">
        <v>103</v>
      </c>
      <c r="D2855" s="3" t="s">
        <v>38</v>
      </c>
      <c r="E2855" s="3" t="s">
        <v>39</v>
      </c>
      <c r="F2855" s="3" t="s">
        <v>40</v>
      </c>
      <c r="G2855" s="3" t="s">
        <v>41</v>
      </c>
      <c r="H2855" s="3" t="s">
        <v>138</v>
      </c>
      <c r="I2855" s="3" t="s">
        <v>1358</v>
      </c>
      <c r="J2855" s="3" t="s">
        <v>54</v>
      </c>
      <c r="K2855" s="3">
        <v>2</v>
      </c>
      <c r="L2855" s="3">
        <v>18091.62</v>
      </c>
      <c r="M2855" s="3">
        <v>36183.24</v>
      </c>
      <c r="N2855" s="3">
        <v>27930.06</v>
      </c>
      <c r="O2855" s="3">
        <v>8253.18</v>
      </c>
      <c r="P2855" s="3" t="s">
        <v>69</v>
      </c>
    </row>
    <row r="2856" spans="1:16" x14ac:dyDescent="0.35">
      <c r="A2856" s="3" t="s">
        <v>4252</v>
      </c>
      <c r="B2856" s="3" t="s">
        <v>1644</v>
      </c>
      <c r="C2856" s="3" t="s">
        <v>118</v>
      </c>
      <c r="D2856" s="3" t="s">
        <v>19</v>
      </c>
      <c r="E2856" s="3" t="s">
        <v>199</v>
      </c>
      <c r="F2856" s="3" t="s">
        <v>200</v>
      </c>
      <c r="G2856" s="3" t="s">
        <v>30</v>
      </c>
      <c r="H2856" s="3" t="s">
        <v>67</v>
      </c>
      <c r="I2856" s="3" t="s">
        <v>1127</v>
      </c>
      <c r="J2856" s="3" t="s">
        <v>54</v>
      </c>
      <c r="K2856" s="3">
        <v>2</v>
      </c>
      <c r="L2856" s="3">
        <v>9157.81</v>
      </c>
      <c r="M2856" s="3">
        <v>18315.62</v>
      </c>
      <c r="N2856" s="3">
        <v>15205.95</v>
      </c>
      <c r="O2856" s="3">
        <v>3109.67</v>
      </c>
      <c r="P2856" s="3" t="s">
        <v>69</v>
      </c>
    </row>
    <row r="2857" spans="1:16" x14ac:dyDescent="0.35">
      <c r="A2857" s="3" t="s">
        <v>4253</v>
      </c>
      <c r="B2857" s="3" t="s">
        <v>339</v>
      </c>
      <c r="C2857" s="3" t="s">
        <v>29</v>
      </c>
      <c r="D2857" s="3" t="s">
        <v>38</v>
      </c>
      <c r="E2857" s="3" t="s">
        <v>104</v>
      </c>
      <c r="F2857" s="3" t="s">
        <v>104</v>
      </c>
      <c r="G2857" s="3" t="s">
        <v>22</v>
      </c>
      <c r="H2857" s="3" t="s">
        <v>23</v>
      </c>
      <c r="I2857" s="3" t="s">
        <v>167</v>
      </c>
      <c r="J2857" s="3" t="s">
        <v>33</v>
      </c>
      <c r="K2857" s="3">
        <v>5</v>
      </c>
      <c r="L2857" s="3">
        <v>3619.92</v>
      </c>
      <c r="M2857" s="3">
        <v>18099.599999999999</v>
      </c>
      <c r="N2857" s="3">
        <v>11128.39</v>
      </c>
      <c r="O2857" s="3">
        <v>6971.21</v>
      </c>
      <c r="P2857" s="3" t="s">
        <v>26</v>
      </c>
    </row>
    <row r="2858" spans="1:16" x14ac:dyDescent="0.35">
      <c r="A2858" s="3" t="s">
        <v>4254</v>
      </c>
      <c r="B2858" s="3" t="s">
        <v>1299</v>
      </c>
      <c r="C2858" s="3" t="s">
        <v>82</v>
      </c>
      <c r="D2858" s="3" t="s">
        <v>19</v>
      </c>
      <c r="E2858" s="3" t="s">
        <v>20</v>
      </c>
      <c r="F2858" s="3" t="s">
        <v>21</v>
      </c>
      <c r="G2858" s="3" t="s">
        <v>51</v>
      </c>
      <c r="H2858" s="3" t="s">
        <v>77</v>
      </c>
      <c r="I2858" s="3" t="s">
        <v>62</v>
      </c>
      <c r="J2858" s="3" t="s">
        <v>44</v>
      </c>
      <c r="K2858" s="3">
        <v>2</v>
      </c>
      <c r="L2858" s="3">
        <v>12366.39</v>
      </c>
      <c r="M2858" s="3">
        <v>24732.78</v>
      </c>
      <c r="N2858" s="3">
        <v>17103.45</v>
      </c>
      <c r="O2858" s="3">
        <v>7629.33</v>
      </c>
      <c r="P2858" s="3" t="s">
        <v>26</v>
      </c>
    </row>
    <row r="2859" spans="1:16" x14ac:dyDescent="0.35">
      <c r="A2859" s="3" t="s">
        <v>4255</v>
      </c>
      <c r="B2859" s="3" t="s">
        <v>1623</v>
      </c>
      <c r="C2859" s="3" t="s">
        <v>29</v>
      </c>
      <c r="D2859" s="3" t="s">
        <v>19</v>
      </c>
      <c r="E2859" s="3" t="s">
        <v>20</v>
      </c>
      <c r="F2859" s="3" t="s">
        <v>21</v>
      </c>
      <c r="G2859" s="3" t="s">
        <v>22</v>
      </c>
      <c r="H2859" s="3" t="s">
        <v>23</v>
      </c>
      <c r="I2859" s="3" t="s">
        <v>2947</v>
      </c>
      <c r="J2859" s="3" t="s">
        <v>131</v>
      </c>
      <c r="K2859" s="3">
        <v>8</v>
      </c>
      <c r="L2859" s="3">
        <v>3491.45</v>
      </c>
      <c r="M2859" s="3">
        <v>27931.599999999999</v>
      </c>
      <c r="N2859" s="3">
        <v>16792</v>
      </c>
      <c r="O2859" s="3">
        <v>11139.6</v>
      </c>
      <c r="P2859" s="3" t="s">
        <v>45</v>
      </c>
    </row>
    <row r="2860" spans="1:16" x14ac:dyDescent="0.35">
      <c r="A2860" s="3" t="s">
        <v>4256</v>
      </c>
      <c r="B2860" s="3" t="s">
        <v>88</v>
      </c>
      <c r="C2860" s="3" t="s">
        <v>89</v>
      </c>
      <c r="D2860" s="3" t="s">
        <v>90</v>
      </c>
      <c r="E2860" s="3" t="s">
        <v>91</v>
      </c>
      <c r="F2860" s="3" t="s">
        <v>92</v>
      </c>
      <c r="G2860" s="3" t="s">
        <v>30</v>
      </c>
      <c r="H2860" s="3" t="s">
        <v>73</v>
      </c>
      <c r="I2860" s="3" t="s">
        <v>1950</v>
      </c>
      <c r="J2860" s="3" t="s">
        <v>44</v>
      </c>
      <c r="K2860" s="3">
        <v>6</v>
      </c>
      <c r="L2860" s="3">
        <v>3104.84</v>
      </c>
      <c r="M2860" s="3">
        <v>18629.04</v>
      </c>
      <c r="N2860" s="3">
        <v>14722.81</v>
      </c>
      <c r="O2860" s="3">
        <v>3906.23</v>
      </c>
      <c r="P2860" s="3" t="s">
        <v>86</v>
      </c>
    </row>
    <row r="2861" spans="1:16" x14ac:dyDescent="0.35">
      <c r="A2861" s="3" t="s">
        <v>4257</v>
      </c>
      <c r="B2861" s="3" t="s">
        <v>463</v>
      </c>
      <c r="C2861" s="3" t="s">
        <v>29</v>
      </c>
      <c r="D2861" s="3" t="s">
        <v>58</v>
      </c>
      <c r="E2861" s="3" t="s">
        <v>59</v>
      </c>
      <c r="F2861" s="3" t="s">
        <v>60</v>
      </c>
      <c r="G2861" s="3" t="s">
        <v>41</v>
      </c>
      <c r="H2861" s="3" t="s">
        <v>42</v>
      </c>
      <c r="I2861" s="3" t="s">
        <v>32</v>
      </c>
      <c r="J2861" s="3" t="s">
        <v>44</v>
      </c>
      <c r="K2861" s="3">
        <v>6</v>
      </c>
      <c r="L2861" s="3">
        <v>47662.080000000002</v>
      </c>
      <c r="M2861" s="3">
        <v>285972.47999999998</v>
      </c>
      <c r="N2861" s="3">
        <v>207246.41</v>
      </c>
      <c r="O2861" s="3">
        <v>78726.070000000007</v>
      </c>
      <c r="P2861" s="3" t="s">
        <v>45</v>
      </c>
    </row>
    <row r="2862" spans="1:16" x14ac:dyDescent="0.35">
      <c r="A2862" s="3" t="s">
        <v>4258</v>
      </c>
      <c r="B2862" s="3" t="s">
        <v>455</v>
      </c>
      <c r="C2862" s="3" t="s">
        <v>18</v>
      </c>
      <c r="D2862" s="3" t="s">
        <v>38</v>
      </c>
      <c r="E2862" s="3" t="s">
        <v>109</v>
      </c>
      <c r="F2862" s="3" t="s">
        <v>110</v>
      </c>
      <c r="G2862" s="3" t="s">
        <v>51</v>
      </c>
      <c r="H2862" s="3" t="s">
        <v>52</v>
      </c>
      <c r="I2862" s="3" t="s">
        <v>2006</v>
      </c>
      <c r="J2862" s="3" t="s">
        <v>106</v>
      </c>
      <c r="K2862" s="3">
        <v>8</v>
      </c>
      <c r="L2862" s="3">
        <v>27.4</v>
      </c>
      <c r="M2862" s="3">
        <v>219.2</v>
      </c>
      <c r="N2862" s="3">
        <v>76.72</v>
      </c>
      <c r="O2862" s="3">
        <v>142.47999999999999</v>
      </c>
      <c r="P2862" s="3" t="s">
        <v>34</v>
      </c>
    </row>
    <row r="2863" spans="1:16" x14ac:dyDescent="0.35">
      <c r="A2863" s="3" t="s">
        <v>4259</v>
      </c>
      <c r="B2863" s="3" t="s">
        <v>733</v>
      </c>
      <c r="C2863" s="3" t="s">
        <v>89</v>
      </c>
      <c r="D2863" s="3" t="s">
        <v>19</v>
      </c>
      <c r="E2863" s="3" t="s">
        <v>49</v>
      </c>
      <c r="F2863" s="3" t="s">
        <v>50</v>
      </c>
      <c r="G2863" s="3" t="s">
        <v>41</v>
      </c>
      <c r="H2863" s="3" t="s">
        <v>42</v>
      </c>
      <c r="I2863" s="3" t="s">
        <v>975</v>
      </c>
      <c r="J2863" s="3" t="s">
        <v>161</v>
      </c>
      <c r="K2863" s="3">
        <v>2</v>
      </c>
      <c r="L2863" s="3">
        <v>43948.41</v>
      </c>
      <c r="M2863" s="3">
        <v>87896.82</v>
      </c>
      <c r="N2863" s="3">
        <v>69458.59</v>
      </c>
      <c r="O2863" s="3">
        <v>18438.23</v>
      </c>
      <c r="P2863" s="3" t="s">
        <v>86</v>
      </c>
    </row>
    <row r="2864" spans="1:16" x14ac:dyDescent="0.35">
      <c r="A2864" s="3" t="s">
        <v>4260</v>
      </c>
      <c r="B2864" s="3" t="s">
        <v>1910</v>
      </c>
      <c r="C2864" s="3" t="s">
        <v>29</v>
      </c>
      <c r="D2864" s="3" t="s">
        <v>19</v>
      </c>
      <c r="E2864" s="3" t="s">
        <v>199</v>
      </c>
      <c r="F2864" s="3" t="s">
        <v>200</v>
      </c>
      <c r="G2864" s="3" t="s">
        <v>22</v>
      </c>
      <c r="H2864" s="3" t="s">
        <v>23</v>
      </c>
      <c r="I2864" s="3" t="s">
        <v>1508</v>
      </c>
      <c r="J2864" s="3" t="s">
        <v>161</v>
      </c>
      <c r="K2864" s="3">
        <v>7</v>
      </c>
      <c r="L2864" s="3">
        <v>3644.21</v>
      </c>
      <c r="M2864" s="3">
        <v>25509.47</v>
      </c>
      <c r="N2864" s="3">
        <v>15192.46</v>
      </c>
      <c r="O2864" s="3">
        <v>10317.01</v>
      </c>
      <c r="P2864" s="3" t="s">
        <v>45</v>
      </c>
    </row>
    <row r="2865" spans="1:16" x14ac:dyDescent="0.35">
      <c r="A2865" s="3" t="s">
        <v>4261</v>
      </c>
      <c r="B2865" s="3" t="s">
        <v>852</v>
      </c>
      <c r="C2865" s="3" t="s">
        <v>118</v>
      </c>
      <c r="D2865" s="3" t="s">
        <v>38</v>
      </c>
      <c r="E2865" s="3" t="s">
        <v>104</v>
      </c>
      <c r="F2865" s="3" t="s">
        <v>104</v>
      </c>
      <c r="G2865" s="3" t="s">
        <v>30</v>
      </c>
      <c r="H2865" s="3" t="s">
        <v>73</v>
      </c>
      <c r="I2865" s="3" t="s">
        <v>1825</v>
      </c>
      <c r="J2865" s="3" t="s">
        <v>106</v>
      </c>
      <c r="K2865" s="3">
        <v>8</v>
      </c>
      <c r="L2865" s="3">
        <v>3121.05</v>
      </c>
      <c r="M2865" s="3">
        <v>24968.400000000001</v>
      </c>
      <c r="N2865" s="3">
        <v>19507.38</v>
      </c>
      <c r="O2865" s="3">
        <v>5461.02</v>
      </c>
      <c r="P2865" s="3" t="s">
        <v>45</v>
      </c>
    </row>
    <row r="2866" spans="1:16" x14ac:dyDescent="0.35">
      <c r="A2866" s="3" t="s">
        <v>4262</v>
      </c>
      <c r="B2866" s="3" t="s">
        <v>762</v>
      </c>
      <c r="C2866" s="3" t="s">
        <v>137</v>
      </c>
      <c r="D2866" s="3" t="s">
        <v>38</v>
      </c>
      <c r="E2866" s="3" t="s">
        <v>109</v>
      </c>
      <c r="F2866" s="3" t="s">
        <v>110</v>
      </c>
      <c r="G2866" s="3" t="s">
        <v>51</v>
      </c>
      <c r="H2866" s="3" t="s">
        <v>52</v>
      </c>
      <c r="I2866" s="3" t="s">
        <v>1045</v>
      </c>
      <c r="J2866" s="3" t="s">
        <v>44</v>
      </c>
      <c r="K2866" s="3">
        <v>1</v>
      </c>
      <c r="L2866" s="3">
        <v>25.88</v>
      </c>
      <c r="M2866" s="3">
        <v>25.88</v>
      </c>
      <c r="N2866" s="3">
        <v>9.77</v>
      </c>
      <c r="O2866" s="3">
        <v>16.11</v>
      </c>
      <c r="P2866" s="3" t="s">
        <v>69</v>
      </c>
    </row>
    <row r="2867" spans="1:16" x14ac:dyDescent="0.35">
      <c r="A2867" s="3" t="s">
        <v>4263</v>
      </c>
      <c r="B2867" s="3" t="s">
        <v>203</v>
      </c>
      <c r="C2867" s="3" t="s">
        <v>48</v>
      </c>
      <c r="D2867" s="3" t="s">
        <v>58</v>
      </c>
      <c r="E2867" s="3" t="s">
        <v>59</v>
      </c>
      <c r="F2867" s="3" t="s">
        <v>60</v>
      </c>
      <c r="G2867" s="3" t="s">
        <v>41</v>
      </c>
      <c r="H2867" s="3" t="s">
        <v>138</v>
      </c>
      <c r="I2867" s="3" t="s">
        <v>1508</v>
      </c>
      <c r="J2867" s="3" t="s">
        <v>79</v>
      </c>
      <c r="K2867" s="3">
        <v>1</v>
      </c>
      <c r="L2867" s="3">
        <v>17505.91</v>
      </c>
      <c r="M2867" s="3">
        <v>17505.91</v>
      </c>
      <c r="N2867" s="3">
        <v>14295</v>
      </c>
      <c r="O2867" s="3">
        <v>3210.91</v>
      </c>
      <c r="P2867" s="3" t="s">
        <v>34</v>
      </c>
    </row>
    <row r="2868" spans="1:16" x14ac:dyDescent="0.35">
      <c r="A2868" s="3" t="s">
        <v>4264</v>
      </c>
      <c r="B2868" s="3" t="s">
        <v>1301</v>
      </c>
      <c r="C2868" s="3" t="s">
        <v>18</v>
      </c>
      <c r="D2868" s="3" t="s">
        <v>90</v>
      </c>
      <c r="E2868" s="3" t="s">
        <v>91</v>
      </c>
      <c r="F2868" s="3" t="s">
        <v>92</v>
      </c>
      <c r="G2868" s="3" t="s">
        <v>51</v>
      </c>
      <c r="H2868" s="3" t="s">
        <v>77</v>
      </c>
      <c r="I2868" s="3" t="s">
        <v>1478</v>
      </c>
      <c r="J2868" s="3" t="s">
        <v>54</v>
      </c>
      <c r="K2868" s="3">
        <v>4</v>
      </c>
      <c r="L2868" s="3">
        <v>13057.71</v>
      </c>
      <c r="M2868" s="3">
        <v>52230.84</v>
      </c>
      <c r="N2868" s="3">
        <v>36684.550000000003</v>
      </c>
      <c r="O2868" s="3">
        <v>15546.29</v>
      </c>
      <c r="P2868" s="3" t="s">
        <v>26</v>
      </c>
    </row>
    <row r="2869" spans="1:16" x14ac:dyDescent="0.35">
      <c r="A2869" s="3" t="s">
        <v>4265</v>
      </c>
      <c r="B2869" s="3" t="s">
        <v>1125</v>
      </c>
      <c r="C2869" s="3" t="s">
        <v>57</v>
      </c>
      <c r="D2869" s="3" t="s">
        <v>58</v>
      </c>
      <c r="E2869" s="3" t="s">
        <v>59</v>
      </c>
      <c r="F2869" s="3" t="s">
        <v>60</v>
      </c>
      <c r="G2869" s="3" t="s">
        <v>41</v>
      </c>
      <c r="H2869" s="3" t="s">
        <v>61</v>
      </c>
      <c r="I2869" s="3" t="s">
        <v>2306</v>
      </c>
      <c r="J2869" s="3" t="s">
        <v>85</v>
      </c>
      <c r="K2869" s="3">
        <v>3</v>
      </c>
      <c r="L2869" s="3">
        <v>2262.87</v>
      </c>
      <c r="M2869" s="3">
        <v>6788.61</v>
      </c>
      <c r="N2869" s="3">
        <v>4854.93</v>
      </c>
      <c r="O2869" s="3">
        <v>1933.68</v>
      </c>
      <c r="P2869" s="3" t="s">
        <v>86</v>
      </c>
    </row>
    <row r="2870" spans="1:16" x14ac:dyDescent="0.35">
      <c r="A2870" s="3" t="s">
        <v>4266</v>
      </c>
      <c r="B2870" s="3" t="s">
        <v>310</v>
      </c>
      <c r="C2870" s="3" t="s">
        <v>37</v>
      </c>
      <c r="D2870" s="3" t="s">
        <v>38</v>
      </c>
      <c r="E2870" s="3" t="s">
        <v>109</v>
      </c>
      <c r="F2870" s="3" t="s">
        <v>110</v>
      </c>
      <c r="G2870" s="3" t="s">
        <v>22</v>
      </c>
      <c r="H2870" s="3" t="s">
        <v>93</v>
      </c>
      <c r="I2870" s="3" t="s">
        <v>2295</v>
      </c>
      <c r="J2870" s="3" t="s">
        <v>188</v>
      </c>
      <c r="K2870" s="3">
        <v>5</v>
      </c>
      <c r="L2870" s="3">
        <v>7661</v>
      </c>
      <c r="M2870" s="3">
        <v>38305</v>
      </c>
      <c r="N2870" s="3">
        <v>23882.9</v>
      </c>
      <c r="O2870" s="3">
        <v>14422.1</v>
      </c>
      <c r="P2870" s="3" t="s">
        <v>86</v>
      </c>
    </row>
    <row r="2871" spans="1:16" x14ac:dyDescent="0.35">
      <c r="A2871" s="3" t="s">
        <v>4267</v>
      </c>
      <c r="B2871" s="3" t="s">
        <v>913</v>
      </c>
      <c r="C2871" s="3" t="s">
        <v>48</v>
      </c>
      <c r="D2871" s="3" t="s">
        <v>90</v>
      </c>
      <c r="E2871" s="3" t="s">
        <v>119</v>
      </c>
      <c r="F2871" s="3" t="s">
        <v>120</v>
      </c>
      <c r="G2871" s="3" t="s">
        <v>51</v>
      </c>
      <c r="H2871" s="3" t="s">
        <v>77</v>
      </c>
      <c r="I2871" s="3" t="s">
        <v>898</v>
      </c>
      <c r="J2871" s="3" t="s">
        <v>44</v>
      </c>
      <c r="K2871" s="3">
        <v>4</v>
      </c>
      <c r="L2871" s="3">
        <v>12502.33</v>
      </c>
      <c r="M2871" s="3">
        <v>50009.32</v>
      </c>
      <c r="N2871" s="3">
        <v>35931.49</v>
      </c>
      <c r="O2871" s="3">
        <v>14077.83</v>
      </c>
      <c r="P2871" s="3" t="s">
        <v>34</v>
      </c>
    </row>
    <row r="2872" spans="1:16" x14ac:dyDescent="0.35">
      <c r="A2872" s="3" t="s">
        <v>4268</v>
      </c>
      <c r="B2872" s="3" t="s">
        <v>156</v>
      </c>
      <c r="C2872" s="3" t="s">
        <v>103</v>
      </c>
      <c r="D2872" s="3" t="s">
        <v>90</v>
      </c>
      <c r="E2872" s="3" t="s">
        <v>91</v>
      </c>
      <c r="F2872" s="3" t="s">
        <v>92</v>
      </c>
      <c r="G2872" s="3" t="s">
        <v>22</v>
      </c>
      <c r="H2872" s="3" t="s">
        <v>83</v>
      </c>
      <c r="I2872" s="3" t="s">
        <v>427</v>
      </c>
      <c r="J2872" s="3" t="s">
        <v>79</v>
      </c>
      <c r="K2872" s="3">
        <v>4</v>
      </c>
      <c r="L2872" s="3">
        <v>23158.58</v>
      </c>
      <c r="M2872" s="3">
        <v>92634.32</v>
      </c>
      <c r="N2872" s="3">
        <v>66492.73</v>
      </c>
      <c r="O2872" s="3">
        <v>26141.59</v>
      </c>
      <c r="P2872" s="3" t="s">
        <v>45</v>
      </c>
    </row>
    <row r="2873" spans="1:16" x14ac:dyDescent="0.35">
      <c r="A2873" s="3" t="s">
        <v>4269</v>
      </c>
      <c r="B2873" s="3" t="s">
        <v>1670</v>
      </c>
      <c r="C2873" s="3" t="s">
        <v>114</v>
      </c>
      <c r="D2873" s="3" t="s">
        <v>90</v>
      </c>
      <c r="E2873" s="3" t="s">
        <v>119</v>
      </c>
      <c r="F2873" s="3" t="s">
        <v>120</v>
      </c>
      <c r="G2873" s="3" t="s">
        <v>30</v>
      </c>
      <c r="H2873" s="3" t="s">
        <v>73</v>
      </c>
      <c r="I2873" s="3" t="s">
        <v>2043</v>
      </c>
      <c r="J2873" s="3" t="s">
        <v>100</v>
      </c>
      <c r="K2873" s="3">
        <v>6</v>
      </c>
      <c r="L2873" s="3">
        <v>3168.2</v>
      </c>
      <c r="M2873" s="3">
        <v>19009.2</v>
      </c>
      <c r="N2873" s="3">
        <v>13863</v>
      </c>
      <c r="O2873" s="3">
        <v>5146.2</v>
      </c>
      <c r="P2873" s="3" t="s">
        <v>86</v>
      </c>
    </row>
    <row r="2874" spans="1:16" x14ac:dyDescent="0.35">
      <c r="A2874" s="3" t="s">
        <v>4270</v>
      </c>
      <c r="B2874" s="3" t="s">
        <v>752</v>
      </c>
      <c r="C2874" s="3" t="s">
        <v>29</v>
      </c>
      <c r="D2874" s="3" t="s">
        <v>38</v>
      </c>
      <c r="E2874" s="3" t="s">
        <v>39</v>
      </c>
      <c r="F2874" s="3" t="s">
        <v>40</v>
      </c>
      <c r="G2874" s="3" t="s">
        <v>51</v>
      </c>
      <c r="H2874" s="3" t="s">
        <v>77</v>
      </c>
      <c r="I2874" s="3" t="s">
        <v>1753</v>
      </c>
      <c r="J2874" s="3" t="s">
        <v>79</v>
      </c>
      <c r="K2874" s="3">
        <v>4</v>
      </c>
      <c r="L2874" s="3">
        <v>13013.67</v>
      </c>
      <c r="M2874" s="3">
        <v>52054.68</v>
      </c>
      <c r="N2874" s="3">
        <v>35539.269999999997</v>
      </c>
      <c r="O2874" s="3">
        <v>16515.41</v>
      </c>
      <c r="P2874" s="3" t="s">
        <v>45</v>
      </c>
    </row>
    <row r="2875" spans="1:16" x14ac:dyDescent="0.35">
      <c r="A2875" s="3" t="s">
        <v>4271</v>
      </c>
      <c r="B2875" s="3" t="s">
        <v>2870</v>
      </c>
      <c r="C2875" s="3" t="s">
        <v>118</v>
      </c>
      <c r="D2875" s="3" t="s">
        <v>38</v>
      </c>
      <c r="E2875" s="3" t="s">
        <v>109</v>
      </c>
      <c r="F2875" s="3" t="s">
        <v>110</v>
      </c>
      <c r="G2875" s="3" t="s">
        <v>22</v>
      </c>
      <c r="H2875" s="3" t="s">
        <v>23</v>
      </c>
      <c r="I2875" s="3" t="s">
        <v>3930</v>
      </c>
      <c r="J2875" s="3" t="s">
        <v>188</v>
      </c>
      <c r="K2875" s="3">
        <v>6</v>
      </c>
      <c r="L2875" s="3">
        <v>3689.77</v>
      </c>
      <c r="M2875" s="3">
        <v>22138.62</v>
      </c>
      <c r="N2875" s="3">
        <v>13042.11</v>
      </c>
      <c r="O2875" s="3">
        <v>9096.51</v>
      </c>
      <c r="P2875" s="3" t="s">
        <v>69</v>
      </c>
    </row>
    <row r="2876" spans="1:16" x14ac:dyDescent="0.35">
      <c r="A2876" s="3" t="s">
        <v>4272</v>
      </c>
      <c r="B2876" s="3" t="s">
        <v>2280</v>
      </c>
      <c r="C2876" s="3" t="s">
        <v>89</v>
      </c>
      <c r="D2876" s="3" t="s">
        <v>19</v>
      </c>
      <c r="E2876" s="3" t="s">
        <v>49</v>
      </c>
      <c r="F2876" s="3" t="s">
        <v>50</v>
      </c>
      <c r="G2876" s="3" t="s">
        <v>41</v>
      </c>
      <c r="H2876" s="3" t="s">
        <v>61</v>
      </c>
      <c r="I2876" s="3" t="s">
        <v>1924</v>
      </c>
      <c r="J2876" s="3" t="s">
        <v>100</v>
      </c>
      <c r="K2876" s="3">
        <v>5</v>
      </c>
      <c r="L2876" s="3">
        <v>2387.27</v>
      </c>
      <c r="M2876" s="3">
        <v>11936.35</v>
      </c>
      <c r="N2876" s="3">
        <v>8037.72</v>
      </c>
      <c r="O2876" s="3">
        <v>3898.63</v>
      </c>
      <c r="P2876" s="3" t="s">
        <v>34</v>
      </c>
    </row>
    <row r="2877" spans="1:16" x14ac:dyDescent="0.35">
      <c r="A2877" s="3" t="s">
        <v>4273</v>
      </c>
      <c r="B2877" s="3" t="s">
        <v>438</v>
      </c>
      <c r="C2877" s="3" t="s">
        <v>89</v>
      </c>
      <c r="D2877" s="3" t="s">
        <v>90</v>
      </c>
      <c r="E2877" s="3" t="s">
        <v>119</v>
      </c>
      <c r="F2877" s="3" t="s">
        <v>120</v>
      </c>
      <c r="G2877" s="3" t="s">
        <v>41</v>
      </c>
      <c r="H2877" s="3" t="s">
        <v>138</v>
      </c>
      <c r="I2877" s="3" t="s">
        <v>2460</v>
      </c>
      <c r="J2877" s="3" t="s">
        <v>44</v>
      </c>
      <c r="K2877" s="3">
        <v>7</v>
      </c>
      <c r="L2877" s="3">
        <v>18590.41</v>
      </c>
      <c r="M2877" s="3">
        <v>130132.87</v>
      </c>
      <c r="N2877" s="3">
        <v>101583.69</v>
      </c>
      <c r="O2877" s="3">
        <v>28549.18</v>
      </c>
      <c r="P2877" s="3" t="s">
        <v>34</v>
      </c>
    </row>
    <row r="2878" spans="1:16" x14ac:dyDescent="0.35">
      <c r="A2878" s="3" t="s">
        <v>4274</v>
      </c>
      <c r="B2878" s="3" t="s">
        <v>455</v>
      </c>
      <c r="C2878" s="3" t="s">
        <v>18</v>
      </c>
      <c r="D2878" s="3" t="s">
        <v>90</v>
      </c>
      <c r="E2878" s="3" t="s">
        <v>91</v>
      </c>
      <c r="F2878" s="3" t="s">
        <v>92</v>
      </c>
      <c r="G2878" s="3" t="s">
        <v>41</v>
      </c>
      <c r="H2878" s="3" t="s">
        <v>61</v>
      </c>
      <c r="I2878" s="3" t="s">
        <v>2078</v>
      </c>
      <c r="J2878" s="3" t="s">
        <v>85</v>
      </c>
      <c r="K2878" s="3">
        <v>7</v>
      </c>
      <c r="L2878" s="3">
        <v>2480.46</v>
      </c>
      <c r="M2878" s="3">
        <v>17363.22</v>
      </c>
      <c r="N2878" s="3">
        <v>10659.06</v>
      </c>
      <c r="O2878" s="3">
        <v>6704.16</v>
      </c>
      <c r="P2878" s="3" t="s">
        <v>34</v>
      </c>
    </row>
    <row r="2879" spans="1:16" x14ac:dyDescent="0.35">
      <c r="A2879" s="3" t="s">
        <v>4275</v>
      </c>
      <c r="B2879" s="3" t="s">
        <v>64</v>
      </c>
      <c r="C2879" s="3" t="s">
        <v>57</v>
      </c>
      <c r="D2879" s="3" t="s">
        <v>90</v>
      </c>
      <c r="E2879" s="3" t="s">
        <v>97</v>
      </c>
      <c r="F2879" s="3" t="s">
        <v>98</v>
      </c>
      <c r="G2879" s="3" t="s">
        <v>30</v>
      </c>
      <c r="H2879" s="3" t="s">
        <v>67</v>
      </c>
      <c r="I2879" s="3" t="s">
        <v>1258</v>
      </c>
      <c r="J2879" s="3" t="s">
        <v>171</v>
      </c>
      <c r="K2879" s="3">
        <v>1</v>
      </c>
      <c r="L2879" s="3">
        <v>9960.0400000000009</v>
      </c>
      <c r="M2879" s="3">
        <v>9960.0400000000009</v>
      </c>
      <c r="N2879" s="3">
        <v>7344.05</v>
      </c>
      <c r="O2879" s="3">
        <v>2615.9899999999998</v>
      </c>
      <c r="P2879" s="3" t="s">
        <v>86</v>
      </c>
    </row>
    <row r="2880" spans="1:16" x14ac:dyDescent="0.35">
      <c r="A2880" s="3" t="s">
        <v>4276</v>
      </c>
      <c r="B2880" s="3" t="s">
        <v>215</v>
      </c>
      <c r="C2880" s="3" t="s">
        <v>37</v>
      </c>
      <c r="D2880" s="3" t="s">
        <v>19</v>
      </c>
      <c r="E2880" s="3" t="s">
        <v>20</v>
      </c>
      <c r="F2880" s="3" t="s">
        <v>21</v>
      </c>
      <c r="G2880" s="3" t="s">
        <v>41</v>
      </c>
      <c r="H2880" s="3" t="s">
        <v>42</v>
      </c>
      <c r="I2880" s="3" t="s">
        <v>741</v>
      </c>
      <c r="J2880" s="3" t="s">
        <v>131</v>
      </c>
      <c r="K2880" s="3">
        <v>7</v>
      </c>
      <c r="L2880" s="3">
        <v>48521.49</v>
      </c>
      <c r="M2880" s="3">
        <v>339650.43</v>
      </c>
      <c r="N2880" s="3">
        <v>233993.33</v>
      </c>
      <c r="O2880" s="3">
        <v>105657.1</v>
      </c>
      <c r="P2880" s="3" t="s">
        <v>26</v>
      </c>
    </row>
    <row r="2881" spans="1:16" x14ac:dyDescent="0.35">
      <c r="A2881" s="3" t="s">
        <v>4277</v>
      </c>
      <c r="B2881" s="3" t="s">
        <v>837</v>
      </c>
      <c r="C2881" s="3" t="s">
        <v>72</v>
      </c>
      <c r="D2881" s="3" t="s">
        <v>19</v>
      </c>
      <c r="E2881" s="3" t="s">
        <v>49</v>
      </c>
      <c r="F2881" s="3" t="s">
        <v>50</v>
      </c>
      <c r="G2881" s="3" t="s">
        <v>30</v>
      </c>
      <c r="H2881" s="3" t="s">
        <v>31</v>
      </c>
      <c r="I2881" s="3" t="s">
        <v>1070</v>
      </c>
      <c r="J2881" s="3" t="s">
        <v>79</v>
      </c>
      <c r="K2881" s="3">
        <v>2</v>
      </c>
      <c r="L2881" s="3">
        <v>2852.04</v>
      </c>
      <c r="M2881" s="3">
        <v>5704.08</v>
      </c>
      <c r="N2881" s="3">
        <v>3856.65</v>
      </c>
      <c r="O2881" s="3">
        <v>1847.43</v>
      </c>
      <c r="P2881" s="3" t="s">
        <v>34</v>
      </c>
    </row>
    <row r="2882" spans="1:16" x14ac:dyDescent="0.35">
      <c r="A2882" s="3" t="s">
        <v>4278</v>
      </c>
      <c r="B2882" s="3" t="s">
        <v>17</v>
      </c>
      <c r="C2882" s="3" t="s">
        <v>18</v>
      </c>
      <c r="D2882" s="3" t="s">
        <v>19</v>
      </c>
      <c r="E2882" s="3" t="s">
        <v>20</v>
      </c>
      <c r="F2882" s="3" t="s">
        <v>21</v>
      </c>
      <c r="G2882" s="3" t="s">
        <v>22</v>
      </c>
      <c r="H2882" s="3" t="s">
        <v>93</v>
      </c>
      <c r="I2882" s="3" t="s">
        <v>953</v>
      </c>
      <c r="J2882" s="3" t="s">
        <v>106</v>
      </c>
      <c r="K2882" s="3">
        <v>8</v>
      </c>
      <c r="L2882" s="3">
        <v>6753.06</v>
      </c>
      <c r="M2882" s="3">
        <v>54024.480000000003</v>
      </c>
      <c r="N2882" s="3">
        <v>41657.129999999997</v>
      </c>
      <c r="O2882" s="3">
        <v>12367.35</v>
      </c>
      <c r="P2882" s="3" t="s">
        <v>69</v>
      </c>
    </row>
    <row r="2883" spans="1:16" x14ac:dyDescent="0.35">
      <c r="A2883" s="3" t="s">
        <v>4279</v>
      </c>
      <c r="B2883" s="3" t="s">
        <v>1095</v>
      </c>
      <c r="C2883" s="3" t="s">
        <v>103</v>
      </c>
      <c r="D2883" s="3" t="s">
        <v>19</v>
      </c>
      <c r="E2883" s="3" t="s">
        <v>199</v>
      </c>
      <c r="F2883" s="3" t="s">
        <v>200</v>
      </c>
      <c r="G2883" s="3" t="s">
        <v>22</v>
      </c>
      <c r="H2883" s="3" t="s">
        <v>83</v>
      </c>
      <c r="I2883" s="3" t="s">
        <v>181</v>
      </c>
      <c r="J2883" s="3" t="s">
        <v>85</v>
      </c>
      <c r="K2883" s="3">
        <v>8</v>
      </c>
      <c r="L2883" s="3">
        <v>22258.89</v>
      </c>
      <c r="M2883" s="3">
        <v>178071.12</v>
      </c>
      <c r="N2883" s="3">
        <v>138827.46</v>
      </c>
      <c r="O2883" s="3">
        <v>39243.660000000003</v>
      </c>
      <c r="P2883" s="3" t="s">
        <v>45</v>
      </c>
    </row>
    <row r="2884" spans="1:16" x14ac:dyDescent="0.35">
      <c r="A2884" s="3" t="s">
        <v>4280</v>
      </c>
      <c r="B2884" s="3" t="s">
        <v>2227</v>
      </c>
      <c r="C2884" s="3" t="s">
        <v>72</v>
      </c>
      <c r="D2884" s="3" t="s">
        <v>58</v>
      </c>
      <c r="E2884" s="3" t="s">
        <v>59</v>
      </c>
      <c r="F2884" s="3" t="s">
        <v>60</v>
      </c>
      <c r="G2884" s="3" t="s">
        <v>30</v>
      </c>
      <c r="H2884" s="3" t="s">
        <v>31</v>
      </c>
      <c r="I2884" s="3" t="s">
        <v>2063</v>
      </c>
      <c r="J2884" s="3" t="s">
        <v>85</v>
      </c>
      <c r="K2884" s="3">
        <v>2</v>
      </c>
      <c r="L2884" s="3">
        <v>2954.05</v>
      </c>
      <c r="M2884" s="3">
        <v>5908.1</v>
      </c>
      <c r="N2884" s="3">
        <v>3804.66</v>
      </c>
      <c r="O2884" s="3">
        <v>2103.44</v>
      </c>
      <c r="P2884" s="3" t="s">
        <v>26</v>
      </c>
    </row>
    <row r="2885" spans="1:16" x14ac:dyDescent="0.35">
      <c r="A2885" s="3" t="s">
        <v>4281</v>
      </c>
      <c r="B2885" s="3" t="s">
        <v>629</v>
      </c>
      <c r="C2885" s="3" t="s">
        <v>29</v>
      </c>
      <c r="D2885" s="3" t="s">
        <v>58</v>
      </c>
      <c r="E2885" s="3" t="s">
        <v>176</v>
      </c>
      <c r="F2885" s="3" t="s">
        <v>177</v>
      </c>
      <c r="G2885" s="3" t="s">
        <v>51</v>
      </c>
      <c r="H2885" s="3" t="s">
        <v>145</v>
      </c>
      <c r="I2885" s="3" t="s">
        <v>1452</v>
      </c>
      <c r="J2885" s="3" t="s">
        <v>33</v>
      </c>
      <c r="K2885" s="3">
        <v>5</v>
      </c>
      <c r="L2885" s="3">
        <v>117.88</v>
      </c>
      <c r="M2885" s="3">
        <v>589.4</v>
      </c>
      <c r="N2885" s="3">
        <v>289.36</v>
      </c>
      <c r="O2885" s="3">
        <v>300.04000000000002</v>
      </c>
      <c r="P2885" s="3" t="s">
        <v>69</v>
      </c>
    </row>
    <row r="2886" spans="1:16" x14ac:dyDescent="0.35">
      <c r="A2886" s="3" t="s">
        <v>4282</v>
      </c>
      <c r="B2886" s="3" t="s">
        <v>856</v>
      </c>
      <c r="C2886" s="3" t="s">
        <v>103</v>
      </c>
      <c r="D2886" s="3" t="s">
        <v>19</v>
      </c>
      <c r="E2886" s="3" t="s">
        <v>49</v>
      </c>
      <c r="F2886" s="3" t="s">
        <v>50</v>
      </c>
      <c r="G2886" s="3" t="s">
        <v>41</v>
      </c>
      <c r="H2886" s="3" t="s">
        <v>138</v>
      </c>
      <c r="I2886" s="3" t="s">
        <v>4283</v>
      </c>
      <c r="J2886" s="3" t="s">
        <v>79</v>
      </c>
      <c r="K2886" s="3">
        <v>2</v>
      </c>
      <c r="L2886" s="3">
        <v>18865.25</v>
      </c>
      <c r="M2886" s="3">
        <v>37730.5</v>
      </c>
      <c r="N2886" s="3">
        <v>26811.72</v>
      </c>
      <c r="O2886" s="3">
        <v>10918.78</v>
      </c>
      <c r="P2886" s="3" t="s">
        <v>69</v>
      </c>
    </row>
    <row r="2887" spans="1:16" x14ac:dyDescent="0.35">
      <c r="A2887" s="3" t="s">
        <v>4284</v>
      </c>
      <c r="B2887" s="3" t="s">
        <v>102</v>
      </c>
      <c r="C2887" s="3" t="s">
        <v>103</v>
      </c>
      <c r="D2887" s="3" t="s">
        <v>58</v>
      </c>
      <c r="E2887" s="3" t="s">
        <v>59</v>
      </c>
      <c r="F2887" s="3" t="s">
        <v>60</v>
      </c>
      <c r="G2887" s="3" t="s">
        <v>51</v>
      </c>
      <c r="H2887" s="3" t="s">
        <v>77</v>
      </c>
      <c r="I2887" s="3" t="s">
        <v>1303</v>
      </c>
      <c r="J2887" s="3" t="s">
        <v>161</v>
      </c>
      <c r="K2887" s="3">
        <v>2</v>
      </c>
      <c r="L2887" s="3">
        <v>12565.17</v>
      </c>
      <c r="M2887" s="3">
        <v>25130.34</v>
      </c>
      <c r="N2887" s="3">
        <v>17278.75</v>
      </c>
      <c r="O2887" s="3">
        <v>7851.59</v>
      </c>
      <c r="P2887" s="3" t="s">
        <v>45</v>
      </c>
    </row>
    <row r="2888" spans="1:16" x14ac:dyDescent="0.35">
      <c r="A2888" s="3" t="s">
        <v>4285</v>
      </c>
      <c r="B2888" s="3" t="s">
        <v>816</v>
      </c>
      <c r="C2888" s="3" t="s">
        <v>57</v>
      </c>
      <c r="D2888" s="3" t="s">
        <v>19</v>
      </c>
      <c r="E2888" s="3" t="s">
        <v>49</v>
      </c>
      <c r="F2888" s="3" t="s">
        <v>50</v>
      </c>
      <c r="G2888" s="3" t="s">
        <v>51</v>
      </c>
      <c r="H2888" s="3" t="s">
        <v>77</v>
      </c>
      <c r="I2888" s="3" t="s">
        <v>1241</v>
      </c>
      <c r="J2888" s="3" t="s">
        <v>217</v>
      </c>
      <c r="K2888" s="3">
        <v>5</v>
      </c>
      <c r="L2888" s="3">
        <v>11446.99</v>
      </c>
      <c r="M2888" s="3">
        <v>57234.95</v>
      </c>
      <c r="N2888" s="3">
        <v>45942.43</v>
      </c>
      <c r="O2888" s="3">
        <v>11292.52</v>
      </c>
      <c r="P2888" s="3" t="s">
        <v>26</v>
      </c>
    </row>
    <row r="2889" spans="1:16" x14ac:dyDescent="0.35">
      <c r="A2889" s="3" t="s">
        <v>4286</v>
      </c>
      <c r="B2889" s="3" t="s">
        <v>384</v>
      </c>
      <c r="C2889" s="3" t="s">
        <v>57</v>
      </c>
      <c r="D2889" s="3" t="s">
        <v>90</v>
      </c>
      <c r="E2889" s="3" t="s">
        <v>91</v>
      </c>
      <c r="F2889" s="3" t="s">
        <v>92</v>
      </c>
      <c r="G2889" s="3" t="s">
        <v>51</v>
      </c>
      <c r="H2889" s="3" t="s">
        <v>145</v>
      </c>
      <c r="I2889" s="3" t="s">
        <v>1145</v>
      </c>
      <c r="J2889" s="3" t="s">
        <v>147</v>
      </c>
      <c r="K2889" s="3">
        <v>7</v>
      </c>
      <c r="L2889" s="3">
        <v>119.66</v>
      </c>
      <c r="M2889" s="3">
        <v>837.62</v>
      </c>
      <c r="N2889" s="3">
        <v>401.66</v>
      </c>
      <c r="O2889" s="3">
        <v>435.96</v>
      </c>
      <c r="P2889" s="3" t="s">
        <v>69</v>
      </c>
    </row>
    <row r="2890" spans="1:16" x14ac:dyDescent="0.35">
      <c r="A2890" s="3" t="s">
        <v>4287</v>
      </c>
      <c r="B2890" s="3" t="s">
        <v>370</v>
      </c>
      <c r="C2890" s="3" t="s">
        <v>137</v>
      </c>
      <c r="D2890" s="3" t="s">
        <v>19</v>
      </c>
      <c r="E2890" s="3" t="s">
        <v>199</v>
      </c>
      <c r="F2890" s="3" t="s">
        <v>200</v>
      </c>
      <c r="G2890" s="3" t="s">
        <v>30</v>
      </c>
      <c r="H2890" s="3" t="s">
        <v>67</v>
      </c>
      <c r="I2890" s="3" t="s">
        <v>453</v>
      </c>
      <c r="J2890" s="3" t="s">
        <v>131</v>
      </c>
      <c r="K2890" s="3">
        <v>1</v>
      </c>
      <c r="L2890" s="3">
        <v>9288.2000000000007</v>
      </c>
      <c r="M2890" s="3">
        <v>9288.2000000000007</v>
      </c>
      <c r="N2890" s="3">
        <v>7339.33</v>
      </c>
      <c r="O2890" s="3">
        <v>1948.87</v>
      </c>
      <c r="P2890" s="3" t="s">
        <v>69</v>
      </c>
    </row>
    <row r="2891" spans="1:16" x14ac:dyDescent="0.35">
      <c r="A2891" s="3" t="s">
        <v>4288</v>
      </c>
      <c r="B2891" s="3" t="s">
        <v>765</v>
      </c>
      <c r="C2891" s="3" t="s">
        <v>57</v>
      </c>
      <c r="D2891" s="3" t="s">
        <v>58</v>
      </c>
      <c r="E2891" s="3" t="s">
        <v>59</v>
      </c>
      <c r="F2891" s="3" t="s">
        <v>60</v>
      </c>
      <c r="G2891" s="3" t="s">
        <v>22</v>
      </c>
      <c r="H2891" s="3" t="s">
        <v>23</v>
      </c>
      <c r="I2891" s="3" t="s">
        <v>3058</v>
      </c>
      <c r="J2891" s="3" t="s">
        <v>54</v>
      </c>
      <c r="K2891" s="3">
        <v>3</v>
      </c>
      <c r="L2891" s="3">
        <v>3322.6</v>
      </c>
      <c r="M2891" s="3">
        <v>9967.7999999999993</v>
      </c>
      <c r="N2891" s="3">
        <v>6556.33</v>
      </c>
      <c r="O2891" s="3">
        <v>3411.47</v>
      </c>
      <c r="P2891" s="3" t="s">
        <v>34</v>
      </c>
    </row>
    <row r="2892" spans="1:16" x14ac:dyDescent="0.35">
      <c r="A2892" s="3" t="s">
        <v>4289</v>
      </c>
      <c r="B2892" s="3" t="s">
        <v>570</v>
      </c>
      <c r="C2892" s="3" t="s">
        <v>18</v>
      </c>
      <c r="D2892" s="3" t="s">
        <v>19</v>
      </c>
      <c r="E2892" s="3" t="s">
        <v>49</v>
      </c>
      <c r="F2892" s="3" t="s">
        <v>50</v>
      </c>
      <c r="G2892" s="3" t="s">
        <v>51</v>
      </c>
      <c r="H2892" s="3" t="s">
        <v>145</v>
      </c>
      <c r="I2892" s="3" t="s">
        <v>2113</v>
      </c>
      <c r="J2892" s="3" t="s">
        <v>44</v>
      </c>
      <c r="K2892" s="3">
        <v>7</v>
      </c>
      <c r="L2892" s="3">
        <v>117.69</v>
      </c>
      <c r="M2892" s="3">
        <v>823.83</v>
      </c>
      <c r="N2892" s="3">
        <v>411.15</v>
      </c>
      <c r="O2892" s="3">
        <v>412.68</v>
      </c>
      <c r="P2892" s="3" t="s">
        <v>69</v>
      </c>
    </row>
    <row r="2893" spans="1:16" x14ac:dyDescent="0.35">
      <c r="A2893" s="3" t="s">
        <v>4290</v>
      </c>
      <c r="B2893" s="3" t="s">
        <v>777</v>
      </c>
      <c r="C2893" s="3" t="s">
        <v>72</v>
      </c>
      <c r="D2893" s="3" t="s">
        <v>38</v>
      </c>
      <c r="E2893" s="3" t="s">
        <v>104</v>
      </c>
      <c r="F2893" s="3" t="s">
        <v>104</v>
      </c>
      <c r="G2893" s="3" t="s">
        <v>30</v>
      </c>
      <c r="H2893" s="3" t="s">
        <v>31</v>
      </c>
      <c r="I2893" s="3" t="s">
        <v>1206</v>
      </c>
      <c r="J2893" s="3" t="s">
        <v>44</v>
      </c>
      <c r="K2893" s="3">
        <v>7</v>
      </c>
      <c r="L2893" s="3">
        <v>2828.48</v>
      </c>
      <c r="M2893" s="3">
        <v>19799.36</v>
      </c>
      <c r="N2893" s="3">
        <v>13102.04</v>
      </c>
      <c r="O2893" s="3">
        <v>6697.32</v>
      </c>
      <c r="P2893" s="3" t="s">
        <v>26</v>
      </c>
    </row>
    <row r="2894" spans="1:16" x14ac:dyDescent="0.35">
      <c r="A2894" s="3" t="s">
        <v>4291</v>
      </c>
      <c r="B2894" s="3" t="s">
        <v>1997</v>
      </c>
      <c r="C2894" s="3" t="s">
        <v>114</v>
      </c>
      <c r="D2894" s="3" t="s">
        <v>90</v>
      </c>
      <c r="E2894" s="3" t="s">
        <v>119</v>
      </c>
      <c r="F2894" s="3" t="s">
        <v>120</v>
      </c>
      <c r="G2894" s="3" t="s">
        <v>41</v>
      </c>
      <c r="H2894" s="3" t="s">
        <v>42</v>
      </c>
      <c r="I2894" s="3" t="s">
        <v>4093</v>
      </c>
      <c r="J2894" s="3" t="s">
        <v>25</v>
      </c>
      <c r="K2894" s="3">
        <v>2</v>
      </c>
      <c r="L2894" s="3">
        <v>49188.99</v>
      </c>
      <c r="M2894" s="3">
        <v>98377.98</v>
      </c>
      <c r="N2894" s="3">
        <v>68660.160000000003</v>
      </c>
      <c r="O2894" s="3">
        <v>29717.82</v>
      </c>
      <c r="P2894" s="3" t="s">
        <v>45</v>
      </c>
    </row>
    <row r="2895" spans="1:16" x14ac:dyDescent="0.35">
      <c r="A2895" s="3" t="s">
        <v>4292</v>
      </c>
      <c r="B2895" s="3" t="s">
        <v>1086</v>
      </c>
      <c r="C2895" s="3" t="s">
        <v>37</v>
      </c>
      <c r="D2895" s="3" t="s">
        <v>19</v>
      </c>
      <c r="E2895" s="3" t="s">
        <v>49</v>
      </c>
      <c r="F2895" s="3" t="s">
        <v>50</v>
      </c>
      <c r="G2895" s="3" t="s">
        <v>51</v>
      </c>
      <c r="H2895" s="3" t="s">
        <v>52</v>
      </c>
      <c r="I2895" s="3" t="s">
        <v>1029</v>
      </c>
      <c r="J2895" s="3" t="s">
        <v>100</v>
      </c>
      <c r="K2895" s="3">
        <v>6</v>
      </c>
      <c r="L2895" s="3">
        <v>23.32</v>
      </c>
      <c r="M2895" s="3">
        <v>139.91999999999999</v>
      </c>
      <c r="N2895" s="3">
        <v>60.93</v>
      </c>
      <c r="O2895" s="3">
        <v>78.989999999999995</v>
      </c>
      <c r="P2895" s="3" t="s">
        <v>69</v>
      </c>
    </row>
    <row r="2896" spans="1:16" x14ac:dyDescent="0.35">
      <c r="A2896" s="3" t="s">
        <v>4293</v>
      </c>
      <c r="B2896" s="3" t="s">
        <v>1687</v>
      </c>
      <c r="C2896" s="3" t="s">
        <v>18</v>
      </c>
      <c r="D2896" s="3" t="s">
        <v>90</v>
      </c>
      <c r="E2896" s="3" t="s">
        <v>91</v>
      </c>
      <c r="F2896" s="3" t="s">
        <v>92</v>
      </c>
      <c r="G2896" s="3" t="s">
        <v>41</v>
      </c>
      <c r="H2896" s="3" t="s">
        <v>61</v>
      </c>
      <c r="I2896" s="3" t="s">
        <v>1731</v>
      </c>
      <c r="J2896" s="3" t="s">
        <v>188</v>
      </c>
      <c r="K2896" s="3">
        <v>5</v>
      </c>
      <c r="L2896" s="3">
        <v>2674.1</v>
      </c>
      <c r="M2896" s="3">
        <v>13370.5</v>
      </c>
      <c r="N2896" s="3">
        <v>7663.16</v>
      </c>
      <c r="O2896" s="3">
        <v>5707.34</v>
      </c>
      <c r="P2896" s="3" t="s">
        <v>86</v>
      </c>
    </row>
    <row r="2897" spans="1:16" x14ac:dyDescent="0.35">
      <c r="A2897" s="3" t="s">
        <v>4294</v>
      </c>
      <c r="B2897" s="3" t="s">
        <v>71</v>
      </c>
      <c r="C2897" s="3" t="s">
        <v>72</v>
      </c>
      <c r="D2897" s="3" t="s">
        <v>90</v>
      </c>
      <c r="E2897" s="3" t="s">
        <v>119</v>
      </c>
      <c r="F2897" s="3" t="s">
        <v>120</v>
      </c>
      <c r="G2897" s="3" t="s">
        <v>30</v>
      </c>
      <c r="H2897" s="3" t="s">
        <v>73</v>
      </c>
      <c r="I2897" s="3" t="s">
        <v>1256</v>
      </c>
      <c r="J2897" s="3" t="s">
        <v>100</v>
      </c>
      <c r="K2897" s="3">
        <v>4</v>
      </c>
      <c r="L2897" s="3">
        <v>3121.38</v>
      </c>
      <c r="M2897" s="3">
        <v>12485.52</v>
      </c>
      <c r="N2897" s="3">
        <v>9892.9500000000007</v>
      </c>
      <c r="O2897" s="3">
        <v>2592.5700000000002</v>
      </c>
      <c r="P2897" s="3" t="s">
        <v>69</v>
      </c>
    </row>
    <row r="2898" spans="1:16" x14ac:dyDescent="0.35">
      <c r="A2898" s="3" t="s">
        <v>4295</v>
      </c>
      <c r="B2898" s="3" t="s">
        <v>743</v>
      </c>
      <c r="C2898" s="3" t="s">
        <v>72</v>
      </c>
      <c r="D2898" s="3" t="s">
        <v>58</v>
      </c>
      <c r="E2898" s="3" t="s">
        <v>176</v>
      </c>
      <c r="F2898" s="3" t="s">
        <v>177</v>
      </c>
      <c r="G2898" s="3" t="s">
        <v>41</v>
      </c>
      <c r="H2898" s="3" t="s">
        <v>138</v>
      </c>
      <c r="I2898" s="3" t="s">
        <v>961</v>
      </c>
      <c r="J2898" s="3" t="s">
        <v>147</v>
      </c>
      <c r="K2898" s="3">
        <v>6</v>
      </c>
      <c r="L2898" s="3">
        <v>19459.009999999998</v>
      </c>
      <c r="M2898" s="3">
        <v>116754.06</v>
      </c>
      <c r="N2898" s="3">
        <v>85302.88</v>
      </c>
      <c r="O2898" s="3">
        <v>31451.18</v>
      </c>
      <c r="P2898" s="3" t="s">
        <v>86</v>
      </c>
    </row>
    <row r="2899" spans="1:16" x14ac:dyDescent="0.35">
      <c r="A2899" s="3" t="s">
        <v>4296</v>
      </c>
      <c r="B2899" s="3" t="s">
        <v>1113</v>
      </c>
      <c r="C2899" s="3" t="s">
        <v>82</v>
      </c>
      <c r="D2899" s="3" t="s">
        <v>19</v>
      </c>
      <c r="E2899" s="3" t="s">
        <v>49</v>
      </c>
      <c r="F2899" s="3" t="s">
        <v>50</v>
      </c>
      <c r="G2899" s="3" t="s">
        <v>41</v>
      </c>
      <c r="H2899" s="3" t="s">
        <v>42</v>
      </c>
      <c r="I2899" s="3" t="s">
        <v>980</v>
      </c>
      <c r="J2899" s="3" t="s">
        <v>147</v>
      </c>
      <c r="K2899" s="3">
        <v>8</v>
      </c>
      <c r="L2899" s="3">
        <v>44553.9</v>
      </c>
      <c r="M2899" s="3">
        <v>356431.2</v>
      </c>
      <c r="N2899" s="3">
        <v>280205.13</v>
      </c>
      <c r="O2899" s="3">
        <v>76226.070000000007</v>
      </c>
      <c r="P2899" s="3" t="s">
        <v>45</v>
      </c>
    </row>
    <row r="2900" spans="1:16" x14ac:dyDescent="0.35">
      <c r="A2900" s="3" t="s">
        <v>4297</v>
      </c>
      <c r="B2900" s="3" t="s">
        <v>102</v>
      </c>
      <c r="C2900" s="3" t="s">
        <v>103</v>
      </c>
      <c r="D2900" s="3" t="s">
        <v>58</v>
      </c>
      <c r="E2900" s="3" t="s">
        <v>65</v>
      </c>
      <c r="F2900" s="3" t="s">
        <v>66</v>
      </c>
      <c r="G2900" s="3" t="s">
        <v>41</v>
      </c>
      <c r="H2900" s="3" t="s">
        <v>61</v>
      </c>
      <c r="I2900" s="3" t="s">
        <v>246</v>
      </c>
      <c r="J2900" s="3" t="s">
        <v>85</v>
      </c>
      <c r="K2900" s="3">
        <v>8</v>
      </c>
      <c r="L2900" s="3">
        <v>2260.85</v>
      </c>
      <c r="M2900" s="3">
        <v>18086.8</v>
      </c>
      <c r="N2900" s="3">
        <v>12289.82</v>
      </c>
      <c r="O2900" s="3">
        <v>5796.98</v>
      </c>
      <c r="P2900" s="3" t="s">
        <v>45</v>
      </c>
    </row>
    <row r="2901" spans="1:16" x14ac:dyDescent="0.35">
      <c r="A2901" s="3" t="s">
        <v>4298</v>
      </c>
      <c r="B2901" s="3" t="s">
        <v>856</v>
      </c>
      <c r="C2901" s="3" t="s">
        <v>103</v>
      </c>
      <c r="D2901" s="3" t="s">
        <v>90</v>
      </c>
      <c r="E2901" s="3" t="s">
        <v>97</v>
      </c>
      <c r="F2901" s="3" t="s">
        <v>98</v>
      </c>
      <c r="G2901" s="3" t="s">
        <v>30</v>
      </c>
      <c r="H2901" s="3" t="s">
        <v>67</v>
      </c>
      <c r="I2901" s="3" t="s">
        <v>1004</v>
      </c>
      <c r="J2901" s="3" t="s">
        <v>79</v>
      </c>
      <c r="K2901" s="3">
        <v>3</v>
      </c>
      <c r="L2901" s="3">
        <v>8825.06</v>
      </c>
      <c r="M2901" s="3">
        <v>26475.18</v>
      </c>
      <c r="N2901" s="3">
        <v>23829.07</v>
      </c>
      <c r="O2901" s="3">
        <v>2646.11</v>
      </c>
      <c r="P2901" s="3" t="s">
        <v>69</v>
      </c>
    </row>
    <row r="2902" spans="1:16" x14ac:dyDescent="0.35">
      <c r="A2902" s="3" t="s">
        <v>4299</v>
      </c>
      <c r="B2902" s="3" t="s">
        <v>412</v>
      </c>
      <c r="C2902" s="3" t="s">
        <v>48</v>
      </c>
      <c r="D2902" s="3" t="s">
        <v>38</v>
      </c>
      <c r="E2902" s="3" t="s">
        <v>104</v>
      </c>
      <c r="F2902" s="3" t="s">
        <v>104</v>
      </c>
      <c r="G2902" s="3" t="s">
        <v>41</v>
      </c>
      <c r="H2902" s="3" t="s">
        <v>61</v>
      </c>
      <c r="I2902" s="3" t="s">
        <v>845</v>
      </c>
      <c r="J2902" s="3" t="s">
        <v>54</v>
      </c>
      <c r="K2902" s="3">
        <v>4</v>
      </c>
      <c r="L2902" s="3">
        <v>2368.89</v>
      </c>
      <c r="M2902" s="3">
        <v>9475.56</v>
      </c>
      <c r="N2902" s="3">
        <v>6564.38</v>
      </c>
      <c r="O2902" s="3">
        <v>2911.18</v>
      </c>
      <c r="P2902" s="3" t="s">
        <v>26</v>
      </c>
    </row>
    <row r="2903" spans="1:16" x14ac:dyDescent="0.35">
      <c r="A2903" s="3" t="s">
        <v>4300</v>
      </c>
      <c r="B2903" s="3" t="s">
        <v>782</v>
      </c>
      <c r="C2903" s="3" t="s">
        <v>114</v>
      </c>
      <c r="D2903" s="3" t="s">
        <v>19</v>
      </c>
      <c r="E2903" s="3" t="s">
        <v>49</v>
      </c>
      <c r="F2903" s="3" t="s">
        <v>50</v>
      </c>
      <c r="G2903" s="3" t="s">
        <v>30</v>
      </c>
      <c r="H2903" s="3" t="s">
        <v>31</v>
      </c>
      <c r="I2903" s="3" t="s">
        <v>1462</v>
      </c>
      <c r="J2903" s="3" t="s">
        <v>44</v>
      </c>
      <c r="K2903" s="3">
        <v>1</v>
      </c>
      <c r="L2903" s="3">
        <v>2789.56</v>
      </c>
      <c r="M2903" s="3">
        <v>2789.56</v>
      </c>
      <c r="N2903" s="3">
        <v>1985.92</v>
      </c>
      <c r="O2903" s="3">
        <v>803.64</v>
      </c>
      <c r="P2903" s="3" t="s">
        <v>45</v>
      </c>
    </row>
    <row r="2904" spans="1:16" x14ac:dyDescent="0.35">
      <c r="A2904" s="3" t="s">
        <v>4301</v>
      </c>
      <c r="B2904" s="3" t="s">
        <v>209</v>
      </c>
      <c r="C2904" s="3" t="s">
        <v>118</v>
      </c>
      <c r="D2904" s="3" t="s">
        <v>38</v>
      </c>
      <c r="E2904" s="3" t="s">
        <v>39</v>
      </c>
      <c r="F2904" s="3" t="s">
        <v>40</v>
      </c>
      <c r="G2904" s="3" t="s">
        <v>51</v>
      </c>
      <c r="H2904" s="3" t="s">
        <v>145</v>
      </c>
      <c r="I2904" s="3" t="s">
        <v>1888</v>
      </c>
      <c r="J2904" s="3" t="s">
        <v>100</v>
      </c>
      <c r="K2904" s="3">
        <v>1</v>
      </c>
      <c r="L2904" s="3">
        <v>122.47</v>
      </c>
      <c r="M2904" s="3">
        <v>122.47</v>
      </c>
      <c r="N2904" s="3">
        <v>60.98</v>
      </c>
      <c r="O2904" s="3">
        <v>61.49</v>
      </c>
      <c r="P2904" s="3" t="s">
        <v>69</v>
      </c>
    </row>
    <row r="2905" spans="1:16" x14ac:dyDescent="0.35">
      <c r="A2905" s="3" t="s">
        <v>4302</v>
      </c>
      <c r="B2905" s="3" t="s">
        <v>1423</v>
      </c>
      <c r="C2905" s="3" t="s">
        <v>37</v>
      </c>
      <c r="D2905" s="3" t="s">
        <v>19</v>
      </c>
      <c r="E2905" s="3" t="s">
        <v>49</v>
      </c>
      <c r="F2905" s="3" t="s">
        <v>50</v>
      </c>
      <c r="G2905" s="3" t="s">
        <v>22</v>
      </c>
      <c r="H2905" s="3" t="s">
        <v>23</v>
      </c>
      <c r="I2905" s="3" t="s">
        <v>2861</v>
      </c>
      <c r="J2905" s="3" t="s">
        <v>106</v>
      </c>
      <c r="K2905" s="3">
        <v>5</v>
      </c>
      <c r="L2905" s="3">
        <v>3778.96</v>
      </c>
      <c r="M2905" s="3">
        <v>18894.8</v>
      </c>
      <c r="N2905" s="3">
        <v>11184.29</v>
      </c>
      <c r="O2905" s="3">
        <v>7710.51</v>
      </c>
      <c r="P2905" s="3" t="s">
        <v>69</v>
      </c>
    </row>
    <row r="2906" spans="1:16" x14ac:dyDescent="0.35">
      <c r="A2906" s="3" t="s">
        <v>4303</v>
      </c>
      <c r="B2906" s="3" t="s">
        <v>1140</v>
      </c>
      <c r="C2906" s="3" t="s">
        <v>48</v>
      </c>
      <c r="D2906" s="3" t="s">
        <v>90</v>
      </c>
      <c r="E2906" s="3" t="s">
        <v>97</v>
      </c>
      <c r="F2906" s="3" t="s">
        <v>98</v>
      </c>
      <c r="G2906" s="3" t="s">
        <v>51</v>
      </c>
      <c r="H2906" s="3" t="s">
        <v>145</v>
      </c>
      <c r="I2906" s="3" t="s">
        <v>1715</v>
      </c>
      <c r="J2906" s="3" t="s">
        <v>217</v>
      </c>
      <c r="K2906" s="3">
        <v>1</v>
      </c>
      <c r="L2906" s="3">
        <v>121.89</v>
      </c>
      <c r="M2906" s="3">
        <v>121.89</v>
      </c>
      <c r="N2906" s="3">
        <v>61.82</v>
      </c>
      <c r="O2906" s="3">
        <v>60.07</v>
      </c>
      <c r="P2906" s="3" t="s">
        <v>69</v>
      </c>
    </row>
    <row r="2907" spans="1:16" x14ac:dyDescent="0.35">
      <c r="A2907" s="3" t="s">
        <v>4304</v>
      </c>
      <c r="B2907" s="3" t="s">
        <v>583</v>
      </c>
      <c r="C2907" s="3" t="s">
        <v>89</v>
      </c>
      <c r="D2907" s="3" t="s">
        <v>19</v>
      </c>
      <c r="E2907" s="3" t="s">
        <v>20</v>
      </c>
      <c r="F2907" s="3" t="s">
        <v>21</v>
      </c>
      <c r="G2907" s="3" t="s">
        <v>41</v>
      </c>
      <c r="H2907" s="3" t="s">
        <v>42</v>
      </c>
      <c r="I2907" s="3" t="s">
        <v>956</v>
      </c>
      <c r="J2907" s="3" t="s">
        <v>161</v>
      </c>
      <c r="K2907" s="3">
        <v>5</v>
      </c>
      <c r="L2907" s="3">
        <v>46906.57</v>
      </c>
      <c r="M2907" s="3">
        <v>234532.85</v>
      </c>
      <c r="N2907" s="3">
        <v>175966.8</v>
      </c>
      <c r="O2907" s="3">
        <v>58566.05</v>
      </c>
      <c r="P2907" s="3" t="s">
        <v>45</v>
      </c>
    </row>
    <row r="2908" spans="1:16" x14ac:dyDescent="0.35">
      <c r="A2908" s="3" t="s">
        <v>4305</v>
      </c>
      <c r="B2908" s="3" t="s">
        <v>2117</v>
      </c>
      <c r="C2908" s="3" t="s">
        <v>37</v>
      </c>
      <c r="D2908" s="3" t="s">
        <v>58</v>
      </c>
      <c r="E2908" s="3" t="s">
        <v>59</v>
      </c>
      <c r="F2908" s="3" t="s">
        <v>60</v>
      </c>
      <c r="G2908" s="3" t="s">
        <v>30</v>
      </c>
      <c r="H2908" s="3" t="s">
        <v>31</v>
      </c>
      <c r="I2908" s="3" t="s">
        <v>627</v>
      </c>
      <c r="J2908" s="3" t="s">
        <v>33</v>
      </c>
      <c r="K2908" s="3">
        <v>5</v>
      </c>
      <c r="L2908" s="3">
        <v>2919.78</v>
      </c>
      <c r="M2908" s="3">
        <v>14598.9</v>
      </c>
      <c r="N2908" s="3">
        <v>9215.1299999999992</v>
      </c>
      <c r="O2908" s="3">
        <v>5383.77</v>
      </c>
      <c r="P2908" s="3" t="s">
        <v>45</v>
      </c>
    </row>
    <row r="2909" spans="1:16" x14ac:dyDescent="0.35">
      <c r="A2909" s="3" t="s">
        <v>4306</v>
      </c>
      <c r="B2909" s="3" t="s">
        <v>787</v>
      </c>
      <c r="C2909" s="3" t="s">
        <v>37</v>
      </c>
      <c r="D2909" s="3" t="s">
        <v>38</v>
      </c>
      <c r="E2909" s="3" t="s">
        <v>39</v>
      </c>
      <c r="F2909" s="3" t="s">
        <v>40</v>
      </c>
      <c r="G2909" s="3" t="s">
        <v>22</v>
      </c>
      <c r="H2909" s="3" t="s">
        <v>93</v>
      </c>
      <c r="I2909" s="3" t="s">
        <v>1975</v>
      </c>
      <c r="J2909" s="3" t="s">
        <v>161</v>
      </c>
      <c r="K2909" s="3">
        <v>8</v>
      </c>
      <c r="L2909" s="3">
        <v>6740.57</v>
      </c>
      <c r="M2909" s="3">
        <v>53924.56</v>
      </c>
      <c r="N2909" s="3">
        <v>39724.6</v>
      </c>
      <c r="O2909" s="3">
        <v>14199.96</v>
      </c>
      <c r="P2909" s="3" t="s">
        <v>45</v>
      </c>
    </row>
    <row r="2910" spans="1:16" x14ac:dyDescent="0.35">
      <c r="A2910" s="3" t="s">
        <v>4307</v>
      </c>
      <c r="B2910" s="3" t="s">
        <v>688</v>
      </c>
      <c r="C2910" s="3" t="s">
        <v>118</v>
      </c>
      <c r="D2910" s="3" t="s">
        <v>19</v>
      </c>
      <c r="E2910" s="3" t="s">
        <v>49</v>
      </c>
      <c r="F2910" s="3" t="s">
        <v>50</v>
      </c>
      <c r="G2910" s="3" t="s">
        <v>51</v>
      </c>
      <c r="H2910" s="3" t="s">
        <v>52</v>
      </c>
      <c r="I2910" s="3" t="s">
        <v>4308</v>
      </c>
      <c r="J2910" s="3" t="s">
        <v>131</v>
      </c>
      <c r="K2910" s="3">
        <v>6</v>
      </c>
      <c r="L2910" s="3">
        <v>23.62</v>
      </c>
      <c r="M2910" s="3">
        <v>141.72</v>
      </c>
      <c r="N2910" s="3">
        <v>57.81</v>
      </c>
      <c r="O2910" s="3">
        <v>83.91</v>
      </c>
      <c r="P2910" s="3" t="s">
        <v>34</v>
      </c>
    </row>
    <row r="2911" spans="1:16" x14ac:dyDescent="0.35">
      <c r="A2911" s="3" t="s">
        <v>4309</v>
      </c>
      <c r="B2911" s="3" t="s">
        <v>64</v>
      </c>
      <c r="C2911" s="3" t="s">
        <v>57</v>
      </c>
      <c r="D2911" s="3" t="s">
        <v>38</v>
      </c>
      <c r="E2911" s="3" t="s">
        <v>39</v>
      </c>
      <c r="F2911" s="3" t="s">
        <v>40</v>
      </c>
      <c r="G2911" s="3" t="s">
        <v>30</v>
      </c>
      <c r="H2911" s="3" t="s">
        <v>31</v>
      </c>
      <c r="I2911" s="3" t="s">
        <v>2988</v>
      </c>
      <c r="J2911" s="3" t="s">
        <v>54</v>
      </c>
      <c r="K2911" s="3">
        <v>7</v>
      </c>
      <c r="L2911" s="3">
        <v>2772.93</v>
      </c>
      <c r="M2911" s="3">
        <v>19410.509999999998</v>
      </c>
      <c r="N2911" s="3">
        <v>13782.95</v>
      </c>
      <c r="O2911" s="3">
        <v>5627.56</v>
      </c>
      <c r="P2911" s="3" t="s">
        <v>86</v>
      </c>
    </row>
    <row r="2912" spans="1:16" x14ac:dyDescent="0.35">
      <c r="A2912" s="3" t="s">
        <v>4310</v>
      </c>
      <c r="B2912" s="3" t="s">
        <v>562</v>
      </c>
      <c r="C2912" s="3" t="s">
        <v>82</v>
      </c>
      <c r="D2912" s="3" t="s">
        <v>90</v>
      </c>
      <c r="E2912" s="3" t="s">
        <v>97</v>
      </c>
      <c r="F2912" s="3" t="s">
        <v>98</v>
      </c>
      <c r="G2912" s="3" t="s">
        <v>51</v>
      </c>
      <c r="H2912" s="3" t="s">
        <v>52</v>
      </c>
      <c r="I2912" s="3" t="s">
        <v>1443</v>
      </c>
      <c r="J2912" s="3" t="s">
        <v>147</v>
      </c>
      <c r="K2912" s="3">
        <v>2</v>
      </c>
      <c r="L2912" s="3">
        <v>24</v>
      </c>
      <c r="M2912" s="3">
        <v>48</v>
      </c>
      <c r="N2912" s="3">
        <v>19.77</v>
      </c>
      <c r="O2912" s="3">
        <v>28.23</v>
      </c>
      <c r="P2912" s="3" t="s">
        <v>45</v>
      </c>
    </row>
    <row r="2913" spans="1:16" x14ac:dyDescent="0.35">
      <c r="A2913" s="3" t="s">
        <v>4311</v>
      </c>
      <c r="B2913" s="3" t="s">
        <v>924</v>
      </c>
      <c r="C2913" s="3" t="s">
        <v>18</v>
      </c>
      <c r="D2913" s="3" t="s">
        <v>19</v>
      </c>
      <c r="E2913" s="3" t="s">
        <v>20</v>
      </c>
      <c r="F2913" s="3" t="s">
        <v>21</v>
      </c>
      <c r="G2913" s="3" t="s">
        <v>30</v>
      </c>
      <c r="H2913" s="3" t="s">
        <v>67</v>
      </c>
      <c r="I2913" s="3" t="s">
        <v>1655</v>
      </c>
      <c r="J2913" s="3" t="s">
        <v>106</v>
      </c>
      <c r="K2913" s="3">
        <v>1</v>
      </c>
      <c r="L2913" s="3">
        <v>8702.9699999999993</v>
      </c>
      <c r="M2913" s="3">
        <v>8702.9699999999993</v>
      </c>
      <c r="N2913" s="3">
        <v>7368.56</v>
      </c>
      <c r="O2913" s="3">
        <v>1334.41</v>
      </c>
      <c r="P2913" s="3" t="s">
        <v>34</v>
      </c>
    </row>
    <row r="2914" spans="1:16" x14ac:dyDescent="0.35">
      <c r="A2914" s="3" t="s">
        <v>4312</v>
      </c>
      <c r="B2914" s="3" t="s">
        <v>1780</v>
      </c>
      <c r="C2914" s="3" t="s">
        <v>137</v>
      </c>
      <c r="D2914" s="3" t="s">
        <v>19</v>
      </c>
      <c r="E2914" s="3" t="s">
        <v>49</v>
      </c>
      <c r="F2914" s="3" t="s">
        <v>50</v>
      </c>
      <c r="G2914" s="3" t="s">
        <v>30</v>
      </c>
      <c r="H2914" s="3" t="s">
        <v>67</v>
      </c>
      <c r="I2914" s="3" t="s">
        <v>2703</v>
      </c>
      <c r="J2914" s="3" t="s">
        <v>217</v>
      </c>
      <c r="K2914" s="3">
        <v>2</v>
      </c>
      <c r="L2914" s="3">
        <v>9729.58</v>
      </c>
      <c r="M2914" s="3">
        <v>19459.16</v>
      </c>
      <c r="N2914" s="3">
        <v>15657.64</v>
      </c>
      <c r="O2914" s="3">
        <v>3801.52</v>
      </c>
      <c r="P2914" s="3" t="s">
        <v>69</v>
      </c>
    </row>
    <row r="2915" spans="1:16" x14ac:dyDescent="0.35">
      <c r="A2915" s="3" t="s">
        <v>4313</v>
      </c>
      <c r="B2915" s="3" t="s">
        <v>2492</v>
      </c>
      <c r="C2915" s="3" t="s">
        <v>118</v>
      </c>
      <c r="D2915" s="3" t="s">
        <v>38</v>
      </c>
      <c r="E2915" s="3" t="s">
        <v>39</v>
      </c>
      <c r="F2915" s="3" t="s">
        <v>40</v>
      </c>
      <c r="G2915" s="3" t="s">
        <v>41</v>
      </c>
      <c r="H2915" s="3" t="s">
        <v>61</v>
      </c>
      <c r="I2915" s="3" t="s">
        <v>2174</v>
      </c>
      <c r="J2915" s="3" t="s">
        <v>171</v>
      </c>
      <c r="K2915" s="3">
        <v>4</v>
      </c>
      <c r="L2915" s="3">
        <v>2499.41</v>
      </c>
      <c r="M2915" s="3">
        <v>9997.64</v>
      </c>
      <c r="N2915" s="3">
        <v>6082.34</v>
      </c>
      <c r="O2915" s="3">
        <v>3915.3</v>
      </c>
      <c r="P2915" s="3" t="s">
        <v>34</v>
      </c>
    </row>
    <row r="2916" spans="1:16" x14ac:dyDescent="0.35">
      <c r="A2916" s="3" t="s">
        <v>4314</v>
      </c>
      <c r="B2916" s="3" t="s">
        <v>536</v>
      </c>
      <c r="C2916" s="3" t="s">
        <v>18</v>
      </c>
      <c r="D2916" s="3" t="s">
        <v>38</v>
      </c>
      <c r="E2916" s="3" t="s">
        <v>109</v>
      </c>
      <c r="F2916" s="3" t="s">
        <v>110</v>
      </c>
      <c r="G2916" s="3" t="s">
        <v>22</v>
      </c>
      <c r="H2916" s="3" t="s">
        <v>83</v>
      </c>
      <c r="I2916" s="3" t="s">
        <v>1191</v>
      </c>
      <c r="J2916" s="3" t="s">
        <v>33</v>
      </c>
      <c r="K2916" s="3">
        <v>6</v>
      </c>
      <c r="L2916" s="3">
        <v>21386.63</v>
      </c>
      <c r="M2916" s="3">
        <v>128319.78</v>
      </c>
      <c r="N2916" s="3">
        <v>99242.07</v>
      </c>
      <c r="O2916" s="3">
        <v>29077.71</v>
      </c>
      <c r="P2916" s="3" t="s">
        <v>69</v>
      </c>
    </row>
    <row r="2917" spans="1:16" x14ac:dyDescent="0.35">
      <c r="A2917" s="3" t="s">
        <v>4315</v>
      </c>
      <c r="B2917" s="3" t="s">
        <v>1912</v>
      </c>
      <c r="C2917" s="3" t="s">
        <v>137</v>
      </c>
      <c r="D2917" s="3" t="s">
        <v>38</v>
      </c>
      <c r="E2917" s="3" t="s">
        <v>39</v>
      </c>
      <c r="F2917" s="3" t="s">
        <v>40</v>
      </c>
      <c r="G2917" s="3" t="s">
        <v>22</v>
      </c>
      <c r="H2917" s="3" t="s">
        <v>93</v>
      </c>
      <c r="I2917" s="3" t="s">
        <v>1616</v>
      </c>
      <c r="J2917" s="3" t="s">
        <v>171</v>
      </c>
      <c r="K2917" s="3">
        <v>5</v>
      </c>
      <c r="L2917" s="3">
        <v>7106.44</v>
      </c>
      <c r="M2917" s="3">
        <v>35532.199999999997</v>
      </c>
      <c r="N2917" s="3">
        <v>24009.27</v>
      </c>
      <c r="O2917" s="3">
        <v>11522.93</v>
      </c>
      <c r="P2917" s="3" t="s">
        <v>86</v>
      </c>
    </row>
    <row r="2918" spans="1:16" x14ac:dyDescent="0.35">
      <c r="A2918" s="3" t="s">
        <v>4316</v>
      </c>
      <c r="B2918" s="3" t="s">
        <v>1122</v>
      </c>
      <c r="C2918" s="3" t="s">
        <v>118</v>
      </c>
      <c r="D2918" s="3" t="s">
        <v>90</v>
      </c>
      <c r="E2918" s="3" t="s">
        <v>97</v>
      </c>
      <c r="F2918" s="3" t="s">
        <v>98</v>
      </c>
      <c r="G2918" s="3" t="s">
        <v>51</v>
      </c>
      <c r="H2918" s="3" t="s">
        <v>77</v>
      </c>
      <c r="I2918" s="3" t="s">
        <v>1049</v>
      </c>
      <c r="J2918" s="3" t="s">
        <v>79</v>
      </c>
      <c r="K2918" s="3">
        <v>8</v>
      </c>
      <c r="L2918" s="3">
        <v>12975.98</v>
      </c>
      <c r="M2918" s="3">
        <v>103807.84</v>
      </c>
      <c r="N2918" s="3">
        <v>69613.5</v>
      </c>
      <c r="O2918" s="3">
        <v>34194.339999999997</v>
      </c>
      <c r="P2918" s="3" t="s">
        <v>69</v>
      </c>
    </row>
    <row r="2919" spans="1:16" x14ac:dyDescent="0.35">
      <c r="A2919" s="3" t="s">
        <v>4317</v>
      </c>
      <c r="B2919" s="3" t="s">
        <v>575</v>
      </c>
      <c r="C2919" s="3" t="s">
        <v>137</v>
      </c>
      <c r="D2919" s="3" t="s">
        <v>58</v>
      </c>
      <c r="E2919" s="3" t="s">
        <v>65</v>
      </c>
      <c r="F2919" s="3" t="s">
        <v>66</v>
      </c>
      <c r="G2919" s="3" t="s">
        <v>51</v>
      </c>
      <c r="H2919" s="3" t="s">
        <v>52</v>
      </c>
      <c r="I2919" s="3" t="s">
        <v>1449</v>
      </c>
      <c r="J2919" s="3" t="s">
        <v>79</v>
      </c>
      <c r="K2919" s="3">
        <v>7</v>
      </c>
      <c r="L2919" s="3">
        <v>25.44</v>
      </c>
      <c r="M2919" s="3">
        <v>178.08</v>
      </c>
      <c r="N2919" s="3">
        <v>72.010000000000005</v>
      </c>
      <c r="O2919" s="3">
        <v>106.07</v>
      </c>
      <c r="P2919" s="3" t="s">
        <v>34</v>
      </c>
    </row>
    <row r="2920" spans="1:16" x14ac:dyDescent="0.35">
      <c r="A2920" s="3" t="s">
        <v>4318</v>
      </c>
      <c r="B2920" s="3" t="s">
        <v>871</v>
      </c>
      <c r="C2920" s="3" t="s">
        <v>103</v>
      </c>
      <c r="D2920" s="3" t="s">
        <v>58</v>
      </c>
      <c r="E2920" s="3" t="s">
        <v>59</v>
      </c>
      <c r="F2920" s="3" t="s">
        <v>60</v>
      </c>
      <c r="G2920" s="3" t="s">
        <v>51</v>
      </c>
      <c r="H2920" s="3" t="s">
        <v>145</v>
      </c>
      <c r="I2920" s="3" t="s">
        <v>2472</v>
      </c>
      <c r="J2920" s="3" t="s">
        <v>100</v>
      </c>
      <c r="K2920" s="3">
        <v>1</v>
      </c>
      <c r="L2920" s="3">
        <v>131.41</v>
      </c>
      <c r="M2920" s="3">
        <v>131.41</v>
      </c>
      <c r="N2920" s="3">
        <v>57.39</v>
      </c>
      <c r="O2920" s="3">
        <v>74.02</v>
      </c>
      <c r="P2920" s="3" t="s">
        <v>34</v>
      </c>
    </row>
    <row r="2921" spans="1:16" x14ac:dyDescent="0.35">
      <c r="A2921" s="3" t="s">
        <v>4319</v>
      </c>
      <c r="B2921" s="3" t="s">
        <v>81</v>
      </c>
      <c r="C2921" s="3" t="s">
        <v>82</v>
      </c>
      <c r="D2921" s="3" t="s">
        <v>19</v>
      </c>
      <c r="E2921" s="3" t="s">
        <v>49</v>
      </c>
      <c r="F2921" s="3" t="s">
        <v>50</v>
      </c>
      <c r="G2921" s="3" t="s">
        <v>22</v>
      </c>
      <c r="H2921" s="3" t="s">
        <v>93</v>
      </c>
      <c r="I2921" s="3" t="s">
        <v>602</v>
      </c>
      <c r="J2921" s="3" t="s">
        <v>54</v>
      </c>
      <c r="K2921" s="3">
        <v>3</v>
      </c>
      <c r="L2921" s="3">
        <v>7262.66</v>
      </c>
      <c r="M2921" s="3">
        <v>21787.98</v>
      </c>
      <c r="N2921" s="3">
        <v>14923.96</v>
      </c>
      <c r="O2921" s="3">
        <v>6864.02</v>
      </c>
      <c r="P2921" s="3" t="s">
        <v>69</v>
      </c>
    </row>
    <row r="2922" spans="1:16" x14ac:dyDescent="0.35">
      <c r="A2922" s="3" t="s">
        <v>4320</v>
      </c>
      <c r="B2922" s="3" t="s">
        <v>979</v>
      </c>
      <c r="C2922" s="3" t="s">
        <v>103</v>
      </c>
      <c r="D2922" s="3" t="s">
        <v>58</v>
      </c>
      <c r="E2922" s="3" t="s">
        <v>65</v>
      </c>
      <c r="F2922" s="3" t="s">
        <v>66</v>
      </c>
      <c r="G2922" s="3" t="s">
        <v>41</v>
      </c>
      <c r="H2922" s="3" t="s">
        <v>138</v>
      </c>
      <c r="I2922" s="3" t="s">
        <v>1068</v>
      </c>
      <c r="J2922" s="3" t="s">
        <v>54</v>
      </c>
      <c r="K2922" s="3">
        <v>5</v>
      </c>
      <c r="L2922" s="3">
        <v>16866.32</v>
      </c>
      <c r="M2922" s="3">
        <v>84331.6</v>
      </c>
      <c r="N2922" s="3">
        <v>70562.19</v>
      </c>
      <c r="O2922" s="3">
        <v>13769.41</v>
      </c>
      <c r="P2922" s="3" t="s">
        <v>45</v>
      </c>
    </row>
    <row r="2923" spans="1:16" x14ac:dyDescent="0.35">
      <c r="A2923" s="3" t="s">
        <v>4321</v>
      </c>
      <c r="B2923" s="3" t="s">
        <v>2211</v>
      </c>
      <c r="C2923" s="3" t="s">
        <v>72</v>
      </c>
      <c r="D2923" s="3" t="s">
        <v>58</v>
      </c>
      <c r="E2923" s="3" t="s">
        <v>59</v>
      </c>
      <c r="F2923" s="3" t="s">
        <v>60</v>
      </c>
      <c r="G2923" s="3" t="s">
        <v>30</v>
      </c>
      <c r="H2923" s="3" t="s">
        <v>31</v>
      </c>
      <c r="I2923" s="3" t="s">
        <v>975</v>
      </c>
      <c r="J2923" s="3" t="s">
        <v>147</v>
      </c>
      <c r="K2923" s="3">
        <v>2</v>
      </c>
      <c r="L2923" s="3">
        <v>2978.67</v>
      </c>
      <c r="M2923" s="3">
        <v>5957.34</v>
      </c>
      <c r="N2923" s="3">
        <v>3818.94</v>
      </c>
      <c r="O2923" s="3">
        <v>2138.4</v>
      </c>
      <c r="P2923" s="3" t="s">
        <v>69</v>
      </c>
    </row>
    <row r="2924" spans="1:16" x14ac:dyDescent="0.35">
      <c r="A2924" s="3" t="s">
        <v>4322</v>
      </c>
      <c r="B2924" s="3" t="s">
        <v>307</v>
      </c>
      <c r="C2924" s="3" t="s">
        <v>103</v>
      </c>
      <c r="D2924" s="3" t="s">
        <v>38</v>
      </c>
      <c r="E2924" s="3" t="s">
        <v>39</v>
      </c>
      <c r="F2924" s="3" t="s">
        <v>40</v>
      </c>
      <c r="G2924" s="3" t="s">
        <v>22</v>
      </c>
      <c r="H2924" s="3" t="s">
        <v>93</v>
      </c>
      <c r="I2924" s="3" t="s">
        <v>1101</v>
      </c>
      <c r="J2924" s="3" t="s">
        <v>171</v>
      </c>
      <c r="K2924" s="3">
        <v>1</v>
      </c>
      <c r="L2924" s="3">
        <v>7251.24</v>
      </c>
      <c r="M2924" s="3">
        <v>7251.24</v>
      </c>
      <c r="N2924" s="3">
        <v>4903.8999999999996</v>
      </c>
      <c r="O2924" s="3">
        <v>2347.34</v>
      </c>
      <c r="P2924" s="3" t="s">
        <v>86</v>
      </c>
    </row>
    <row r="2925" spans="1:16" x14ac:dyDescent="0.35">
      <c r="A2925" s="3" t="s">
        <v>4323</v>
      </c>
      <c r="B2925" s="3" t="s">
        <v>387</v>
      </c>
      <c r="C2925" s="3" t="s">
        <v>82</v>
      </c>
      <c r="D2925" s="3" t="s">
        <v>19</v>
      </c>
      <c r="E2925" s="3" t="s">
        <v>20</v>
      </c>
      <c r="F2925" s="3" t="s">
        <v>21</v>
      </c>
      <c r="G2925" s="3" t="s">
        <v>30</v>
      </c>
      <c r="H2925" s="3" t="s">
        <v>67</v>
      </c>
      <c r="I2925" s="3" t="s">
        <v>4040</v>
      </c>
      <c r="J2925" s="3" t="s">
        <v>44</v>
      </c>
      <c r="K2925" s="3">
        <v>1</v>
      </c>
      <c r="L2925" s="3">
        <v>9265.86</v>
      </c>
      <c r="M2925" s="3">
        <v>9265.86</v>
      </c>
      <c r="N2925" s="3">
        <v>7492.11</v>
      </c>
      <c r="O2925" s="3">
        <v>1773.75</v>
      </c>
      <c r="P2925" s="3" t="s">
        <v>45</v>
      </c>
    </row>
    <row r="2926" spans="1:16" x14ac:dyDescent="0.35">
      <c r="A2926" s="3" t="s">
        <v>4324</v>
      </c>
      <c r="B2926" s="3" t="s">
        <v>1429</v>
      </c>
      <c r="C2926" s="3" t="s">
        <v>89</v>
      </c>
      <c r="D2926" s="3" t="s">
        <v>58</v>
      </c>
      <c r="E2926" s="3" t="s">
        <v>176</v>
      </c>
      <c r="F2926" s="3" t="s">
        <v>177</v>
      </c>
      <c r="G2926" s="3" t="s">
        <v>22</v>
      </c>
      <c r="H2926" s="3" t="s">
        <v>23</v>
      </c>
      <c r="I2926" s="3" t="s">
        <v>2260</v>
      </c>
      <c r="J2926" s="3" t="s">
        <v>188</v>
      </c>
      <c r="K2926" s="3">
        <v>6</v>
      </c>
      <c r="L2926" s="3">
        <v>3642.04</v>
      </c>
      <c r="M2926" s="3">
        <v>21852.240000000002</v>
      </c>
      <c r="N2926" s="3">
        <v>12638.59</v>
      </c>
      <c r="O2926" s="3">
        <v>9213.65</v>
      </c>
      <c r="P2926" s="3" t="s">
        <v>34</v>
      </c>
    </row>
    <row r="2927" spans="1:16" x14ac:dyDescent="0.35">
      <c r="A2927" s="3" t="s">
        <v>4325</v>
      </c>
      <c r="B2927" s="3" t="s">
        <v>636</v>
      </c>
      <c r="C2927" s="3" t="s">
        <v>57</v>
      </c>
      <c r="D2927" s="3" t="s">
        <v>38</v>
      </c>
      <c r="E2927" s="3" t="s">
        <v>39</v>
      </c>
      <c r="F2927" s="3" t="s">
        <v>40</v>
      </c>
      <c r="G2927" s="3" t="s">
        <v>30</v>
      </c>
      <c r="H2927" s="3" t="s">
        <v>31</v>
      </c>
      <c r="I2927" s="3" t="s">
        <v>1715</v>
      </c>
      <c r="J2927" s="3" t="s">
        <v>79</v>
      </c>
      <c r="K2927" s="3">
        <v>5</v>
      </c>
      <c r="L2927" s="3">
        <v>2822.99</v>
      </c>
      <c r="M2927" s="3">
        <v>14114.95</v>
      </c>
      <c r="N2927" s="3">
        <v>9480.89</v>
      </c>
      <c r="O2927" s="3">
        <v>4634.0600000000004</v>
      </c>
      <c r="P2927" s="3" t="s">
        <v>34</v>
      </c>
    </row>
    <row r="2928" spans="1:16" x14ac:dyDescent="0.35">
      <c r="A2928" s="3" t="s">
        <v>4326</v>
      </c>
      <c r="B2928" s="3" t="s">
        <v>688</v>
      </c>
      <c r="C2928" s="3" t="s">
        <v>118</v>
      </c>
      <c r="D2928" s="3" t="s">
        <v>90</v>
      </c>
      <c r="E2928" s="3" t="s">
        <v>97</v>
      </c>
      <c r="F2928" s="3" t="s">
        <v>98</v>
      </c>
      <c r="G2928" s="3" t="s">
        <v>51</v>
      </c>
      <c r="H2928" s="3" t="s">
        <v>52</v>
      </c>
      <c r="I2928" s="3" t="s">
        <v>578</v>
      </c>
      <c r="J2928" s="3" t="s">
        <v>147</v>
      </c>
      <c r="K2928" s="3">
        <v>5</v>
      </c>
      <c r="L2928" s="3">
        <v>27.18</v>
      </c>
      <c r="M2928" s="3">
        <v>135.9</v>
      </c>
      <c r="N2928" s="3">
        <v>49.84</v>
      </c>
      <c r="O2928" s="3">
        <v>86.06</v>
      </c>
      <c r="P2928" s="3" t="s">
        <v>34</v>
      </c>
    </row>
    <row r="2929" spans="1:16" x14ac:dyDescent="0.35">
      <c r="A2929" s="3" t="s">
        <v>4327</v>
      </c>
      <c r="B2929" s="3" t="s">
        <v>1238</v>
      </c>
      <c r="C2929" s="3" t="s">
        <v>82</v>
      </c>
      <c r="D2929" s="3" t="s">
        <v>58</v>
      </c>
      <c r="E2929" s="3" t="s">
        <v>176</v>
      </c>
      <c r="F2929" s="3" t="s">
        <v>177</v>
      </c>
      <c r="G2929" s="3" t="s">
        <v>41</v>
      </c>
      <c r="H2929" s="3" t="s">
        <v>138</v>
      </c>
      <c r="I2929" s="3" t="s">
        <v>1327</v>
      </c>
      <c r="J2929" s="3" t="s">
        <v>79</v>
      </c>
      <c r="K2929" s="3">
        <v>8</v>
      </c>
      <c r="L2929" s="3">
        <v>17688.060000000001</v>
      </c>
      <c r="M2929" s="3">
        <v>141504.48000000001</v>
      </c>
      <c r="N2929" s="3">
        <v>115257.28</v>
      </c>
      <c r="O2929" s="3">
        <v>26247.200000000001</v>
      </c>
      <c r="P2929" s="3" t="s">
        <v>69</v>
      </c>
    </row>
    <row r="2930" spans="1:16" x14ac:dyDescent="0.35">
      <c r="A2930" s="3" t="s">
        <v>4328</v>
      </c>
      <c r="B2930" s="3" t="s">
        <v>233</v>
      </c>
      <c r="C2930" s="3" t="s">
        <v>103</v>
      </c>
      <c r="D2930" s="3" t="s">
        <v>58</v>
      </c>
      <c r="E2930" s="3" t="s">
        <v>65</v>
      </c>
      <c r="F2930" s="3" t="s">
        <v>66</v>
      </c>
      <c r="G2930" s="3" t="s">
        <v>22</v>
      </c>
      <c r="H2930" s="3" t="s">
        <v>23</v>
      </c>
      <c r="I2930" s="3" t="s">
        <v>479</v>
      </c>
      <c r="J2930" s="3" t="s">
        <v>100</v>
      </c>
      <c r="K2930" s="3">
        <v>4</v>
      </c>
      <c r="L2930" s="3">
        <v>3635.8</v>
      </c>
      <c r="M2930" s="3">
        <v>14543.2</v>
      </c>
      <c r="N2930" s="3">
        <v>8888.7999999999993</v>
      </c>
      <c r="O2930" s="3">
        <v>5654.4</v>
      </c>
      <c r="P2930" s="3" t="s">
        <v>69</v>
      </c>
    </row>
    <row r="2931" spans="1:16" x14ac:dyDescent="0.35">
      <c r="A2931" s="3" t="s">
        <v>4329</v>
      </c>
      <c r="B2931" s="3" t="s">
        <v>859</v>
      </c>
      <c r="C2931" s="3" t="s">
        <v>48</v>
      </c>
      <c r="D2931" s="3" t="s">
        <v>58</v>
      </c>
      <c r="E2931" s="3" t="s">
        <v>65</v>
      </c>
      <c r="F2931" s="3" t="s">
        <v>66</v>
      </c>
      <c r="G2931" s="3" t="s">
        <v>41</v>
      </c>
      <c r="H2931" s="3" t="s">
        <v>42</v>
      </c>
      <c r="I2931" s="3" t="s">
        <v>1885</v>
      </c>
      <c r="J2931" s="3" t="s">
        <v>188</v>
      </c>
      <c r="K2931" s="3">
        <v>1</v>
      </c>
      <c r="L2931" s="3">
        <v>40915.839999999997</v>
      </c>
      <c r="M2931" s="3">
        <v>40915.839999999997</v>
      </c>
      <c r="N2931" s="3">
        <v>34948.519999999997</v>
      </c>
      <c r="O2931" s="3">
        <v>5967.32</v>
      </c>
      <c r="P2931" s="3" t="s">
        <v>26</v>
      </c>
    </row>
    <row r="2932" spans="1:16" x14ac:dyDescent="0.35">
      <c r="A2932" s="3" t="s">
        <v>4330</v>
      </c>
      <c r="B2932" s="3" t="s">
        <v>28</v>
      </c>
      <c r="C2932" s="3" t="s">
        <v>29</v>
      </c>
      <c r="D2932" s="3" t="s">
        <v>90</v>
      </c>
      <c r="E2932" s="3" t="s">
        <v>97</v>
      </c>
      <c r="F2932" s="3" t="s">
        <v>98</v>
      </c>
      <c r="G2932" s="3" t="s">
        <v>41</v>
      </c>
      <c r="H2932" s="3" t="s">
        <v>42</v>
      </c>
      <c r="I2932" s="3" t="s">
        <v>1251</v>
      </c>
      <c r="J2932" s="3" t="s">
        <v>147</v>
      </c>
      <c r="K2932" s="3">
        <v>1</v>
      </c>
      <c r="L2932" s="3">
        <v>44299.02</v>
      </c>
      <c r="M2932" s="3">
        <v>44299.02</v>
      </c>
      <c r="N2932" s="3">
        <v>36550.39</v>
      </c>
      <c r="O2932" s="3">
        <v>7748.63</v>
      </c>
      <c r="P2932" s="3" t="s">
        <v>86</v>
      </c>
    </row>
    <row r="2933" spans="1:16" x14ac:dyDescent="0.35">
      <c r="A2933" s="3" t="s">
        <v>4331</v>
      </c>
      <c r="B2933" s="3" t="s">
        <v>880</v>
      </c>
      <c r="C2933" s="3" t="s">
        <v>114</v>
      </c>
      <c r="D2933" s="3" t="s">
        <v>90</v>
      </c>
      <c r="E2933" s="3" t="s">
        <v>119</v>
      </c>
      <c r="F2933" s="3" t="s">
        <v>120</v>
      </c>
      <c r="G2933" s="3" t="s">
        <v>41</v>
      </c>
      <c r="H2933" s="3" t="s">
        <v>42</v>
      </c>
      <c r="I2933" s="3" t="s">
        <v>1495</v>
      </c>
      <c r="J2933" s="3" t="s">
        <v>100</v>
      </c>
      <c r="K2933" s="3">
        <v>7</v>
      </c>
      <c r="L2933" s="3">
        <v>43716.54</v>
      </c>
      <c r="M2933" s="3">
        <v>306015.78000000003</v>
      </c>
      <c r="N2933" s="3">
        <v>247478.73</v>
      </c>
      <c r="O2933" s="3">
        <v>58537.05</v>
      </c>
      <c r="P2933" s="3" t="s">
        <v>45</v>
      </c>
    </row>
    <row r="2934" spans="1:16" x14ac:dyDescent="0.35">
      <c r="A2934" s="3" t="s">
        <v>4332</v>
      </c>
      <c r="B2934" s="3" t="s">
        <v>318</v>
      </c>
      <c r="C2934" s="3" t="s">
        <v>37</v>
      </c>
      <c r="D2934" s="3" t="s">
        <v>38</v>
      </c>
      <c r="E2934" s="3" t="s">
        <v>104</v>
      </c>
      <c r="F2934" s="3" t="s">
        <v>104</v>
      </c>
      <c r="G2934" s="3" t="s">
        <v>22</v>
      </c>
      <c r="H2934" s="3" t="s">
        <v>93</v>
      </c>
      <c r="I2934" s="3" t="s">
        <v>1645</v>
      </c>
      <c r="J2934" s="3" t="s">
        <v>154</v>
      </c>
      <c r="K2934" s="3">
        <v>8</v>
      </c>
      <c r="L2934" s="3">
        <v>7175.44</v>
      </c>
      <c r="M2934" s="3">
        <v>57403.519999999997</v>
      </c>
      <c r="N2934" s="3">
        <v>38616.94</v>
      </c>
      <c r="O2934" s="3">
        <v>18786.580000000002</v>
      </c>
      <c r="P2934" s="3" t="s">
        <v>45</v>
      </c>
    </row>
    <row r="2935" spans="1:16" x14ac:dyDescent="0.35">
      <c r="A2935" s="3" t="s">
        <v>4333</v>
      </c>
      <c r="B2935" s="3" t="s">
        <v>586</v>
      </c>
      <c r="C2935" s="3" t="s">
        <v>57</v>
      </c>
      <c r="D2935" s="3" t="s">
        <v>58</v>
      </c>
      <c r="E2935" s="3" t="s">
        <v>59</v>
      </c>
      <c r="F2935" s="3" t="s">
        <v>60</v>
      </c>
      <c r="G2935" s="3" t="s">
        <v>41</v>
      </c>
      <c r="H2935" s="3" t="s">
        <v>61</v>
      </c>
      <c r="I2935" s="3" t="s">
        <v>4334</v>
      </c>
      <c r="J2935" s="3" t="s">
        <v>33</v>
      </c>
      <c r="K2935" s="3">
        <v>1</v>
      </c>
      <c r="L2935" s="3">
        <v>2432.25</v>
      </c>
      <c r="M2935" s="3">
        <v>2432.25</v>
      </c>
      <c r="N2935" s="3">
        <v>1528.71</v>
      </c>
      <c r="O2935" s="3">
        <v>903.54</v>
      </c>
      <c r="P2935" s="3" t="s">
        <v>26</v>
      </c>
    </row>
    <row r="2936" spans="1:16" x14ac:dyDescent="0.35">
      <c r="A2936" s="3" t="s">
        <v>4335</v>
      </c>
      <c r="B2936" s="3" t="s">
        <v>133</v>
      </c>
      <c r="C2936" s="3" t="s">
        <v>18</v>
      </c>
      <c r="D2936" s="3" t="s">
        <v>19</v>
      </c>
      <c r="E2936" s="3" t="s">
        <v>20</v>
      </c>
      <c r="F2936" s="3" t="s">
        <v>21</v>
      </c>
      <c r="G2936" s="3" t="s">
        <v>22</v>
      </c>
      <c r="H2936" s="3" t="s">
        <v>83</v>
      </c>
      <c r="I2936" s="3" t="s">
        <v>1206</v>
      </c>
      <c r="J2936" s="3" t="s">
        <v>147</v>
      </c>
      <c r="K2936" s="3">
        <v>3</v>
      </c>
      <c r="L2936" s="3">
        <v>22535.75</v>
      </c>
      <c r="M2936" s="3">
        <v>67607.25</v>
      </c>
      <c r="N2936" s="3">
        <v>49425.05</v>
      </c>
      <c r="O2936" s="3">
        <v>18182.2</v>
      </c>
      <c r="P2936" s="3" t="s">
        <v>34</v>
      </c>
    </row>
    <row r="2937" spans="1:16" x14ac:dyDescent="0.35">
      <c r="A2937" s="3" t="s">
        <v>4336</v>
      </c>
      <c r="B2937" s="3" t="s">
        <v>2365</v>
      </c>
      <c r="C2937" s="3" t="s">
        <v>57</v>
      </c>
      <c r="D2937" s="3" t="s">
        <v>38</v>
      </c>
      <c r="E2937" s="3" t="s">
        <v>104</v>
      </c>
      <c r="F2937" s="3" t="s">
        <v>104</v>
      </c>
      <c r="G2937" s="3" t="s">
        <v>51</v>
      </c>
      <c r="H2937" s="3" t="s">
        <v>77</v>
      </c>
      <c r="I2937" s="3" t="s">
        <v>2233</v>
      </c>
      <c r="J2937" s="3" t="s">
        <v>44</v>
      </c>
      <c r="K2937" s="3">
        <v>6</v>
      </c>
      <c r="L2937" s="3">
        <v>12448.9</v>
      </c>
      <c r="M2937" s="3">
        <v>74693.399999999994</v>
      </c>
      <c r="N2937" s="3">
        <v>56365.8</v>
      </c>
      <c r="O2937" s="3">
        <v>18327.599999999999</v>
      </c>
      <c r="P2937" s="3" t="s">
        <v>26</v>
      </c>
    </row>
    <row r="2938" spans="1:16" x14ac:dyDescent="0.35">
      <c r="A2938" s="3" t="s">
        <v>4337</v>
      </c>
      <c r="B2938" s="3" t="s">
        <v>559</v>
      </c>
      <c r="C2938" s="3" t="s">
        <v>89</v>
      </c>
      <c r="D2938" s="3" t="s">
        <v>90</v>
      </c>
      <c r="E2938" s="3" t="s">
        <v>91</v>
      </c>
      <c r="F2938" s="3" t="s">
        <v>92</v>
      </c>
      <c r="G2938" s="3" t="s">
        <v>30</v>
      </c>
      <c r="H2938" s="3" t="s">
        <v>73</v>
      </c>
      <c r="I2938" s="3" t="s">
        <v>1518</v>
      </c>
      <c r="J2938" s="3" t="s">
        <v>217</v>
      </c>
      <c r="K2938" s="3">
        <v>8</v>
      </c>
      <c r="L2938" s="3">
        <v>3336.26</v>
      </c>
      <c r="M2938" s="3">
        <v>26690.080000000002</v>
      </c>
      <c r="N2938" s="3">
        <v>18301.93</v>
      </c>
      <c r="O2938" s="3">
        <v>8388.15</v>
      </c>
      <c r="P2938" s="3" t="s">
        <v>86</v>
      </c>
    </row>
    <row r="2939" spans="1:16" x14ac:dyDescent="0.35">
      <c r="A2939" s="3" t="s">
        <v>4338</v>
      </c>
      <c r="B2939" s="3" t="s">
        <v>524</v>
      </c>
      <c r="C2939" s="3" t="s">
        <v>89</v>
      </c>
      <c r="D2939" s="3" t="s">
        <v>58</v>
      </c>
      <c r="E2939" s="3" t="s">
        <v>176</v>
      </c>
      <c r="F2939" s="3" t="s">
        <v>177</v>
      </c>
      <c r="G2939" s="3" t="s">
        <v>30</v>
      </c>
      <c r="H2939" s="3" t="s">
        <v>67</v>
      </c>
      <c r="I2939" s="3" t="s">
        <v>4339</v>
      </c>
      <c r="J2939" s="3" t="s">
        <v>25</v>
      </c>
      <c r="K2939" s="3">
        <v>7</v>
      </c>
      <c r="L2939" s="3">
        <v>9300.83</v>
      </c>
      <c r="M2939" s="3">
        <v>65105.81</v>
      </c>
      <c r="N2939" s="3">
        <v>55049.93</v>
      </c>
      <c r="O2939" s="3">
        <v>10055.879999999999</v>
      </c>
      <c r="P2939" s="3" t="s">
        <v>69</v>
      </c>
    </row>
    <row r="2940" spans="1:16" x14ac:dyDescent="0.35">
      <c r="A2940" s="3" t="s">
        <v>4340</v>
      </c>
      <c r="B2940" s="3" t="s">
        <v>443</v>
      </c>
      <c r="C2940" s="3" t="s">
        <v>57</v>
      </c>
      <c r="D2940" s="3" t="s">
        <v>38</v>
      </c>
      <c r="E2940" s="3" t="s">
        <v>39</v>
      </c>
      <c r="F2940" s="3" t="s">
        <v>40</v>
      </c>
      <c r="G2940" s="3" t="s">
        <v>51</v>
      </c>
      <c r="H2940" s="3" t="s">
        <v>77</v>
      </c>
      <c r="I2940" s="3" t="s">
        <v>393</v>
      </c>
      <c r="J2940" s="3" t="s">
        <v>54</v>
      </c>
      <c r="K2940" s="3">
        <v>8</v>
      </c>
      <c r="L2940" s="3">
        <v>11176.12</v>
      </c>
      <c r="M2940" s="3">
        <v>89408.960000000006</v>
      </c>
      <c r="N2940" s="3">
        <v>72516.45</v>
      </c>
      <c r="O2940" s="3">
        <v>16892.509999999998</v>
      </c>
      <c r="P2940" s="3" t="s">
        <v>34</v>
      </c>
    </row>
    <row r="2941" spans="1:16" x14ac:dyDescent="0.35">
      <c r="A2941" s="3" t="s">
        <v>4341</v>
      </c>
      <c r="B2941" s="3" t="s">
        <v>327</v>
      </c>
      <c r="C2941" s="3" t="s">
        <v>48</v>
      </c>
      <c r="D2941" s="3" t="s">
        <v>90</v>
      </c>
      <c r="E2941" s="3" t="s">
        <v>97</v>
      </c>
      <c r="F2941" s="3" t="s">
        <v>98</v>
      </c>
      <c r="G2941" s="3" t="s">
        <v>22</v>
      </c>
      <c r="H2941" s="3" t="s">
        <v>83</v>
      </c>
      <c r="I2941" s="3" t="s">
        <v>4342</v>
      </c>
      <c r="J2941" s="3" t="s">
        <v>85</v>
      </c>
      <c r="K2941" s="3">
        <v>1</v>
      </c>
      <c r="L2941" s="3">
        <v>21632.959999999999</v>
      </c>
      <c r="M2941" s="3">
        <v>21632.959999999999</v>
      </c>
      <c r="N2941" s="3">
        <v>17252.71</v>
      </c>
      <c r="O2941" s="3">
        <v>4380.25</v>
      </c>
      <c r="P2941" s="3" t="s">
        <v>45</v>
      </c>
    </row>
    <row r="2942" spans="1:16" x14ac:dyDescent="0.35">
      <c r="A2942" s="3" t="s">
        <v>4343</v>
      </c>
      <c r="B2942" s="3" t="s">
        <v>268</v>
      </c>
      <c r="C2942" s="3" t="s">
        <v>18</v>
      </c>
      <c r="D2942" s="3" t="s">
        <v>19</v>
      </c>
      <c r="E2942" s="3" t="s">
        <v>199</v>
      </c>
      <c r="F2942" s="3" t="s">
        <v>200</v>
      </c>
      <c r="G2942" s="3" t="s">
        <v>41</v>
      </c>
      <c r="H2942" s="3" t="s">
        <v>138</v>
      </c>
      <c r="I2942" s="3" t="s">
        <v>783</v>
      </c>
      <c r="J2942" s="3" t="s">
        <v>25</v>
      </c>
      <c r="K2942" s="3">
        <v>6</v>
      </c>
      <c r="L2942" s="3">
        <v>16841.47</v>
      </c>
      <c r="M2942" s="3">
        <v>101048.82</v>
      </c>
      <c r="N2942" s="3">
        <v>80556.73</v>
      </c>
      <c r="O2942" s="3">
        <v>20492.09</v>
      </c>
      <c r="P2942" s="3" t="s">
        <v>69</v>
      </c>
    </row>
    <row r="2943" spans="1:16" x14ac:dyDescent="0.35">
      <c r="A2943" s="3" t="s">
        <v>4344</v>
      </c>
      <c r="B2943" s="3" t="s">
        <v>649</v>
      </c>
      <c r="C2943" s="3" t="s">
        <v>29</v>
      </c>
      <c r="D2943" s="3" t="s">
        <v>38</v>
      </c>
      <c r="E2943" s="3" t="s">
        <v>109</v>
      </c>
      <c r="F2943" s="3" t="s">
        <v>110</v>
      </c>
      <c r="G2943" s="3" t="s">
        <v>22</v>
      </c>
      <c r="H2943" s="3" t="s">
        <v>93</v>
      </c>
      <c r="I2943" s="3" t="s">
        <v>340</v>
      </c>
      <c r="J2943" s="3" t="s">
        <v>106</v>
      </c>
      <c r="K2943" s="3">
        <v>4</v>
      </c>
      <c r="L2943" s="3">
        <v>6302.79</v>
      </c>
      <c r="M2943" s="3">
        <v>25211.16</v>
      </c>
      <c r="N2943" s="3">
        <v>20986.9</v>
      </c>
      <c r="O2943" s="3">
        <v>4224.26</v>
      </c>
      <c r="P2943" s="3" t="s">
        <v>69</v>
      </c>
    </row>
    <row r="2944" spans="1:16" x14ac:dyDescent="0.35">
      <c r="A2944" s="3" t="s">
        <v>4345</v>
      </c>
      <c r="B2944" s="3" t="s">
        <v>1612</v>
      </c>
      <c r="C2944" s="3" t="s">
        <v>48</v>
      </c>
      <c r="D2944" s="3" t="s">
        <v>19</v>
      </c>
      <c r="E2944" s="3" t="s">
        <v>49</v>
      </c>
      <c r="F2944" s="3" t="s">
        <v>50</v>
      </c>
      <c r="G2944" s="3" t="s">
        <v>30</v>
      </c>
      <c r="H2944" s="3" t="s">
        <v>31</v>
      </c>
      <c r="I2944" s="3" t="s">
        <v>2686</v>
      </c>
      <c r="J2944" s="3" t="s">
        <v>131</v>
      </c>
      <c r="K2944" s="3">
        <v>3</v>
      </c>
      <c r="L2944" s="3">
        <v>2681.38</v>
      </c>
      <c r="M2944" s="3">
        <v>8044.14</v>
      </c>
      <c r="N2944" s="3">
        <v>5790.09</v>
      </c>
      <c r="O2944" s="3">
        <v>2254.0500000000002</v>
      </c>
      <c r="P2944" s="3" t="s">
        <v>45</v>
      </c>
    </row>
    <row r="2945" spans="1:16" x14ac:dyDescent="0.35">
      <c r="A2945" s="3" t="s">
        <v>4346</v>
      </c>
      <c r="B2945" s="3" t="s">
        <v>1525</v>
      </c>
      <c r="C2945" s="3" t="s">
        <v>57</v>
      </c>
      <c r="D2945" s="3" t="s">
        <v>90</v>
      </c>
      <c r="E2945" s="3" t="s">
        <v>97</v>
      </c>
      <c r="F2945" s="3" t="s">
        <v>98</v>
      </c>
      <c r="G2945" s="3" t="s">
        <v>22</v>
      </c>
      <c r="H2945" s="3" t="s">
        <v>23</v>
      </c>
      <c r="I2945" s="3" t="s">
        <v>1834</v>
      </c>
      <c r="J2945" s="3" t="s">
        <v>131</v>
      </c>
      <c r="K2945" s="3">
        <v>2</v>
      </c>
      <c r="L2945" s="3">
        <v>3569.18</v>
      </c>
      <c r="M2945" s="3">
        <v>7138.36</v>
      </c>
      <c r="N2945" s="3">
        <v>4321.13</v>
      </c>
      <c r="O2945" s="3">
        <v>2817.23</v>
      </c>
      <c r="P2945" s="3" t="s">
        <v>34</v>
      </c>
    </row>
    <row r="2946" spans="1:16" x14ac:dyDescent="0.35">
      <c r="A2946" s="3" t="s">
        <v>4347</v>
      </c>
      <c r="B2946" s="3" t="s">
        <v>511</v>
      </c>
      <c r="C2946" s="3" t="s">
        <v>29</v>
      </c>
      <c r="D2946" s="3" t="s">
        <v>19</v>
      </c>
      <c r="E2946" s="3" t="s">
        <v>20</v>
      </c>
      <c r="F2946" s="3" t="s">
        <v>21</v>
      </c>
      <c r="G2946" s="3" t="s">
        <v>41</v>
      </c>
      <c r="H2946" s="3" t="s">
        <v>61</v>
      </c>
      <c r="I2946" s="3" t="s">
        <v>1808</v>
      </c>
      <c r="J2946" s="3" t="s">
        <v>106</v>
      </c>
      <c r="K2946" s="3">
        <v>2</v>
      </c>
      <c r="L2946" s="3">
        <v>2506.2800000000002</v>
      </c>
      <c r="M2946" s="3">
        <v>5012.5600000000004</v>
      </c>
      <c r="N2946" s="3">
        <v>3202.06</v>
      </c>
      <c r="O2946" s="3">
        <v>1810.5</v>
      </c>
      <c r="P2946" s="3" t="s">
        <v>69</v>
      </c>
    </row>
    <row r="2947" spans="1:16" x14ac:dyDescent="0.35">
      <c r="A2947" s="3" t="s">
        <v>4348</v>
      </c>
      <c r="B2947" s="3" t="s">
        <v>2801</v>
      </c>
      <c r="C2947" s="3" t="s">
        <v>29</v>
      </c>
      <c r="D2947" s="3" t="s">
        <v>38</v>
      </c>
      <c r="E2947" s="3" t="s">
        <v>109</v>
      </c>
      <c r="F2947" s="3" t="s">
        <v>110</v>
      </c>
      <c r="G2947" s="3" t="s">
        <v>51</v>
      </c>
      <c r="H2947" s="3" t="s">
        <v>145</v>
      </c>
      <c r="I2947" s="3" t="s">
        <v>413</v>
      </c>
      <c r="J2947" s="3" t="s">
        <v>85</v>
      </c>
      <c r="K2947" s="3">
        <v>3</v>
      </c>
      <c r="L2947" s="3">
        <v>128.37</v>
      </c>
      <c r="M2947" s="3">
        <v>385.11</v>
      </c>
      <c r="N2947" s="3">
        <v>176.23</v>
      </c>
      <c r="O2947" s="3">
        <v>208.88</v>
      </c>
      <c r="P2947" s="3" t="s">
        <v>26</v>
      </c>
    </row>
    <row r="2948" spans="1:16" x14ac:dyDescent="0.35">
      <c r="A2948" s="3" t="s">
        <v>4349</v>
      </c>
      <c r="B2948" s="3" t="s">
        <v>1226</v>
      </c>
      <c r="C2948" s="3" t="s">
        <v>29</v>
      </c>
      <c r="D2948" s="3" t="s">
        <v>90</v>
      </c>
      <c r="E2948" s="3" t="s">
        <v>119</v>
      </c>
      <c r="F2948" s="3" t="s">
        <v>120</v>
      </c>
      <c r="G2948" s="3" t="s">
        <v>41</v>
      </c>
      <c r="H2948" s="3" t="s">
        <v>138</v>
      </c>
      <c r="I2948" s="3" t="s">
        <v>3346</v>
      </c>
      <c r="J2948" s="3" t="s">
        <v>161</v>
      </c>
      <c r="K2948" s="3">
        <v>3</v>
      </c>
      <c r="L2948" s="3">
        <v>17590.55</v>
      </c>
      <c r="M2948" s="3">
        <v>52771.65</v>
      </c>
      <c r="N2948" s="3">
        <v>42381.74</v>
      </c>
      <c r="O2948" s="3">
        <v>10389.91</v>
      </c>
      <c r="P2948" s="3" t="s">
        <v>45</v>
      </c>
    </row>
    <row r="2949" spans="1:16" x14ac:dyDescent="0.35">
      <c r="A2949" s="3" t="s">
        <v>4350</v>
      </c>
      <c r="B2949" s="3" t="s">
        <v>2211</v>
      </c>
      <c r="C2949" s="3" t="s">
        <v>72</v>
      </c>
      <c r="D2949" s="3" t="s">
        <v>19</v>
      </c>
      <c r="E2949" s="3" t="s">
        <v>199</v>
      </c>
      <c r="F2949" s="3" t="s">
        <v>200</v>
      </c>
      <c r="G2949" s="3" t="s">
        <v>30</v>
      </c>
      <c r="H2949" s="3" t="s">
        <v>73</v>
      </c>
      <c r="I2949" s="3" t="s">
        <v>4351</v>
      </c>
      <c r="J2949" s="3" t="s">
        <v>217</v>
      </c>
      <c r="K2949" s="3">
        <v>5</v>
      </c>
      <c r="L2949" s="3">
        <v>3295.4</v>
      </c>
      <c r="M2949" s="3">
        <v>16477</v>
      </c>
      <c r="N2949" s="3">
        <v>11868.26</v>
      </c>
      <c r="O2949" s="3">
        <v>4608.74</v>
      </c>
      <c r="P2949" s="3" t="s">
        <v>34</v>
      </c>
    </row>
    <row r="2950" spans="1:16" x14ac:dyDescent="0.35">
      <c r="A2950" s="3" t="s">
        <v>4352</v>
      </c>
      <c r="B2950" s="3" t="s">
        <v>163</v>
      </c>
      <c r="C2950" s="3" t="s">
        <v>137</v>
      </c>
      <c r="D2950" s="3" t="s">
        <v>38</v>
      </c>
      <c r="E2950" s="3" t="s">
        <v>104</v>
      </c>
      <c r="F2950" s="3" t="s">
        <v>104</v>
      </c>
      <c r="G2950" s="3" t="s">
        <v>22</v>
      </c>
      <c r="H2950" s="3" t="s">
        <v>23</v>
      </c>
      <c r="I2950" s="3" t="s">
        <v>3163</v>
      </c>
      <c r="J2950" s="3" t="s">
        <v>147</v>
      </c>
      <c r="K2950" s="3">
        <v>6</v>
      </c>
      <c r="L2950" s="3">
        <v>3812.17</v>
      </c>
      <c r="M2950" s="3">
        <v>22873.02</v>
      </c>
      <c r="N2950" s="3">
        <v>13118.35</v>
      </c>
      <c r="O2950" s="3">
        <v>9754.67</v>
      </c>
      <c r="P2950" s="3" t="s">
        <v>34</v>
      </c>
    </row>
    <row r="2951" spans="1:16" x14ac:dyDescent="0.35">
      <c r="A2951" s="3" t="s">
        <v>4353</v>
      </c>
      <c r="B2951" s="3" t="s">
        <v>927</v>
      </c>
      <c r="C2951" s="3" t="s">
        <v>57</v>
      </c>
      <c r="D2951" s="3" t="s">
        <v>90</v>
      </c>
      <c r="E2951" s="3" t="s">
        <v>91</v>
      </c>
      <c r="F2951" s="3" t="s">
        <v>92</v>
      </c>
      <c r="G2951" s="3" t="s">
        <v>22</v>
      </c>
      <c r="H2951" s="3" t="s">
        <v>23</v>
      </c>
      <c r="I2951" s="3" t="s">
        <v>390</v>
      </c>
      <c r="J2951" s="3" t="s">
        <v>100</v>
      </c>
      <c r="K2951" s="3">
        <v>8</v>
      </c>
      <c r="L2951" s="3">
        <v>3461.33</v>
      </c>
      <c r="M2951" s="3">
        <v>27690.639999999999</v>
      </c>
      <c r="N2951" s="3">
        <v>16798.61</v>
      </c>
      <c r="O2951" s="3">
        <v>10892.03</v>
      </c>
      <c r="P2951" s="3" t="s">
        <v>86</v>
      </c>
    </row>
    <row r="2952" spans="1:16" x14ac:dyDescent="0.35">
      <c r="A2952" s="3" t="s">
        <v>4354</v>
      </c>
      <c r="B2952" s="3" t="s">
        <v>621</v>
      </c>
      <c r="C2952" s="3" t="s">
        <v>118</v>
      </c>
      <c r="D2952" s="3" t="s">
        <v>58</v>
      </c>
      <c r="E2952" s="3" t="s">
        <v>59</v>
      </c>
      <c r="F2952" s="3" t="s">
        <v>60</v>
      </c>
      <c r="G2952" s="3" t="s">
        <v>30</v>
      </c>
      <c r="H2952" s="3" t="s">
        <v>73</v>
      </c>
      <c r="I2952" s="3" t="s">
        <v>1476</v>
      </c>
      <c r="J2952" s="3" t="s">
        <v>161</v>
      </c>
      <c r="K2952" s="3">
        <v>7</v>
      </c>
      <c r="L2952" s="3">
        <v>3122.14</v>
      </c>
      <c r="M2952" s="3">
        <v>21854.98</v>
      </c>
      <c r="N2952" s="3">
        <v>17078.509999999998</v>
      </c>
      <c r="O2952" s="3">
        <v>4776.47</v>
      </c>
      <c r="P2952" s="3" t="s">
        <v>69</v>
      </c>
    </row>
    <row r="2953" spans="1:16" x14ac:dyDescent="0.35">
      <c r="A2953" s="3" t="s">
        <v>4355</v>
      </c>
      <c r="B2953" s="3" t="s">
        <v>1159</v>
      </c>
      <c r="C2953" s="3" t="s">
        <v>29</v>
      </c>
      <c r="D2953" s="3" t="s">
        <v>19</v>
      </c>
      <c r="E2953" s="3" t="s">
        <v>49</v>
      </c>
      <c r="F2953" s="3" t="s">
        <v>50</v>
      </c>
      <c r="G2953" s="3" t="s">
        <v>51</v>
      </c>
      <c r="H2953" s="3" t="s">
        <v>77</v>
      </c>
      <c r="I2953" s="3" t="s">
        <v>643</v>
      </c>
      <c r="J2953" s="3" t="s">
        <v>85</v>
      </c>
      <c r="K2953" s="3">
        <v>6</v>
      </c>
      <c r="L2953" s="3">
        <v>10977.61</v>
      </c>
      <c r="M2953" s="3">
        <v>65865.66</v>
      </c>
      <c r="N2953" s="3">
        <v>51856.22</v>
      </c>
      <c r="O2953" s="3">
        <v>14009.44</v>
      </c>
      <c r="P2953" s="3" t="s">
        <v>86</v>
      </c>
    </row>
    <row r="2954" spans="1:16" x14ac:dyDescent="0.35">
      <c r="A2954" s="3" t="s">
        <v>4356</v>
      </c>
      <c r="B2954" s="3" t="s">
        <v>276</v>
      </c>
      <c r="C2954" s="3" t="s">
        <v>114</v>
      </c>
      <c r="D2954" s="3" t="s">
        <v>58</v>
      </c>
      <c r="E2954" s="3" t="s">
        <v>59</v>
      </c>
      <c r="F2954" s="3" t="s">
        <v>60</v>
      </c>
      <c r="G2954" s="3" t="s">
        <v>30</v>
      </c>
      <c r="H2954" s="3" t="s">
        <v>73</v>
      </c>
      <c r="I2954" s="3" t="s">
        <v>540</v>
      </c>
      <c r="J2954" s="3" t="s">
        <v>131</v>
      </c>
      <c r="K2954" s="3">
        <v>5</v>
      </c>
      <c r="L2954" s="3">
        <v>3419.29</v>
      </c>
      <c r="M2954" s="3">
        <v>17096.45</v>
      </c>
      <c r="N2954" s="3">
        <v>12029.23</v>
      </c>
      <c r="O2954" s="3">
        <v>5067.22</v>
      </c>
      <c r="P2954" s="3" t="s">
        <v>34</v>
      </c>
    </row>
    <row r="2955" spans="1:16" x14ac:dyDescent="0.35">
      <c r="A2955" s="3" t="s">
        <v>4357</v>
      </c>
      <c r="B2955" s="3" t="s">
        <v>994</v>
      </c>
      <c r="C2955" s="3" t="s">
        <v>29</v>
      </c>
      <c r="D2955" s="3" t="s">
        <v>58</v>
      </c>
      <c r="E2955" s="3" t="s">
        <v>176</v>
      </c>
      <c r="F2955" s="3" t="s">
        <v>177</v>
      </c>
      <c r="G2955" s="3" t="s">
        <v>51</v>
      </c>
      <c r="H2955" s="3" t="s">
        <v>145</v>
      </c>
      <c r="I2955" s="3" t="s">
        <v>2445</v>
      </c>
      <c r="J2955" s="3" t="s">
        <v>79</v>
      </c>
      <c r="K2955" s="3">
        <v>2</v>
      </c>
      <c r="L2955" s="3">
        <v>117.02</v>
      </c>
      <c r="M2955" s="3">
        <v>234.04</v>
      </c>
      <c r="N2955" s="3">
        <v>117.35</v>
      </c>
      <c r="O2955" s="3">
        <v>116.69</v>
      </c>
      <c r="P2955" s="3" t="s">
        <v>34</v>
      </c>
    </row>
    <row r="2956" spans="1:16" x14ac:dyDescent="0.35">
      <c r="A2956" s="3" t="s">
        <v>4358</v>
      </c>
      <c r="B2956" s="3" t="s">
        <v>424</v>
      </c>
      <c r="C2956" s="3" t="s">
        <v>72</v>
      </c>
      <c r="D2956" s="3" t="s">
        <v>19</v>
      </c>
      <c r="E2956" s="3" t="s">
        <v>199</v>
      </c>
      <c r="F2956" s="3" t="s">
        <v>200</v>
      </c>
      <c r="G2956" s="3" t="s">
        <v>22</v>
      </c>
      <c r="H2956" s="3" t="s">
        <v>93</v>
      </c>
      <c r="I2956" s="3" t="s">
        <v>1323</v>
      </c>
      <c r="J2956" s="3" t="s">
        <v>188</v>
      </c>
      <c r="K2956" s="3">
        <v>2</v>
      </c>
      <c r="L2956" s="3">
        <v>6873.32</v>
      </c>
      <c r="M2956" s="3">
        <v>13746.64</v>
      </c>
      <c r="N2956" s="3">
        <v>10089.06</v>
      </c>
      <c r="O2956" s="3">
        <v>3657.58</v>
      </c>
      <c r="P2956" s="3" t="s">
        <v>86</v>
      </c>
    </row>
    <row r="2957" spans="1:16" x14ac:dyDescent="0.35">
      <c r="A2957" s="3" t="s">
        <v>4359</v>
      </c>
      <c r="B2957" s="3" t="s">
        <v>3482</v>
      </c>
      <c r="C2957" s="3" t="s">
        <v>57</v>
      </c>
      <c r="D2957" s="3" t="s">
        <v>19</v>
      </c>
      <c r="E2957" s="3" t="s">
        <v>49</v>
      </c>
      <c r="F2957" s="3" t="s">
        <v>50</v>
      </c>
      <c r="G2957" s="3" t="s">
        <v>22</v>
      </c>
      <c r="H2957" s="3" t="s">
        <v>83</v>
      </c>
      <c r="I2957" s="3" t="s">
        <v>3927</v>
      </c>
      <c r="J2957" s="3" t="s">
        <v>106</v>
      </c>
      <c r="K2957" s="3">
        <v>8</v>
      </c>
      <c r="L2957" s="3">
        <v>22302.78</v>
      </c>
      <c r="M2957" s="3">
        <v>178422.24</v>
      </c>
      <c r="N2957" s="3">
        <v>137415.69</v>
      </c>
      <c r="O2957" s="3">
        <v>41006.550000000003</v>
      </c>
      <c r="P2957" s="3" t="s">
        <v>69</v>
      </c>
    </row>
    <row r="2958" spans="1:16" x14ac:dyDescent="0.35">
      <c r="A2958" s="3" t="s">
        <v>4360</v>
      </c>
      <c r="B2958" s="3" t="s">
        <v>330</v>
      </c>
      <c r="C2958" s="3" t="s">
        <v>18</v>
      </c>
      <c r="D2958" s="3" t="s">
        <v>38</v>
      </c>
      <c r="E2958" s="3" t="s">
        <v>39</v>
      </c>
      <c r="F2958" s="3" t="s">
        <v>40</v>
      </c>
      <c r="G2958" s="3" t="s">
        <v>41</v>
      </c>
      <c r="H2958" s="3" t="s">
        <v>61</v>
      </c>
      <c r="I2958" s="3" t="s">
        <v>1713</v>
      </c>
      <c r="J2958" s="3" t="s">
        <v>147</v>
      </c>
      <c r="K2958" s="3">
        <v>3</v>
      </c>
      <c r="L2958" s="3">
        <v>2496.09</v>
      </c>
      <c r="M2958" s="3">
        <v>7488.27</v>
      </c>
      <c r="N2958" s="3">
        <v>5019.8</v>
      </c>
      <c r="O2958" s="3">
        <v>2468.4699999999998</v>
      </c>
      <c r="P2958" s="3" t="s">
        <v>26</v>
      </c>
    </row>
    <row r="2959" spans="1:16" x14ac:dyDescent="0.35">
      <c r="A2959" s="3" t="s">
        <v>4361</v>
      </c>
      <c r="B2959" s="3" t="s">
        <v>765</v>
      </c>
      <c r="C2959" s="3" t="s">
        <v>57</v>
      </c>
      <c r="D2959" s="3" t="s">
        <v>19</v>
      </c>
      <c r="E2959" s="3" t="s">
        <v>20</v>
      </c>
      <c r="F2959" s="3" t="s">
        <v>21</v>
      </c>
      <c r="G2959" s="3" t="s">
        <v>30</v>
      </c>
      <c r="H2959" s="3" t="s">
        <v>31</v>
      </c>
      <c r="I2959" s="3" t="s">
        <v>1129</v>
      </c>
      <c r="J2959" s="3" t="s">
        <v>100</v>
      </c>
      <c r="K2959" s="3">
        <v>2</v>
      </c>
      <c r="L2959" s="3">
        <v>2912.51</v>
      </c>
      <c r="M2959" s="3">
        <v>5825.02</v>
      </c>
      <c r="N2959" s="3">
        <v>3683</v>
      </c>
      <c r="O2959" s="3">
        <v>2142.02</v>
      </c>
      <c r="P2959" s="3" t="s">
        <v>86</v>
      </c>
    </row>
    <row r="2960" spans="1:16" x14ac:dyDescent="0.35">
      <c r="A2960" s="3" t="s">
        <v>4362</v>
      </c>
      <c r="B2960" s="3" t="s">
        <v>230</v>
      </c>
      <c r="C2960" s="3" t="s">
        <v>118</v>
      </c>
      <c r="D2960" s="3" t="s">
        <v>58</v>
      </c>
      <c r="E2960" s="3" t="s">
        <v>65</v>
      </c>
      <c r="F2960" s="3" t="s">
        <v>66</v>
      </c>
      <c r="G2960" s="3" t="s">
        <v>51</v>
      </c>
      <c r="H2960" s="3" t="s">
        <v>77</v>
      </c>
      <c r="I2960" s="3" t="s">
        <v>1323</v>
      </c>
      <c r="J2960" s="3" t="s">
        <v>25</v>
      </c>
      <c r="K2960" s="3">
        <v>6</v>
      </c>
      <c r="L2960" s="3">
        <v>11666.31</v>
      </c>
      <c r="M2960" s="3">
        <v>69997.86</v>
      </c>
      <c r="N2960" s="3">
        <v>56046.48</v>
      </c>
      <c r="O2960" s="3">
        <v>13951.38</v>
      </c>
      <c r="P2960" s="3" t="s">
        <v>86</v>
      </c>
    </row>
    <row r="2961" spans="1:16" x14ac:dyDescent="0.35">
      <c r="A2961" s="3" t="s">
        <v>4363</v>
      </c>
      <c r="B2961" s="3" t="s">
        <v>364</v>
      </c>
      <c r="C2961" s="3" t="s">
        <v>137</v>
      </c>
      <c r="D2961" s="3" t="s">
        <v>19</v>
      </c>
      <c r="E2961" s="3" t="s">
        <v>49</v>
      </c>
      <c r="F2961" s="3" t="s">
        <v>50</v>
      </c>
      <c r="G2961" s="3" t="s">
        <v>41</v>
      </c>
      <c r="H2961" s="3" t="s">
        <v>138</v>
      </c>
      <c r="I2961" s="3" t="s">
        <v>1715</v>
      </c>
      <c r="J2961" s="3" t="s">
        <v>85</v>
      </c>
      <c r="K2961" s="3">
        <v>1</v>
      </c>
      <c r="L2961" s="3">
        <v>17043.14</v>
      </c>
      <c r="M2961" s="3">
        <v>17043.14</v>
      </c>
      <c r="N2961" s="3">
        <v>14231</v>
      </c>
      <c r="O2961" s="3">
        <v>2812.14</v>
      </c>
      <c r="P2961" s="3" t="s">
        <v>26</v>
      </c>
    </row>
    <row r="2962" spans="1:16" x14ac:dyDescent="0.35">
      <c r="A2962" s="3" t="s">
        <v>4364</v>
      </c>
      <c r="B2962" s="3" t="s">
        <v>344</v>
      </c>
      <c r="C2962" s="3" t="s">
        <v>48</v>
      </c>
      <c r="D2962" s="3" t="s">
        <v>90</v>
      </c>
      <c r="E2962" s="3" t="s">
        <v>91</v>
      </c>
      <c r="F2962" s="3" t="s">
        <v>92</v>
      </c>
      <c r="G2962" s="3" t="s">
        <v>30</v>
      </c>
      <c r="H2962" s="3" t="s">
        <v>67</v>
      </c>
      <c r="I2962" s="3" t="s">
        <v>1791</v>
      </c>
      <c r="J2962" s="3" t="s">
        <v>85</v>
      </c>
      <c r="K2962" s="3">
        <v>1</v>
      </c>
      <c r="L2962" s="3">
        <v>9631.15</v>
      </c>
      <c r="M2962" s="3">
        <v>9631.15</v>
      </c>
      <c r="N2962" s="3">
        <v>7403.22</v>
      </c>
      <c r="O2962" s="3">
        <v>2227.9299999999998</v>
      </c>
      <c r="P2962" s="3" t="s">
        <v>45</v>
      </c>
    </row>
    <row r="2963" spans="1:16" x14ac:dyDescent="0.35">
      <c r="A2963" s="3" t="s">
        <v>4365</v>
      </c>
      <c r="B2963" s="3" t="s">
        <v>2492</v>
      </c>
      <c r="C2963" s="3" t="s">
        <v>118</v>
      </c>
      <c r="D2963" s="3" t="s">
        <v>38</v>
      </c>
      <c r="E2963" s="3" t="s">
        <v>109</v>
      </c>
      <c r="F2963" s="3" t="s">
        <v>110</v>
      </c>
      <c r="G2963" s="3" t="s">
        <v>41</v>
      </c>
      <c r="H2963" s="3" t="s">
        <v>42</v>
      </c>
      <c r="I2963" s="3" t="s">
        <v>1851</v>
      </c>
      <c r="J2963" s="3" t="s">
        <v>188</v>
      </c>
      <c r="K2963" s="3">
        <v>1</v>
      </c>
      <c r="L2963" s="3">
        <v>49253.07</v>
      </c>
      <c r="M2963" s="3">
        <v>49253.07</v>
      </c>
      <c r="N2963" s="3">
        <v>34382.35</v>
      </c>
      <c r="O2963" s="3">
        <v>14870.72</v>
      </c>
      <c r="P2963" s="3" t="s">
        <v>86</v>
      </c>
    </row>
    <row r="2964" spans="1:16" x14ac:dyDescent="0.35">
      <c r="A2964" s="3" t="s">
        <v>4366</v>
      </c>
      <c r="B2964" s="3" t="s">
        <v>236</v>
      </c>
      <c r="C2964" s="3" t="s">
        <v>18</v>
      </c>
      <c r="D2964" s="3" t="s">
        <v>38</v>
      </c>
      <c r="E2964" s="3" t="s">
        <v>39</v>
      </c>
      <c r="F2964" s="3" t="s">
        <v>40</v>
      </c>
      <c r="G2964" s="3" t="s">
        <v>41</v>
      </c>
      <c r="H2964" s="3" t="s">
        <v>42</v>
      </c>
      <c r="I2964" s="3" t="s">
        <v>139</v>
      </c>
      <c r="J2964" s="3" t="s">
        <v>147</v>
      </c>
      <c r="K2964" s="3">
        <v>1</v>
      </c>
      <c r="L2964" s="3">
        <v>42404.46</v>
      </c>
      <c r="M2964" s="3">
        <v>42404.46</v>
      </c>
      <c r="N2964" s="3">
        <v>33684.21</v>
      </c>
      <c r="O2964" s="3">
        <v>8720.25</v>
      </c>
      <c r="P2964" s="3" t="s">
        <v>45</v>
      </c>
    </row>
    <row r="2965" spans="1:16" x14ac:dyDescent="0.35">
      <c r="A2965" s="3" t="s">
        <v>4367</v>
      </c>
      <c r="B2965" s="3" t="s">
        <v>559</v>
      </c>
      <c r="C2965" s="3" t="s">
        <v>89</v>
      </c>
      <c r="D2965" s="3" t="s">
        <v>19</v>
      </c>
      <c r="E2965" s="3" t="s">
        <v>199</v>
      </c>
      <c r="F2965" s="3" t="s">
        <v>200</v>
      </c>
      <c r="G2965" s="3" t="s">
        <v>51</v>
      </c>
      <c r="H2965" s="3" t="s">
        <v>77</v>
      </c>
      <c r="I2965" s="3" t="s">
        <v>990</v>
      </c>
      <c r="J2965" s="3" t="s">
        <v>33</v>
      </c>
      <c r="K2965" s="3">
        <v>8</v>
      </c>
      <c r="L2965" s="3">
        <v>10833.04</v>
      </c>
      <c r="M2965" s="3">
        <v>86664.320000000007</v>
      </c>
      <c r="N2965" s="3">
        <v>71619.360000000001</v>
      </c>
      <c r="O2965" s="3">
        <v>15044.96</v>
      </c>
      <c r="P2965" s="3" t="s">
        <v>34</v>
      </c>
    </row>
    <row r="2966" spans="1:16" x14ac:dyDescent="0.35">
      <c r="A2966" s="3" t="s">
        <v>4368</v>
      </c>
      <c r="B2966" s="3" t="s">
        <v>299</v>
      </c>
      <c r="C2966" s="3" t="s">
        <v>89</v>
      </c>
      <c r="D2966" s="3" t="s">
        <v>90</v>
      </c>
      <c r="E2966" s="3" t="s">
        <v>97</v>
      </c>
      <c r="F2966" s="3" t="s">
        <v>98</v>
      </c>
      <c r="G2966" s="3" t="s">
        <v>30</v>
      </c>
      <c r="H2966" s="3" t="s">
        <v>73</v>
      </c>
      <c r="I2966" s="3" t="s">
        <v>3027</v>
      </c>
      <c r="J2966" s="3" t="s">
        <v>33</v>
      </c>
      <c r="K2966" s="3">
        <v>6</v>
      </c>
      <c r="L2966" s="3">
        <v>2945.14</v>
      </c>
      <c r="M2966" s="3">
        <v>17670.84</v>
      </c>
      <c r="N2966" s="3">
        <v>14234.5</v>
      </c>
      <c r="O2966" s="3">
        <v>3436.34</v>
      </c>
      <c r="P2966" s="3" t="s">
        <v>34</v>
      </c>
    </row>
    <row r="2967" spans="1:16" x14ac:dyDescent="0.35">
      <c r="A2967" s="3" t="s">
        <v>4369</v>
      </c>
      <c r="B2967" s="3" t="s">
        <v>228</v>
      </c>
      <c r="C2967" s="3" t="s">
        <v>114</v>
      </c>
      <c r="D2967" s="3" t="s">
        <v>90</v>
      </c>
      <c r="E2967" s="3" t="s">
        <v>97</v>
      </c>
      <c r="F2967" s="3" t="s">
        <v>98</v>
      </c>
      <c r="G2967" s="3" t="s">
        <v>30</v>
      </c>
      <c r="H2967" s="3" t="s">
        <v>31</v>
      </c>
      <c r="I2967" s="3" t="s">
        <v>975</v>
      </c>
      <c r="J2967" s="3" t="s">
        <v>154</v>
      </c>
      <c r="K2967" s="3">
        <v>3</v>
      </c>
      <c r="L2967" s="3">
        <v>2565.02</v>
      </c>
      <c r="M2967" s="3">
        <v>7695.06</v>
      </c>
      <c r="N2967" s="3">
        <v>5620.3</v>
      </c>
      <c r="O2967" s="3">
        <v>2074.7600000000002</v>
      </c>
      <c r="P2967" s="3" t="s">
        <v>26</v>
      </c>
    </row>
    <row r="2968" spans="1:16" x14ac:dyDescent="0.35">
      <c r="A2968" s="3" t="s">
        <v>4370</v>
      </c>
      <c r="B2968" s="3" t="s">
        <v>2211</v>
      </c>
      <c r="C2968" s="3" t="s">
        <v>72</v>
      </c>
      <c r="D2968" s="3" t="s">
        <v>90</v>
      </c>
      <c r="E2968" s="3" t="s">
        <v>91</v>
      </c>
      <c r="F2968" s="3" t="s">
        <v>92</v>
      </c>
      <c r="G2968" s="3" t="s">
        <v>22</v>
      </c>
      <c r="H2968" s="3" t="s">
        <v>93</v>
      </c>
      <c r="I2968" s="3" t="s">
        <v>1004</v>
      </c>
      <c r="J2968" s="3" t="s">
        <v>106</v>
      </c>
      <c r="K2968" s="3">
        <v>8</v>
      </c>
      <c r="L2968" s="3">
        <v>6619.48</v>
      </c>
      <c r="M2968" s="3">
        <v>52955.839999999997</v>
      </c>
      <c r="N2968" s="3">
        <v>39251.11</v>
      </c>
      <c r="O2968" s="3">
        <v>13704.73</v>
      </c>
      <c r="P2968" s="3" t="s">
        <v>69</v>
      </c>
    </row>
    <row r="2969" spans="1:16" x14ac:dyDescent="0.35">
      <c r="A2969" s="3" t="s">
        <v>4371</v>
      </c>
      <c r="B2969" s="3" t="s">
        <v>2211</v>
      </c>
      <c r="C2969" s="3" t="s">
        <v>72</v>
      </c>
      <c r="D2969" s="3" t="s">
        <v>90</v>
      </c>
      <c r="E2969" s="3" t="s">
        <v>119</v>
      </c>
      <c r="F2969" s="3" t="s">
        <v>120</v>
      </c>
      <c r="G2969" s="3" t="s">
        <v>51</v>
      </c>
      <c r="H2969" s="3" t="s">
        <v>145</v>
      </c>
      <c r="I2969" s="3" t="s">
        <v>1576</v>
      </c>
      <c r="J2969" s="3" t="s">
        <v>161</v>
      </c>
      <c r="K2969" s="3">
        <v>8</v>
      </c>
      <c r="L2969" s="3">
        <v>131.01</v>
      </c>
      <c r="M2969" s="3">
        <v>1048.08</v>
      </c>
      <c r="N2969" s="3">
        <v>474.56</v>
      </c>
      <c r="O2969" s="3">
        <v>573.52</v>
      </c>
      <c r="P2969" s="3" t="s">
        <v>45</v>
      </c>
    </row>
    <row r="2970" spans="1:16" x14ac:dyDescent="0.35">
      <c r="A2970" s="3" t="s">
        <v>4372</v>
      </c>
      <c r="B2970" s="3" t="s">
        <v>2041</v>
      </c>
      <c r="C2970" s="3" t="s">
        <v>89</v>
      </c>
      <c r="D2970" s="3" t="s">
        <v>19</v>
      </c>
      <c r="E2970" s="3" t="s">
        <v>199</v>
      </c>
      <c r="F2970" s="3" t="s">
        <v>200</v>
      </c>
      <c r="G2970" s="3" t="s">
        <v>22</v>
      </c>
      <c r="H2970" s="3" t="s">
        <v>93</v>
      </c>
      <c r="I2970" s="3" t="s">
        <v>1153</v>
      </c>
      <c r="J2970" s="3" t="s">
        <v>147</v>
      </c>
      <c r="K2970" s="3">
        <v>6</v>
      </c>
      <c r="L2970" s="3">
        <v>6369.98</v>
      </c>
      <c r="M2970" s="3">
        <v>38219.879999999997</v>
      </c>
      <c r="N2970" s="3">
        <v>30410.5</v>
      </c>
      <c r="O2970" s="3">
        <v>7809.38</v>
      </c>
      <c r="P2970" s="3" t="s">
        <v>69</v>
      </c>
    </row>
    <row r="2971" spans="1:16" x14ac:dyDescent="0.35">
      <c r="A2971" s="3" t="s">
        <v>4373</v>
      </c>
      <c r="B2971" s="3" t="s">
        <v>738</v>
      </c>
      <c r="C2971" s="3" t="s">
        <v>114</v>
      </c>
      <c r="D2971" s="3" t="s">
        <v>19</v>
      </c>
      <c r="E2971" s="3" t="s">
        <v>20</v>
      </c>
      <c r="F2971" s="3" t="s">
        <v>21</v>
      </c>
      <c r="G2971" s="3" t="s">
        <v>41</v>
      </c>
      <c r="H2971" s="3" t="s">
        <v>42</v>
      </c>
      <c r="I2971" s="3" t="s">
        <v>2998</v>
      </c>
      <c r="J2971" s="3" t="s">
        <v>33</v>
      </c>
      <c r="K2971" s="3">
        <v>8</v>
      </c>
      <c r="L2971" s="3">
        <v>49403.49</v>
      </c>
      <c r="M2971" s="3">
        <v>395227.92</v>
      </c>
      <c r="N2971" s="3">
        <v>290859.42</v>
      </c>
      <c r="O2971" s="3">
        <v>104368.5</v>
      </c>
      <c r="P2971" s="3" t="s">
        <v>86</v>
      </c>
    </row>
    <row r="2972" spans="1:16" x14ac:dyDescent="0.35">
      <c r="A2972" s="3" t="s">
        <v>4374</v>
      </c>
      <c r="B2972" s="3" t="s">
        <v>245</v>
      </c>
      <c r="C2972" s="3" t="s">
        <v>29</v>
      </c>
      <c r="D2972" s="3" t="s">
        <v>58</v>
      </c>
      <c r="E2972" s="3" t="s">
        <v>176</v>
      </c>
      <c r="F2972" s="3" t="s">
        <v>177</v>
      </c>
      <c r="G2972" s="3" t="s">
        <v>22</v>
      </c>
      <c r="H2972" s="3" t="s">
        <v>23</v>
      </c>
      <c r="I2972" s="3" t="s">
        <v>427</v>
      </c>
      <c r="J2972" s="3" t="s">
        <v>131</v>
      </c>
      <c r="K2972" s="3">
        <v>4</v>
      </c>
      <c r="L2972" s="3">
        <v>3379.32</v>
      </c>
      <c r="M2972" s="3">
        <v>13517.28</v>
      </c>
      <c r="N2972" s="3">
        <v>8693.92</v>
      </c>
      <c r="O2972" s="3">
        <v>4823.3599999999997</v>
      </c>
      <c r="P2972" s="3" t="s">
        <v>45</v>
      </c>
    </row>
    <row r="2973" spans="1:16" x14ac:dyDescent="0.35">
      <c r="A2973" s="3" t="s">
        <v>4375</v>
      </c>
      <c r="B2973" s="3" t="s">
        <v>1935</v>
      </c>
      <c r="C2973" s="3" t="s">
        <v>72</v>
      </c>
      <c r="D2973" s="3" t="s">
        <v>38</v>
      </c>
      <c r="E2973" s="3" t="s">
        <v>104</v>
      </c>
      <c r="F2973" s="3" t="s">
        <v>104</v>
      </c>
      <c r="G2973" s="3" t="s">
        <v>51</v>
      </c>
      <c r="H2973" s="3" t="s">
        <v>52</v>
      </c>
      <c r="I2973" s="3" t="s">
        <v>3103</v>
      </c>
      <c r="J2973" s="3" t="s">
        <v>54</v>
      </c>
      <c r="K2973" s="3">
        <v>8</v>
      </c>
      <c r="L2973" s="3">
        <v>25.82</v>
      </c>
      <c r="M2973" s="3">
        <v>206.56</v>
      </c>
      <c r="N2973" s="3">
        <v>76.41</v>
      </c>
      <c r="O2973" s="3">
        <v>130.15</v>
      </c>
      <c r="P2973" s="3" t="s">
        <v>86</v>
      </c>
    </row>
    <row r="2974" spans="1:16" x14ac:dyDescent="0.35">
      <c r="A2974" s="3" t="s">
        <v>4376</v>
      </c>
      <c r="B2974" s="3" t="s">
        <v>126</v>
      </c>
      <c r="C2974" s="3" t="s">
        <v>103</v>
      </c>
      <c r="D2974" s="3" t="s">
        <v>58</v>
      </c>
      <c r="E2974" s="3" t="s">
        <v>59</v>
      </c>
      <c r="F2974" s="3" t="s">
        <v>60</v>
      </c>
      <c r="G2974" s="3" t="s">
        <v>22</v>
      </c>
      <c r="H2974" s="3" t="s">
        <v>83</v>
      </c>
      <c r="I2974" s="3" t="s">
        <v>4334</v>
      </c>
      <c r="J2974" s="3" t="s">
        <v>171</v>
      </c>
      <c r="K2974" s="3">
        <v>3</v>
      </c>
      <c r="L2974" s="3">
        <v>21381.759999999998</v>
      </c>
      <c r="M2974" s="3">
        <v>64145.279999999999</v>
      </c>
      <c r="N2974" s="3">
        <v>49470.7</v>
      </c>
      <c r="O2974" s="3">
        <v>14674.58</v>
      </c>
      <c r="P2974" s="3" t="s">
        <v>34</v>
      </c>
    </row>
    <row r="2975" spans="1:16" x14ac:dyDescent="0.35">
      <c r="A2975" s="3" t="s">
        <v>4377</v>
      </c>
      <c r="B2975" s="3" t="s">
        <v>1238</v>
      </c>
      <c r="C2975" s="3" t="s">
        <v>82</v>
      </c>
      <c r="D2975" s="3" t="s">
        <v>58</v>
      </c>
      <c r="E2975" s="3" t="s">
        <v>59</v>
      </c>
      <c r="F2975" s="3" t="s">
        <v>60</v>
      </c>
      <c r="G2975" s="3" t="s">
        <v>51</v>
      </c>
      <c r="H2975" s="3" t="s">
        <v>77</v>
      </c>
      <c r="I2975" s="3" t="s">
        <v>4378</v>
      </c>
      <c r="J2975" s="3" t="s">
        <v>131</v>
      </c>
      <c r="K2975" s="3">
        <v>8</v>
      </c>
      <c r="L2975" s="3">
        <v>12989.14</v>
      </c>
      <c r="M2975" s="3">
        <v>103913.12</v>
      </c>
      <c r="N2975" s="3">
        <v>72958.09</v>
      </c>
      <c r="O2975" s="3">
        <v>30955.03</v>
      </c>
      <c r="P2975" s="3" t="s">
        <v>69</v>
      </c>
    </row>
    <row r="2976" spans="1:16" x14ac:dyDescent="0.35">
      <c r="A2976" s="3" t="s">
        <v>4379</v>
      </c>
      <c r="B2976" s="3" t="s">
        <v>222</v>
      </c>
      <c r="C2976" s="3" t="s">
        <v>48</v>
      </c>
      <c r="D2976" s="3" t="s">
        <v>58</v>
      </c>
      <c r="E2976" s="3" t="s">
        <v>65</v>
      </c>
      <c r="F2976" s="3" t="s">
        <v>66</v>
      </c>
      <c r="G2976" s="3" t="s">
        <v>51</v>
      </c>
      <c r="H2976" s="3" t="s">
        <v>52</v>
      </c>
      <c r="I2976" s="3" t="s">
        <v>1598</v>
      </c>
      <c r="J2976" s="3" t="s">
        <v>131</v>
      </c>
      <c r="K2976" s="3">
        <v>1</v>
      </c>
      <c r="L2976" s="3">
        <v>26.47</v>
      </c>
      <c r="M2976" s="3">
        <v>26.47</v>
      </c>
      <c r="N2976" s="3">
        <v>9.77</v>
      </c>
      <c r="O2976" s="3">
        <v>16.7</v>
      </c>
      <c r="P2976" s="3" t="s">
        <v>45</v>
      </c>
    </row>
    <row r="2977" spans="1:16" x14ac:dyDescent="0.35">
      <c r="A2977" s="3" t="s">
        <v>4380</v>
      </c>
      <c r="B2977" s="3" t="s">
        <v>1895</v>
      </c>
      <c r="C2977" s="3" t="s">
        <v>48</v>
      </c>
      <c r="D2977" s="3" t="s">
        <v>90</v>
      </c>
      <c r="E2977" s="3" t="s">
        <v>119</v>
      </c>
      <c r="F2977" s="3" t="s">
        <v>120</v>
      </c>
      <c r="G2977" s="3" t="s">
        <v>41</v>
      </c>
      <c r="H2977" s="3" t="s">
        <v>61</v>
      </c>
      <c r="I2977" s="3" t="s">
        <v>234</v>
      </c>
      <c r="J2977" s="3" t="s">
        <v>171</v>
      </c>
      <c r="K2977" s="3">
        <v>8</v>
      </c>
      <c r="L2977" s="3">
        <v>2669.08</v>
      </c>
      <c r="M2977" s="3">
        <v>21352.639999999999</v>
      </c>
      <c r="N2977" s="3">
        <v>12591.17</v>
      </c>
      <c r="O2977" s="3">
        <v>8761.4699999999993</v>
      </c>
      <c r="P2977" s="3" t="s">
        <v>45</v>
      </c>
    </row>
    <row r="2978" spans="1:16" x14ac:dyDescent="0.35">
      <c r="A2978" s="3" t="s">
        <v>4381</v>
      </c>
      <c r="B2978" s="3" t="s">
        <v>113</v>
      </c>
      <c r="C2978" s="3" t="s">
        <v>114</v>
      </c>
      <c r="D2978" s="3" t="s">
        <v>38</v>
      </c>
      <c r="E2978" s="3" t="s">
        <v>39</v>
      </c>
      <c r="F2978" s="3" t="s">
        <v>40</v>
      </c>
      <c r="G2978" s="3" t="s">
        <v>30</v>
      </c>
      <c r="H2978" s="3" t="s">
        <v>73</v>
      </c>
      <c r="I2978" s="3" t="s">
        <v>843</v>
      </c>
      <c r="J2978" s="3" t="s">
        <v>106</v>
      </c>
      <c r="K2978" s="3">
        <v>8</v>
      </c>
      <c r="L2978" s="3">
        <v>3073.83</v>
      </c>
      <c r="M2978" s="3">
        <v>24590.639999999999</v>
      </c>
      <c r="N2978" s="3">
        <v>18464.95</v>
      </c>
      <c r="O2978" s="3">
        <v>6125.69</v>
      </c>
      <c r="P2978" s="3" t="s">
        <v>69</v>
      </c>
    </row>
    <row r="2979" spans="1:16" x14ac:dyDescent="0.35">
      <c r="A2979" s="3" t="s">
        <v>4382</v>
      </c>
      <c r="B2979" s="3" t="s">
        <v>765</v>
      </c>
      <c r="C2979" s="3" t="s">
        <v>57</v>
      </c>
      <c r="D2979" s="3" t="s">
        <v>58</v>
      </c>
      <c r="E2979" s="3" t="s">
        <v>65</v>
      </c>
      <c r="F2979" s="3" t="s">
        <v>66</v>
      </c>
      <c r="G2979" s="3" t="s">
        <v>51</v>
      </c>
      <c r="H2979" s="3" t="s">
        <v>77</v>
      </c>
      <c r="I2979" s="3" t="s">
        <v>4383</v>
      </c>
      <c r="J2979" s="3" t="s">
        <v>161</v>
      </c>
      <c r="K2979" s="3">
        <v>5</v>
      </c>
      <c r="L2979" s="3">
        <v>11894.08</v>
      </c>
      <c r="M2979" s="3">
        <v>59470.400000000001</v>
      </c>
      <c r="N2979" s="3">
        <v>45872.2</v>
      </c>
      <c r="O2979" s="3">
        <v>13598.2</v>
      </c>
      <c r="P2979" s="3" t="s">
        <v>69</v>
      </c>
    </row>
    <row r="2980" spans="1:16" x14ac:dyDescent="0.35">
      <c r="A2980" s="3" t="s">
        <v>4384</v>
      </c>
      <c r="B2980" s="3" t="s">
        <v>2197</v>
      </c>
      <c r="C2980" s="3" t="s">
        <v>18</v>
      </c>
      <c r="D2980" s="3" t="s">
        <v>38</v>
      </c>
      <c r="E2980" s="3" t="s">
        <v>109</v>
      </c>
      <c r="F2980" s="3" t="s">
        <v>110</v>
      </c>
      <c r="G2980" s="3" t="s">
        <v>22</v>
      </c>
      <c r="H2980" s="3" t="s">
        <v>93</v>
      </c>
      <c r="I2980" s="3" t="s">
        <v>2694</v>
      </c>
      <c r="J2980" s="3" t="s">
        <v>217</v>
      </c>
      <c r="K2980" s="3">
        <v>7</v>
      </c>
      <c r="L2980" s="3">
        <v>7203.15</v>
      </c>
      <c r="M2980" s="3">
        <v>50422.05</v>
      </c>
      <c r="N2980" s="3">
        <v>36449.83</v>
      </c>
      <c r="O2980" s="3">
        <v>13972.22</v>
      </c>
      <c r="P2980" s="3" t="s">
        <v>34</v>
      </c>
    </row>
    <row r="2981" spans="1:16" x14ac:dyDescent="0.35">
      <c r="A2981" s="3" t="s">
        <v>4385</v>
      </c>
      <c r="B2981" s="3" t="s">
        <v>1142</v>
      </c>
      <c r="C2981" s="3" t="s">
        <v>37</v>
      </c>
      <c r="D2981" s="3" t="s">
        <v>90</v>
      </c>
      <c r="E2981" s="3" t="s">
        <v>91</v>
      </c>
      <c r="F2981" s="3" t="s">
        <v>92</v>
      </c>
      <c r="G2981" s="3" t="s">
        <v>30</v>
      </c>
      <c r="H2981" s="3" t="s">
        <v>73</v>
      </c>
      <c r="I2981" s="3" t="s">
        <v>2635</v>
      </c>
      <c r="J2981" s="3" t="s">
        <v>147</v>
      </c>
      <c r="K2981" s="3">
        <v>3</v>
      </c>
      <c r="L2981" s="3">
        <v>2923.78</v>
      </c>
      <c r="M2981" s="3">
        <v>8771.34</v>
      </c>
      <c r="N2981" s="3">
        <v>7206.01</v>
      </c>
      <c r="O2981" s="3">
        <v>1565.33</v>
      </c>
      <c r="P2981" s="3" t="s">
        <v>86</v>
      </c>
    </row>
    <row r="2982" spans="1:16" x14ac:dyDescent="0.35">
      <c r="A2982" s="3" t="s">
        <v>4386</v>
      </c>
      <c r="B2982" s="3" t="s">
        <v>302</v>
      </c>
      <c r="C2982" s="3" t="s">
        <v>103</v>
      </c>
      <c r="D2982" s="3" t="s">
        <v>19</v>
      </c>
      <c r="E2982" s="3" t="s">
        <v>199</v>
      </c>
      <c r="F2982" s="3" t="s">
        <v>200</v>
      </c>
      <c r="G2982" s="3" t="s">
        <v>22</v>
      </c>
      <c r="H2982" s="3" t="s">
        <v>23</v>
      </c>
      <c r="I2982" s="3" t="s">
        <v>1979</v>
      </c>
      <c r="J2982" s="3" t="s">
        <v>154</v>
      </c>
      <c r="K2982" s="3">
        <v>5</v>
      </c>
      <c r="L2982" s="3">
        <v>3404.97</v>
      </c>
      <c r="M2982" s="3">
        <v>17024.849999999999</v>
      </c>
      <c r="N2982" s="3">
        <v>10944.94</v>
      </c>
      <c r="O2982" s="3">
        <v>6079.91</v>
      </c>
      <c r="P2982" s="3" t="s">
        <v>86</v>
      </c>
    </row>
    <row r="2983" spans="1:16" x14ac:dyDescent="0.35">
      <c r="A2983" s="3" t="s">
        <v>4387</v>
      </c>
      <c r="B2983" s="3" t="s">
        <v>1182</v>
      </c>
      <c r="C2983" s="3" t="s">
        <v>48</v>
      </c>
      <c r="D2983" s="3" t="s">
        <v>90</v>
      </c>
      <c r="E2983" s="3" t="s">
        <v>97</v>
      </c>
      <c r="F2983" s="3" t="s">
        <v>98</v>
      </c>
      <c r="G2983" s="3" t="s">
        <v>22</v>
      </c>
      <c r="H2983" s="3" t="s">
        <v>83</v>
      </c>
      <c r="I2983" s="3" t="s">
        <v>3346</v>
      </c>
      <c r="J2983" s="3" t="s">
        <v>131</v>
      </c>
      <c r="K2983" s="3">
        <v>1</v>
      </c>
      <c r="L2983" s="3">
        <v>20030.57</v>
      </c>
      <c r="M2983" s="3">
        <v>20030.57</v>
      </c>
      <c r="N2983" s="3">
        <v>17434.740000000002</v>
      </c>
      <c r="O2983" s="3">
        <v>2595.83</v>
      </c>
      <c r="P2983" s="3" t="s">
        <v>45</v>
      </c>
    </row>
    <row r="2984" spans="1:16" x14ac:dyDescent="0.35">
      <c r="A2984" s="3" t="s">
        <v>4388</v>
      </c>
      <c r="B2984" s="3" t="s">
        <v>215</v>
      </c>
      <c r="C2984" s="3" t="s">
        <v>37</v>
      </c>
      <c r="D2984" s="3" t="s">
        <v>90</v>
      </c>
      <c r="E2984" s="3" t="s">
        <v>91</v>
      </c>
      <c r="F2984" s="3" t="s">
        <v>92</v>
      </c>
      <c r="G2984" s="3" t="s">
        <v>30</v>
      </c>
      <c r="H2984" s="3" t="s">
        <v>73</v>
      </c>
      <c r="I2984" s="3" t="s">
        <v>1452</v>
      </c>
      <c r="J2984" s="3" t="s">
        <v>79</v>
      </c>
      <c r="K2984" s="3">
        <v>5</v>
      </c>
      <c r="L2984" s="3">
        <v>3050.93</v>
      </c>
      <c r="M2984" s="3">
        <v>15254.65</v>
      </c>
      <c r="N2984" s="3">
        <v>11540.19</v>
      </c>
      <c r="O2984" s="3">
        <v>3714.46</v>
      </c>
      <c r="P2984" s="3" t="s">
        <v>34</v>
      </c>
    </row>
    <row r="2985" spans="1:16" x14ac:dyDescent="0.35">
      <c r="A2985" s="3" t="s">
        <v>4389</v>
      </c>
      <c r="B2985" s="3" t="s">
        <v>562</v>
      </c>
      <c r="C2985" s="3" t="s">
        <v>82</v>
      </c>
      <c r="D2985" s="3" t="s">
        <v>90</v>
      </c>
      <c r="E2985" s="3" t="s">
        <v>91</v>
      </c>
      <c r="F2985" s="3" t="s">
        <v>92</v>
      </c>
      <c r="G2985" s="3" t="s">
        <v>30</v>
      </c>
      <c r="H2985" s="3" t="s">
        <v>67</v>
      </c>
      <c r="I2985" s="3" t="s">
        <v>266</v>
      </c>
      <c r="J2985" s="3" t="s">
        <v>25</v>
      </c>
      <c r="K2985" s="3">
        <v>8</v>
      </c>
      <c r="L2985" s="3">
        <v>10207.42</v>
      </c>
      <c r="M2985" s="3">
        <v>81659.360000000001</v>
      </c>
      <c r="N2985" s="3">
        <v>62163.94</v>
      </c>
      <c r="O2985" s="3">
        <v>19495.419999999998</v>
      </c>
      <c r="P2985" s="3" t="s">
        <v>69</v>
      </c>
    </row>
    <row r="2986" spans="1:16" x14ac:dyDescent="0.35">
      <c r="A2986" s="3" t="s">
        <v>4390</v>
      </c>
      <c r="B2986" s="3" t="s">
        <v>705</v>
      </c>
      <c r="C2986" s="3" t="s">
        <v>82</v>
      </c>
      <c r="D2986" s="3" t="s">
        <v>19</v>
      </c>
      <c r="E2986" s="3" t="s">
        <v>20</v>
      </c>
      <c r="F2986" s="3" t="s">
        <v>21</v>
      </c>
      <c r="G2986" s="3" t="s">
        <v>22</v>
      </c>
      <c r="H2986" s="3" t="s">
        <v>93</v>
      </c>
      <c r="I2986" s="3" t="s">
        <v>3161</v>
      </c>
      <c r="J2986" s="3" t="s">
        <v>25</v>
      </c>
      <c r="K2986" s="3">
        <v>5</v>
      </c>
      <c r="L2986" s="3">
        <v>7252.37</v>
      </c>
      <c r="M2986" s="3">
        <v>36261.85</v>
      </c>
      <c r="N2986" s="3">
        <v>25600.15</v>
      </c>
      <c r="O2986" s="3">
        <v>10661.7</v>
      </c>
      <c r="P2986" s="3" t="s">
        <v>86</v>
      </c>
    </row>
    <row r="2987" spans="1:16" x14ac:dyDescent="0.35">
      <c r="A2987" s="3" t="s">
        <v>4391</v>
      </c>
      <c r="B2987" s="3" t="s">
        <v>56</v>
      </c>
      <c r="C2987" s="3" t="s">
        <v>57</v>
      </c>
      <c r="D2987" s="3" t="s">
        <v>58</v>
      </c>
      <c r="E2987" s="3" t="s">
        <v>65</v>
      </c>
      <c r="F2987" s="3" t="s">
        <v>66</v>
      </c>
      <c r="G2987" s="3" t="s">
        <v>30</v>
      </c>
      <c r="H2987" s="3" t="s">
        <v>67</v>
      </c>
      <c r="I2987" s="3" t="s">
        <v>4392</v>
      </c>
      <c r="J2987" s="3" t="s">
        <v>131</v>
      </c>
      <c r="K2987" s="3">
        <v>7</v>
      </c>
      <c r="L2987" s="3">
        <v>8891.7999999999993</v>
      </c>
      <c r="M2987" s="3">
        <v>62242.6</v>
      </c>
      <c r="N2987" s="3">
        <v>55820.4</v>
      </c>
      <c r="O2987" s="3">
        <v>6422.2</v>
      </c>
      <c r="P2987" s="3" t="s">
        <v>34</v>
      </c>
    </row>
    <row r="2988" spans="1:16" x14ac:dyDescent="0.35">
      <c r="A2988" s="3" t="s">
        <v>4393</v>
      </c>
      <c r="B2988" s="3" t="s">
        <v>807</v>
      </c>
      <c r="C2988" s="3" t="s">
        <v>72</v>
      </c>
      <c r="D2988" s="3" t="s">
        <v>58</v>
      </c>
      <c r="E2988" s="3" t="s">
        <v>65</v>
      </c>
      <c r="F2988" s="3" t="s">
        <v>66</v>
      </c>
      <c r="G2988" s="3" t="s">
        <v>22</v>
      </c>
      <c r="H2988" s="3" t="s">
        <v>23</v>
      </c>
      <c r="I2988" s="3" t="s">
        <v>269</v>
      </c>
      <c r="J2988" s="3" t="s">
        <v>161</v>
      </c>
      <c r="K2988" s="3">
        <v>5</v>
      </c>
      <c r="L2988" s="3">
        <v>3434.66</v>
      </c>
      <c r="M2988" s="3">
        <v>17173.3</v>
      </c>
      <c r="N2988" s="3">
        <v>11526.72</v>
      </c>
      <c r="O2988" s="3">
        <v>5646.58</v>
      </c>
      <c r="P2988" s="3" t="s">
        <v>69</v>
      </c>
    </row>
    <row r="2989" spans="1:16" x14ac:dyDescent="0.35">
      <c r="A2989" s="3" t="s">
        <v>4394</v>
      </c>
      <c r="B2989" s="3" t="s">
        <v>1320</v>
      </c>
      <c r="C2989" s="3" t="s">
        <v>37</v>
      </c>
      <c r="D2989" s="3" t="s">
        <v>38</v>
      </c>
      <c r="E2989" s="3" t="s">
        <v>104</v>
      </c>
      <c r="F2989" s="3" t="s">
        <v>104</v>
      </c>
      <c r="G2989" s="3" t="s">
        <v>30</v>
      </c>
      <c r="H2989" s="3" t="s">
        <v>31</v>
      </c>
      <c r="I2989" s="3" t="s">
        <v>3298</v>
      </c>
      <c r="J2989" s="3" t="s">
        <v>25</v>
      </c>
      <c r="K2989" s="3">
        <v>3</v>
      </c>
      <c r="L2989" s="3">
        <v>2860.06</v>
      </c>
      <c r="M2989" s="3">
        <v>8580.18</v>
      </c>
      <c r="N2989" s="3">
        <v>5452.11</v>
      </c>
      <c r="O2989" s="3">
        <v>3128.07</v>
      </c>
      <c r="P2989" s="3" t="s">
        <v>26</v>
      </c>
    </row>
    <row r="2990" spans="1:16" x14ac:dyDescent="0.35">
      <c r="A2990" s="3" t="s">
        <v>4395</v>
      </c>
      <c r="B2990" s="3" t="s">
        <v>361</v>
      </c>
      <c r="C2990" s="3" t="s">
        <v>137</v>
      </c>
      <c r="D2990" s="3" t="s">
        <v>38</v>
      </c>
      <c r="E2990" s="3" t="s">
        <v>109</v>
      </c>
      <c r="F2990" s="3" t="s">
        <v>110</v>
      </c>
      <c r="G2990" s="3" t="s">
        <v>41</v>
      </c>
      <c r="H2990" s="3" t="s">
        <v>61</v>
      </c>
      <c r="I2990" s="3" t="s">
        <v>322</v>
      </c>
      <c r="J2990" s="3" t="s">
        <v>188</v>
      </c>
      <c r="K2990" s="3">
        <v>6</v>
      </c>
      <c r="L2990" s="3">
        <v>2658.21</v>
      </c>
      <c r="M2990" s="3">
        <v>15949.26</v>
      </c>
      <c r="N2990" s="3">
        <v>9428.16</v>
      </c>
      <c r="O2990" s="3">
        <v>6521.1</v>
      </c>
      <c r="P2990" s="3" t="s">
        <v>69</v>
      </c>
    </row>
    <row r="2991" spans="1:16" x14ac:dyDescent="0.35">
      <c r="A2991" s="3" t="s">
        <v>4396</v>
      </c>
      <c r="B2991" s="3" t="s">
        <v>424</v>
      </c>
      <c r="C2991" s="3" t="s">
        <v>72</v>
      </c>
      <c r="D2991" s="3" t="s">
        <v>38</v>
      </c>
      <c r="E2991" s="3" t="s">
        <v>39</v>
      </c>
      <c r="F2991" s="3" t="s">
        <v>40</v>
      </c>
      <c r="G2991" s="3" t="s">
        <v>41</v>
      </c>
      <c r="H2991" s="3" t="s">
        <v>138</v>
      </c>
      <c r="I2991" s="3" t="s">
        <v>2315</v>
      </c>
      <c r="J2991" s="3" t="s">
        <v>131</v>
      </c>
      <c r="K2991" s="3">
        <v>4</v>
      </c>
      <c r="L2991" s="3">
        <v>16921.25</v>
      </c>
      <c r="M2991" s="3">
        <v>67685</v>
      </c>
      <c r="N2991" s="3">
        <v>55633.48</v>
      </c>
      <c r="O2991" s="3">
        <v>12051.52</v>
      </c>
      <c r="P2991" s="3" t="s">
        <v>45</v>
      </c>
    </row>
    <row r="2992" spans="1:16" x14ac:dyDescent="0.35">
      <c r="A2992" s="3" t="s">
        <v>4397</v>
      </c>
      <c r="B2992" s="3" t="s">
        <v>1423</v>
      </c>
      <c r="C2992" s="3" t="s">
        <v>37</v>
      </c>
      <c r="D2992" s="3" t="s">
        <v>19</v>
      </c>
      <c r="E2992" s="3" t="s">
        <v>20</v>
      </c>
      <c r="F2992" s="3" t="s">
        <v>21</v>
      </c>
      <c r="G2992" s="3" t="s">
        <v>41</v>
      </c>
      <c r="H2992" s="3" t="s">
        <v>42</v>
      </c>
      <c r="I2992" s="3" t="s">
        <v>3386</v>
      </c>
      <c r="J2992" s="3" t="s">
        <v>25</v>
      </c>
      <c r="K2992" s="3">
        <v>3</v>
      </c>
      <c r="L2992" s="3">
        <v>42269.38</v>
      </c>
      <c r="M2992" s="3">
        <v>126808.14</v>
      </c>
      <c r="N2992" s="3">
        <v>105352.2</v>
      </c>
      <c r="O2992" s="3">
        <v>21455.94</v>
      </c>
      <c r="P2992" s="3" t="s">
        <v>45</v>
      </c>
    </row>
    <row r="2993" spans="1:16" x14ac:dyDescent="0.35">
      <c r="A2993" s="3" t="s">
        <v>4398</v>
      </c>
      <c r="B2993" s="3" t="s">
        <v>1670</v>
      </c>
      <c r="C2993" s="3" t="s">
        <v>114</v>
      </c>
      <c r="D2993" s="3" t="s">
        <v>90</v>
      </c>
      <c r="E2993" s="3" t="s">
        <v>119</v>
      </c>
      <c r="F2993" s="3" t="s">
        <v>120</v>
      </c>
      <c r="G2993" s="3" t="s">
        <v>51</v>
      </c>
      <c r="H2993" s="3" t="s">
        <v>52</v>
      </c>
      <c r="I2993" s="3" t="s">
        <v>2563</v>
      </c>
      <c r="J2993" s="3" t="s">
        <v>147</v>
      </c>
      <c r="K2993" s="3">
        <v>3</v>
      </c>
      <c r="L2993" s="3">
        <v>25.69</v>
      </c>
      <c r="M2993" s="3">
        <v>77.069999999999993</v>
      </c>
      <c r="N2993" s="3">
        <v>30.97</v>
      </c>
      <c r="O2993" s="3">
        <v>46.1</v>
      </c>
      <c r="P2993" s="3" t="s">
        <v>86</v>
      </c>
    </row>
    <row r="2994" spans="1:16" x14ac:dyDescent="0.35">
      <c r="A2994" s="3" t="s">
        <v>4399</v>
      </c>
      <c r="B2994" s="3" t="s">
        <v>1301</v>
      </c>
      <c r="C2994" s="3" t="s">
        <v>18</v>
      </c>
      <c r="D2994" s="3" t="s">
        <v>38</v>
      </c>
      <c r="E2994" s="3" t="s">
        <v>109</v>
      </c>
      <c r="F2994" s="3" t="s">
        <v>110</v>
      </c>
      <c r="G2994" s="3" t="s">
        <v>51</v>
      </c>
      <c r="H2994" s="3" t="s">
        <v>77</v>
      </c>
      <c r="I2994" s="3" t="s">
        <v>1603</v>
      </c>
      <c r="J2994" s="3" t="s">
        <v>25</v>
      </c>
      <c r="K2994" s="3">
        <v>2</v>
      </c>
      <c r="L2994" s="3">
        <v>11917.24</v>
      </c>
      <c r="M2994" s="3">
        <v>23834.48</v>
      </c>
      <c r="N2994" s="3">
        <v>18891.900000000001</v>
      </c>
      <c r="O2994" s="3">
        <v>4942.58</v>
      </c>
      <c r="P2994" s="3" t="s">
        <v>45</v>
      </c>
    </row>
    <row r="2995" spans="1:16" x14ac:dyDescent="0.35">
      <c r="A2995" s="3" t="s">
        <v>4400</v>
      </c>
      <c r="B2995" s="3" t="s">
        <v>192</v>
      </c>
      <c r="C2995" s="3" t="s">
        <v>103</v>
      </c>
      <c r="D2995" s="3" t="s">
        <v>90</v>
      </c>
      <c r="E2995" s="3" t="s">
        <v>91</v>
      </c>
      <c r="F2995" s="3" t="s">
        <v>92</v>
      </c>
      <c r="G2995" s="3" t="s">
        <v>51</v>
      </c>
      <c r="H2995" s="3" t="s">
        <v>145</v>
      </c>
      <c r="I2995" s="3" t="s">
        <v>2460</v>
      </c>
      <c r="J2995" s="3" t="s">
        <v>154</v>
      </c>
      <c r="K2995" s="3">
        <v>6</v>
      </c>
      <c r="L2995" s="3">
        <v>126.56</v>
      </c>
      <c r="M2995" s="3">
        <v>759.36</v>
      </c>
      <c r="N2995" s="3">
        <v>353.03</v>
      </c>
      <c r="O2995" s="3">
        <v>406.33</v>
      </c>
      <c r="P2995" s="3" t="s">
        <v>69</v>
      </c>
    </row>
    <row r="2996" spans="1:16" x14ac:dyDescent="0.35">
      <c r="A2996" s="3" t="s">
        <v>4401</v>
      </c>
      <c r="B2996" s="3" t="s">
        <v>279</v>
      </c>
      <c r="C2996" s="3" t="s">
        <v>37</v>
      </c>
      <c r="D2996" s="3" t="s">
        <v>58</v>
      </c>
      <c r="E2996" s="3" t="s">
        <v>59</v>
      </c>
      <c r="F2996" s="3" t="s">
        <v>60</v>
      </c>
      <c r="G2996" s="3" t="s">
        <v>41</v>
      </c>
      <c r="H2996" s="3" t="s">
        <v>138</v>
      </c>
      <c r="I2996" s="3" t="s">
        <v>32</v>
      </c>
      <c r="J2996" s="3" t="s">
        <v>85</v>
      </c>
      <c r="K2996" s="3">
        <v>1</v>
      </c>
      <c r="L2996" s="3">
        <v>19561.5</v>
      </c>
      <c r="M2996" s="3">
        <v>19561.5</v>
      </c>
      <c r="N2996" s="3">
        <v>13487.7</v>
      </c>
      <c r="O2996" s="3">
        <v>6073.8</v>
      </c>
      <c r="P2996" s="3" t="s">
        <v>69</v>
      </c>
    </row>
    <row r="2997" spans="1:16" x14ac:dyDescent="0.35">
      <c r="A2997" s="3" t="s">
        <v>4402</v>
      </c>
      <c r="B2997" s="3" t="s">
        <v>592</v>
      </c>
      <c r="C2997" s="3" t="s">
        <v>103</v>
      </c>
      <c r="D2997" s="3" t="s">
        <v>38</v>
      </c>
      <c r="E2997" s="3" t="s">
        <v>104</v>
      </c>
      <c r="F2997" s="3" t="s">
        <v>104</v>
      </c>
      <c r="G2997" s="3" t="s">
        <v>51</v>
      </c>
      <c r="H2997" s="3" t="s">
        <v>52</v>
      </c>
      <c r="I2997" s="3" t="s">
        <v>643</v>
      </c>
      <c r="J2997" s="3" t="s">
        <v>188</v>
      </c>
      <c r="K2997" s="3">
        <v>2</v>
      </c>
      <c r="L2997" s="3">
        <v>25.87</v>
      </c>
      <c r="M2997" s="3">
        <v>51.74</v>
      </c>
      <c r="N2997" s="3">
        <v>20.83</v>
      </c>
      <c r="O2997" s="3">
        <v>30.91</v>
      </c>
      <c r="P2997" s="3" t="s">
        <v>26</v>
      </c>
    </row>
    <row r="2998" spans="1:16" x14ac:dyDescent="0.35">
      <c r="A2998" s="3" t="s">
        <v>4403</v>
      </c>
      <c r="B2998" s="3" t="s">
        <v>203</v>
      </c>
      <c r="C2998" s="3" t="s">
        <v>48</v>
      </c>
      <c r="D2998" s="3" t="s">
        <v>19</v>
      </c>
      <c r="E2998" s="3" t="s">
        <v>20</v>
      </c>
      <c r="F2998" s="3" t="s">
        <v>21</v>
      </c>
      <c r="G2998" s="3" t="s">
        <v>41</v>
      </c>
      <c r="H2998" s="3" t="s">
        <v>138</v>
      </c>
      <c r="I2998" s="3" t="s">
        <v>4308</v>
      </c>
      <c r="J2998" s="3" t="s">
        <v>85</v>
      </c>
      <c r="K2998" s="3">
        <v>1</v>
      </c>
      <c r="L2998" s="3">
        <v>17606.63</v>
      </c>
      <c r="M2998" s="3">
        <v>17606.63</v>
      </c>
      <c r="N2998" s="3">
        <v>14447.96</v>
      </c>
      <c r="O2998" s="3">
        <v>3158.67</v>
      </c>
      <c r="P2998" s="3" t="s">
        <v>86</v>
      </c>
    </row>
    <row r="2999" spans="1:16" x14ac:dyDescent="0.35">
      <c r="A2999" s="3" t="s">
        <v>4404</v>
      </c>
      <c r="B2999" s="3" t="s">
        <v>228</v>
      </c>
      <c r="C2999" s="3" t="s">
        <v>114</v>
      </c>
      <c r="D2999" s="3" t="s">
        <v>58</v>
      </c>
      <c r="E2999" s="3" t="s">
        <v>59</v>
      </c>
      <c r="F2999" s="3" t="s">
        <v>60</v>
      </c>
      <c r="G2999" s="3" t="s">
        <v>30</v>
      </c>
      <c r="H2999" s="3" t="s">
        <v>31</v>
      </c>
      <c r="I2999" s="3" t="s">
        <v>2543</v>
      </c>
      <c r="J2999" s="3" t="s">
        <v>188</v>
      </c>
      <c r="K2999" s="3">
        <v>1</v>
      </c>
      <c r="L2999" s="3">
        <v>2647.06</v>
      </c>
      <c r="M2999" s="3">
        <v>2647.06</v>
      </c>
      <c r="N2999" s="3">
        <v>1904.86</v>
      </c>
      <c r="O2999" s="3">
        <v>742.2</v>
      </c>
      <c r="P2999" s="3" t="s">
        <v>45</v>
      </c>
    </row>
    <row r="3000" spans="1:16" x14ac:dyDescent="0.35">
      <c r="A3000" s="3" t="s">
        <v>4405</v>
      </c>
      <c r="B3000" s="3" t="s">
        <v>570</v>
      </c>
      <c r="C3000" s="3" t="s">
        <v>18</v>
      </c>
      <c r="D3000" s="3" t="s">
        <v>90</v>
      </c>
      <c r="E3000" s="3" t="s">
        <v>97</v>
      </c>
      <c r="F3000" s="3" t="s">
        <v>98</v>
      </c>
      <c r="G3000" s="3" t="s">
        <v>22</v>
      </c>
      <c r="H3000" s="3" t="s">
        <v>83</v>
      </c>
      <c r="I3000" s="3" t="s">
        <v>422</v>
      </c>
      <c r="J3000" s="3" t="s">
        <v>217</v>
      </c>
      <c r="K3000" s="3">
        <v>6</v>
      </c>
      <c r="L3000" s="3">
        <v>21286.639999999999</v>
      </c>
      <c r="M3000" s="3">
        <v>127719.84</v>
      </c>
      <c r="N3000" s="3">
        <v>106465.91</v>
      </c>
      <c r="O3000" s="3">
        <v>21253.93</v>
      </c>
      <c r="P3000" s="3" t="s">
        <v>34</v>
      </c>
    </row>
    <row r="3001" spans="1:16" x14ac:dyDescent="0.35">
      <c r="A3001" s="3" t="s">
        <v>4406</v>
      </c>
      <c r="B3001" s="3" t="s">
        <v>395</v>
      </c>
      <c r="C3001" s="3" t="s">
        <v>29</v>
      </c>
      <c r="D3001" s="3" t="s">
        <v>90</v>
      </c>
      <c r="E3001" s="3" t="s">
        <v>97</v>
      </c>
      <c r="F3001" s="3" t="s">
        <v>98</v>
      </c>
      <c r="G3001" s="3" t="s">
        <v>41</v>
      </c>
      <c r="H3001" s="3" t="s">
        <v>61</v>
      </c>
      <c r="I3001" s="3" t="s">
        <v>74</v>
      </c>
      <c r="J3001" s="3" t="s">
        <v>54</v>
      </c>
      <c r="K3001" s="3">
        <v>3</v>
      </c>
      <c r="L3001" s="3">
        <v>2620.29</v>
      </c>
      <c r="M3001" s="3">
        <v>7860.87</v>
      </c>
      <c r="N3001" s="3">
        <v>4811.88</v>
      </c>
      <c r="O3001" s="3">
        <v>3048.99</v>
      </c>
      <c r="P3001" s="3" t="s">
        <v>69</v>
      </c>
    </row>
    <row r="3002" spans="1:16" x14ac:dyDescent="0.35">
      <c r="A3002" s="3" t="s">
        <v>4407</v>
      </c>
      <c r="B3002" s="3" t="s">
        <v>424</v>
      </c>
      <c r="C3002" s="3" t="s">
        <v>72</v>
      </c>
      <c r="D3002" s="3" t="s">
        <v>38</v>
      </c>
      <c r="E3002" s="3" t="s">
        <v>109</v>
      </c>
      <c r="F3002" s="3" t="s">
        <v>110</v>
      </c>
      <c r="G3002" s="3" t="s">
        <v>22</v>
      </c>
      <c r="H3002" s="3" t="s">
        <v>93</v>
      </c>
      <c r="I3002" s="3" t="s">
        <v>495</v>
      </c>
      <c r="J3002" s="3" t="s">
        <v>147</v>
      </c>
      <c r="K3002" s="3">
        <v>4</v>
      </c>
      <c r="L3002" s="3">
        <v>6958.86</v>
      </c>
      <c r="M3002" s="3">
        <v>27835.439999999999</v>
      </c>
      <c r="N3002" s="3">
        <v>19993.18</v>
      </c>
      <c r="O3002" s="3">
        <v>7842.26</v>
      </c>
      <c r="P3002" s="3" t="s">
        <v>86</v>
      </c>
    </row>
    <row r="3003" spans="1:16" x14ac:dyDescent="0.35">
      <c r="A3003" s="3" t="s">
        <v>4408</v>
      </c>
      <c r="B3003" s="3" t="s">
        <v>916</v>
      </c>
      <c r="C3003" s="3" t="s">
        <v>103</v>
      </c>
      <c r="D3003" s="3" t="s">
        <v>90</v>
      </c>
      <c r="E3003" s="3" t="s">
        <v>91</v>
      </c>
      <c r="F3003" s="3" t="s">
        <v>92</v>
      </c>
      <c r="G3003" s="3" t="s">
        <v>41</v>
      </c>
      <c r="H3003" s="3" t="s">
        <v>61</v>
      </c>
      <c r="I3003" s="3" t="s">
        <v>1793</v>
      </c>
      <c r="J3003" s="3" t="s">
        <v>161</v>
      </c>
      <c r="K3003" s="3">
        <v>2</v>
      </c>
      <c r="L3003" s="3">
        <v>2364.2600000000002</v>
      </c>
      <c r="M3003" s="3">
        <v>4728.5200000000004</v>
      </c>
      <c r="N3003" s="3">
        <v>3221.32</v>
      </c>
      <c r="O3003" s="3">
        <v>1507.2</v>
      </c>
      <c r="P3003" s="3" t="s">
        <v>34</v>
      </c>
    </row>
    <row r="3004" spans="1:16" x14ac:dyDescent="0.35">
      <c r="A3004" s="3" t="s">
        <v>4409</v>
      </c>
      <c r="B3004" s="3" t="s">
        <v>699</v>
      </c>
      <c r="C3004" s="3" t="s">
        <v>137</v>
      </c>
      <c r="D3004" s="3" t="s">
        <v>90</v>
      </c>
      <c r="E3004" s="3" t="s">
        <v>97</v>
      </c>
      <c r="F3004" s="3" t="s">
        <v>98</v>
      </c>
      <c r="G3004" s="3" t="s">
        <v>41</v>
      </c>
      <c r="H3004" s="3" t="s">
        <v>138</v>
      </c>
      <c r="I3004" s="3" t="s">
        <v>207</v>
      </c>
      <c r="J3004" s="3" t="s">
        <v>217</v>
      </c>
      <c r="K3004" s="3">
        <v>4</v>
      </c>
      <c r="L3004" s="3">
        <v>17873.82</v>
      </c>
      <c r="M3004" s="3">
        <v>71495.28</v>
      </c>
      <c r="N3004" s="3">
        <v>54110.71</v>
      </c>
      <c r="O3004" s="3">
        <v>17384.57</v>
      </c>
      <c r="P3004" s="3" t="s">
        <v>45</v>
      </c>
    </row>
    <row r="3005" spans="1:16" x14ac:dyDescent="0.35">
      <c r="A3005" s="3" t="s">
        <v>4410</v>
      </c>
      <c r="B3005" s="3" t="s">
        <v>76</v>
      </c>
      <c r="C3005" s="3" t="s">
        <v>48</v>
      </c>
      <c r="D3005" s="3" t="s">
        <v>90</v>
      </c>
      <c r="E3005" s="3" t="s">
        <v>97</v>
      </c>
      <c r="F3005" s="3" t="s">
        <v>98</v>
      </c>
      <c r="G3005" s="3" t="s">
        <v>51</v>
      </c>
      <c r="H3005" s="3" t="s">
        <v>52</v>
      </c>
      <c r="I3005" s="3" t="s">
        <v>514</v>
      </c>
      <c r="J3005" s="3" t="s">
        <v>154</v>
      </c>
      <c r="K3005" s="3">
        <v>4</v>
      </c>
      <c r="L3005" s="3">
        <v>25.84</v>
      </c>
      <c r="M3005" s="3">
        <v>103.36</v>
      </c>
      <c r="N3005" s="3">
        <v>40.270000000000003</v>
      </c>
      <c r="O3005" s="3">
        <v>63.09</v>
      </c>
      <c r="P3005" s="3" t="s">
        <v>34</v>
      </c>
    </row>
    <row r="3006" spans="1:16" x14ac:dyDescent="0.35">
      <c r="A3006" s="3" t="s">
        <v>4411</v>
      </c>
      <c r="B3006" s="3" t="s">
        <v>166</v>
      </c>
      <c r="C3006" s="3" t="s">
        <v>37</v>
      </c>
      <c r="D3006" s="3" t="s">
        <v>58</v>
      </c>
      <c r="E3006" s="3" t="s">
        <v>59</v>
      </c>
      <c r="F3006" s="3" t="s">
        <v>60</v>
      </c>
      <c r="G3006" s="3" t="s">
        <v>51</v>
      </c>
      <c r="H3006" s="3" t="s">
        <v>77</v>
      </c>
      <c r="I3006" s="3" t="s">
        <v>862</v>
      </c>
      <c r="J3006" s="3" t="s">
        <v>154</v>
      </c>
      <c r="K3006" s="3">
        <v>5</v>
      </c>
      <c r="L3006" s="3">
        <v>12024.59</v>
      </c>
      <c r="M3006" s="3">
        <v>60122.95</v>
      </c>
      <c r="N3006" s="3">
        <v>44395.77</v>
      </c>
      <c r="O3006" s="3">
        <v>15727.18</v>
      </c>
      <c r="P3006" s="3" t="s">
        <v>45</v>
      </c>
    </row>
    <row r="3007" spans="1:16" x14ac:dyDescent="0.35">
      <c r="A3007" s="3" t="s">
        <v>4412</v>
      </c>
      <c r="B3007" s="3" t="s">
        <v>203</v>
      </c>
      <c r="C3007" s="3" t="s">
        <v>48</v>
      </c>
      <c r="D3007" s="3" t="s">
        <v>58</v>
      </c>
      <c r="E3007" s="3" t="s">
        <v>65</v>
      </c>
      <c r="F3007" s="3" t="s">
        <v>66</v>
      </c>
      <c r="G3007" s="3" t="s">
        <v>51</v>
      </c>
      <c r="H3007" s="3" t="s">
        <v>52</v>
      </c>
      <c r="I3007" s="3" t="s">
        <v>4413</v>
      </c>
      <c r="J3007" s="3" t="s">
        <v>188</v>
      </c>
      <c r="K3007" s="3">
        <v>1</v>
      </c>
      <c r="L3007" s="3">
        <v>25.06</v>
      </c>
      <c r="M3007" s="3">
        <v>25.06</v>
      </c>
      <c r="N3007" s="3">
        <v>10.39</v>
      </c>
      <c r="O3007" s="3">
        <v>14.67</v>
      </c>
      <c r="P3007" s="3" t="s">
        <v>34</v>
      </c>
    </row>
    <row r="3008" spans="1:16" x14ac:dyDescent="0.35">
      <c r="A3008" s="3" t="s">
        <v>4414</v>
      </c>
      <c r="B3008" s="3" t="s">
        <v>1031</v>
      </c>
      <c r="C3008" s="3" t="s">
        <v>82</v>
      </c>
      <c r="D3008" s="3" t="s">
        <v>38</v>
      </c>
      <c r="E3008" s="3" t="s">
        <v>109</v>
      </c>
      <c r="F3008" s="3" t="s">
        <v>110</v>
      </c>
      <c r="G3008" s="3" t="s">
        <v>22</v>
      </c>
      <c r="H3008" s="3" t="s">
        <v>83</v>
      </c>
      <c r="I3008" s="3" t="s">
        <v>4415</v>
      </c>
      <c r="J3008" s="3" t="s">
        <v>25</v>
      </c>
      <c r="K3008" s="3">
        <v>4</v>
      </c>
      <c r="L3008" s="3">
        <v>21319.9</v>
      </c>
      <c r="M3008" s="3">
        <v>85279.6</v>
      </c>
      <c r="N3008" s="3">
        <v>64704.85</v>
      </c>
      <c r="O3008" s="3">
        <v>20574.75</v>
      </c>
      <c r="P3008" s="3" t="s">
        <v>26</v>
      </c>
    </row>
    <row r="3009" spans="1:16" x14ac:dyDescent="0.35">
      <c r="A3009" s="3" t="s">
        <v>4416</v>
      </c>
      <c r="B3009" s="3" t="s">
        <v>271</v>
      </c>
      <c r="C3009" s="3" t="s">
        <v>82</v>
      </c>
      <c r="D3009" s="3" t="s">
        <v>38</v>
      </c>
      <c r="E3009" s="3" t="s">
        <v>104</v>
      </c>
      <c r="F3009" s="3" t="s">
        <v>104</v>
      </c>
      <c r="G3009" s="3" t="s">
        <v>30</v>
      </c>
      <c r="H3009" s="3" t="s">
        <v>31</v>
      </c>
      <c r="I3009" s="3" t="s">
        <v>614</v>
      </c>
      <c r="J3009" s="3" t="s">
        <v>44</v>
      </c>
      <c r="K3009" s="3">
        <v>1</v>
      </c>
      <c r="L3009" s="3">
        <v>2982.01</v>
      </c>
      <c r="M3009" s="3">
        <v>2982.01</v>
      </c>
      <c r="N3009" s="3">
        <v>1818.44</v>
      </c>
      <c r="O3009" s="3">
        <v>1163.57</v>
      </c>
      <c r="P3009" s="3" t="s">
        <v>45</v>
      </c>
    </row>
    <row r="3010" spans="1:16" x14ac:dyDescent="0.35">
      <c r="A3010" s="3" t="s">
        <v>4417</v>
      </c>
      <c r="B3010" s="3" t="s">
        <v>1314</v>
      </c>
      <c r="C3010" s="3" t="s">
        <v>48</v>
      </c>
      <c r="D3010" s="3" t="s">
        <v>90</v>
      </c>
      <c r="E3010" s="3" t="s">
        <v>91</v>
      </c>
      <c r="F3010" s="3" t="s">
        <v>92</v>
      </c>
      <c r="G3010" s="3" t="s">
        <v>22</v>
      </c>
      <c r="H3010" s="3" t="s">
        <v>93</v>
      </c>
      <c r="I3010" s="3" t="s">
        <v>1345</v>
      </c>
      <c r="J3010" s="3" t="s">
        <v>54</v>
      </c>
      <c r="K3010" s="3">
        <v>3</v>
      </c>
      <c r="L3010" s="3">
        <v>7455.58</v>
      </c>
      <c r="M3010" s="3">
        <v>22366.74</v>
      </c>
      <c r="N3010" s="3">
        <v>15411.6</v>
      </c>
      <c r="O3010" s="3">
        <v>6955.14</v>
      </c>
      <c r="P3010" s="3" t="s">
        <v>45</v>
      </c>
    </row>
    <row r="3011" spans="1:16" x14ac:dyDescent="0.35">
      <c r="A3011" s="3" t="s">
        <v>4418</v>
      </c>
      <c r="B3011" s="3" t="s">
        <v>1098</v>
      </c>
      <c r="C3011" s="3" t="s">
        <v>57</v>
      </c>
      <c r="D3011" s="3" t="s">
        <v>19</v>
      </c>
      <c r="E3011" s="3" t="s">
        <v>199</v>
      </c>
      <c r="F3011" s="3" t="s">
        <v>200</v>
      </c>
      <c r="G3011" s="3" t="s">
        <v>51</v>
      </c>
      <c r="H3011" s="3" t="s">
        <v>145</v>
      </c>
      <c r="I3011" s="3" t="s">
        <v>2921</v>
      </c>
      <c r="J3011" s="3" t="s">
        <v>106</v>
      </c>
      <c r="K3011" s="3">
        <v>2</v>
      </c>
      <c r="L3011" s="3">
        <v>119.26</v>
      </c>
      <c r="M3011" s="3">
        <v>238.52</v>
      </c>
      <c r="N3011" s="3">
        <v>117.21</v>
      </c>
      <c r="O3011" s="3">
        <v>121.31</v>
      </c>
      <c r="P3011" s="3" t="s">
        <v>69</v>
      </c>
    </row>
    <row r="3012" spans="1:16" x14ac:dyDescent="0.35">
      <c r="A3012" s="3" t="s">
        <v>4419</v>
      </c>
      <c r="B3012" s="3" t="s">
        <v>1964</v>
      </c>
      <c r="C3012" s="3" t="s">
        <v>57</v>
      </c>
      <c r="D3012" s="3" t="s">
        <v>38</v>
      </c>
      <c r="E3012" s="3" t="s">
        <v>104</v>
      </c>
      <c r="F3012" s="3" t="s">
        <v>104</v>
      </c>
      <c r="G3012" s="3" t="s">
        <v>51</v>
      </c>
      <c r="H3012" s="3" t="s">
        <v>52</v>
      </c>
      <c r="I3012" s="3" t="s">
        <v>2230</v>
      </c>
      <c r="J3012" s="3" t="s">
        <v>79</v>
      </c>
      <c r="K3012" s="3">
        <v>6</v>
      </c>
      <c r="L3012" s="3">
        <v>24.27</v>
      </c>
      <c r="M3012" s="3">
        <v>145.62</v>
      </c>
      <c r="N3012" s="3">
        <v>62.88</v>
      </c>
      <c r="O3012" s="3">
        <v>82.74</v>
      </c>
      <c r="P3012" s="3" t="s">
        <v>34</v>
      </c>
    </row>
    <row r="3013" spans="1:16" x14ac:dyDescent="0.35">
      <c r="A3013" s="3" t="s">
        <v>4420</v>
      </c>
      <c r="B3013" s="3" t="s">
        <v>612</v>
      </c>
      <c r="C3013" s="3" t="s">
        <v>57</v>
      </c>
      <c r="D3013" s="3" t="s">
        <v>38</v>
      </c>
      <c r="E3013" s="3" t="s">
        <v>109</v>
      </c>
      <c r="F3013" s="3" t="s">
        <v>110</v>
      </c>
      <c r="G3013" s="3" t="s">
        <v>22</v>
      </c>
      <c r="H3013" s="3" t="s">
        <v>23</v>
      </c>
      <c r="I3013" s="3" t="s">
        <v>1421</v>
      </c>
      <c r="J3013" s="3" t="s">
        <v>154</v>
      </c>
      <c r="K3013" s="3">
        <v>1</v>
      </c>
      <c r="L3013" s="3">
        <v>3795.72</v>
      </c>
      <c r="M3013" s="3">
        <v>3795.72</v>
      </c>
      <c r="N3013" s="3">
        <v>2239.84</v>
      </c>
      <c r="O3013" s="3">
        <v>1555.88</v>
      </c>
      <c r="P3013" s="3" t="s">
        <v>26</v>
      </c>
    </row>
    <row r="3014" spans="1:16" x14ac:dyDescent="0.35">
      <c r="A3014" s="3" t="s">
        <v>4421</v>
      </c>
      <c r="B3014" s="3" t="s">
        <v>1872</v>
      </c>
      <c r="C3014" s="3" t="s">
        <v>82</v>
      </c>
      <c r="D3014" s="3" t="s">
        <v>19</v>
      </c>
      <c r="E3014" s="3" t="s">
        <v>49</v>
      </c>
      <c r="F3014" s="3" t="s">
        <v>50</v>
      </c>
      <c r="G3014" s="3" t="s">
        <v>51</v>
      </c>
      <c r="H3014" s="3" t="s">
        <v>145</v>
      </c>
      <c r="I3014" s="3" t="s">
        <v>3234</v>
      </c>
      <c r="J3014" s="3" t="s">
        <v>161</v>
      </c>
      <c r="K3014" s="3">
        <v>8</v>
      </c>
      <c r="L3014" s="3">
        <v>117.05</v>
      </c>
      <c r="M3014" s="3">
        <v>936.4</v>
      </c>
      <c r="N3014" s="3">
        <v>473.09</v>
      </c>
      <c r="O3014" s="3">
        <v>463.31</v>
      </c>
      <c r="P3014" s="3" t="s">
        <v>69</v>
      </c>
    </row>
    <row r="3015" spans="1:16" x14ac:dyDescent="0.35">
      <c r="A3015" s="3" t="s">
        <v>4422</v>
      </c>
      <c r="B3015" s="3" t="s">
        <v>285</v>
      </c>
      <c r="C3015" s="3" t="s">
        <v>18</v>
      </c>
      <c r="D3015" s="3" t="s">
        <v>38</v>
      </c>
      <c r="E3015" s="3" t="s">
        <v>104</v>
      </c>
      <c r="F3015" s="3" t="s">
        <v>104</v>
      </c>
      <c r="G3015" s="3" t="s">
        <v>41</v>
      </c>
      <c r="H3015" s="3" t="s">
        <v>61</v>
      </c>
      <c r="I3015" s="3" t="s">
        <v>2954</v>
      </c>
      <c r="J3015" s="3" t="s">
        <v>106</v>
      </c>
      <c r="K3015" s="3">
        <v>5</v>
      </c>
      <c r="L3015" s="3">
        <v>2325.27</v>
      </c>
      <c r="M3015" s="3">
        <v>11626.35</v>
      </c>
      <c r="N3015" s="3">
        <v>7981.71</v>
      </c>
      <c r="O3015" s="3">
        <v>3644.64</v>
      </c>
      <c r="P3015" s="3" t="s">
        <v>69</v>
      </c>
    </row>
    <row r="3016" spans="1:16" x14ac:dyDescent="0.35">
      <c r="A3016" s="3" t="s">
        <v>4423</v>
      </c>
      <c r="B3016" s="3" t="s">
        <v>1082</v>
      </c>
      <c r="C3016" s="3" t="s">
        <v>114</v>
      </c>
      <c r="D3016" s="3" t="s">
        <v>38</v>
      </c>
      <c r="E3016" s="3" t="s">
        <v>39</v>
      </c>
      <c r="F3016" s="3" t="s">
        <v>40</v>
      </c>
      <c r="G3016" s="3" t="s">
        <v>41</v>
      </c>
      <c r="H3016" s="3" t="s">
        <v>61</v>
      </c>
      <c r="I3016" s="3" t="s">
        <v>2176</v>
      </c>
      <c r="J3016" s="3" t="s">
        <v>161</v>
      </c>
      <c r="K3016" s="3">
        <v>3</v>
      </c>
      <c r="L3016" s="3">
        <v>2261.7600000000002</v>
      </c>
      <c r="M3016" s="3">
        <v>6785.28</v>
      </c>
      <c r="N3016" s="3">
        <v>4963.99</v>
      </c>
      <c r="O3016" s="3">
        <v>1821.29</v>
      </c>
      <c r="P3016" s="3" t="s">
        <v>45</v>
      </c>
    </row>
    <row r="3017" spans="1:16" x14ac:dyDescent="0.35">
      <c r="A3017" s="3" t="s">
        <v>4424</v>
      </c>
      <c r="B3017" s="3" t="s">
        <v>113</v>
      </c>
      <c r="C3017" s="3" t="s">
        <v>114</v>
      </c>
      <c r="D3017" s="3" t="s">
        <v>19</v>
      </c>
      <c r="E3017" s="3" t="s">
        <v>20</v>
      </c>
      <c r="F3017" s="3" t="s">
        <v>21</v>
      </c>
      <c r="G3017" s="3" t="s">
        <v>22</v>
      </c>
      <c r="H3017" s="3" t="s">
        <v>23</v>
      </c>
      <c r="I3017" s="3" t="s">
        <v>1231</v>
      </c>
      <c r="J3017" s="3" t="s">
        <v>131</v>
      </c>
      <c r="K3017" s="3">
        <v>4</v>
      </c>
      <c r="L3017" s="3">
        <v>3725.27</v>
      </c>
      <c r="M3017" s="3">
        <v>14901.08</v>
      </c>
      <c r="N3017" s="3">
        <v>8639.31</v>
      </c>
      <c r="O3017" s="3">
        <v>6261.77</v>
      </c>
      <c r="P3017" s="3" t="s">
        <v>34</v>
      </c>
    </row>
    <row r="3018" spans="1:16" x14ac:dyDescent="0.35">
      <c r="A3018" s="3" t="s">
        <v>4425</v>
      </c>
      <c r="B3018" s="3" t="s">
        <v>856</v>
      </c>
      <c r="C3018" s="3" t="s">
        <v>103</v>
      </c>
      <c r="D3018" s="3" t="s">
        <v>58</v>
      </c>
      <c r="E3018" s="3" t="s">
        <v>59</v>
      </c>
      <c r="F3018" s="3" t="s">
        <v>60</v>
      </c>
      <c r="G3018" s="3" t="s">
        <v>30</v>
      </c>
      <c r="H3018" s="3" t="s">
        <v>67</v>
      </c>
      <c r="I3018" s="3" t="s">
        <v>3346</v>
      </c>
      <c r="J3018" s="3" t="s">
        <v>85</v>
      </c>
      <c r="K3018" s="3">
        <v>7</v>
      </c>
      <c r="L3018" s="3">
        <v>9387.76</v>
      </c>
      <c r="M3018" s="3">
        <v>65714.320000000007</v>
      </c>
      <c r="N3018" s="3">
        <v>51098.99</v>
      </c>
      <c r="O3018" s="3">
        <v>14615.33</v>
      </c>
      <c r="P3018" s="3" t="s">
        <v>26</v>
      </c>
    </row>
    <row r="3019" spans="1:16" x14ac:dyDescent="0.35">
      <c r="A3019" s="3" t="s">
        <v>4426</v>
      </c>
      <c r="B3019" s="3" t="s">
        <v>347</v>
      </c>
      <c r="C3019" s="3" t="s">
        <v>57</v>
      </c>
      <c r="D3019" s="3" t="s">
        <v>19</v>
      </c>
      <c r="E3019" s="3" t="s">
        <v>20</v>
      </c>
      <c r="F3019" s="3" t="s">
        <v>21</v>
      </c>
      <c r="G3019" s="3" t="s">
        <v>51</v>
      </c>
      <c r="H3019" s="3" t="s">
        <v>52</v>
      </c>
      <c r="I3019" s="3" t="s">
        <v>2409</v>
      </c>
      <c r="J3019" s="3" t="s">
        <v>131</v>
      </c>
      <c r="K3019" s="3">
        <v>6</v>
      </c>
      <c r="L3019" s="3">
        <v>26.23</v>
      </c>
      <c r="M3019" s="3">
        <v>157.38</v>
      </c>
      <c r="N3019" s="3">
        <v>59.07</v>
      </c>
      <c r="O3019" s="3">
        <v>98.31</v>
      </c>
      <c r="P3019" s="3" t="s">
        <v>86</v>
      </c>
    </row>
    <row r="3020" spans="1:16" x14ac:dyDescent="0.35">
      <c r="A3020" s="3" t="s">
        <v>4427</v>
      </c>
      <c r="B3020" s="3" t="s">
        <v>248</v>
      </c>
      <c r="C3020" s="3" t="s">
        <v>82</v>
      </c>
      <c r="D3020" s="3" t="s">
        <v>19</v>
      </c>
      <c r="E3020" s="3" t="s">
        <v>49</v>
      </c>
      <c r="F3020" s="3" t="s">
        <v>50</v>
      </c>
      <c r="G3020" s="3" t="s">
        <v>22</v>
      </c>
      <c r="H3020" s="3" t="s">
        <v>23</v>
      </c>
      <c r="I3020" s="3" t="s">
        <v>1279</v>
      </c>
      <c r="J3020" s="3" t="s">
        <v>161</v>
      </c>
      <c r="K3020" s="3">
        <v>4</v>
      </c>
      <c r="L3020" s="3">
        <v>3355.7</v>
      </c>
      <c r="M3020" s="3">
        <v>13422.8</v>
      </c>
      <c r="N3020" s="3">
        <v>8712.69</v>
      </c>
      <c r="O3020" s="3">
        <v>4710.1099999999997</v>
      </c>
      <c r="P3020" s="3" t="s">
        <v>26</v>
      </c>
    </row>
    <row r="3021" spans="1:16" x14ac:dyDescent="0.35">
      <c r="A3021" s="3" t="s">
        <v>4428</v>
      </c>
      <c r="B3021" s="3" t="s">
        <v>2089</v>
      </c>
      <c r="C3021" s="3" t="s">
        <v>29</v>
      </c>
      <c r="D3021" s="3" t="s">
        <v>90</v>
      </c>
      <c r="E3021" s="3" t="s">
        <v>91</v>
      </c>
      <c r="F3021" s="3" t="s">
        <v>92</v>
      </c>
      <c r="G3021" s="3" t="s">
        <v>41</v>
      </c>
      <c r="H3021" s="3" t="s">
        <v>61</v>
      </c>
      <c r="I3021" s="3" t="s">
        <v>4083</v>
      </c>
      <c r="J3021" s="3" t="s">
        <v>171</v>
      </c>
      <c r="K3021" s="3">
        <v>6</v>
      </c>
      <c r="L3021" s="3">
        <v>2480.8200000000002</v>
      </c>
      <c r="M3021" s="3">
        <v>14884.92</v>
      </c>
      <c r="N3021" s="3">
        <v>9641.82</v>
      </c>
      <c r="O3021" s="3">
        <v>5243.1</v>
      </c>
      <c r="P3021" s="3" t="s">
        <v>26</v>
      </c>
    </row>
    <row r="3022" spans="1:16" x14ac:dyDescent="0.35">
      <c r="A3022" s="3" t="s">
        <v>4429</v>
      </c>
      <c r="B3022" s="3" t="s">
        <v>1383</v>
      </c>
      <c r="C3022" s="3" t="s">
        <v>18</v>
      </c>
      <c r="D3022" s="3" t="s">
        <v>19</v>
      </c>
      <c r="E3022" s="3" t="s">
        <v>49</v>
      </c>
      <c r="F3022" s="3" t="s">
        <v>50</v>
      </c>
      <c r="G3022" s="3" t="s">
        <v>51</v>
      </c>
      <c r="H3022" s="3" t="s">
        <v>145</v>
      </c>
      <c r="I3022" s="3" t="s">
        <v>2246</v>
      </c>
      <c r="J3022" s="3" t="s">
        <v>106</v>
      </c>
      <c r="K3022" s="3">
        <v>8</v>
      </c>
      <c r="L3022" s="3">
        <v>122.22</v>
      </c>
      <c r="M3022" s="3">
        <v>977.76</v>
      </c>
      <c r="N3022" s="3">
        <v>500.1</v>
      </c>
      <c r="O3022" s="3">
        <v>477.66</v>
      </c>
      <c r="P3022" s="3" t="s">
        <v>86</v>
      </c>
    </row>
    <row r="3023" spans="1:16" x14ac:dyDescent="0.35">
      <c r="A3023" s="3" t="s">
        <v>4430</v>
      </c>
      <c r="B3023" s="3" t="s">
        <v>911</v>
      </c>
      <c r="C3023" s="3" t="s">
        <v>72</v>
      </c>
      <c r="D3023" s="3" t="s">
        <v>90</v>
      </c>
      <c r="E3023" s="3" t="s">
        <v>97</v>
      </c>
      <c r="F3023" s="3" t="s">
        <v>98</v>
      </c>
      <c r="G3023" s="3" t="s">
        <v>41</v>
      </c>
      <c r="H3023" s="3" t="s">
        <v>61</v>
      </c>
      <c r="I3023" s="3" t="s">
        <v>708</v>
      </c>
      <c r="J3023" s="3" t="s">
        <v>33</v>
      </c>
      <c r="K3023" s="3">
        <v>2</v>
      </c>
      <c r="L3023" s="3">
        <v>2696.7</v>
      </c>
      <c r="M3023" s="3">
        <v>5393.4</v>
      </c>
      <c r="N3023" s="3">
        <v>3188.76</v>
      </c>
      <c r="O3023" s="3">
        <v>2204.64</v>
      </c>
      <c r="P3023" s="3" t="s">
        <v>69</v>
      </c>
    </row>
    <row r="3024" spans="1:16" x14ac:dyDescent="0.35">
      <c r="A3024" s="3" t="s">
        <v>4431</v>
      </c>
      <c r="B3024" s="3" t="s">
        <v>832</v>
      </c>
      <c r="C3024" s="3" t="s">
        <v>72</v>
      </c>
      <c r="D3024" s="3" t="s">
        <v>38</v>
      </c>
      <c r="E3024" s="3" t="s">
        <v>109</v>
      </c>
      <c r="F3024" s="3" t="s">
        <v>110</v>
      </c>
      <c r="G3024" s="3" t="s">
        <v>51</v>
      </c>
      <c r="H3024" s="3" t="s">
        <v>77</v>
      </c>
      <c r="I3024" s="3" t="s">
        <v>1929</v>
      </c>
      <c r="J3024" s="3" t="s">
        <v>100</v>
      </c>
      <c r="K3024" s="3">
        <v>7</v>
      </c>
      <c r="L3024" s="3">
        <v>12364.83</v>
      </c>
      <c r="M3024" s="3">
        <v>86553.81</v>
      </c>
      <c r="N3024" s="3">
        <v>61811.45</v>
      </c>
      <c r="O3024" s="3">
        <v>24742.36</v>
      </c>
      <c r="P3024" s="3" t="s">
        <v>34</v>
      </c>
    </row>
    <row r="3025" spans="1:16" x14ac:dyDescent="0.35">
      <c r="A3025" s="3" t="s">
        <v>4432</v>
      </c>
      <c r="B3025" s="3" t="s">
        <v>1772</v>
      </c>
      <c r="C3025" s="3" t="s">
        <v>114</v>
      </c>
      <c r="D3025" s="3" t="s">
        <v>38</v>
      </c>
      <c r="E3025" s="3" t="s">
        <v>109</v>
      </c>
      <c r="F3025" s="3" t="s">
        <v>110</v>
      </c>
      <c r="G3025" s="3" t="s">
        <v>51</v>
      </c>
      <c r="H3025" s="3" t="s">
        <v>77</v>
      </c>
      <c r="I3025" s="3" t="s">
        <v>2254</v>
      </c>
      <c r="J3025" s="3" t="s">
        <v>161</v>
      </c>
      <c r="K3025" s="3">
        <v>4</v>
      </c>
      <c r="L3025" s="3">
        <v>11235.95</v>
      </c>
      <c r="M3025" s="3">
        <v>44943.8</v>
      </c>
      <c r="N3025" s="3">
        <v>35491.18</v>
      </c>
      <c r="O3025" s="3">
        <v>9452.6200000000008</v>
      </c>
      <c r="P3025" s="3" t="s">
        <v>34</v>
      </c>
    </row>
    <row r="3026" spans="1:16" x14ac:dyDescent="0.35">
      <c r="A3026" s="3" t="s">
        <v>4433</v>
      </c>
      <c r="B3026" s="3" t="s">
        <v>994</v>
      </c>
      <c r="C3026" s="3" t="s">
        <v>29</v>
      </c>
      <c r="D3026" s="3" t="s">
        <v>90</v>
      </c>
      <c r="E3026" s="3" t="s">
        <v>91</v>
      </c>
      <c r="F3026" s="3" t="s">
        <v>92</v>
      </c>
      <c r="G3026" s="3" t="s">
        <v>51</v>
      </c>
      <c r="H3026" s="3" t="s">
        <v>52</v>
      </c>
      <c r="I3026" s="3" t="s">
        <v>3372</v>
      </c>
      <c r="J3026" s="3" t="s">
        <v>171</v>
      </c>
      <c r="K3026" s="3">
        <v>1</v>
      </c>
      <c r="L3026" s="3">
        <v>23</v>
      </c>
      <c r="M3026" s="3">
        <v>23</v>
      </c>
      <c r="N3026" s="3">
        <v>9.7799999999999994</v>
      </c>
      <c r="O3026" s="3">
        <v>13.22</v>
      </c>
      <c r="P3026" s="3" t="s">
        <v>34</v>
      </c>
    </row>
    <row r="3027" spans="1:16" x14ac:dyDescent="0.35">
      <c r="A3027" s="3" t="s">
        <v>4434</v>
      </c>
      <c r="B3027" s="3" t="s">
        <v>792</v>
      </c>
      <c r="C3027" s="3" t="s">
        <v>72</v>
      </c>
      <c r="D3027" s="3" t="s">
        <v>19</v>
      </c>
      <c r="E3027" s="3" t="s">
        <v>49</v>
      </c>
      <c r="F3027" s="3" t="s">
        <v>50</v>
      </c>
      <c r="G3027" s="3" t="s">
        <v>30</v>
      </c>
      <c r="H3027" s="3" t="s">
        <v>31</v>
      </c>
      <c r="I3027" s="3" t="s">
        <v>3548</v>
      </c>
      <c r="J3027" s="3" t="s">
        <v>106</v>
      </c>
      <c r="K3027" s="3">
        <v>4</v>
      </c>
      <c r="L3027" s="3">
        <v>2885.35</v>
      </c>
      <c r="M3027" s="3">
        <v>11541.4</v>
      </c>
      <c r="N3027" s="3">
        <v>7720.93</v>
      </c>
      <c r="O3027" s="3">
        <v>3820.47</v>
      </c>
      <c r="P3027" s="3" t="s">
        <v>26</v>
      </c>
    </row>
    <row r="3028" spans="1:16" x14ac:dyDescent="0.35">
      <c r="A3028" s="3" t="s">
        <v>4435</v>
      </c>
      <c r="B3028" s="3" t="s">
        <v>656</v>
      </c>
      <c r="C3028" s="3" t="s">
        <v>89</v>
      </c>
      <c r="D3028" s="3" t="s">
        <v>90</v>
      </c>
      <c r="E3028" s="3" t="s">
        <v>91</v>
      </c>
      <c r="F3028" s="3" t="s">
        <v>92</v>
      </c>
      <c r="G3028" s="3" t="s">
        <v>51</v>
      </c>
      <c r="H3028" s="3" t="s">
        <v>145</v>
      </c>
      <c r="I3028" s="3" t="s">
        <v>2158</v>
      </c>
      <c r="J3028" s="3" t="s">
        <v>217</v>
      </c>
      <c r="K3028" s="3">
        <v>3</v>
      </c>
      <c r="L3028" s="3">
        <v>124.62</v>
      </c>
      <c r="M3028" s="3">
        <v>373.86</v>
      </c>
      <c r="N3028" s="3">
        <v>177.97</v>
      </c>
      <c r="O3028" s="3">
        <v>195.89</v>
      </c>
      <c r="P3028" s="3" t="s">
        <v>69</v>
      </c>
    </row>
    <row r="3029" spans="1:16" x14ac:dyDescent="0.35">
      <c r="A3029" s="3" t="s">
        <v>4436</v>
      </c>
      <c r="B3029" s="3" t="s">
        <v>705</v>
      </c>
      <c r="C3029" s="3" t="s">
        <v>82</v>
      </c>
      <c r="D3029" s="3" t="s">
        <v>19</v>
      </c>
      <c r="E3029" s="3" t="s">
        <v>199</v>
      </c>
      <c r="F3029" s="3" t="s">
        <v>200</v>
      </c>
      <c r="G3029" s="3" t="s">
        <v>41</v>
      </c>
      <c r="H3029" s="3" t="s">
        <v>61</v>
      </c>
      <c r="I3029" s="3" t="s">
        <v>352</v>
      </c>
      <c r="J3029" s="3" t="s">
        <v>106</v>
      </c>
      <c r="K3029" s="3">
        <v>6</v>
      </c>
      <c r="L3029" s="3">
        <v>2293.29</v>
      </c>
      <c r="M3029" s="3">
        <v>13759.74</v>
      </c>
      <c r="N3029" s="3">
        <v>9611.76</v>
      </c>
      <c r="O3029" s="3">
        <v>4147.9799999999996</v>
      </c>
      <c r="P3029" s="3" t="s">
        <v>34</v>
      </c>
    </row>
    <row r="3030" spans="1:16" x14ac:dyDescent="0.35">
      <c r="A3030" s="3" t="s">
        <v>4437</v>
      </c>
      <c r="B3030" s="3" t="s">
        <v>1935</v>
      </c>
      <c r="C3030" s="3" t="s">
        <v>72</v>
      </c>
      <c r="D3030" s="3" t="s">
        <v>38</v>
      </c>
      <c r="E3030" s="3" t="s">
        <v>104</v>
      </c>
      <c r="F3030" s="3" t="s">
        <v>104</v>
      </c>
      <c r="G3030" s="3" t="s">
        <v>22</v>
      </c>
      <c r="H3030" s="3" t="s">
        <v>83</v>
      </c>
      <c r="I3030" s="3" t="s">
        <v>1489</v>
      </c>
      <c r="J3030" s="3" t="s">
        <v>106</v>
      </c>
      <c r="K3030" s="3">
        <v>5</v>
      </c>
      <c r="L3030" s="3">
        <v>19951.330000000002</v>
      </c>
      <c r="M3030" s="3">
        <v>99756.65</v>
      </c>
      <c r="N3030" s="3">
        <v>81107.59</v>
      </c>
      <c r="O3030" s="3">
        <v>18649.060000000001</v>
      </c>
      <c r="P3030" s="3" t="s">
        <v>86</v>
      </c>
    </row>
    <row r="3031" spans="1:16" x14ac:dyDescent="0.35">
      <c r="A3031" s="3" t="s">
        <v>4438</v>
      </c>
      <c r="B3031" s="3" t="s">
        <v>347</v>
      </c>
      <c r="C3031" s="3" t="s">
        <v>57</v>
      </c>
      <c r="D3031" s="3" t="s">
        <v>19</v>
      </c>
      <c r="E3031" s="3" t="s">
        <v>20</v>
      </c>
      <c r="F3031" s="3" t="s">
        <v>21</v>
      </c>
      <c r="G3031" s="3" t="s">
        <v>22</v>
      </c>
      <c r="H3031" s="3" t="s">
        <v>23</v>
      </c>
      <c r="I3031" s="3" t="s">
        <v>130</v>
      </c>
      <c r="J3031" s="3" t="s">
        <v>217</v>
      </c>
      <c r="K3031" s="3">
        <v>6</v>
      </c>
      <c r="L3031" s="3">
        <v>3575.53</v>
      </c>
      <c r="M3031" s="3">
        <v>21453.18</v>
      </c>
      <c r="N3031" s="3">
        <v>13638.25</v>
      </c>
      <c r="O3031" s="3">
        <v>7814.93</v>
      </c>
      <c r="P3031" s="3" t="s">
        <v>34</v>
      </c>
    </row>
    <row r="3032" spans="1:16" x14ac:dyDescent="0.35">
      <c r="A3032" s="3" t="s">
        <v>4439</v>
      </c>
      <c r="B3032" s="3" t="s">
        <v>420</v>
      </c>
      <c r="C3032" s="3" t="s">
        <v>89</v>
      </c>
      <c r="D3032" s="3" t="s">
        <v>90</v>
      </c>
      <c r="E3032" s="3" t="s">
        <v>91</v>
      </c>
      <c r="F3032" s="3" t="s">
        <v>92</v>
      </c>
      <c r="G3032" s="3" t="s">
        <v>22</v>
      </c>
      <c r="H3032" s="3" t="s">
        <v>93</v>
      </c>
      <c r="I3032" s="3" t="s">
        <v>489</v>
      </c>
      <c r="J3032" s="3" t="s">
        <v>131</v>
      </c>
      <c r="K3032" s="3">
        <v>6</v>
      </c>
      <c r="L3032" s="3">
        <v>7285.48</v>
      </c>
      <c r="M3032" s="3">
        <v>43712.88</v>
      </c>
      <c r="N3032" s="3">
        <v>31155.65</v>
      </c>
      <c r="O3032" s="3">
        <v>12557.23</v>
      </c>
      <c r="P3032" s="3" t="s">
        <v>86</v>
      </c>
    </row>
    <row r="3033" spans="1:16" x14ac:dyDescent="0.35">
      <c r="A3033" s="3" t="s">
        <v>4440</v>
      </c>
      <c r="B3033" s="3" t="s">
        <v>361</v>
      </c>
      <c r="C3033" s="3" t="s">
        <v>137</v>
      </c>
      <c r="D3033" s="3" t="s">
        <v>38</v>
      </c>
      <c r="E3033" s="3" t="s">
        <v>104</v>
      </c>
      <c r="F3033" s="3" t="s">
        <v>104</v>
      </c>
      <c r="G3033" s="3" t="s">
        <v>22</v>
      </c>
      <c r="H3033" s="3" t="s">
        <v>23</v>
      </c>
      <c r="I3033" s="3" t="s">
        <v>1948</v>
      </c>
      <c r="J3033" s="3" t="s">
        <v>79</v>
      </c>
      <c r="K3033" s="3">
        <v>3</v>
      </c>
      <c r="L3033" s="3">
        <v>3266.16</v>
      </c>
      <c r="M3033" s="3">
        <v>9798.48</v>
      </c>
      <c r="N3033" s="3">
        <v>6917.59</v>
      </c>
      <c r="O3033" s="3">
        <v>2880.89</v>
      </c>
      <c r="P3033" s="3" t="s">
        <v>45</v>
      </c>
    </row>
    <row r="3034" spans="1:16" x14ac:dyDescent="0.35">
      <c r="A3034" s="3" t="s">
        <v>4441</v>
      </c>
      <c r="B3034" s="3" t="s">
        <v>47</v>
      </c>
      <c r="C3034" s="3" t="s">
        <v>48</v>
      </c>
      <c r="D3034" s="3" t="s">
        <v>19</v>
      </c>
      <c r="E3034" s="3" t="s">
        <v>20</v>
      </c>
      <c r="F3034" s="3" t="s">
        <v>21</v>
      </c>
      <c r="G3034" s="3" t="s">
        <v>51</v>
      </c>
      <c r="H3034" s="3" t="s">
        <v>52</v>
      </c>
      <c r="I3034" s="3" t="s">
        <v>771</v>
      </c>
      <c r="J3034" s="3" t="s">
        <v>217</v>
      </c>
      <c r="K3034" s="3">
        <v>3</v>
      </c>
      <c r="L3034" s="3">
        <v>23</v>
      </c>
      <c r="M3034" s="3">
        <v>69</v>
      </c>
      <c r="N3034" s="3">
        <v>30.1</v>
      </c>
      <c r="O3034" s="3">
        <v>38.9</v>
      </c>
      <c r="P3034" s="3" t="s">
        <v>26</v>
      </c>
    </row>
    <row r="3035" spans="1:16" x14ac:dyDescent="0.35">
      <c r="A3035" s="3" t="s">
        <v>4442</v>
      </c>
      <c r="B3035" s="3" t="s">
        <v>949</v>
      </c>
      <c r="C3035" s="3" t="s">
        <v>18</v>
      </c>
      <c r="D3035" s="3" t="s">
        <v>90</v>
      </c>
      <c r="E3035" s="3" t="s">
        <v>97</v>
      </c>
      <c r="F3035" s="3" t="s">
        <v>98</v>
      </c>
      <c r="G3035" s="3" t="s">
        <v>51</v>
      </c>
      <c r="H3035" s="3" t="s">
        <v>77</v>
      </c>
      <c r="I3035" s="3" t="s">
        <v>1233</v>
      </c>
      <c r="J3035" s="3" t="s">
        <v>217</v>
      </c>
      <c r="K3035" s="3">
        <v>6</v>
      </c>
      <c r="L3035" s="3">
        <v>13016.5</v>
      </c>
      <c r="M3035" s="3">
        <v>78099</v>
      </c>
      <c r="N3035" s="3">
        <v>55428.6</v>
      </c>
      <c r="O3035" s="3">
        <v>22670.400000000001</v>
      </c>
      <c r="P3035" s="3" t="s">
        <v>86</v>
      </c>
    </row>
    <row r="3036" spans="1:16" x14ac:dyDescent="0.35">
      <c r="A3036" s="3" t="s">
        <v>4443</v>
      </c>
      <c r="B3036" s="3" t="s">
        <v>347</v>
      </c>
      <c r="C3036" s="3" t="s">
        <v>57</v>
      </c>
      <c r="D3036" s="3" t="s">
        <v>90</v>
      </c>
      <c r="E3036" s="3" t="s">
        <v>97</v>
      </c>
      <c r="F3036" s="3" t="s">
        <v>98</v>
      </c>
      <c r="G3036" s="3" t="s">
        <v>22</v>
      </c>
      <c r="H3036" s="3" t="s">
        <v>83</v>
      </c>
      <c r="I3036" s="3" t="s">
        <v>1690</v>
      </c>
      <c r="J3036" s="3" t="s">
        <v>79</v>
      </c>
      <c r="K3036" s="3">
        <v>2</v>
      </c>
      <c r="L3036" s="3">
        <v>22144.959999999999</v>
      </c>
      <c r="M3036" s="3">
        <v>44289.919999999998</v>
      </c>
      <c r="N3036" s="3">
        <v>32740.36</v>
      </c>
      <c r="O3036" s="3">
        <v>11549.56</v>
      </c>
      <c r="P3036" s="3" t="s">
        <v>45</v>
      </c>
    </row>
    <row r="3037" spans="1:16" x14ac:dyDescent="0.35">
      <c r="A3037" s="3" t="s">
        <v>4444</v>
      </c>
      <c r="B3037" s="3" t="s">
        <v>236</v>
      </c>
      <c r="C3037" s="3" t="s">
        <v>18</v>
      </c>
      <c r="D3037" s="3" t="s">
        <v>90</v>
      </c>
      <c r="E3037" s="3" t="s">
        <v>97</v>
      </c>
      <c r="F3037" s="3" t="s">
        <v>98</v>
      </c>
      <c r="G3037" s="3" t="s">
        <v>30</v>
      </c>
      <c r="H3037" s="3" t="s">
        <v>31</v>
      </c>
      <c r="I3037" s="3" t="s">
        <v>3528</v>
      </c>
      <c r="J3037" s="3" t="s">
        <v>131</v>
      </c>
      <c r="K3037" s="3">
        <v>4</v>
      </c>
      <c r="L3037" s="3">
        <v>2826.68</v>
      </c>
      <c r="M3037" s="3">
        <v>11306.72</v>
      </c>
      <c r="N3037" s="3">
        <v>7969.6</v>
      </c>
      <c r="O3037" s="3">
        <v>3337.12</v>
      </c>
      <c r="P3037" s="3" t="s">
        <v>34</v>
      </c>
    </row>
    <row r="3038" spans="1:16" x14ac:dyDescent="0.35">
      <c r="A3038" s="3" t="s">
        <v>4445</v>
      </c>
      <c r="B3038" s="3" t="s">
        <v>245</v>
      </c>
      <c r="C3038" s="3" t="s">
        <v>29</v>
      </c>
      <c r="D3038" s="3" t="s">
        <v>90</v>
      </c>
      <c r="E3038" s="3" t="s">
        <v>119</v>
      </c>
      <c r="F3038" s="3" t="s">
        <v>120</v>
      </c>
      <c r="G3038" s="3" t="s">
        <v>30</v>
      </c>
      <c r="H3038" s="3" t="s">
        <v>67</v>
      </c>
      <c r="I3038" s="3" t="s">
        <v>1149</v>
      </c>
      <c r="J3038" s="3" t="s">
        <v>100</v>
      </c>
      <c r="K3038" s="3">
        <v>7</v>
      </c>
      <c r="L3038" s="3">
        <v>9838.84</v>
      </c>
      <c r="M3038" s="3">
        <v>68871.88</v>
      </c>
      <c r="N3038" s="3">
        <v>51764.08</v>
      </c>
      <c r="O3038" s="3">
        <v>17107.8</v>
      </c>
      <c r="P3038" s="3" t="s">
        <v>45</v>
      </c>
    </row>
    <row r="3039" spans="1:16" x14ac:dyDescent="0.35">
      <c r="A3039" s="3" t="s">
        <v>4446</v>
      </c>
      <c r="B3039" s="3" t="s">
        <v>1089</v>
      </c>
      <c r="C3039" s="3" t="s">
        <v>48</v>
      </c>
      <c r="D3039" s="3" t="s">
        <v>38</v>
      </c>
      <c r="E3039" s="3" t="s">
        <v>104</v>
      </c>
      <c r="F3039" s="3" t="s">
        <v>104</v>
      </c>
      <c r="G3039" s="3" t="s">
        <v>51</v>
      </c>
      <c r="H3039" s="3" t="s">
        <v>52</v>
      </c>
      <c r="I3039" s="3" t="s">
        <v>2888</v>
      </c>
      <c r="J3039" s="3" t="s">
        <v>100</v>
      </c>
      <c r="K3039" s="3">
        <v>4</v>
      </c>
      <c r="L3039" s="3">
        <v>22.56</v>
      </c>
      <c r="M3039" s="3">
        <v>90.24</v>
      </c>
      <c r="N3039" s="3">
        <v>41.23</v>
      </c>
      <c r="O3039" s="3">
        <v>49.01</v>
      </c>
      <c r="P3039" s="3" t="s">
        <v>69</v>
      </c>
    </row>
    <row r="3040" spans="1:16" x14ac:dyDescent="0.35">
      <c r="A3040" s="3" t="s">
        <v>4447</v>
      </c>
      <c r="B3040" s="3" t="s">
        <v>904</v>
      </c>
      <c r="C3040" s="3" t="s">
        <v>118</v>
      </c>
      <c r="D3040" s="3" t="s">
        <v>90</v>
      </c>
      <c r="E3040" s="3" t="s">
        <v>97</v>
      </c>
      <c r="F3040" s="3" t="s">
        <v>98</v>
      </c>
      <c r="G3040" s="3" t="s">
        <v>30</v>
      </c>
      <c r="H3040" s="3" t="s">
        <v>73</v>
      </c>
      <c r="I3040" s="3" t="s">
        <v>3847</v>
      </c>
      <c r="J3040" s="3" t="s">
        <v>79</v>
      </c>
      <c r="K3040" s="3">
        <v>6</v>
      </c>
      <c r="L3040" s="3">
        <v>3284.63</v>
      </c>
      <c r="M3040" s="3">
        <v>19707.78</v>
      </c>
      <c r="N3040" s="3">
        <v>14969.71</v>
      </c>
      <c r="O3040" s="3">
        <v>4738.07</v>
      </c>
      <c r="P3040" s="3" t="s">
        <v>26</v>
      </c>
    </row>
    <row r="3041" spans="1:16" x14ac:dyDescent="0.35">
      <c r="A3041" s="3" t="s">
        <v>4448</v>
      </c>
      <c r="B3041" s="3" t="s">
        <v>446</v>
      </c>
      <c r="C3041" s="3" t="s">
        <v>29</v>
      </c>
      <c r="D3041" s="3" t="s">
        <v>19</v>
      </c>
      <c r="E3041" s="3" t="s">
        <v>49</v>
      </c>
      <c r="F3041" s="3" t="s">
        <v>50</v>
      </c>
      <c r="G3041" s="3" t="s">
        <v>41</v>
      </c>
      <c r="H3041" s="3" t="s">
        <v>61</v>
      </c>
      <c r="I3041" s="3" t="s">
        <v>550</v>
      </c>
      <c r="J3041" s="3" t="s">
        <v>79</v>
      </c>
      <c r="K3041" s="3">
        <v>3</v>
      </c>
      <c r="L3041" s="3">
        <v>2608.9899999999998</v>
      </c>
      <c r="M3041" s="3">
        <v>7826.97</v>
      </c>
      <c r="N3041" s="3">
        <v>4944.29</v>
      </c>
      <c r="O3041" s="3">
        <v>2882.68</v>
      </c>
      <c r="P3041" s="3" t="s">
        <v>86</v>
      </c>
    </row>
    <row r="3042" spans="1:16" x14ac:dyDescent="0.35">
      <c r="A3042" s="3" t="s">
        <v>4449</v>
      </c>
      <c r="B3042" s="3" t="s">
        <v>1125</v>
      </c>
      <c r="C3042" s="3" t="s">
        <v>57</v>
      </c>
      <c r="D3042" s="3" t="s">
        <v>58</v>
      </c>
      <c r="E3042" s="3" t="s">
        <v>176</v>
      </c>
      <c r="F3042" s="3" t="s">
        <v>177</v>
      </c>
      <c r="G3042" s="3" t="s">
        <v>51</v>
      </c>
      <c r="H3042" s="3" t="s">
        <v>52</v>
      </c>
      <c r="I3042" s="3" t="s">
        <v>1256</v>
      </c>
      <c r="J3042" s="3" t="s">
        <v>217</v>
      </c>
      <c r="K3042" s="3">
        <v>1</v>
      </c>
      <c r="L3042" s="3">
        <v>25.37</v>
      </c>
      <c r="M3042" s="3">
        <v>25.37</v>
      </c>
      <c r="N3042" s="3">
        <v>10</v>
      </c>
      <c r="O3042" s="3">
        <v>15.37</v>
      </c>
      <c r="P3042" s="3" t="s">
        <v>69</v>
      </c>
    </row>
    <row r="3043" spans="1:16" x14ac:dyDescent="0.35">
      <c r="A3043" s="3" t="s">
        <v>4450</v>
      </c>
      <c r="B3043" s="3" t="s">
        <v>1733</v>
      </c>
      <c r="C3043" s="3" t="s">
        <v>137</v>
      </c>
      <c r="D3043" s="3" t="s">
        <v>38</v>
      </c>
      <c r="E3043" s="3" t="s">
        <v>104</v>
      </c>
      <c r="F3043" s="3" t="s">
        <v>104</v>
      </c>
      <c r="G3043" s="3" t="s">
        <v>41</v>
      </c>
      <c r="H3043" s="3" t="s">
        <v>138</v>
      </c>
      <c r="I3043" s="3" t="s">
        <v>3058</v>
      </c>
      <c r="J3043" s="3" t="s">
        <v>188</v>
      </c>
      <c r="K3043" s="3">
        <v>8</v>
      </c>
      <c r="L3043" s="3">
        <v>17551.490000000002</v>
      </c>
      <c r="M3043" s="3">
        <v>140411.92000000001</v>
      </c>
      <c r="N3043" s="3">
        <v>116522.78</v>
      </c>
      <c r="O3043" s="3">
        <v>23889.14</v>
      </c>
      <c r="P3043" s="3" t="s">
        <v>34</v>
      </c>
    </row>
    <row r="3044" spans="1:16" x14ac:dyDescent="0.35">
      <c r="A3044" s="3" t="s">
        <v>4451</v>
      </c>
      <c r="B3044" s="3" t="s">
        <v>1910</v>
      </c>
      <c r="C3044" s="3" t="s">
        <v>29</v>
      </c>
      <c r="D3044" s="3" t="s">
        <v>90</v>
      </c>
      <c r="E3044" s="3" t="s">
        <v>91</v>
      </c>
      <c r="F3044" s="3" t="s">
        <v>92</v>
      </c>
      <c r="G3044" s="3" t="s">
        <v>51</v>
      </c>
      <c r="H3044" s="3" t="s">
        <v>145</v>
      </c>
      <c r="I3044" s="3" t="s">
        <v>3074</v>
      </c>
      <c r="J3044" s="3" t="s">
        <v>44</v>
      </c>
      <c r="K3044" s="3">
        <v>1</v>
      </c>
      <c r="L3044" s="3">
        <v>126.26</v>
      </c>
      <c r="M3044" s="3">
        <v>126.26</v>
      </c>
      <c r="N3044" s="3">
        <v>57.71</v>
      </c>
      <c r="O3044" s="3">
        <v>68.55</v>
      </c>
      <c r="P3044" s="3" t="s">
        <v>45</v>
      </c>
    </row>
    <row r="3045" spans="1:16" x14ac:dyDescent="0.35">
      <c r="A3045" s="3" t="s">
        <v>4452</v>
      </c>
      <c r="B3045" s="3" t="s">
        <v>634</v>
      </c>
      <c r="C3045" s="3" t="s">
        <v>29</v>
      </c>
      <c r="D3045" s="3" t="s">
        <v>19</v>
      </c>
      <c r="E3045" s="3" t="s">
        <v>20</v>
      </c>
      <c r="F3045" s="3" t="s">
        <v>21</v>
      </c>
      <c r="G3045" s="3" t="s">
        <v>22</v>
      </c>
      <c r="H3045" s="3" t="s">
        <v>83</v>
      </c>
      <c r="I3045" s="3" t="s">
        <v>3617</v>
      </c>
      <c r="J3045" s="3" t="s">
        <v>188</v>
      </c>
      <c r="K3045" s="3">
        <v>3</v>
      </c>
      <c r="L3045" s="3">
        <v>22318.62</v>
      </c>
      <c r="M3045" s="3">
        <v>66955.86</v>
      </c>
      <c r="N3045" s="3">
        <v>53453.86</v>
      </c>
      <c r="O3045" s="3">
        <v>13502</v>
      </c>
      <c r="P3045" s="3" t="s">
        <v>69</v>
      </c>
    </row>
    <row r="3046" spans="1:16" x14ac:dyDescent="0.35">
      <c r="A3046" s="3" t="s">
        <v>4453</v>
      </c>
      <c r="B3046" s="3" t="s">
        <v>347</v>
      </c>
      <c r="C3046" s="3" t="s">
        <v>57</v>
      </c>
      <c r="D3046" s="3" t="s">
        <v>19</v>
      </c>
      <c r="E3046" s="3" t="s">
        <v>49</v>
      </c>
      <c r="F3046" s="3" t="s">
        <v>50</v>
      </c>
      <c r="G3046" s="3" t="s">
        <v>30</v>
      </c>
      <c r="H3046" s="3" t="s">
        <v>31</v>
      </c>
      <c r="I3046" s="3" t="s">
        <v>3136</v>
      </c>
      <c r="J3046" s="3" t="s">
        <v>44</v>
      </c>
      <c r="K3046" s="3">
        <v>5</v>
      </c>
      <c r="L3046" s="3">
        <v>2999.3</v>
      </c>
      <c r="M3046" s="3">
        <v>14996.5</v>
      </c>
      <c r="N3046" s="3">
        <v>9551.3799999999992</v>
      </c>
      <c r="O3046" s="3">
        <v>5445.12</v>
      </c>
      <c r="P3046" s="3" t="s">
        <v>45</v>
      </c>
    </row>
    <row r="3047" spans="1:16" x14ac:dyDescent="0.35">
      <c r="A3047" s="3" t="s">
        <v>4454</v>
      </c>
      <c r="B3047" s="3" t="s">
        <v>209</v>
      </c>
      <c r="C3047" s="3" t="s">
        <v>118</v>
      </c>
      <c r="D3047" s="3" t="s">
        <v>19</v>
      </c>
      <c r="E3047" s="3" t="s">
        <v>199</v>
      </c>
      <c r="F3047" s="3" t="s">
        <v>200</v>
      </c>
      <c r="G3047" s="3" t="s">
        <v>41</v>
      </c>
      <c r="H3047" s="3" t="s">
        <v>138</v>
      </c>
      <c r="I3047" s="3" t="s">
        <v>418</v>
      </c>
      <c r="J3047" s="3" t="s">
        <v>161</v>
      </c>
      <c r="K3047" s="3">
        <v>5</v>
      </c>
      <c r="L3047" s="3">
        <v>16231.21</v>
      </c>
      <c r="M3047" s="3">
        <v>81156.05</v>
      </c>
      <c r="N3047" s="3">
        <v>69675.34</v>
      </c>
      <c r="O3047" s="3">
        <v>11480.71</v>
      </c>
      <c r="P3047" s="3" t="s">
        <v>45</v>
      </c>
    </row>
    <row r="3048" spans="1:16" x14ac:dyDescent="0.35">
      <c r="A3048" s="3" t="s">
        <v>4455</v>
      </c>
      <c r="B3048" s="3" t="s">
        <v>911</v>
      </c>
      <c r="C3048" s="3" t="s">
        <v>72</v>
      </c>
      <c r="D3048" s="3" t="s">
        <v>58</v>
      </c>
      <c r="E3048" s="3" t="s">
        <v>59</v>
      </c>
      <c r="F3048" s="3" t="s">
        <v>60</v>
      </c>
      <c r="G3048" s="3" t="s">
        <v>22</v>
      </c>
      <c r="H3048" s="3" t="s">
        <v>23</v>
      </c>
      <c r="I3048" s="3" t="s">
        <v>643</v>
      </c>
      <c r="J3048" s="3" t="s">
        <v>131</v>
      </c>
      <c r="K3048" s="3">
        <v>3</v>
      </c>
      <c r="L3048" s="3">
        <v>3310.57</v>
      </c>
      <c r="M3048" s="3">
        <v>9931.7099999999991</v>
      </c>
      <c r="N3048" s="3">
        <v>6734.33</v>
      </c>
      <c r="O3048" s="3">
        <v>3197.38</v>
      </c>
      <c r="P3048" s="3" t="s">
        <v>26</v>
      </c>
    </row>
    <row r="3049" spans="1:16" x14ac:dyDescent="0.35">
      <c r="A3049" s="3" t="s">
        <v>4456</v>
      </c>
      <c r="B3049" s="3" t="s">
        <v>1269</v>
      </c>
      <c r="C3049" s="3" t="s">
        <v>57</v>
      </c>
      <c r="D3049" s="3" t="s">
        <v>58</v>
      </c>
      <c r="E3049" s="3" t="s">
        <v>59</v>
      </c>
      <c r="F3049" s="3" t="s">
        <v>60</v>
      </c>
      <c r="G3049" s="3" t="s">
        <v>51</v>
      </c>
      <c r="H3049" s="3" t="s">
        <v>77</v>
      </c>
      <c r="I3049" s="3" t="s">
        <v>1537</v>
      </c>
      <c r="J3049" s="3" t="s">
        <v>79</v>
      </c>
      <c r="K3049" s="3">
        <v>2</v>
      </c>
      <c r="L3049" s="3">
        <v>10909.97</v>
      </c>
      <c r="M3049" s="3">
        <v>21819.94</v>
      </c>
      <c r="N3049" s="3">
        <v>17633.25</v>
      </c>
      <c r="O3049" s="3">
        <v>4186.6899999999996</v>
      </c>
      <c r="P3049" s="3" t="s">
        <v>34</v>
      </c>
    </row>
    <row r="3050" spans="1:16" x14ac:dyDescent="0.35">
      <c r="A3050" s="3" t="s">
        <v>4457</v>
      </c>
      <c r="B3050" s="3" t="s">
        <v>678</v>
      </c>
      <c r="C3050" s="3" t="s">
        <v>137</v>
      </c>
      <c r="D3050" s="3" t="s">
        <v>58</v>
      </c>
      <c r="E3050" s="3" t="s">
        <v>176</v>
      </c>
      <c r="F3050" s="3" t="s">
        <v>177</v>
      </c>
      <c r="G3050" s="3" t="s">
        <v>41</v>
      </c>
      <c r="H3050" s="3" t="s">
        <v>61</v>
      </c>
      <c r="I3050" s="3" t="s">
        <v>459</v>
      </c>
      <c r="J3050" s="3" t="s">
        <v>147</v>
      </c>
      <c r="K3050" s="3">
        <v>1</v>
      </c>
      <c r="L3050" s="3">
        <v>2407.5100000000002</v>
      </c>
      <c r="M3050" s="3">
        <v>2407.5100000000002</v>
      </c>
      <c r="N3050" s="3">
        <v>1636.55</v>
      </c>
      <c r="O3050" s="3">
        <v>770.96</v>
      </c>
      <c r="P3050" s="3" t="s">
        <v>26</v>
      </c>
    </row>
    <row r="3051" spans="1:16" x14ac:dyDescent="0.35">
      <c r="A3051" s="3" t="s">
        <v>4458</v>
      </c>
      <c r="B3051" s="3" t="s">
        <v>777</v>
      </c>
      <c r="C3051" s="3" t="s">
        <v>72</v>
      </c>
      <c r="D3051" s="3" t="s">
        <v>58</v>
      </c>
      <c r="E3051" s="3" t="s">
        <v>59</v>
      </c>
      <c r="F3051" s="3" t="s">
        <v>60</v>
      </c>
      <c r="G3051" s="3" t="s">
        <v>41</v>
      </c>
      <c r="H3051" s="3" t="s">
        <v>42</v>
      </c>
      <c r="I3051" s="3" t="s">
        <v>3965</v>
      </c>
      <c r="J3051" s="3" t="s">
        <v>217</v>
      </c>
      <c r="K3051" s="3">
        <v>1</v>
      </c>
      <c r="L3051" s="3">
        <v>46687</v>
      </c>
      <c r="M3051" s="3">
        <v>46687</v>
      </c>
      <c r="N3051" s="3">
        <v>35046.53</v>
      </c>
      <c r="O3051" s="3">
        <v>11640.47</v>
      </c>
      <c r="P3051" s="3" t="s">
        <v>45</v>
      </c>
    </row>
    <row r="3052" spans="1:16" x14ac:dyDescent="0.35">
      <c r="A3052" s="3" t="s">
        <v>4459</v>
      </c>
      <c r="B3052" s="3" t="s">
        <v>770</v>
      </c>
      <c r="C3052" s="3" t="s">
        <v>72</v>
      </c>
      <c r="D3052" s="3" t="s">
        <v>19</v>
      </c>
      <c r="E3052" s="3" t="s">
        <v>20</v>
      </c>
      <c r="F3052" s="3" t="s">
        <v>21</v>
      </c>
      <c r="G3052" s="3" t="s">
        <v>41</v>
      </c>
      <c r="H3052" s="3" t="s">
        <v>42</v>
      </c>
      <c r="I3052" s="3" t="s">
        <v>1157</v>
      </c>
      <c r="J3052" s="3" t="s">
        <v>131</v>
      </c>
      <c r="K3052" s="3">
        <v>5</v>
      </c>
      <c r="L3052" s="3">
        <v>46970.21</v>
      </c>
      <c r="M3052" s="3">
        <v>234851.05</v>
      </c>
      <c r="N3052" s="3">
        <v>172589.11</v>
      </c>
      <c r="O3052" s="3">
        <v>62261.94</v>
      </c>
      <c r="P3052" s="3" t="s">
        <v>86</v>
      </c>
    </row>
    <row r="3053" spans="1:16" x14ac:dyDescent="0.35">
      <c r="A3053" s="3" t="s">
        <v>4460</v>
      </c>
      <c r="B3053" s="3" t="s">
        <v>847</v>
      </c>
      <c r="C3053" s="3" t="s">
        <v>89</v>
      </c>
      <c r="D3053" s="3" t="s">
        <v>90</v>
      </c>
      <c r="E3053" s="3" t="s">
        <v>97</v>
      </c>
      <c r="F3053" s="3" t="s">
        <v>98</v>
      </c>
      <c r="G3053" s="3" t="s">
        <v>41</v>
      </c>
      <c r="H3053" s="3" t="s">
        <v>42</v>
      </c>
      <c r="I3053" s="3" t="s">
        <v>181</v>
      </c>
      <c r="J3053" s="3" t="s">
        <v>100</v>
      </c>
      <c r="K3053" s="3">
        <v>1</v>
      </c>
      <c r="L3053" s="3">
        <v>47312.21</v>
      </c>
      <c r="M3053" s="3">
        <v>47312.21</v>
      </c>
      <c r="N3053" s="3">
        <v>33941.9</v>
      </c>
      <c r="O3053" s="3">
        <v>13370.31</v>
      </c>
      <c r="P3053" s="3" t="s">
        <v>34</v>
      </c>
    </row>
    <row r="3054" spans="1:16" x14ac:dyDescent="0.35">
      <c r="A3054" s="3" t="s">
        <v>4461</v>
      </c>
      <c r="B3054" s="3" t="s">
        <v>2041</v>
      </c>
      <c r="C3054" s="3" t="s">
        <v>89</v>
      </c>
      <c r="D3054" s="3" t="s">
        <v>58</v>
      </c>
      <c r="E3054" s="3" t="s">
        <v>59</v>
      </c>
      <c r="F3054" s="3" t="s">
        <v>60</v>
      </c>
      <c r="G3054" s="3" t="s">
        <v>22</v>
      </c>
      <c r="H3054" s="3" t="s">
        <v>93</v>
      </c>
      <c r="I3054" s="3" t="s">
        <v>3876</v>
      </c>
      <c r="J3054" s="3" t="s">
        <v>33</v>
      </c>
      <c r="K3054" s="3">
        <v>5</v>
      </c>
      <c r="L3054" s="3">
        <v>6638.46</v>
      </c>
      <c r="M3054" s="3">
        <v>33192.300000000003</v>
      </c>
      <c r="N3054" s="3">
        <v>25908.74</v>
      </c>
      <c r="O3054" s="3">
        <v>7283.56</v>
      </c>
      <c r="P3054" s="3" t="s">
        <v>34</v>
      </c>
    </row>
    <row r="3055" spans="1:16" x14ac:dyDescent="0.35">
      <c r="A3055" s="3" t="s">
        <v>4462</v>
      </c>
      <c r="B3055" s="3" t="s">
        <v>248</v>
      </c>
      <c r="C3055" s="3" t="s">
        <v>82</v>
      </c>
      <c r="D3055" s="3" t="s">
        <v>19</v>
      </c>
      <c r="E3055" s="3" t="s">
        <v>20</v>
      </c>
      <c r="F3055" s="3" t="s">
        <v>21</v>
      </c>
      <c r="G3055" s="3" t="s">
        <v>30</v>
      </c>
      <c r="H3055" s="3" t="s">
        <v>67</v>
      </c>
      <c r="I3055" s="3" t="s">
        <v>905</v>
      </c>
      <c r="J3055" s="3" t="s">
        <v>161</v>
      </c>
      <c r="K3055" s="3">
        <v>7</v>
      </c>
      <c r="L3055" s="3">
        <v>9492.52</v>
      </c>
      <c r="M3055" s="3">
        <v>66447.64</v>
      </c>
      <c r="N3055" s="3">
        <v>55372.800000000003</v>
      </c>
      <c r="O3055" s="3">
        <v>11074.84</v>
      </c>
      <c r="P3055" s="3" t="s">
        <v>26</v>
      </c>
    </row>
    <row r="3056" spans="1:16" x14ac:dyDescent="0.35">
      <c r="A3056" s="3" t="s">
        <v>4463</v>
      </c>
      <c r="B3056" s="3" t="s">
        <v>592</v>
      </c>
      <c r="C3056" s="3" t="s">
        <v>103</v>
      </c>
      <c r="D3056" s="3" t="s">
        <v>19</v>
      </c>
      <c r="E3056" s="3" t="s">
        <v>49</v>
      </c>
      <c r="F3056" s="3" t="s">
        <v>50</v>
      </c>
      <c r="G3056" s="3" t="s">
        <v>41</v>
      </c>
      <c r="H3056" s="3" t="s">
        <v>61</v>
      </c>
      <c r="I3056" s="3" t="s">
        <v>1010</v>
      </c>
      <c r="J3056" s="3" t="s">
        <v>188</v>
      </c>
      <c r="K3056" s="3">
        <v>1</v>
      </c>
      <c r="L3056" s="3">
        <v>2445.4899999999998</v>
      </c>
      <c r="M3056" s="3">
        <v>2445.4899999999998</v>
      </c>
      <c r="N3056" s="3">
        <v>1596.03</v>
      </c>
      <c r="O3056" s="3">
        <v>849.46</v>
      </c>
      <c r="P3056" s="3" t="s">
        <v>34</v>
      </c>
    </row>
    <row r="3057" spans="1:16" x14ac:dyDescent="0.35">
      <c r="A3057" s="3" t="s">
        <v>4464</v>
      </c>
      <c r="B3057" s="3" t="s">
        <v>276</v>
      </c>
      <c r="C3057" s="3" t="s">
        <v>114</v>
      </c>
      <c r="D3057" s="3" t="s">
        <v>90</v>
      </c>
      <c r="E3057" s="3" t="s">
        <v>97</v>
      </c>
      <c r="F3057" s="3" t="s">
        <v>98</v>
      </c>
      <c r="G3057" s="3" t="s">
        <v>41</v>
      </c>
      <c r="H3057" s="3" t="s">
        <v>138</v>
      </c>
      <c r="I3057" s="3" t="s">
        <v>3027</v>
      </c>
      <c r="J3057" s="3" t="s">
        <v>217</v>
      </c>
      <c r="K3057" s="3">
        <v>4</v>
      </c>
      <c r="L3057" s="3">
        <v>17745.009999999998</v>
      </c>
      <c r="M3057" s="3">
        <v>70980.039999999994</v>
      </c>
      <c r="N3057" s="3">
        <v>53705.47</v>
      </c>
      <c r="O3057" s="3">
        <v>17274.57</v>
      </c>
      <c r="P3057" s="3" t="s">
        <v>45</v>
      </c>
    </row>
    <row r="3058" spans="1:16" x14ac:dyDescent="0.35">
      <c r="A3058" s="3" t="s">
        <v>4465</v>
      </c>
      <c r="B3058" s="3" t="s">
        <v>1546</v>
      </c>
      <c r="C3058" s="3" t="s">
        <v>82</v>
      </c>
      <c r="D3058" s="3" t="s">
        <v>19</v>
      </c>
      <c r="E3058" s="3" t="s">
        <v>49</v>
      </c>
      <c r="F3058" s="3" t="s">
        <v>50</v>
      </c>
      <c r="G3058" s="3" t="s">
        <v>22</v>
      </c>
      <c r="H3058" s="3" t="s">
        <v>83</v>
      </c>
      <c r="I3058" s="3" t="s">
        <v>1924</v>
      </c>
      <c r="J3058" s="3" t="s">
        <v>25</v>
      </c>
      <c r="K3058" s="3">
        <v>4</v>
      </c>
      <c r="L3058" s="3">
        <v>19905.490000000002</v>
      </c>
      <c r="M3058" s="3">
        <v>79621.960000000006</v>
      </c>
      <c r="N3058" s="3">
        <v>68380</v>
      </c>
      <c r="O3058" s="3">
        <v>11241.96</v>
      </c>
      <c r="P3058" s="3" t="s">
        <v>34</v>
      </c>
    </row>
    <row r="3059" spans="1:16" x14ac:dyDescent="0.35">
      <c r="A3059" s="3" t="s">
        <v>4466</v>
      </c>
      <c r="B3059" s="3" t="s">
        <v>288</v>
      </c>
      <c r="C3059" s="3" t="s">
        <v>118</v>
      </c>
      <c r="D3059" s="3" t="s">
        <v>38</v>
      </c>
      <c r="E3059" s="3" t="s">
        <v>104</v>
      </c>
      <c r="F3059" s="3" t="s">
        <v>104</v>
      </c>
      <c r="G3059" s="3" t="s">
        <v>22</v>
      </c>
      <c r="H3059" s="3" t="s">
        <v>23</v>
      </c>
      <c r="I3059" s="3" t="s">
        <v>223</v>
      </c>
      <c r="J3059" s="3" t="s">
        <v>25</v>
      </c>
      <c r="K3059" s="3">
        <v>4</v>
      </c>
      <c r="L3059" s="3">
        <v>3532.09</v>
      </c>
      <c r="M3059" s="3">
        <v>14128.36</v>
      </c>
      <c r="N3059" s="3">
        <v>8939.32</v>
      </c>
      <c r="O3059" s="3">
        <v>5189.04</v>
      </c>
      <c r="P3059" s="3" t="s">
        <v>86</v>
      </c>
    </row>
    <row r="3060" spans="1:16" x14ac:dyDescent="0.35">
      <c r="A3060" s="3" t="s">
        <v>4467</v>
      </c>
      <c r="B3060" s="3" t="s">
        <v>807</v>
      </c>
      <c r="C3060" s="3" t="s">
        <v>72</v>
      </c>
      <c r="D3060" s="3" t="s">
        <v>38</v>
      </c>
      <c r="E3060" s="3" t="s">
        <v>39</v>
      </c>
      <c r="F3060" s="3" t="s">
        <v>40</v>
      </c>
      <c r="G3060" s="3" t="s">
        <v>51</v>
      </c>
      <c r="H3060" s="3" t="s">
        <v>145</v>
      </c>
      <c r="I3060" s="3" t="s">
        <v>3205</v>
      </c>
      <c r="J3060" s="3" t="s">
        <v>217</v>
      </c>
      <c r="K3060" s="3">
        <v>8</v>
      </c>
      <c r="L3060" s="3">
        <v>118.6</v>
      </c>
      <c r="M3060" s="3">
        <v>948.8</v>
      </c>
      <c r="N3060" s="3">
        <v>497.4</v>
      </c>
      <c r="O3060" s="3">
        <v>451.4</v>
      </c>
      <c r="P3060" s="3" t="s">
        <v>26</v>
      </c>
    </row>
    <row r="3061" spans="1:16" x14ac:dyDescent="0.35">
      <c r="A3061" s="3" t="s">
        <v>4468</v>
      </c>
      <c r="B3061" s="3" t="s">
        <v>936</v>
      </c>
      <c r="C3061" s="3" t="s">
        <v>89</v>
      </c>
      <c r="D3061" s="3" t="s">
        <v>58</v>
      </c>
      <c r="E3061" s="3" t="s">
        <v>65</v>
      </c>
      <c r="F3061" s="3" t="s">
        <v>66</v>
      </c>
      <c r="G3061" s="3" t="s">
        <v>51</v>
      </c>
      <c r="H3061" s="3" t="s">
        <v>77</v>
      </c>
      <c r="I3061" s="3" t="s">
        <v>1637</v>
      </c>
      <c r="J3061" s="3" t="s">
        <v>217</v>
      </c>
      <c r="K3061" s="3">
        <v>6</v>
      </c>
      <c r="L3061" s="3">
        <v>11788.94</v>
      </c>
      <c r="M3061" s="3">
        <v>70733.64</v>
      </c>
      <c r="N3061" s="3">
        <v>51331.32</v>
      </c>
      <c r="O3061" s="3">
        <v>19402.32</v>
      </c>
      <c r="P3061" s="3" t="s">
        <v>26</v>
      </c>
    </row>
    <row r="3062" spans="1:16" x14ac:dyDescent="0.35">
      <c r="A3062" s="3" t="s">
        <v>4469</v>
      </c>
      <c r="B3062" s="3" t="s">
        <v>802</v>
      </c>
      <c r="C3062" s="3" t="s">
        <v>118</v>
      </c>
      <c r="D3062" s="3" t="s">
        <v>38</v>
      </c>
      <c r="E3062" s="3" t="s">
        <v>39</v>
      </c>
      <c r="F3062" s="3" t="s">
        <v>40</v>
      </c>
      <c r="G3062" s="3" t="s">
        <v>41</v>
      </c>
      <c r="H3062" s="3" t="s">
        <v>61</v>
      </c>
      <c r="I3062" s="3" t="s">
        <v>943</v>
      </c>
      <c r="J3062" s="3" t="s">
        <v>33</v>
      </c>
      <c r="K3062" s="3">
        <v>5</v>
      </c>
      <c r="L3062" s="3">
        <v>2620.08</v>
      </c>
      <c r="M3062" s="3">
        <v>13100.4</v>
      </c>
      <c r="N3062" s="3">
        <v>8079.17</v>
      </c>
      <c r="O3062" s="3">
        <v>5021.2299999999996</v>
      </c>
      <c r="P3062" s="3" t="s">
        <v>69</v>
      </c>
    </row>
    <row r="3063" spans="1:16" x14ac:dyDescent="0.35">
      <c r="A3063" s="3" t="s">
        <v>4470</v>
      </c>
      <c r="B3063" s="3" t="s">
        <v>712</v>
      </c>
      <c r="C3063" s="3" t="s">
        <v>37</v>
      </c>
      <c r="D3063" s="3" t="s">
        <v>90</v>
      </c>
      <c r="E3063" s="3" t="s">
        <v>91</v>
      </c>
      <c r="F3063" s="3" t="s">
        <v>92</v>
      </c>
      <c r="G3063" s="3" t="s">
        <v>22</v>
      </c>
      <c r="H3063" s="3" t="s">
        <v>93</v>
      </c>
      <c r="I3063" s="3" t="s">
        <v>2128</v>
      </c>
      <c r="J3063" s="3" t="s">
        <v>161</v>
      </c>
      <c r="K3063" s="3">
        <v>7</v>
      </c>
      <c r="L3063" s="3">
        <v>6960.25</v>
      </c>
      <c r="M3063" s="3">
        <v>48721.75</v>
      </c>
      <c r="N3063" s="3">
        <v>33885.879999999997</v>
      </c>
      <c r="O3063" s="3">
        <v>14835.87</v>
      </c>
      <c r="P3063" s="3" t="s">
        <v>34</v>
      </c>
    </row>
    <row r="3064" spans="1:16" x14ac:dyDescent="0.35">
      <c r="A3064" s="3" t="s">
        <v>4471</v>
      </c>
      <c r="B3064" s="3" t="s">
        <v>521</v>
      </c>
      <c r="C3064" s="3" t="s">
        <v>18</v>
      </c>
      <c r="D3064" s="3" t="s">
        <v>19</v>
      </c>
      <c r="E3064" s="3" t="s">
        <v>49</v>
      </c>
      <c r="F3064" s="3" t="s">
        <v>50</v>
      </c>
      <c r="G3064" s="3" t="s">
        <v>30</v>
      </c>
      <c r="H3064" s="3" t="s">
        <v>73</v>
      </c>
      <c r="I3064" s="3" t="s">
        <v>1012</v>
      </c>
      <c r="J3064" s="3" t="s">
        <v>100</v>
      </c>
      <c r="K3064" s="3">
        <v>4</v>
      </c>
      <c r="L3064" s="3">
        <v>2920.86</v>
      </c>
      <c r="M3064" s="3">
        <v>11683.44</v>
      </c>
      <c r="N3064" s="3">
        <v>9132.86</v>
      </c>
      <c r="O3064" s="3">
        <v>2550.58</v>
      </c>
      <c r="P3064" s="3" t="s">
        <v>45</v>
      </c>
    </row>
    <row r="3065" spans="1:16" x14ac:dyDescent="0.35">
      <c r="A3065" s="3" t="s">
        <v>4472</v>
      </c>
      <c r="B3065" s="3" t="s">
        <v>2086</v>
      </c>
      <c r="C3065" s="3" t="s">
        <v>72</v>
      </c>
      <c r="D3065" s="3" t="s">
        <v>90</v>
      </c>
      <c r="E3065" s="3" t="s">
        <v>91</v>
      </c>
      <c r="F3065" s="3" t="s">
        <v>92</v>
      </c>
      <c r="G3065" s="3" t="s">
        <v>30</v>
      </c>
      <c r="H3065" s="3" t="s">
        <v>73</v>
      </c>
      <c r="I3065" s="3" t="s">
        <v>2560</v>
      </c>
      <c r="J3065" s="3" t="s">
        <v>44</v>
      </c>
      <c r="K3065" s="3">
        <v>5</v>
      </c>
      <c r="L3065" s="3">
        <v>3467.13</v>
      </c>
      <c r="M3065" s="3">
        <v>17335.650000000001</v>
      </c>
      <c r="N3065" s="3">
        <v>11770.96</v>
      </c>
      <c r="O3065" s="3">
        <v>5564.69</v>
      </c>
      <c r="P3065" s="3" t="s">
        <v>86</v>
      </c>
    </row>
    <row r="3066" spans="1:16" x14ac:dyDescent="0.35">
      <c r="A3066" s="3" t="s">
        <v>4473</v>
      </c>
      <c r="B3066" s="3" t="s">
        <v>642</v>
      </c>
      <c r="C3066" s="3" t="s">
        <v>18</v>
      </c>
      <c r="D3066" s="3" t="s">
        <v>19</v>
      </c>
      <c r="E3066" s="3" t="s">
        <v>199</v>
      </c>
      <c r="F3066" s="3" t="s">
        <v>200</v>
      </c>
      <c r="G3066" s="3" t="s">
        <v>51</v>
      </c>
      <c r="H3066" s="3" t="s">
        <v>145</v>
      </c>
      <c r="I3066" s="3" t="s">
        <v>746</v>
      </c>
      <c r="J3066" s="3" t="s">
        <v>131</v>
      </c>
      <c r="K3066" s="3">
        <v>5</v>
      </c>
      <c r="L3066" s="3">
        <v>116.75</v>
      </c>
      <c r="M3066" s="3">
        <v>583.75</v>
      </c>
      <c r="N3066" s="3">
        <v>290.94</v>
      </c>
      <c r="O3066" s="3">
        <v>292.81</v>
      </c>
      <c r="P3066" s="3" t="s">
        <v>26</v>
      </c>
    </row>
    <row r="3067" spans="1:16" x14ac:dyDescent="0.35">
      <c r="A3067" s="3" t="s">
        <v>4474</v>
      </c>
      <c r="B3067" s="3" t="s">
        <v>572</v>
      </c>
      <c r="C3067" s="3" t="s">
        <v>72</v>
      </c>
      <c r="D3067" s="3" t="s">
        <v>38</v>
      </c>
      <c r="E3067" s="3" t="s">
        <v>109</v>
      </c>
      <c r="F3067" s="3" t="s">
        <v>110</v>
      </c>
      <c r="G3067" s="3" t="s">
        <v>51</v>
      </c>
      <c r="H3067" s="3" t="s">
        <v>145</v>
      </c>
      <c r="I3067" s="3" t="s">
        <v>246</v>
      </c>
      <c r="J3067" s="3" t="s">
        <v>131</v>
      </c>
      <c r="K3067" s="3">
        <v>7</v>
      </c>
      <c r="L3067" s="3">
        <v>127.36</v>
      </c>
      <c r="M3067" s="3">
        <v>891.52</v>
      </c>
      <c r="N3067" s="3">
        <v>407.72</v>
      </c>
      <c r="O3067" s="3">
        <v>483.8</v>
      </c>
      <c r="P3067" s="3" t="s">
        <v>45</v>
      </c>
    </row>
    <row r="3068" spans="1:16" x14ac:dyDescent="0.35">
      <c r="A3068" s="3" t="s">
        <v>4475</v>
      </c>
      <c r="B3068" s="3" t="s">
        <v>629</v>
      </c>
      <c r="C3068" s="3" t="s">
        <v>29</v>
      </c>
      <c r="D3068" s="3" t="s">
        <v>58</v>
      </c>
      <c r="E3068" s="3" t="s">
        <v>59</v>
      </c>
      <c r="F3068" s="3" t="s">
        <v>60</v>
      </c>
      <c r="G3068" s="3" t="s">
        <v>51</v>
      </c>
      <c r="H3068" s="3" t="s">
        <v>52</v>
      </c>
      <c r="I3068" s="3" t="s">
        <v>3177</v>
      </c>
      <c r="J3068" s="3" t="s">
        <v>85</v>
      </c>
      <c r="K3068" s="3">
        <v>1</v>
      </c>
      <c r="L3068" s="3">
        <v>26.53</v>
      </c>
      <c r="M3068" s="3">
        <v>26.53</v>
      </c>
      <c r="N3068" s="3">
        <v>10.45</v>
      </c>
      <c r="O3068" s="3">
        <v>16.079999999999998</v>
      </c>
      <c r="P3068" s="3" t="s">
        <v>34</v>
      </c>
    </row>
    <row r="3069" spans="1:16" x14ac:dyDescent="0.35">
      <c r="A3069" s="3" t="s">
        <v>4476</v>
      </c>
      <c r="B3069" s="3" t="s">
        <v>589</v>
      </c>
      <c r="C3069" s="3" t="s">
        <v>137</v>
      </c>
      <c r="D3069" s="3" t="s">
        <v>38</v>
      </c>
      <c r="E3069" s="3" t="s">
        <v>104</v>
      </c>
      <c r="F3069" s="3" t="s">
        <v>104</v>
      </c>
      <c r="G3069" s="3" t="s">
        <v>22</v>
      </c>
      <c r="H3069" s="3" t="s">
        <v>23</v>
      </c>
      <c r="I3069" s="3" t="s">
        <v>1817</v>
      </c>
      <c r="J3069" s="3" t="s">
        <v>44</v>
      </c>
      <c r="K3069" s="3">
        <v>8</v>
      </c>
      <c r="L3069" s="3">
        <v>3374.22</v>
      </c>
      <c r="M3069" s="3">
        <v>26993.759999999998</v>
      </c>
      <c r="N3069" s="3">
        <v>16733.669999999998</v>
      </c>
      <c r="O3069" s="3">
        <v>10260.09</v>
      </c>
      <c r="P3069" s="3" t="s">
        <v>26</v>
      </c>
    </row>
    <row r="3070" spans="1:16" x14ac:dyDescent="0.35">
      <c r="A3070" s="3" t="s">
        <v>4477</v>
      </c>
      <c r="B3070" s="3" t="s">
        <v>675</v>
      </c>
      <c r="C3070" s="3" t="s">
        <v>82</v>
      </c>
      <c r="D3070" s="3" t="s">
        <v>90</v>
      </c>
      <c r="E3070" s="3" t="s">
        <v>97</v>
      </c>
      <c r="F3070" s="3" t="s">
        <v>98</v>
      </c>
      <c r="G3070" s="3" t="s">
        <v>51</v>
      </c>
      <c r="H3070" s="3" t="s">
        <v>52</v>
      </c>
      <c r="I3070" s="3" t="s">
        <v>322</v>
      </c>
      <c r="J3070" s="3" t="s">
        <v>85</v>
      </c>
      <c r="K3070" s="3">
        <v>6</v>
      </c>
      <c r="L3070" s="3">
        <v>26.31</v>
      </c>
      <c r="M3070" s="3">
        <v>157.86000000000001</v>
      </c>
      <c r="N3070" s="3">
        <v>57.54</v>
      </c>
      <c r="O3070" s="3">
        <v>100.32</v>
      </c>
      <c r="P3070" s="3" t="s">
        <v>45</v>
      </c>
    </row>
    <row r="3071" spans="1:16" x14ac:dyDescent="0.35">
      <c r="A3071" s="3" t="s">
        <v>4478</v>
      </c>
      <c r="B3071" s="3" t="s">
        <v>524</v>
      </c>
      <c r="C3071" s="3" t="s">
        <v>89</v>
      </c>
      <c r="D3071" s="3" t="s">
        <v>90</v>
      </c>
      <c r="E3071" s="3" t="s">
        <v>97</v>
      </c>
      <c r="F3071" s="3" t="s">
        <v>98</v>
      </c>
      <c r="G3071" s="3" t="s">
        <v>22</v>
      </c>
      <c r="H3071" s="3" t="s">
        <v>83</v>
      </c>
      <c r="I3071" s="3" t="s">
        <v>2061</v>
      </c>
      <c r="J3071" s="3" t="s">
        <v>85</v>
      </c>
      <c r="K3071" s="3">
        <v>1</v>
      </c>
      <c r="L3071" s="3">
        <v>22001.38</v>
      </c>
      <c r="M3071" s="3">
        <v>22001.38</v>
      </c>
      <c r="N3071" s="3">
        <v>17620.16</v>
      </c>
      <c r="O3071" s="3">
        <v>4381.22</v>
      </c>
      <c r="P3071" s="3" t="s">
        <v>34</v>
      </c>
    </row>
    <row r="3072" spans="1:16" x14ac:dyDescent="0.35">
      <c r="A3072" s="3" t="s">
        <v>4479</v>
      </c>
      <c r="B3072" s="3" t="s">
        <v>757</v>
      </c>
      <c r="C3072" s="3" t="s">
        <v>137</v>
      </c>
      <c r="D3072" s="3" t="s">
        <v>90</v>
      </c>
      <c r="E3072" s="3" t="s">
        <v>119</v>
      </c>
      <c r="F3072" s="3" t="s">
        <v>120</v>
      </c>
      <c r="G3072" s="3" t="s">
        <v>41</v>
      </c>
      <c r="H3072" s="3" t="s">
        <v>42</v>
      </c>
      <c r="I3072" s="3" t="s">
        <v>313</v>
      </c>
      <c r="J3072" s="3" t="s">
        <v>106</v>
      </c>
      <c r="K3072" s="3">
        <v>5</v>
      </c>
      <c r="L3072" s="3">
        <v>48999.19</v>
      </c>
      <c r="M3072" s="3">
        <v>244995.95</v>
      </c>
      <c r="N3072" s="3">
        <v>177653.24</v>
      </c>
      <c r="O3072" s="3">
        <v>67342.710000000006</v>
      </c>
      <c r="P3072" s="3" t="s">
        <v>26</v>
      </c>
    </row>
    <row r="3073" spans="1:16" x14ac:dyDescent="0.35">
      <c r="A3073" s="3" t="s">
        <v>4480</v>
      </c>
      <c r="B3073" s="3" t="s">
        <v>1935</v>
      </c>
      <c r="C3073" s="3" t="s">
        <v>72</v>
      </c>
      <c r="D3073" s="3" t="s">
        <v>38</v>
      </c>
      <c r="E3073" s="3" t="s">
        <v>104</v>
      </c>
      <c r="F3073" s="3" t="s">
        <v>104</v>
      </c>
      <c r="G3073" s="3" t="s">
        <v>51</v>
      </c>
      <c r="H3073" s="3" t="s">
        <v>52</v>
      </c>
      <c r="I3073" s="3" t="s">
        <v>947</v>
      </c>
      <c r="J3073" s="3" t="s">
        <v>33</v>
      </c>
      <c r="K3073" s="3">
        <v>8</v>
      </c>
      <c r="L3073" s="3">
        <v>26.41</v>
      </c>
      <c r="M3073" s="3">
        <v>211.28</v>
      </c>
      <c r="N3073" s="3">
        <v>82.1</v>
      </c>
      <c r="O3073" s="3">
        <v>129.18</v>
      </c>
      <c r="P3073" s="3" t="s">
        <v>86</v>
      </c>
    </row>
    <row r="3074" spans="1:16" x14ac:dyDescent="0.35">
      <c r="A3074" s="3" t="s">
        <v>4481</v>
      </c>
      <c r="B3074" s="3" t="s">
        <v>1780</v>
      </c>
      <c r="C3074" s="3" t="s">
        <v>137</v>
      </c>
      <c r="D3074" s="3" t="s">
        <v>19</v>
      </c>
      <c r="E3074" s="3" t="s">
        <v>49</v>
      </c>
      <c r="F3074" s="3" t="s">
        <v>50</v>
      </c>
      <c r="G3074" s="3" t="s">
        <v>51</v>
      </c>
      <c r="H3074" s="3" t="s">
        <v>52</v>
      </c>
      <c r="I3074" s="3" t="s">
        <v>3420</v>
      </c>
      <c r="J3074" s="3" t="s">
        <v>161</v>
      </c>
      <c r="K3074" s="3">
        <v>3</v>
      </c>
      <c r="L3074" s="3">
        <v>27.12</v>
      </c>
      <c r="M3074" s="3">
        <v>81.36</v>
      </c>
      <c r="N3074" s="3">
        <v>29.38</v>
      </c>
      <c r="O3074" s="3">
        <v>51.98</v>
      </c>
      <c r="P3074" s="3" t="s">
        <v>26</v>
      </c>
    </row>
    <row r="3075" spans="1:16" x14ac:dyDescent="0.35">
      <c r="A3075" s="3" t="s">
        <v>4482</v>
      </c>
      <c r="B3075" s="3" t="s">
        <v>1695</v>
      </c>
      <c r="C3075" s="3" t="s">
        <v>89</v>
      </c>
      <c r="D3075" s="3" t="s">
        <v>19</v>
      </c>
      <c r="E3075" s="3" t="s">
        <v>49</v>
      </c>
      <c r="F3075" s="3" t="s">
        <v>50</v>
      </c>
      <c r="G3075" s="3" t="s">
        <v>41</v>
      </c>
      <c r="H3075" s="3" t="s">
        <v>61</v>
      </c>
      <c r="I3075" s="3" t="s">
        <v>1579</v>
      </c>
      <c r="J3075" s="3" t="s">
        <v>147</v>
      </c>
      <c r="K3075" s="3">
        <v>3</v>
      </c>
      <c r="L3075" s="3">
        <v>2441.88</v>
      </c>
      <c r="M3075" s="3">
        <v>7325.64</v>
      </c>
      <c r="N3075" s="3">
        <v>5035.6000000000004</v>
      </c>
      <c r="O3075" s="3">
        <v>2290.04</v>
      </c>
      <c r="P3075" s="3" t="s">
        <v>26</v>
      </c>
    </row>
    <row r="3076" spans="1:16" x14ac:dyDescent="0.35">
      <c r="A3076" s="3" t="s">
        <v>4483</v>
      </c>
      <c r="B3076" s="3" t="s">
        <v>565</v>
      </c>
      <c r="C3076" s="3" t="s">
        <v>137</v>
      </c>
      <c r="D3076" s="3" t="s">
        <v>58</v>
      </c>
      <c r="E3076" s="3" t="s">
        <v>65</v>
      </c>
      <c r="F3076" s="3" t="s">
        <v>66</v>
      </c>
      <c r="G3076" s="3" t="s">
        <v>30</v>
      </c>
      <c r="H3076" s="3" t="s">
        <v>31</v>
      </c>
      <c r="I3076" s="3" t="s">
        <v>1210</v>
      </c>
      <c r="J3076" s="3" t="s">
        <v>161</v>
      </c>
      <c r="K3076" s="3">
        <v>8</v>
      </c>
      <c r="L3076" s="3">
        <v>2601.29</v>
      </c>
      <c r="M3076" s="3">
        <v>20810.32</v>
      </c>
      <c r="N3076" s="3">
        <v>15765.97</v>
      </c>
      <c r="O3076" s="3">
        <v>5044.3500000000004</v>
      </c>
      <c r="P3076" s="3" t="s">
        <v>86</v>
      </c>
    </row>
    <row r="3077" spans="1:16" x14ac:dyDescent="0.35">
      <c r="A3077" s="3" t="s">
        <v>4484</v>
      </c>
      <c r="B3077" s="3" t="s">
        <v>113</v>
      </c>
      <c r="C3077" s="3" t="s">
        <v>114</v>
      </c>
      <c r="D3077" s="3" t="s">
        <v>38</v>
      </c>
      <c r="E3077" s="3" t="s">
        <v>39</v>
      </c>
      <c r="F3077" s="3" t="s">
        <v>40</v>
      </c>
      <c r="G3077" s="3" t="s">
        <v>30</v>
      </c>
      <c r="H3077" s="3" t="s">
        <v>67</v>
      </c>
      <c r="I3077" s="3" t="s">
        <v>1495</v>
      </c>
      <c r="J3077" s="3" t="s">
        <v>100</v>
      </c>
      <c r="K3077" s="3">
        <v>5</v>
      </c>
      <c r="L3077" s="3">
        <v>10202.19</v>
      </c>
      <c r="M3077" s="3">
        <v>51010.95</v>
      </c>
      <c r="N3077" s="3">
        <v>38118.61</v>
      </c>
      <c r="O3077" s="3">
        <v>12892.34</v>
      </c>
      <c r="P3077" s="3" t="s">
        <v>45</v>
      </c>
    </row>
    <row r="3078" spans="1:16" x14ac:dyDescent="0.35">
      <c r="A3078" s="3" t="s">
        <v>4485</v>
      </c>
      <c r="B3078" s="3" t="s">
        <v>837</v>
      </c>
      <c r="C3078" s="3" t="s">
        <v>72</v>
      </c>
      <c r="D3078" s="3" t="s">
        <v>90</v>
      </c>
      <c r="E3078" s="3" t="s">
        <v>91</v>
      </c>
      <c r="F3078" s="3" t="s">
        <v>92</v>
      </c>
      <c r="G3078" s="3" t="s">
        <v>51</v>
      </c>
      <c r="H3078" s="3" t="s">
        <v>77</v>
      </c>
      <c r="I3078" s="3" t="s">
        <v>3004</v>
      </c>
      <c r="J3078" s="3" t="s">
        <v>100</v>
      </c>
      <c r="K3078" s="3">
        <v>1</v>
      </c>
      <c r="L3078" s="3">
        <v>12750.02</v>
      </c>
      <c r="M3078" s="3">
        <v>12750.02</v>
      </c>
      <c r="N3078" s="3">
        <v>9294.44</v>
      </c>
      <c r="O3078" s="3">
        <v>3455.58</v>
      </c>
      <c r="P3078" s="3" t="s">
        <v>45</v>
      </c>
    </row>
    <row r="3079" spans="1:16" x14ac:dyDescent="0.35">
      <c r="A3079" s="3" t="s">
        <v>4486</v>
      </c>
      <c r="B3079" s="3" t="s">
        <v>2280</v>
      </c>
      <c r="C3079" s="3" t="s">
        <v>89</v>
      </c>
      <c r="D3079" s="3" t="s">
        <v>19</v>
      </c>
      <c r="E3079" s="3" t="s">
        <v>20</v>
      </c>
      <c r="F3079" s="3" t="s">
        <v>21</v>
      </c>
      <c r="G3079" s="3" t="s">
        <v>22</v>
      </c>
      <c r="H3079" s="3" t="s">
        <v>23</v>
      </c>
      <c r="I3079" s="3" t="s">
        <v>1806</v>
      </c>
      <c r="J3079" s="3" t="s">
        <v>79</v>
      </c>
      <c r="K3079" s="3">
        <v>2</v>
      </c>
      <c r="L3079" s="3">
        <v>3695.69</v>
      </c>
      <c r="M3079" s="3">
        <v>7391.38</v>
      </c>
      <c r="N3079" s="3">
        <v>4458.29</v>
      </c>
      <c r="O3079" s="3">
        <v>2933.09</v>
      </c>
      <c r="P3079" s="3" t="s">
        <v>86</v>
      </c>
    </row>
    <row r="3080" spans="1:16" x14ac:dyDescent="0.35">
      <c r="A3080" s="3" t="s">
        <v>4487</v>
      </c>
      <c r="B3080" s="3" t="s">
        <v>921</v>
      </c>
      <c r="C3080" s="3" t="s">
        <v>103</v>
      </c>
      <c r="D3080" s="3" t="s">
        <v>38</v>
      </c>
      <c r="E3080" s="3" t="s">
        <v>104</v>
      </c>
      <c r="F3080" s="3" t="s">
        <v>104</v>
      </c>
      <c r="G3080" s="3" t="s">
        <v>41</v>
      </c>
      <c r="H3080" s="3" t="s">
        <v>42</v>
      </c>
      <c r="I3080" s="3" t="s">
        <v>4244</v>
      </c>
      <c r="J3080" s="3" t="s">
        <v>171</v>
      </c>
      <c r="K3080" s="3">
        <v>6</v>
      </c>
      <c r="L3080" s="3">
        <v>42709.32</v>
      </c>
      <c r="M3080" s="3">
        <v>256255.92</v>
      </c>
      <c r="N3080" s="3">
        <v>201049.01</v>
      </c>
      <c r="O3080" s="3">
        <v>55206.91</v>
      </c>
      <c r="P3080" s="3" t="s">
        <v>86</v>
      </c>
    </row>
    <row r="3081" spans="1:16" x14ac:dyDescent="0.35">
      <c r="A3081" s="3" t="s">
        <v>4488</v>
      </c>
      <c r="B3081" s="3" t="s">
        <v>1578</v>
      </c>
      <c r="C3081" s="3" t="s">
        <v>137</v>
      </c>
      <c r="D3081" s="3" t="s">
        <v>38</v>
      </c>
      <c r="E3081" s="3" t="s">
        <v>109</v>
      </c>
      <c r="F3081" s="3" t="s">
        <v>110</v>
      </c>
      <c r="G3081" s="3" t="s">
        <v>51</v>
      </c>
      <c r="H3081" s="3" t="s">
        <v>77</v>
      </c>
      <c r="I3081" s="3" t="s">
        <v>1258</v>
      </c>
      <c r="J3081" s="3" t="s">
        <v>85</v>
      </c>
      <c r="K3081" s="3">
        <v>1</v>
      </c>
      <c r="L3081" s="3">
        <v>11029.16</v>
      </c>
      <c r="M3081" s="3">
        <v>11029.16</v>
      </c>
      <c r="N3081" s="3">
        <v>8853.34</v>
      </c>
      <c r="O3081" s="3">
        <v>2175.8200000000002</v>
      </c>
      <c r="P3081" s="3" t="s">
        <v>34</v>
      </c>
    </row>
    <row r="3082" spans="1:16" x14ac:dyDescent="0.35">
      <c r="A3082" s="3" t="s">
        <v>4489</v>
      </c>
      <c r="B3082" s="3" t="s">
        <v>452</v>
      </c>
      <c r="C3082" s="3" t="s">
        <v>114</v>
      </c>
      <c r="D3082" s="3" t="s">
        <v>38</v>
      </c>
      <c r="E3082" s="3" t="s">
        <v>104</v>
      </c>
      <c r="F3082" s="3" t="s">
        <v>104</v>
      </c>
      <c r="G3082" s="3" t="s">
        <v>41</v>
      </c>
      <c r="H3082" s="3" t="s">
        <v>138</v>
      </c>
      <c r="I3082" s="3" t="s">
        <v>4163</v>
      </c>
      <c r="J3082" s="3" t="s">
        <v>154</v>
      </c>
      <c r="K3082" s="3">
        <v>1</v>
      </c>
      <c r="L3082" s="3">
        <v>19332.2</v>
      </c>
      <c r="M3082" s="3">
        <v>19332.2</v>
      </c>
      <c r="N3082" s="3">
        <v>13697.03</v>
      </c>
      <c r="O3082" s="3">
        <v>5635.17</v>
      </c>
      <c r="P3082" s="3" t="s">
        <v>45</v>
      </c>
    </row>
    <row r="3083" spans="1:16" x14ac:dyDescent="0.35">
      <c r="A3083" s="3" t="s">
        <v>4490</v>
      </c>
      <c r="B3083" s="3" t="s">
        <v>688</v>
      </c>
      <c r="C3083" s="3" t="s">
        <v>118</v>
      </c>
      <c r="D3083" s="3" t="s">
        <v>90</v>
      </c>
      <c r="E3083" s="3" t="s">
        <v>119</v>
      </c>
      <c r="F3083" s="3" t="s">
        <v>120</v>
      </c>
      <c r="G3083" s="3" t="s">
        <v>51</v>
      </c>
      <c r="H3083" s="3" t="s">
        <v>145</v>
      </c>
      <c r="I3083" s="3" t="s">
        <v>234</v>
      </c>
      <c r="J3083" s="3" t="s">
        <v>100</v>
      </c>
      <c r="K3083" s="3">
        <v>5</v>
      </c>
      <c r="L3083" s="3">
        <v>128.62</v>
      </c>
      <c r="M3083" s="3">
        <v>643.1</v>
      </c>
      <c r="N3083" s="3">
        <v>299.61</v>
      </c>
      <c r="O3083" s="3">
        <v>343.49</v>
      </c>
      <c r="P3083" s="3" t="s">
        <v>69</v>
      </c>
    </row>
    <row r="3084" spans="1:16" x14ac:dyDescent="0.35">
      <c r="A3084" s="3" t="s">
        <v>4491</v>
      </c>
      <c r="B3084" s="3" t="s">
        <v>2028</v>
      </c>
      <c r="C3084" s="3" t="s">
        <v>137</v>
      </c>
      <c r="D3084" s="3" t="s">
        <v>19</v>
      </c>
      <c r="E3084" s="3" t="s">
        <v>199</v>
      </c>
      <c r="F3084" s="3" t="s">
        <v>200</v>
      </c>
      <c r="G3084" s="3" t="s">
        <v>41</v>
      </c>
      <c r="H3084" s="3" t="s">
        <v>138</v>
      </c>
      <c r="I3084" s="3" t="s">
        <v>453</v>
      </c>
      <c r="J3084" s="3" t="s">
        <v>217</v>
      </c>
      <c r="K3084" s="3">
        <v>6</v>
      </c>
      <c r="L3084" s="3">
        <v>16693.060000000001</v>
      </c>
      <c r="M3084" s="3">
        <v>100158.36</v>
      </c>
      <c r="N3084" s="3">
        <v>83449.55</v>
      </c>
      <c r="O3084" s="3">
        <v>16708.810000000001</v>
      </c>
      <c r="P3084" s="3" t="s">
        <v>34</v>
      </c>
    </row>
    <row r="3085" spans="1:16" x14ac:dyDescent="0.35">
      <c r="A3085" s="3" t="s">
        <v>4492</v>
      </c>
      <c r="B3085" s="3" t="s">
        <v>586</v>
      </c>
      <c r="C3085" s="3" t="s">
        <v>57</v>
      </c>
      <c r="D3085" s="3" t="s">
        <v>38</v>
      </c>
      <c r="E3085" s="3" t="s">
        <v>39</v>
      </c>
      <c r="F3085" s="3" t="s">
        <v>40</v>
      </c>
      <c r="G3085" s="3" t="s">
        <v>51</v>
      </c>
      <c r="H3085" s="3" t="s">
        <v>145</v>
      </c>
      <c r="I3085" s="3" t="s">
        <v>519</v>
      </c>
      <c r="J3085" s="3" t="s">
        <v>79</v>
      </c>
      <c r="K3085" s="3">
        <v>2</v>
      </c>
      <c r="L3085" s="3">
        <v>118.62</v>
      </c>
      <c r="M3085" s="3">
        <v>237.24</v>
      </c>
      <c r="N3085" s="3">
        <v>115.73</v>
      </c>
      <c r="O3085" s="3">
        <v>121.51</v>
      </c>
      <c r="P3085" s="3" t="s">
        <v>26</v>
      </c>
    </row>
    <row r="3086" spans="1:16" x14ac:dyDescent="0.35">
      <c r="A3086" s="3" t="s">
        <v>4493</v>
      </c>
      <c r="B3086" s="3" t="s">
        <v>302</v>
      </c>
      <c r="C3086" s="3" t="s">
        <v>103</v>
      </c>
      <c r="D3086" s="3" t="s">
        <v>19</v>
      </c>
      <c r="E3086" s="3" t="s">
        <v>20</v>
      </c>
      <c r="F3086" s="3" t="s">
        <v>21</v>
      </c>
      <c r="G3086" s="3" t="s">
        <v>41</v>
      </c>
      <c r="H3086" s="3" t="s">
        <v>61</v>
      </c>
      <c r="I3086" s="3" t="s">
        <v>2428</v>
      </c>
      <c r="J3086" s="3" t="s">
        <v>171</v>
      </c>
      <c r="K3086" s="3">
        <v>1</v>
      </c>
      <c r="L3086" s="3">
        <v>2451.5</v>
      </c>
      <c r="M3086" s="3">
        <v>2451.5</v>
      </c>
      <c r="N3086" s="3">
        <v>1673.14</v>
      </c>
      <c r="O3086" s="3">
        <v>778.36</v>
      </c>
      <c r="P3086" s="3" t="s">
        <v>34</v>
      </c>
    </row>
    <row r="3087" spans="1:16" x14ac:dyDescent="0.35">
      <c r="A3087" s="3" t="s">
        <v>4494</v>
      </c>
      <c r="B3087" s="3" t="s">
        <v>765</v>
      </c>
      <c r="C3087" s="3" t="s">
        <v>57</v>
      </c>
      <c r="D3087" s="3" t="s">
        <v>58</v>
      </c>
      <c r="E3087" s="3" t="s">
        <v>59</v>
      </c>
      <c r="F3087" s="3" t="s">
        <v>60</v>
      </c>
      <c r="G3087" s="3" t="s">
        <v>41</v>
      </c>
      <c r="H3087" s="3" t="s">
        <v>138</v>
      </c>
      <c r="I3087" s="3" t="s">
        <v>500</v>
      </c>
      <c r="J3087" s="3" t="s">
        <v>54</v>
      </c>
      <c r="K3087" s="3">
        <v>1</v>
      </c>
      <c r="L3087" s="3">
        <v>18530.34</v>
      </c>
      <c r="M3087" s="3">
        <v>18530.34</v>
      </c>
      <c r="N3087" s="3">
        <v>13512.38</v>
      </c>
      <c r="O3087" s="3">
        <v>5017.96</v>
      </c>
      <c r="P3087" s="3" t="s">
        <v>69</v>
      </c>
    </row>
    <row r="3088" spans="1:16" x14ac:dyDescent="0.35">
      <c r="A3088" s="3" t="s">
        <v>4495</v>
      </c>
      <c r="B3088" s="3" t="s">
        <v>1898</v>
      </c>
      <c r="C3088" s="3" t="s">
        <v>29</v>
      </c>
      <c r="D3088" s="3" t="s">
        <v>19</v>
      </c>
      <c r="E3088" s="3" t="s">
        <v>199</v>
      </c>
      <c r="F3088" s="3" t="s">
        <v>200</v>
      </c>
      <c r="G3088" s="3" t="s">
        <v>51</v>
      </c>
      <c r="H3088" s="3" t="s">
        <v>52</v>
      </c>
      <c r="I3088" s="3" t="s">
        <v>1080</v>
      </c>
      <c r="J3088" s="3" t="s">
        <v>161</v>
      </c>
      <c r="K3088" s="3">
        <v>3</v>
      </c>
      <c r="L3088" s="3">
        <v>25.43</v>
      </c>
      <c r="M3088" s="3">
        <v>76.290000000000006</v>
      </c>
      <c r="N3088" s="3">
        <v>29.93</v>
      </c>
      <c r="O3088" s="3">
        <v>46.36</v>
      </c>
      <c r="P3088" s="3" t="s">
        <v>86</v>
      </c>
    </row>
    <row r="3089" spans="1:16" x14ac:dyDescent="0.35">
      <c r="A3089" s="3" t="s">
        <v>4496</v>
      </c>
      <c r="B3089" s="3" t="s">
        <v>285</v>
      </c>
      <c r="C3089" s="3" t="s">
        <v>18</v>
      </c>
      <c r="D3089" s="3" t="s">
        <v>58</v>
      </c>
      <c r="E3089" s="3" t="s">
        <v>65</v>
      </c>
      <c r="F3089" s="3" t="s">
        <v>66</v>
      </c>
      <c r="G3089" s="3" t="s">
        <v>51</v>
      </c>
      <c r="H3089" s="3" t="s">
        <v>52</v>
      </c>
      <c r="I3089" s="3" t="s">
        <v>184</v>
      </c>
      <c r="J3089" s="3" t="s">
        <v>161</v>
      </c>
      <c r="K3089" s="3">
        <v>7</v>
      </c>
      <c r="L3089" s="3">
        <v>26.77</v>
      </c>
      <c r="M3089" s="3">
        <v>187.39</v>
      </c>
      <c r="N3089" s="3">
        <v>72.7</v>
      </c>
      <c r="O3089" s="3">
        <v>114.69</v>
      </c>
      <c r="P3089" s="3" t="s">
        <v>34</v>
      </c>
    </row>
    <row r="3090" spans="1:16" x14ac:dyDescent="0.35">
      <c r="A3090" s="3" t="s">
        <v>4497</v>
      </c>
      <c r="B3090" s="3" t="s">
        <v>767</v>
      </c>
      <c r="C3090" s="3" t="s">
        <v>82</v>
      </c>
      <c r="D3090" s="3" t="s">
        <v>90</v>
      </c>
      <c r="E3090" s="3" t="s">
        <v>119</v>
      </c>
      <c r="F3090" s="3" t="s">
        <v>120</v>
      </c>
      <c r="G3090" s="3" t="s">
        <v>41</v>
      </c>
      <c r="H3090" s="3" t="s">
        <v>42</v>
      </c>
      <c r="I3090" s="3" t="s">
        <v>1421</v>
      </c>
      <c r="J3090" s="3" t="s">
        <v>54</v>
      </c>
      <c r="K3090" s="3">
        <v>7</v>
      </c>
      <c r="L3090" s="3">
        <v>47482.87</v>
      </c>
      <c r="M3090" s="3">
        <v>332380.09000000003</v>
      </c>
      <c r="N3090" s="3">
        <v>253021.47</v>
      </c>
      <c r="O3090" s="3">
        <v>79358.62</v>
      </c>
      <c r="P3090" s="3" t="s">
        <v>26</v>
      </c>
    </row>
    <row r="3091" spans="1:16" x14ac:dyDescent="0.35">
      <c r="A3091" s="3" t="s">
        <v>4498</v>
      </c>
      <c r="B3091" s="3" t="s">
        <v>225</v>
      </c>
      <c r="C3091" s="3" t="s">
        <v>89</v>
      </c>
      <c r="D3091" s="3" t="s">
        <v>58</v>
      </c>
      <c r="E3091" s="3" t="s">
        <v>59</v>
      </c>
      <c r="F3091" s="3" t="s">
        <v>60</v>
      </c>
      <c r="G3091" s="3" t="s">
        <v>51</v>
      </c>
      <c r="H3091" s="3" t="s">
        <v>145</v>
      </c>
      <c r="I3091" s="3" t="s">
        <v>342</v>
      </c>
      <c r="J3091" s="3" t="s">
        <v>188</v>
      </c>
      <c r="K3091" s="3">
        <v>1</v>
      </c>
      <c r="L3091" s="3">
        <v>130.54</v>
      </c>
      <c r="M3091" s="3">
        <v>130.54</v>
      </c>
      <c r="N3091" s="3">
        <v>57.87</v>
      </c>
      <c r="O3091" s="3">
        <v>72.67</v>
      </c>
      <c r="P3091" s="3" t="s">
        <v>34</v>
      </c>
    </row>
    <row r="3092" spans="1:16" x14ac:dyDescent="0.35">
      <c r="A3092" s="3" t="s">
        <v>4499</v>
      </c>
      <c r="B3092" s="3" t="s">
        <v>1306</v>
      </c>
      <c r="C3092" s="3" t="s">
        <v>57</v>
      </c>
      <c r="D3092" s="3" t="s">
        <v>38</v>
      </c>
      <c r="E3092" s="3" t="s">
        <v>109</v>
      </c>
      <c r="F3092" s="3" t="s">
        <v>110</v>
      </c>
      <c r="G3092" s="3" t="s">
        <v>41</v>
      </c>
      <c r="H3092" s="3" t="s">
        <v>61</v>
      </c>
      <c r="I3092" s="3" t="s">
        <v>3205</v>
      </c>
      <c r="J3092" s="3" t="s">
        <v>79</v>
      </c>
      <c r="K3092" s="3">
        <v>3</v>
      </c>
      <c r="L3092" s="3">
        <v>2447.83</v>
      </c>
      <c r="M3092" s="3">
        <v>7343.49</v>
      </c>
      <c r="N3092" s="3">
        <v>4688.17</v>
      </c>
      <c r="O3092" s="3">
        <v>2655.32</v>
      </c>
      <c r="P3092" s="3" t="s">
        <v>45</v>
      </c>
    </row>
    <row r="3093" spans="1:16" x14ac:dyDescent="0.35">
      <c r="A3093" s="3" t="s">
        <v>4500</v>
      </c>
      <c r="B3093" s="3" t="s">
        <v>733</v>
      </c>
      <c r="C3093" s="3" t="s">
        <v>89</v>
      </c>
      <c r="D3093" s="3" t="s">
        <v>38</v>
      </c>
      <c r="E3093" s="3" t="s">
        <v>39</v>
      </c>
      <c r="F3093" s="3" t="s">
        <v>40</v>
      </c>
      <c r="G3093" s="3" t="s">
        <v>41</v>
      </c>
      <c r="H3093" s="3" t="s">
        <v>138</v>
      </c>
      <c r="I3093" s="3" t="s">
        <v>4501</v>
      </c>
      <c r="J3093" s="3" t="s">
        <v>161</v>
      </c>
      <c r="K3093" s="3">
        <v>5</v>
      </c>
      <c r="L3093" s="3">
        <v>17863.38</v>
      </c>
      <c r="M3093" s="3">
        <v>89316.9</v>
      </c>
      <c r="N3093" s="3">
        <v>72821.62</v>
      </c>
      <c r="O3093" s="3">
        <v>16495.28</v>
      </c>
      <c r="P3093" s="3" t="s">
        <v>34</v>
      </c>
    </row>
    <row r="3094" spans="1:16" x14ac:dyDescent="0.35">
      <c r="A3094" s="3" t="s">
        <v>4502</v>
      </c>
      <c r="B3094" s="3" t="s">
        <v>1089</v>
      </c>
      <c r="C3094" s="3" t="s">
        <v>48</v>
      </c>
      <c r="D3094" s="3" t="s">
        <v>19</v>
      </c>
      <c r="E3094" s="3" t="s">
        <v>49</v>
      </c>
      <c r="F3094" s="3" t="s">
        <v>50</v>
      </c>
      <c r="G3094" s="3" t="s">
        <v>22</v>
      </c>
      <c r="H3094" s="3" t="s">
        <v>23</v>
      </c>
      <c r="I3094" s="3" t="s">
        <v>922</v>
      </c>
      <c r="J3094" s="3" t="s">
        <v>217</v>
      </c>
      <c r="K3094" s="3">
        <v>3</v>
      </c>
      <c r="L3094" s="3">
        <v>3600.51</v>
      </c>
      <c r="M3094" s="3">
        <v>10801.53</v>
      </c>
      <c r="N3094" s="3">
        <v>6752.21</v>
      </c>
      <c r="O3094" s="3">
        <v>4049.32</v>
      </c>
      <c r="P3094" s="3" t="s">
        <v>45</v>
      </c>
    </row>
    <row r="3095" spans="1:16" x14ac:dyDescent="0.35">
      <c r="A3095" s="3" t="s">
        <v>4503</v>
      </c>
      <c r="B3095" s="3" t="s">
        <v>866</v>
      </c>
      <c r="C3095" s="3" t="s">
        <v>72</v>
      </c>
      <c r="D3095" s="3" t="s">
        <v>38</v>
      </c>
      <c r="E3095" s="3" t="s">
        <v>104</v>
      </c>
      <c r="F3095" s="3" t="s">
        <v>104</v>
      </c>
      <c r="G3095" s="3" t="s">
        <v>22</v>
      </c>
      <c r="H3095" s="3" t="s">
        <v>83</v>
      </c>
      <c r="I3095" s="3" t="s">
        <v>3479</v>
      </c>
      <c r="J3095" s="3" t="s">
        <v>147</v>
      </c>
      <c r="K3095" s="3">
        <v>5</v>
      </c>
      <c r="L3095" s="3">
        <v>21287.88</v>
      </c>
      <c r="M3095" s="3">
        <v>106439.4</v>
      </c>
      <c r="N3095" s="3">
        <v>84588.97</v>
      </c>
      <c r="O3095" s="3">
        <v>21850.43</v>
      </c>
      <c r="P3095" s="3" t="s">
        <v>86</v>
      </c>
    </row>
    <row r="3096" spans="1:16" x14ac:dyDescent="0.35">
      <c r="A3096" s="3" t="s">
        <v>4504</v>
      </c>
      <c r="B3096" s="3" t="s">
        <v>949</v>
      </c>
      <c r="C3096" s="3" t="s">
        <v>18</v>
      </c>
      <c r="D3096" s="3" t="s">
        <v>38</v>
      </c>
      <c r="E3096" s="3" t="s">
        <v>39</v>
      </c>
      <c r="F3096" s="3" t="s">
        <v>40</v>
      </c>
      <c r="G3096" s="3" t="s">
        <v>51</v>
      </c>
      <c r="H3096" s="3" t="s">
        <v>52</v>
      </c>
      <c r="I3096" s="3" t="s">
        <v>2195</v>
      </c>
      <c r="J3096" s="3" t="s">
        <v>100</v>
      </c>
      <c r="K3096" s="3">
        <v>6</v>
      </c>
      <c r="L3096" s="3">
        <v>22.88</v>
      </c>
      <c r="M3096" s="3">
        <v>137.28</v>
      </c>
      <c r="N3096" s="3">
        <v>61.59</v>
      </c>
      <c r="O3096" s="3">
        <v>75.69</v>
      </c>
      <c r="P3096" s="3" t="s">
        <v>26</v>
      </c>
    </row>
    <row r="3097" spans="1:16" x14ac:dyDescent="0.35">
      <c r="A3097" s="3" t="s">
        <v>4505</v>
      </c>
      <c r="B3097" s="3" t="s">
        <v>999</v>
      </c>
      <c r="C3097" s="3" t="s">
        <v>103</v>
      </c>
      <c r="D3097" s="3" t="s">
        <v>19</v>
      </c>
      <c r="E3097" s="3" t="s">
        <v>49</v>
      </c>
      <c r="F3097" s="3" t="s">
        <v>50</v>
      </c>
      <c r="G3097" s="3" t="s">
        <v>30</v>
      </c>
      <c r="H3097" s="3" t="s">
        <v>73</v>
      </c>
      <c r="I3097" s="3" t="s">
        <v>413</v>
      </c>
      <c r="J3097" s="3" t="s">
        <v>171</v>
      </c>
      <c r="K3097" s="3">
        <v>7</v>
      </c>
      <c r="L3097" s="3">
        <v>2885.33</v>
      </c>
      <c r="M3097" s="3">
        <v>20197.310000000001</v>
      </c>
      <c r="N3097" s="3">
        <v>16427.3</v>
      </c>
      <c r="O3097" s="3">
        <v>3770.01</v>
      </c>
      <c r="P3097" s="3" t="s">
        <v>34</v>
      </c>
    </row>
    <row r="3098" spans="1:16" x14ac:dyDescent="0.35">
      <c r="A3098" s="3" t="s">
        <v>4506</v>
      </c>
      <c r="B3098" s="3" t="s">
        <v>367</v>
      </c>
      <c r="C3098" s="3" t="s">
        <v>29</v>
      </c>
      <c r="D3098" s="3" t="s">
        <v>90</v>
      </c>
      <c r="E3098" s="3" t="s">
        <v>91</v>
      </c>
      <c r="F3098" s="3" t="s">
        <v>92</v>
      </c>
      <c r="G3098" s="3" t="s">
        <v>22</v>
      </c>
      <c r="H3098" s="3" t="s">
        <v>83</v>
      </c>
      <c r="I3098" s="3" t="s">
        <v>715</v>
      </c>
      <c r="J3098" s="3" t="s">
        <v>147</v>
      </c>
      <c r="K3098" s="3">
        <v>3</v>
      </c>
      <c r="L3098" s="3">
        <v>23250.38</v>
      </c>
      <c r="M3098" s="3">
        <v>69751.14</v>
      </c>
      <c r="N3098" s="3">
        <v>48617.54</v>
      </c>
      <c r="O3098" s="3">
        <v>21133.599999999999</v>
      </c>
      <c r="P3098" s="3" t="s">
        <v>26</v>
      </c>
    </row>
    <row r="3099" spans="1:16" x14ac:dyDescent="0.35">
      <c r="A3099" s="3" t="s">
        <v>4507</v>
      </c>
      <c r="B3099" s="3" t="s">
        <v>696</v>
      </c>
      <c r="C3099" s="3" t="s">
        <v>82</v>
      </c>
      <c r="D3099" s="3" t="s">
        <v>38</v>
      </c>
      <c r="E3099" s="3" t="s">
        <v>39</v>
      </c>
      <c r="F3099" s="3" t="s">
        <v>40</v>
      </c>
      <c r="G3099" s="3" t="s">
        <v>51</v>
      </c>
      <c r="H3099" s="3" t="s">
        <v>77</v>
      </c>
      <c r="I3099" s="3" t="s">
        <v>956</v>
      </c>
      <c r="J3099" s="3" t="s">
        <v>106</v>
      </c>
      <c r="K3099" s="3">
        <v>7</v>
      </c>
      <c r="L3099" s="3">
        <v>11414.98</v>
      </c>
      <c r="M3099" s="3">
        <v>79904.86</v>
      </c>
      <c r="N3099" s="3">
        <v>63636.56</v>
      </c>
      <c r="O3099" s="3">
        <v>16268.3</v>
      </c>
      <c r="P3099" s="3" t="s">
        <v>26</v>
      </c>
    </row>
    <row r="3100" spans="1:16" x14ac:dyDescent="0.35">
      <c r="A3100" s="3" t="s">
        <v>4508</v>
      </c>
      <c r="B3100" s="3" t="s">
        <v>1159</v>
      </c>
      <c r="C3100" s="3" t="s">
        <v>29</v>
      </c>
      <c r="D3100" s="3" t="s">
        <v>90</v>
      </c>
      <c r="E3100" s="3" t="s">
        <v>97</v>
      </c>
      <c r="F3100" s="3" t="s">
        <v>98</v>
      </c>
      <c r="G3100" s="3" t="s">
        <v>22</v>
      </c>
      <c r="H3100" s="3" t="s">
        <v>93</v>
      </c>
      <c r="I3100" s="3" t="s">
        <v>2629</v>
      </c>
      <c r="J3100" s="3" t="s">
        <v>79</v>
      </c>
      <c r="K3100" s="3">
        <v>5</v>
      </c>
      <c r="L3100" s="3">
        <v>6960.9</v>
      </c>
      <c r="M3100" s="3">
        <v>34804.5</v>
      </c>
      <c r="N3100" s="3">
        <v>25810.21</v>
      </c>
      <c r="O3100" s="3">
        <v>8994.2900000000009</v>
      </c>
      <c r="P3100" s="3" t="s">
        <v>69</v>
      </c>
    </row>
    <row r="3101" spans="1:16" x14ac:dyDescent="0.35">
      <c r="A3101" s="3" t="s">
        <v>4509</v>
      </c>
      <c r="B3101" s="3" t="s">
        <v>629</v>
      </c>
      <c r="C3101" s="3" t="s">
        <v>29</v>
      </c>
      <c r="D3101" s="3" t="s">
        <v>38</v>
      </c>
      <c r="E3101" s="3" t="s">
        <v>104</v>
      </c>
      <c r="F3101" s="3" t="s">
        <v>104</v>
      </c>
      <c r="G3101" s="3" t="s">
        <v>30</v>
      </c>
      <c r="H3101" s="3" t="s">
        <v>73</v>
      </c>
      <c r="I3101" s="3" t="s">
        <v>2090</v>
      </c>
      <c r="J3101" s="3" t="s">
        <v>106</v>
      </c>
      <c r="K3101" s="3">
        <v>7</v>
      </c>
      <c r="L3101" s="3">
        <v>3326</v>
      </c>
      <c r="M3101" s="3">
        <v>23282</v>
      </c>
      <c r="N3101" s="3">
        <v>17393.349999999999</v>
      </c>
      <c r="O3101" s="3">
        <v>5888.65</v>
      </c>
      <c r="P3101" s="3" t="s">
        <v>45</v>
      </c>
    </row>
    <row r="3102" spans="1:16" x14ac:dyDescent="0.35">
      <c r="A3102" s="3" t="s">
        <v>4510</v>
      </c>
      <c r="B3102" s="3" t="s">
        <v>688</v>
      </c>
      <c r="C3102" s="3" t="s">
        <v>118</v>
      </c>
      <c r="D3102" s="3" t="s">
        <v>90</v>
      </c>
      <c r="E3102" s="3" t="s">
        <v>91</v>
      </c>
      <c r="F3102" s="3" t="s">
        <v>92</v>
      </c>
      <c r="G3102" s="3" t="s">
        <v>30</v>
      </c>
      <c r="H3102" s="3" t="s">
        <v>31</v>
      </c>
      <c r="I3102" s="3" t="s">
        <v>614</v>
      </c>
      <c r="J3102" s="3" t="s">
        <v>131</v>
      </c>
      <c r="K3102" s="3">
        <v>7</v>
      </c>
      <c r="L3102" s="3">
        <v>2874.34</v>
      </c>
      <c r="M3102" s="3">
        <v>20120.38</v>
      </c>
      <c r="N3102" s="3">
        <v>13241.76</v>
      </c>
      <c r="O3102" s="3">
        <v>6878.62</v>
      </c>
      <c r="P3102" s="3" t="s">
        <v>26</v>
      </c>
    </row>
    <row r="3103" spans="1:16" x14ac:dyDescent="0.35">
      <c r="A3103" s="3" t="s">
        <v>4511</v>
      </c>
      <c r="B3103" s="3" t="s">
        <v>1018</v>
      </c>
      <c r="C3103" s="3" t="s">
        <v>37</v>
      </c>
      <c r="D3103" s="3" t="s">
        <v>58</v>
      </c>
      <c r="E3103" s="3" t="s">
        <v>65</v>
      </c>
      <c r="F3103" s="3" t="s">
        <v>66</v>
      </c>
      <c r="G3103" s="3" t="s">
        <v>41</v>
      </c>
      <c r="H3103" s="3" t="s">
        <v>138</v>
      </c>
      <c r="I3103" s="3" t="s">
        <v>2863</v>
      </c>
      <c r="J3103" s="3" t="s">
        <v>161</v>
      </c>
      <c r="K3103" s="3">
        <v>3</v>
      </c>
      <c r="L3103" s="3">
        <v>17128.07</v>
      </c>
      <c r="M3103" s="3">
        <v>51384.21</v>
      </c>
      <c r="N3103" s="3">
        <v>41595.440000000002</v>
      </c>
      <c r="O3103" s="3">
        <v>9788.77</v>
      </c>
      <c r="P3103" s="3" t="s">
        <v>34</v>
      </c>
    </row>
    <row r="3104" spans="1:16" x14ac:dyDescent="0.35">
      <c r="A3104" s="3" t="s">
        <v>4512</v>
      </c>
      <c r="B3104" s="3" t="s">
        <v>310</v>
      </c>
      <c r="C3104" s="3" t="s">
        <v>37</v>
      </c>
      <c r="D3104" s="3" t="s">
        <v>90</v>
      </c>
      <c r="E3104" s="3" t="s">
        <v>91</v>
      </c>
      <c r="F3104" s="3" t="s">
        <v>92</v>
      </c>
      <c r="G3104" s="3" t="s">
        <v>51</v>
      </c>
      <c r="H3104" s="3" t="s">
        <v>52</v>
      </c>
      <c r="I3104" s="3" t="s">
        <v>427</v>
      </c>
      <c r="J3104" s="3" t="s">
        <v>147</v>
      </c>
      <c r="K3104" s="3">
        <v>5</v>
      </c>
      <c r="L3104" s="3">
        <v>26.39</v>
      </c>
      <c r="M3104" s="3">
        <v>131.94999999999999</v>
      </c>
      <c r="N3104" s="3">
        <v>51.44</v>
      </c>
      <c r="O3104" s="3">
        <v>80.510000000000005</v>
      </c>
      <c r="P3104" s="3" t="s">
        <v>86</v>
      </c>
    </row>
    <row r="3105" spans="1:16" x14ac:dyDescent="0.35">
      <c r="A3105" s="3" t="s">
        <v>4513</v>
      </c>
      <c r="B3105" s="3" t="s">
        <v>1053</v>
      </c>
      <c r="C3105" s="3" t="s">
        <v>82</v>
      </c>
      <c r="D3105" s="3" t="s">
        <v>38</v>
      </c>
      <c r="E3105" s="3" t="s">
        <v>109</v>
      </c>
      <c r="F3105" s="3" t="s">
        <v>110</v>
      </c>
      <c r="G3105" s="3" t="s">
        <v>22</v>
      </c>
      <c r="H3105" s="3" t="s">
        <v>23</v>
      </c>
      <c r="I3105" s="3" t="s">
        <v>3898</v>
      </c>
      <c r="J3105" s="3" t="s">
        <v>25</v>
      </c>
      <c r="K3105" s="3">
        <v>1</v>
      </c>
      <c r="L3105" s="3">
        <v>3414.43</v>
      </c>
      <c r="M3105" s="3">
        <v>3414.43</v>
      </c>
      <c r="N3105" s="3">
        <v>2245.11</v>
      </c>
      <c r="O3105" s="3">
        <v>1169.32</v>
      </c>
      <c r="P3105" s="3" t="s">
        <v>86</v>
      </c>
    </row>
    <row r="3106" spans="1:16" x14ac:dyDescent="0.35">
      <c r="A3106" s="3" t="s">
        <v>4514</v>
      </c>
      <c r="B3106" s="3" t="s">
        <v>1898</v>
      </c>
      <c r="C3106" s="3" t="s">
        <v>29</v>
      </c>
      <c r="D3106" s="3" t="s">
        <v>58</v>
      </c>
      <c r="E3106" s="3" t="s">
        <v>176</v>
      </c>
      <c r="F3106" s="3" t="s">
        <v>177</v>
      </c>
      <c r="G3106" s="3" t="s">
        <v>30</v>
      </c>
      <c r="H3106" s="3" t="s">
        <v>73</v>
      </c>
      <c r="I3106" s="3" t="s">
        <v>630</v>
      </c>
      <c r="J3106" s="3" t="s">
        <v>188</v>
      </c>
      <c r="K3106" s="3">
        <v>5</v>
      </c>
      <c r="L3106" s="3">
        <v>3452.29</v>
      </c>
      <c r="M3106" s="3">
        <v>17261.45</v>
      </c>
      <c r="N3106" s="3">
        <v>12219.96</v>
      </c>
      <c r="O3106" s="3">
        <v>5041.49</v>
      </c>
      <c r="P3106" s="3" t="s">
        <v>45</v>
      </c>
    </row>
    <row r="3107" spans="1:16" x14ac:dyDescent="0.35">
      <c r="A3107" s="3" t="s">
        <v>4515</v>
      </c>
      <c r="B3107" s="3" t="s">
        <v>203</v>
      </c>
      <c r="C3107" s="3" t="s">
        <v>48</v>
      </c>
      <c r="D3107" s="3" t="s">
        <v>38</v>
      </c>
      <c r="E3107" s="3" t="s">
        <v>104</v>
      </c>
      <c r="F3107" s="3" t="s">
        <v>104</v>
      </c>
      <c r="G3107" s="3" t="s">
        <v>41</v>
      </c>
      <c r="H3107" s="3" t="s">
        <v>42</v>
      </c>
      <c r="I3107" s="3" t="s">
        <v>1598</v>
      </c>
      <c r="J3107" s="3" t="s">
        <v>171</v>
      </c>
      <c r="K3107" s="3">
        <v>3</v>
      </c>
      <c r="L3107" s="3">
        <v>44139.46</v>
      </c>
      <c r="M3107" s="3">
        <v>132418.38</v>
      </c>
      <c r="N3107" s="3">
        <v>103909.84</v>
      </c>
      <c r="O3107" s="3">
        <v>28508.54</v>
      </c>
      <c r="P3107" s="3" t="s">
        <v>45</v>
      </c>
    </row>
    <row r="3108" spans="1:16" x14ac:dyDescent="0.35">
      <c r="A3108" s="3" t="s">
        <v>4516</v>
      </c>
      <c r="B3108" s="3" t="s">
        <v>580</v>
      </c>
      <c r="C3108" s="3" t="s">
        <v>57</v>
      </c>
      <c r="D3108" s="3" t="s">
        <v>19</v>
      </c>
      <c r="E3108" s="3" t="s">
        <v>49</v>
      </c>
      <c r="F3108" s="3" t="s">
        <v>50</v>
      </c>
      <c r="G3108" s="3" t="s">
        <v>41</v>
      </c>
      <c r="H3108" s="3" t="s">
        <v>42</v>
      </c>
      <c r="I3108" s="3" t="s">
        <v>4517</v>
      </c>
      <c r="J3108" s="3" t="s">
        <v>154</v>
      </c>
      <c r="K3108" s="3">
        <v>4</v>
      </c>
      <c r="L3108" s="3">
        <v>42562.85</v>
      </c>
      <c r="M3108" s="3">
        <v>170251.4</v>
      </c>
      <c r="N3108" s="3">
        <v>144982.79</v>
      </c>
      <c r="O3108" s="3">
        <v>25268.61</v>
      </c>
      <c r="P3108" s="3" t="s">
        <v>34</v>
      </c>
    </row>
    <row r="3109" spans="1:16" x14ac:dyDescent="0.35">
      <c r="A3109" s="3" t="s">
        <v>4518</v>
      </c>
      <c r="B3109" s="3" t="s">
        <v>1698</v>
      </c>
      <c r="C3109" s="3" t="s">
        <v>18</v>
      </c>
      <c r="D3109" s="3" t="s">
        <v>90</v>
      </c>
      <c r="E3109" s="3" t="s">
        <v>97</v>
      </c>
      <c r="F3109" s="3" t="s">
        <v>98</v>
      </c>
      <c r="G3109" s="3" t="s">
        <v>22</v>
      </c>
      <c r="H3109" s="3" t="s">
        <v>93</v>
      </c>
      <c r="I3109" s="3" t="s">
        <v>2151</v>
      </c>
      <c r="J3109" s="3" t="s">
        <v>171</v>
      </c>
      <c r="K3109" s="3">
        <v>3</v>
      </c>
      <c r="L3109" s="3">
        <v>6587.52</v>
      </c>
      <c r="M3109" s="3">
        <v>19762.560000000001</v>
      </c>
      <c r="N3109" s="3">
        <v>15678.1</v>
      </c>
      <c r="O3109" s="3">
        <v>4084.46</v>
      </c>
      <c r="P3109" s="3" t="s">
        <v>86</v>
      </c>
    </row>
    <row r="3110" spans="1:16" x14ac:dyDescent="0.35">
      <c r="A3110" s="3" t="s">
        <v>4519</v>
      </c>
      <c r="B3110" s="3" t="s">
        <v>76</v>
      </c>
      <c r="C3110" s="3" t="s">
        <v>48</v>
      </c>
      <c r="D3110" s="3" t="s">
        <v>58</v>
      </c>
      <c r="E3110" s="3" t="s">
        <v>176</v>
      </c>
      <c r="F3110" s="3" t="s">
        <v>177</v>
      </c>
      <c r="G3110" s="3" t="s">
        <v>41</v>
      </c>
      <c r="H3110" s="3" t="s">
        <v>42</v>
      </c>
      <c r="I3110" s="3" t="s">
        <v>2787</v>
      </c>
      <c r="J3110" s="3" t="s">
        <v>154</v>
      </c>
      <c r="K3110" s="3">
        <v>6</v>
      </c>
      <c r="L3110" s="3">
        <v>40577.410000000003</v>
      </c>
      <c r="M3110" s="3">
        <v>243464.46</v>
      </c>
      <c r="N3110" s="3">
        <v>208794.03</v>
      </c>
      <c r="O3110" s="3">
        <v>34670.43</v>
      </c>
      <c r="P3110" s="3" t="s">
        <v>69</v>
      </c>
    </row>
    <row r="3111" spans="1:16" x14ac:dyDescent="0.35">
      <c r="A3111" s="3" t="s">
        <v>4520</v>
      </c>
      <c r="B3111" s="3" t="s">
        <v>1727</v>
      </c>
      <c r="C3111" s="3" t="s">
        <v>89</v>
      </c>
      <c r="D3111" s="3" t="s">
        <v>90</v>
      </c>
      <c r="E3111" s="3" t="s">
        <v>119</v>
      </c>
      <c r="F3111" s="3" t="s">
        <v>120</v>
      </c>
      <c r="G3111" s="3" t="s">
        <v>22</v>
      </c>
      <c r="H3111" s="3" t="s">
        <v>93</v>
      </c>
      <c r="I3111" s="3" t="s">
        <v>2960</v>
      </c>
      <c r="J3111" s="3" t="s">
        <v>100</v>
      </c>
      <c r="K3111" s="3">
        <v>1</v>
      </c>
      <c r="L3111" s="3">
        <v>7003.01</v>
      </c>
      <c r="M3111" s="3">
        <v>7003.01</v>
      </c>
      <c r="N3111" s="3">
        <v>5244.35</v>
      </c>
      <c r="O3111" s="3">
        <v>1758.66</v>
      </c>
      <c r="P3111" s="3" t="s">
        <v>45</v>
      </c>
    </row>
    <row r="3112" spans="1:16" x14ac:dyDescent="0.35">
      <c r="A3112" s="3" t="s">
        <v>4521</v>
      </c>
      <c r="B3112" s="3" t="s">
        <v>1276</v>
      </c>
      <c r="C3112" s="3" t="s">
        <v>37</v>
      </c>
      <c r="D3112" s="3" t="s">
        <v>19</v>
      </c>
      <c r="E3112" s="3" t="s">
        <v>20</v>
      </c>
      <c r="F3112" s="3" t="s">
        <v>21</v>
      </c>
      <c r="G3112" s="3" t="s">
        <v>22</v>
      </c>
      <c r="H3112" s="3" t="s">
        <v>83</v>
      </c>
      <c r="I3112" s="3" t="s">
        <v>3607</v>
      </c>
      <c r="J3112" s="3" t="s">
        <v>106</v>
      </c>
      <c r="K3112" s="3">
        <v>4</v>
      </c>
      <c r="L3112" s="3">
        <v>21970.44</v>
      </c>
      <c r="M3112" s="3">
        <v>87881.76</v>
      </c>
      <c r="N3112" s="3">
        <v>68092.62</v>
      </c>
      <c r="O3112" s="3">
        <v>19789.14</v>
      </c>
      <c r="P3112" s="3" t="s">
        <v>86</v>
      </c>
    </row>
    <row r="3113" spans="1:16" x14ac:dyDescent="0.35">
      <c r="A3113" s="3" t="s">
        <v>4522</v>
      </c>
      <c r="B3113" s="3" t="s">
        <v>1429</v>
      </c>
      <c r="C3113" s="3" t="s">
        <v>89</v>
      </c>
      <c r="D3113" s="3" t="s">
        <v>38</v>
      </c>
      <c r="E3113" s="3" t="s">
        <v>104</v>
      </c>
      <c r="F3113" s="3" t="s">
        <v>104</v>
      </c>
      <c r="G3113" s="3" t="s">
        <v>51</v>
      </c>
      <c r="H3113" s="3" t="s">
        <v>145</v>
      </c>
      <c r="I3113" s="3" t="s">
        <v>983</v>
      </c>
      <c r="J3113" s="3" t="s">
        <v>54</v>
      </c>
      <c r="K3113" s="3">
        <v>6</v>
      </c>
      <c r="L3113" s="3">
        <v>127.14</v>
      </c>
      <c r="M3113" s="3">
        <v>762.84</v>
      </c>
      <c r="N3113" s="3">
        <v>353.8</v>
      </c>
      <c r="O3113" s="3">
        <v>409.04</v>
      </c>
      <c r="P3113" s="3" t="s">
        <v>34</v>
      </c>
    </row>
    <row r="3114" spans="1:16" x14ac:dyDescent="0.35">
      <c r="A3114" s="3" t="s">
        <v>4523</v>
      </c>
      <c r="B3114" s="3" t="s">
        <v>807</v>
      </c>
      <c r="C3114" s="3" t="s">
        <v>72</v>
      </c>
      <c r="D3114" s="3" t="s">
        <v>38</v>
      </c>
      <c r="E3114" s="3" t="s">
        <v>39</v>
      </c>
      <c r="F3114" s="3" t="s">
        <v>40</v>
      </c>
      <c r="G3114" s="3" t="s">
        <v>51</v>
      </c>
      <c r="H3114" s="3" t="s">
        <v>52</v>
      </c>
      <c r="I3114" s="3" t="s">
        <v>1767</v>
      </c>
      <c r="J3114" s="3" t="s">
        <v>147</v>
      </c>
      <c r="K3114" s="3">
        <v>1</v>
      </c>
      <c r="L3114" s="3">
        <v>24.4</v>
      </c>
      <c r="M3114" s="3">
        <v>24.4</v>
      </c>
      <c r="N3114" s="3">
        <v>9.83</v>
      </c>
      <c r="O3114" s="3">
        <v>14.57</v>
      </c>
      <c r="P3114" s="3" t="s">
        <v>45</v>
      </c>
    </row>
    <row r="3115" spans="1:16" x14ac:dyDescent="0.35">
      <c r="A3115" s="3" t="s">
        <v>4524</v>
      </c>
      <c r="B3115" s="3" t="s">
        <v>1095</v>
      </c>
      <c r="C3115" s="3" t="s">
        <v>103</v>
      </c>
      <c r="D3115" s="3" t="s">
        <v>58</v>
      </c>
      <c r="E3115" s="3" t="s">
        <v>65</v>
      </c>
      <c r="F3115" s="3" t="s">
        <v>66</v>
      </c>
      <c r="G3115" s="3" t="s">
        <v>30</v>
      </c>
      <c r="H3115" s="3" t="s">
        <v>73</v>
      </c>
      <c r="I3115" s="3" t="s">
        <v>3607</v>
      </c>
      <c r="J3115" s="3" t="s">
        <v>217</v>
      </c>
      <c r="K3115" s="3">
        <v>2</v>
      </c>
      <c r="L3115" s="3">
        <v>3005.16</v>
      </c>
      <c r="M3115" s="3">
        <v>6010.32</v>
      </c>
      <c r="N3115" s="3">
        <v>4918.3</v>
      </c>
      <c r="O3115" s="3">
        <v>1092.02</v>
      </c>
      <c r="P3115" s="3" t="s">
        <v>45</v>
      </c>
    </row>
    <row r="3116" spans="1:16" x14ac:dyDescent="0.35">
      <c r="A3116" s="3" t="s">
        <v>4525</v>
      </c>
      <c r="B3116" s="3" t="s">
        <v>1823</v>
      </c>
      <c r="C3116" s="3" t="s">
        <v>118</v>
      </c>
      <c r="D3116" s="3" t="s">
        <v>90</v>
      </c>
      <c r="E3116" s="3" t="s">
        <v>119</v>
      </c>
      <c r="F3116" s="3" t="s">
        <v>120</v>
      </c>
      <c r="G3116" s="3" t="s">
        <v>41</v>
      </c>
      <c r="H3116" s="3" t="s">
        <v>42</v>
      </c>
      <c r="I3116" s="3" t="s">
        <v>2863</v>
      </c>
      <c r="J3116" s="3" t="s">
        <v>147</v>
      </c>
      <c r="K3116" s="3">
        <v>4</v>
      </c>
      <c r="L3116" s="3">
        <v>47123.02</v>
      </c>
      <c r="M3116" s="3">
        <v>188492.08</v>
      </c>
      <c r="N3116" s="3">
        <v>134812.82</v>
      </c>
      <c r="O3116" s="3">
        <v>53679.26</v>
      </c>
      <c r="P3116" s="3" t="s">
        <v>34</v>
      </c>
    </row>
    <row r="3117" spans="1:16" x14ac:dyDescent="0.35">
      <c r="A3117" s="3" t="s">
        <v>4526</v>
      </c>
      <c r="B3117" s="3" t="s">
        <v>1042</v>
      </c>
      <c r="C3117" s="3" t="s">
        <v>118</v>
      </c>
      <c r="D3117" s="3" t="s">
        <v>19</v>
      </c>
      <c r="E3117" s="3" t="s">
        <v>20</v>
      </c>
      <c r="F3117" s="3" t="s">
        <v>21</v>
      </c>
      <c r="G3117" s="3" t="s">
        <v>22</v>
      </c>
      <c r="H3117" s="3" t="s">
        <v>83</v>
      </c>
      <c r="I3117" s="3" t="s">
        <v>1059</v>
      </c>
      <c r="J3117" s="3" t="s">
        <v>33</v>
      </c>
      <c r="K3117" s="3">
        <v>6</v>
      </c>
      <c r="L3117" s="3">
        <v>19903.48</v>
      </c>
      <c r="M3117" s="3">
        <v>119420.88</v>
      </c>
      <c r="N3117" s="3">
        <v>105083.9</v>
      </c>
      <c r="O3117" s="3">
        <v>14336.98</v>
      </c>
      <c r="P3117" s="3" t="s">
        <v>26</v>
      </c>
    </row>
    <row r="3118" spans="1:16" x14ac:dyDescent="0.35">
      <c r="A3118" s="3" t="s">
        <v>4527</v>
      </c>
      <c r="B3118" s="3" t="s">
        <v>330</v>
      </c>
      <c r="C3118" s="3" t="s">
        <v>18</v>
      </c>
      <c r="D3118" s="3" t="s">
        <v>19</v>
      </c>
      <c r="E3118" s="3" t="s">
        <v>49</v>
      </c>
      <c r="F3118" s="3" t="s">
        <v>50</v>
      </c>
      <c r="G3118" s="3" t="s">
        <v>30</v>
      </c>
      <c r="H3118" s="3" t="s">
        <v>67</v>
      </c>
      <c r="I3118" s="3" t="s">
        <v>1351</v>
      </c>
      <c r="J3118" s="3" t="s">
        <v>161</v>
      </c>
      <c r="K3118" s="3">
        <v>5</v>
      </c>
      <c r="L3118" s="3">
        <v>8608.07</v>
      </c>
      <c r="M3118" s="3">
        <v>43040.35</v>
      </c>
      <c r="N3118" s="3">
        <v>36590.32</v>
      </c>
      <c r="O3118" s="3">
        <v>6450.03</v>
      </c>
      <c r="P3118" s="3" t="s">
        <v>86</v>
      </c>
    </row>
    <row r="3119" spans="1:16" x14ac:dyDescent="0.35">
      <c r="A3119" s="3" t="s">
        <v>4528</v>
      </c>
      <c r="B3119" s="3" t="s">
        <v>861</v>
      </c>
      <c r="C3119" s="3" t="s">
        <v>137</v>
      </c>
      <c r="D3119" s="3" t="s">
        <v>38</v>
      </c>
      <c r="E3119" s="3" t="s">
        <v>39</v>
      </c>
      <c r="F3119" s="3" t="s">
        <v>40</v>
      </c>
      <c r="G3119" s="3" t="s">
        <v>30</v>
      </c>
      <c r="H3119" s="3" t="s">
        <v>67</v>
      </c>
      <c r="I3119" s="3" t="s">
        <v>983</v>
      </c>
      <c r="J3119" s="3" t="s">
        <v>161</v>
      </c>
      <c r="K3119" s="3">
        <v>3</v>
      </c>
      <c r="L3119" s="3">
        <v>9143.17</v>
      </c>
      <c r="M3119" s="3">
        <v>27429.51</v>
      </c>
      <c r="N3119" s="3">
        <v>22458.52</v>
      </c>
      <c r="O3119" s="3">
        <v>4970.99</v>
      </c>
      <c r="P3119" s="3" t="s">
        <v>69</v>
      </c>
    </row>
    <row r="3120" spans="1:16" x14ac:dyDescent="0.35">
      <c r="A3120" s="3" t="s">
        <v>4529</v>
      </c>
      <c r="B3120" s="3" t="s">
        <v>2870</v>
      </c>
      <c r="C3120" s="3" t="s">
        <v>118</v>
      </c>
      <c r="D3120" s="3" t="s">
        <v>58</v>
      </c>
      <c r="E3120" s="3" t="s">
        <v>59</v>
      </c>
      <c r="F3120" s="3" t="s">
        <v>60</v>
      </c>
      <c r="G3120" s="3" t="s">
        <v>51</v>
      </c>
      <c r="H3120" s="3" t="s">
        <v>77</v>
      </c>
      <c r="I3120" s="3" t="s">
        <v>845</v>
      </c>
      <c r="J3120" s="3" t="s">
        <v>188</v>
      </c>
      <c r="K3120" s="3">
        <v>5</v>
      </c>
      <c r="L3120" s="3">
        <v>11311.16</v>
      </c>
      <c r="M3120" s="3">
        <v>56555.8</v>
      </c>
      <c r="N3120" s="3">
        <v>46266.54</v>
      </c>
      <c r="O3120" s="3">
        <v>10289.26</v>
      </c>
      <c r="P3120" s="3" t="s">
        <v>26</v>
      </c>
    </row>
    <row r="3121" spans="1:16" x14ac:dyDescent="0.35">
      <c r="A3121" s="3" t="s">
        <v>4530</v>
      </c>
      <c r="B3121" s="3" t="s">
        <v>381</v>
      </c>
      <c r="C3121" s="3" t="s">
        <v>18</v>
      </c>
      <c r="D3121" s="3" t="s">
        <v>58</v>
      </c>
      <c r="E3121" s="3" t="s">
        <v>59</v>
      </c>
      <c r="F3121" s="3" t="s">
        <v>60</v>
      </c>
      <c r="G3121" s="3" t="s">
        <v>22</v>
      </c>
      <c r="H3121" s="3" t="s">
        <v>93</v>
      </c>
      <c r="I3121" s="3" t="s">
        <v>3366</v>
      </c>
      <c r="J3121" s="3" t="s">
        <v>54</v>
      </c>
      <c r="K3121" s="3">
        <v>5</v>
      </c>
      <c r="L3121" s="3">
        <v>6503.08</v>
      </c>
      <c r="M3121" s="3">
        <v>32515.4</v>
      </c>
      <c r="N3121" s="3">
        <v>24746.17</v>
      </c>
      <c r="O3121" s="3">
        <v>7769.23</v>
      </c>
      <c r="P3121" s="3" t="s">
        <v>45</v>
      </c>
    </row>
    <row r="3122" spans="1:16" x14ac:dyDescent="0.35">
      <c r="A3122" s="3" t="s">
        <v>4531</v>
      </c>
      <c r="B3122" s="3" t="s">
        <v>367</v>
      </c>
      <c r="C3122" s="3" t="s">
        <v>29</v>
      </c>
      <c r="D3122" s="3" t="s">
        <v>19</v>
      </c>
      <c r="E3122" s="3" t="s">
        <v>20</v>
      </c>
      <c r="F3122" s="3" t="s">
        <v>21</v>
      </c>
      <c r="G3122" s="3" t="s">
        <v>22</v>
      </c>
      <c r="H3122" s="3" t="s">
        <v>23</v>
      </c>
      <c r="I3122" s="3" t="s">
        <v>105</v>
      </c>
      <c r="J3122" s="3" t="s">
        <v>161</v>
      </c>
      <c r="K3122" s="3">
        <v>1</v>
      </c>
      <c r="L3122" s="3">
        <v>3338.84</v>
      </c>
      <c r="M3122" s="3">
        <v>3338.84</v>
      </c>
      <c r="N3122" s="3">
        <v>2229.9299999999998</v>
      </c>
      <c r="O3122" s="3">
        <v>1108.9100000000001</v>
      </c>
      <c r="P3122" s="3" t="s">
        <v>34</v>
      </c>
    </row>
    <row r="3123" spans="1:16" x14ac:dyDescent="0.35">
      <c r="A3123" s="3" t="s">
        <v>4532</v>
      </c>
      <c r="B3123" s="3" t="s">
        <v>71</v>
      </c>
      <c r="C3123" s="3" t="s">
        <v>72</v>
      </c>
      <c r="D3123" s="3" t="s">
        <v>19</v>
      </c>
      <c r="E3123" s="3" t="s">
        <v>49</v>
      </c>
      <c r="F3123" s="3" t="s">
        <v>50</v>
      </c>
      <c r="G3123" s="3" t="s">
        <v>30</v>
      </c>
      <c r="H3123" s="3" t="s">
        <v>73</v>
      </c>
      <c r="I3123" s="3" t="s">
        <v>1493</v>
      </c>
      <c r="J3123" s="3" t="s">
        <v>217</v>
      </c>
      <c r="K3123" s="3">
        <v>4</v>
      </c>
      <c r="L3123" s="3">
        <v>3156.92</v>
      </c>
      <c r="M3123" s="3">
        <v>12627.68</v>
      </c>
      <c r="N3123" s="3">
        <v>9648.75</v>
      </c>
      <c r="O3123" s="3">
        <v>2978.93</v>
      </c>
      <c r="P3123" s="3" t="s">
        <v>34</v>
      </c>
    </row>
    <row r="3124" spans="1:16" x14ac:dyDescent="0.35">
      <c r="A3124" s="3" t="s">
        <v>4533</v>
      </c>
      <c r="B3124" s="3" t="s">
        <v>1552</v>
      </c>
      <c r="C3124" s="3" t="s">
        <v>114</v>
      </c>
      <c r="D3124" s="3" t="s">
        <v>19</v>
      </c>
      <c r="E3124" s="3" t="s">
        <v>199</v>
      </c>
      <c r="F3124" s="3" t="s">
        <v>200</v>
      </c>
      <c r="G3124" s="3" t="s">
        <v>30</v>
      </c>
      <c r="H3124" s="3" t="s">
        <v>31</v>
      </c>
      <c r="I3124" s="3" t="s">
        <v>3055</v>
      </c>
      <c r="J3124" s="3" t="s">
        <v>100</v>
      </c>
      <c r="K3124" s="3">
        <v>5</v>
      </c>
      <c r="L3124" s="3">
        <v>2930.78</v>
      </c>
      <c r="M3124" s="3">
        <v>14653.9</v>
      </c>
      <c r="N3124" s="3">
        <v>9057.14</v>
      </c>
      <c r="O3124" s="3">
        <v>5596.76</v>
      </c>
      <c r="P3124" s="3" t="s">
        <v>45</v>
      </c>
    </row>
    <row r="3125" spans="1:16" x14ac:dyDescent="0.35">
      <c r="A3125" s="3" t="s">
        <v>4534</v>
      </c>
      <c r="B3125" s="3" t="s">
        <v>733</v>
      </c>
      <c r="C3125" s="3" t="s">
        <v>89</v>
      </c>
      <c r="D3125" s="3" t="s">
        <v>19</v>
      </c>
      <c r="E3125" s="3" t="s">
        <v>199</v>
      </c>
      <c r="F3125" s="3" t="s">
        <v>200</v>
      </c>
      <c r="G3125" s="3" t="s">
        <v>51</v>
      </c>
      <c r="H3125" s="3" t="s">
        <v>52</v>
      </c>
      <c r="I3125" s="3" t="s">
        <v>1549</v>
      </c>
      <c r="J3125" s="3" t="s">
        <v>106</v>
      </c>
      <c r="K3125" s="3">
        <v>4</v>
      </c>
      <c r="L3125" s="3">
        <v>24.45</v>
      </c>
      <c r="M3125" s="3">
        <v>97.8</v>
      </c>
      <c r="N3125" s="3">
        <v>39.94</v>
      </c>
      <c r="O3125" s="3">
        <v>57.86</v>
      </c>
      <c r="P3125" s="3" t="s">
        <v>45</v>
      </c>
    </row>
    <row r="3126" spans="1:16" x14ac:dyDescent="0.35">
      <c r="A3126" s="3" t="s">
        <v>4535</v>
      </c>
      <c r="B3126" s="3" t="s">
        <v>1089</v>
      </c>
      <c r="C3126" s="3" t="s">
        <v>48</v>
      </c>
      <c r="D3126" s="3" t="s">
        <v>38</v>
      </c>
      <c r="E3126" s="3" t="s">
        <v>39</v>
      </c>
      <c r="F3126" s="3" t="s">
        <v>40</v>
      </c>
      <c r="G3126" s="3" t="s">
        <v>51</v>
      </c>
      <c r="H3126" s="3" t="s">
        <v>52</v>
      </c>
      <c r="I3126" s="3" t="s">
        <v>810</v>
      </c>
      <c r="J3126" s="3" t="s">
        <v>79</v>
      </c>
      <c r="K3126" s="3">
        <v>6</v>
      </c>
      <c r="L3126" s="3">
        <v>22.82</v>
      </c>
      <c r="M3126" s="3">
        <v>136.91999999999999</v>
      </c>
      <c r="N3126" s="3">
        <v>61.65</v>
      </c>
      <c r="O3126" s="3">
        <v>75.27</v>
      </c>
      <c r="P3126" s="3" t="s">
        <v>34</v>
      </c>
    </row>
    <row r="3127" spans="1:16" x14ac:dyDescent="0.35">
      <c r="A3127" s="3" t="s">
        <v>4536</v>
      </c>
      <c r="B3127" s="3" t="s">
        <v>738</v>
      </c>
      <c r="C3127" s="3" t="s">
        <v>114</v>
      </c>
      <c r="D3127" s="3" t="s">
        <v>58</v>
      </c>
      <c r="E3127" s="3" t="s">
        <v>176</v>
      </c>
      <c r="F3127" s="3" t="s">
        <v>177</v>
      </c>
      <c r="G3127" s="3" t="s">
        <v>51</v>
      </c>
      <c r="H3127" s="3" t="s">
        <v>145</v>
      </c>
      <c r="I3127" s="3" t="s">
        <v>453</v>
      </c>
      <c r="J3127" s="3" t="s">
        <v>85</v>
      </c>
      <c r="K3127" s="3">
        <v>7</v>
      </c>
      <c r="L3127" s="3">
        <v>114.77</v>
      </c>
      <c r="M3127" s="3">
        <v>803.39</v>
      </c>
      <c r="N3127" s="3">
        <v>414.48</v>
      </c>
      <c r="O3127" s="3">
        <v>388.91</v>
      </c>
      <c r="P3127" s="3" t="s">
        <v>45</v>
      </c>
    </row>
    <row r="3128" spans="1:16" x14ac:dyDescent="0.35">
      <c r="A3128" s="3" t="s">
        <v>4537</v>
      </c>
      <c r="B3128" s="3" t="s">
        <v>539</v>
      </c>
      <c r="C3128" s="3" t="s">
        <v>89</v>
      </c>
      <c r="D3128" s="3" t="s">
        <v>58</v>
      </c>
      <c r="E3128" s="3" t="s">
        <v>59</v>
      </c>
      <c r="F3128" s="3" t="s">
        <v>60</v>
      </c>
      <c r="G3128" s="3" t="s">
        <v>30</v>
      </c>
      <c r="H3128" s="3" t="s">
        <v>31</v>
      </c>
      <c r="I3128" s="3" t="s">
        <v>1022</v>
      </c>
      <c r="J3128" s="3" t="s">
        <v>25</v>
      </c>
      <c r="K3128" s="3">
        <v>7</v>
      </c>
      <c r="L3128" s="3">
        <v>2945.12</v>
      </c>
      <c r="M3128" s="3">
        <v>20615.84</v>
      </c>
      <c r="N3128" s="3">
        <v>13843.32</v>
      </c>
      <c r="O3128" s="3">
        <v>6772.52</v>
      </c>
      <c r="P3128" s="3" t="s">
        <v>45</v>
      </c>
    </row>
    <row r="3129" spans="1:16" x14ac:dyDescent="0.35">
      <c r="A3129" s="3" t="s">
        <v>4538</v>
      </c>
      <c r="B3129" s="3" t="s">
        <v>2688</v>
      </c>
      <c r="C3129" s="3" t="s">
        <v>48</v>
      </c>
      <c r="D3129" s="3" t="s">
        <v>19</v>
      </c>
      <c r="E3129" s="3" t="s">
        <v>20</v>
      </c>
      <c r="F3129" s="3" t="s">
        <v>21</v>
      </c>
      <c r="G3129" s="3" t="s">
        <v>51</v>
      </c>
      <c r="H3129" s="3" t="s">
        <v>145</v>
      </c>
      <c r="I3129" s="3" t="s">
        <v>124</v>
      </c>
      <c r="J3129" s="3" t="s">
        <v>154</v>
      </c>
      <c r="K3129" s="3">
        <v>8</v>
      </c>
      <c r="L3129" s="3">
        <v>114.85</v>
      </c>
      <c r="M3129" s="3">
        <v>918.8</v>
      </c>
      <c r="N3129" s="3">
        <v>502.56</v>
      </c>
      <c r="O3129" s="3">
        <v>416.24</v>
      </c>
      <c r="P3129" s="3" t="s">
        <v>45</v>
      </c>
    </row>
    <row r="3130" spans="1:16" x14ac:dyDescent="0.35">
      <c r="A3130" s="3" t="s">
        <v>4539</v>
      </c>
      <c r="B3130" s="3" t="s">
        <v>880</v>
      </c>
      <c r="C3130" s="3" t="s">
        <v>114</v>
      </c>
      <c r="D3130" s="3" t="s">
        <v>38</v>
      </c>
      <c r="E3130" s="3" t="s">
        <v>39</v>
      </c>
      <c r="F3130" s="3" t="s">
        <v>40</v>
      </c>
      <c r="G3130" s="3" t="s">
        <v>41</v>
      </c>
      <c r="H3130" s="3" t="s">
        <v>42</v>
      </c>
      <c r="I3130" s="3" t="s">
        <v>1957</v>
      </c>
      <c r="J3130" s="3" t="s">
        <v>85</v>
      </c>
      <c r="K3130" s="3">
        <v>7</v>
      </c>
      <c r="L3130" s="3">
        <v>44912.95</v>
      </c>
      <c r="M3130" s="3">
        <v>314390.65000000002</v>
      </c>
      <c r="N3130" s="3">
        <v>233513.96</v>
      </c>
      <c r="O3130" s="3">
        <v>80876.69</v>
      </c>
      <c r="P3130" s="3" t="s">
        <v>45</v>
      </c>
    </row>
    <row r="3131" spans="1:16" x14ac:dyDescent="0.35">
      <c r="A3131" s="3" t="s">
        <v>4540</v>
      </c>
      <c r="B3131" s="3" t="s">
        <v>291</v>
      </c>
      <c r="C3131" s="3" t="s">
        <v>48</v>
      </c>
      <c r="D3131" s="3" t="s">
        <v>90</v>
      </c>
      <c r="E3131" s="3" t="s">
        <v>91</v>
      </c>
      <c r="F3131" s="3" t="s">
        <v>92</v>
      </c>
      <c r="G3131" s="3" t="s">
        <v>30</v>
      </c>
      <c r="H3131" s="3" t="s">
        <v>31</v>
      </c>
      <c r="I3131" s="3" t="s">
        <v>1883</v>
      </c>
      <c r="J3131" s="3" t="s">
        <v>188</v>
      </c>
      <c r="K3131" s="3">
        <v>4</v>
      </c>
      <c r="L3131" s="3">
        <v>2520.23</v>
      </c>
      <c r="M3131" s="3">
        <v>10080.92</v>
      </c>
      <c r="N3131" s="3">
        <v>7836.42</v>
      </c>
      <c r="O3131" s="3">
        <v>2244.5</v>
      </c>
      <c r="P3131" s="3" t="s">
        <v>69</v>
      </c>
    </row>
    <row r="3132" spans="1:16" x14ac:dyDescent="0.35">
      <c r="A3132" s="3" t="s">
        <v>4541</v>
      </c>
      <c r="B3132" s="3" t="s">
        <v>1780</v>
      </c>
      <c r="C3132" s="3" t="s">
        <v>137</v>
      </c>
      <c r="D3132" s="3" t="s">
        <v>58</v>
      </c>
      <c r="E3132" s="3" t="s">
        <v>65</v>
      </c>
      <c r="F3132" s="3" t="s">
        <v>66</v>
      </c>
      <c r="G3132" s="3" t="s">
        <v>41</v>
      </c>
      <c r="H3132" s="3" t="s">
        <v>42</v>
      </c>
      <c r="I3132" s="3" t="s">
        <v>869</v>
      </c>
      <c r="J3132" s="3" t="s">
        <v>54</v>
      </c>
      <c r="K3132" s="3">
        <v>4</v>
      </c>
      <c r="L3132" s="3">
        <v>44341.57</v>
      </c>
      <c r="M3132" s="3">
        <v>177366.28</v>
      </c>
      <c r="N3132" s="3">
        <v>135413.67000000001</v>
      </c>
      <c r="O3132" s="3">
        <v>41952.61</v>
      </c>
      <c r="P3132" s="3" t="s">
        <v>34</v>
      </c>
    </row>
    <row r="3133" spans="1:16" x14ac:dyDescent="0.35">
      <c r="A3133" s="3" t="s">
        <v>4542</v>
      </c>
      <c r="B3133" s="3" t="s">
        <v>2580</v>
      </c>
      <c r="C3133" s="3" t="s">
        <v>37</v>
      </c>
      <c r="D3133" s="3" t="s">
        <v>58</v>
      </c>
      <c r="E3133" s="3" t="s">
        <v>65</v>
      </c>
      <c r="F3133" s="3" t="s">
        <v>66</v>
      </c>
      <c r="G3133" s="3" t="s">
        <v>30</v>
      </c>
      <c r="H3133" s="3" t="s">
        <v>73</v>
      </c>
      <c r="I3133" s="3" t="s">
        <v>377</v>
      </c>
      <c r="J3133" s="3" t="s">
        <v>217</v>
      </c>
      <c r="K3133" s="3">
        <v>6</v>
      </c>
      <c r="L3133" s="3">
        <v>3161.5</v>
      </c>
      <c r="M3133" s="3">
        <v>18969</v>
      </c>
      <c r="N3133" s="3">
        <v>13909.78</v>
      </c>
      <c r="O3133" s="3">
        <v>5059.22</v>
      </c>
      <c r="P3133" s="3" t="s">
        <v>26</v>
      </c>
    </row>
    <row r="3134" spans="1:16" x14ac:dyDescent="0.35">
      <c r="A3134" s="3" t="s">
        <v>4543</v>
      </c>
      <c r="B3134" s="3" t="s">
        <v>1704</v>
      </c>
      <c r="C3134" s="3" t="s">
        <v>48</v>
      </c>
      <c r="D3134" s="3" t="s">
        <v>19</v>
      </c>
      <c r="E3134" s="3" t="s">
        <v>199</v>
      </c>
      <c r="F3134" s="3" t="s">
        <v>200</v>
      </c>
      <c r="G3134" s="3" t="s">
        <v>30</v>
      </c>
      <c r="H3134" s="3" t="s">
        <v>73</v>
      </c>
      <c r="I3134" s="3" t="s">
        <v>2009</v>
      </c>
      <c r="J3134" s="3" t="s">
        <v>147</v>
      </c>
      <c r="K3134" s="3">
        <v>5</v>
      </c>
      <c r="L3134" s="3">
        <v>3294.89</v>
      </c>
      <c r="M3134" s="3">
        <v>16474.45</v>
      </c>
      <c r="N3134" s="3">
        <v>12150.09</v>
      </c>
      <c r="O3134" s="3">
        <v>4324.3599999999997</v>
      </c>
      <c r="P3134" s="3" t="s">
        <v>45</v>
      </c>
    </row>
    <row r="3135" spans="1:16" x14ac:dyDescent="0.35">
      <c r="A3135" s="3" t="s">
        <v>4544</v>
      </c>
      <c r="B3135" s="3" t="s">
        <v>1294</v>
      </c>
      <c r="C3135" s="3" t="s">
        <v>118</v>
      </c>
      <c r="D3135" s="3" t="s">
        <v>38</v>
      </c>
      <c r="E3135" s="3" t="s">
        <v>104</v>
      </c>
      <c r="F3135" s="3" t="s">
        <v>104</v>
      </c>
      <c r="G3135" s="3" t="s">
        <v>51</v>
      </c>
      <c r="H3135" s="3" t="s">
        <v>77</v>
      </c>
      <c r="I3135" s="3" t="s">
        <v>150</v>
      </c>
      <c r="J3135" s="3" t="s">
        <v>147</v>
      </c>
      <c r="K3135" s="3">
        <v>2</v>
      </c>
      <c r="L3135" s="3">
        <v>12065.81</v>
      </c>
      <c r="M3135" s="3">
        <v>24131.62</v>
      </c>
      <c r="N3135" s="3">
        <v>18261.990000000002</v>
      </c>
      <c r="O3135" s="3">
        <v>5869.63</v>
      </c>
      <c r="P3135" s="3" t="s">
        <v>34</v>
      </c>
    </row>
    <row r="3136" spans="1:16" x14ac:dyDescent="0.35">
      <c r="A3136" s="3" t="s">
        <v>4545</v>
      </c>
      <c r="B3136" s="3" t="s">
        <v>1299</v>
      </c>
      <c r="C3136" s="3" t="s">
        <v>82</v>
      </c>
      <c r="D3136" s="3" t="s">
        <v>90</v>
      </c>
      <c r="E3136" s="3" t="s">
        <v>119</v>
      </c>
      <c r="F3136" s="3" t="s">
        <v>120</v>
      </c>
      <c r="G3136" s="3" t="s">
        <v>51</v>
      </c>
      <c r="H3136" s="3" t="s">
        <v>145</v>
      </c>
      <c r="I3136" s="3" t="s">
        <v>2160</v>
      </c>
      <c r="J3136" s="3" t="s">
        <v>147</v>
      </c>
      <c r="K3136" s="3">
        <v>2</v>
      </c>
      <c r="L3136" s="3">
        <v>128.97999999999999</v>
      </c>
      <c r="M3136" s="3">
        <v>257.95999999999998</v>
      </c>
      <c r="N3136" s="3">
        <v>118.99</v>
      </c>
      <c r="O3136" s="3">
        <v>138.97</v>
      </c>
      <c r="P3136" s="3" t="s">
        <v>34</v>
      </c>
    </row>
    <row r="3137" spans="1:16" x14ac:dyDescent="0.35">
      <c r="A3137" s="3" t="s">
        <v>4546</v>
      </c>
      <c r="B3137" s="3" t="s">
        <v>624</v>
      </c>
      <c r="C3137" s="3" t="s">
        <v>18</v>
      </c>
      <c r="D3137" s="3" t="s">
        <v>38</v>
      </c>
      <c r="E3137" s="3" t="s">
        <v>39</v>
      </c>
      <c r="F3137" s="3" t="s">
        <v>40</v>
      </c>
      <c r="G3137" s="3" t="s">
        <v>22</v>
      </c>
      <c r="H3137" s="3" t="s">
        <v>93</v>
      </c>
      <c r="I3137" s="3" t="s">
        <v>2787</v>
      </c>
      <c r="J3137" s="3" t="s">
        <v>154</v>
      </c>
      <c r="K3137" s="3">
        <v>4</v>
      </c>
      <c r="L3137" s="3">
        <v>7664.68</v>
      </c>
      <c r="M3137" s="3">
        <v>30658.720000000001</v>
      </c>
      <c r="N3137" s="3">
        <v>19973.79</v>
      </c>
      <c r="O3137" s="3">
        <v>10684.93</v>
      </c>
      <c r="P3137" s="3" t="s">
        <v>45</v>
      </c>
    </row>
    <row r="3138" spans="1:16" x14ac:dyDescent="0.35">
      <c r="A3138" s="3" t="s">
        <v>4547</v>
      </c>
      <c r="B3138" s="3" t="s">
        <v>206</v>
      </c>
      <c r="C3138" s="3" t="s">
        <v>137</v>
      </c>
      <c r="D3138" s="3" t="s">
        <v>38</v>
      </c>
      <c r="E3138" s="3" t="s">
        <v>109</v>
      </c>
      <c r="F3138" s="3" t="s">
        <v>110</v>
      </c>
      <c r="G3138" s="3" t="s">
        <v>22</v>
      </c>
      <c r="H3138" s="3" t="s">
        <v>93</v>
      </c>
      <c r="I3138" s="3" t="s">
        <v>130</v>
      </c>
      <c r="J3138" s="3" t="s">
        <v>147</v>
      </c>
      <c r="K3138" s="3">
        <v>7</v>
      </c>
      <c r="L3138" s="3">
        <v>7126.59</v>
      </c>
      <c r="M3138" s="3">
        <v>49886.13</v>
      </c>
      <c r="N3138" s="3">
        <v>34385.86</v>
      </c>
      <c r="O3138" s="3">
        <v>15500.27</v>
      </c>
      <c r="P3138" s="3" t="s">
        <v>34</v>
      </c>
    </row>
    <row r="3139" spans="1:16" x14ac:dyDescent="0.35">
      <c r="A3139" s="3" t="s">
        <v>4548</v>
      </c>
      <c r="B3139" s="3" t="s">
        <v>1504</v>
      </c>
      <c r="C3139" s="3" t="s">
        <v>48</v>
      </c>
      <c r="D3139" s="3" t="s">
        <v>90</v>
      </c>
      <c r="E3139" s="3" t="s">
        <v>119</v>
      </c>
      <c r="F3139" s="3" t="s">
        <v>120</v>
      </c>
      <c r="G3139" s="3" t="s">
        <v>51</v>
      </c>
      <c r="H3139" s="3" t="s">
        <v>145</v>
      </c>
      <c r="I3139" s="3" t="s">
        <v>2598</v>
      </c>
      <c r="J3139" s="3" t="s">
        <v>154</v>
      </c>
      <c r="K3139" s="3">
        <v>1</v>
      </c>
      <c r="L3139" s="3">
        <v>116.08</v>
      </c>
      <c r="M3139" s="3">
        <v>116.08</v>
      </c>
      <c r="N3139" s="3">
        <v>60.37</v>
      </c>
      <c r="O3139" s="3">
        <v>55.71</v>
      </c>
      <c r="P3139" s="3" t="s">
        <v>26</v>
      </c>
    </row>
    <row r="3140" spans="1:16" x14ac:dyDescent="0.35">
      <c r="A3140" s="3" t="s">
        <v>4549</v>
      </c>
      <c r="B3140" s="3" t="s">
        <v>415</v>
      </c>
      <c r="C3140" s="3" t="s">
        <v>18</v>
      </c>
      <c r="D3140" s="3" t="s">
        <v>90</v>
      </c>
      <c r="E3140" s="3" t="s">
        <v>91</v>
      </c>
      <c r="F3140" s="3" t="s">
        <v>92</v>
      </c>
      <c r="G3140" s="3" t="s">
        <v>41</v>
      </c>
      <c r="H3140" s="3" t="s">
        <v>138</v>
      </c>
      <c r="I3140" s="3" t="s">
        <v>2228</v>
      </c>
      <c r="J3140" s="3" t="s">
        <v>161</v>
      </c>
      <c r="K3140" s="3">
        <v>5</v>
      </c>
      <c r="L3140" s="3">
        <v>18858.150000000001</v>
      </c>
      <c r="M3140" s="3">
        <v>94290.75</v>
      </c>
      <c r="N3140" s="3">
        <v>70474.080000000002</v>
      </c>
      <c r="O3140" s="3">
        <v>23816.67</v>
      </c>
      <c r="P3140" s="3" t="s">
        <v>34</v>
      </c>
    </row>
    <row r="3141" spans="1:16" x14ac:dyDescent="0.35">
      <c r="A3141" s="3" t="s">
        <v>4550</v>
      </c>
      <c r="B3141" s="3" t="s">
        <v>949</v>
      </c>
      <c r="C3141" s="3" t="s">
        <v>18</v>
      </c>
      <c r="D3141" s="3" t="s">
        <v>90</v>
      </c>
      <c r="E3141" s="3" t="s">
        <v>119</v>
      </c>
      <c r="F3141" s="3" t="s">
        <v>120</v>
      </c>
      <c r="G3141" s="3" t="s">
        <v>41</v>
      </c>
      <c r="H3141" s="3" t="s">
        <v>61</v>
      </c>
      <c r="I3141" s="3" t="s">
        <v>1175</v>
      </c>
      <c r="J3141" s="3" t="s">
        <v>44</v>
      </c>
      <c r="K3141" s="3">
        <v>2</v>
      </c>
      <c r="L3141" s="3">
        <v>2400.96</v>
      </c>
      <c r="M3141" s="3">
        <v>4801.92</v>
      </c>
      <c r="N3141" s="3">
        <v>3291.22</v>
      </c>
      <c r="O3141" s="3">
        <v>1510.7</v>
      </c>
      <c r="P3141" s="3" t="s">
        <v>45</v>
      </c>
    </row>
    <row r="3142" spans="1:16" x14ac:dyDescent="0.35">
      <c r="A3142" s="3" t="s">
        <v>4551</v>
      </c>
      <c r="B3142" s="3" t="s">
        <v>916</v>
      </c>
      <c r="C3142" s="3" t="s">
        <v>103</v>
      </c>
      <c r="D3142" s="3" t="s">
        <v>58</v>
      </c>
      <c r="E3142" s="3" t="s">
        <v>65</v>
      </c>
      <c r="F3142" s="3" t="s">
        <v>66</v>
      </c>
      <c r="G3142" s="3" t="s">
        <v>41</v>
      </c>
      <c r="H3142" s="3" t="s">
        <v>42</v>
      </c>
      <c r="I3142" s="3" t="s">
        <v>4552</v>
      </c>
      <c r="J3142" s="3" t="s">
        <v>106</v>
      </c>
      <c r="K3142" s="3">
        <v>2</v>
      </c>
      <c r="L3142" s="3">
        <v>49118.23</v>
      </c>
      <c r="M3142" s="3">
        <v>98236.46</v>
      </c>
      <c r="N3142" s="3">
        <v>67318.14</v>
      </c>
      <c r="O3142" s="3">
        <v>30918.32</v>
      </c>
      <c r="P3142" s="3" t="s">
        <v>34</v>
      </c>
    </row>
    <row r="3143" spans="1:16" x14ac:dyDescent="0.35">
      <c r="A3143" s="3" t="s">
        <v>4553</v>
      </c>
      <c r="B3143" s="3" t="s">
        <v>795</v>
      </c>
      <c r="C3143" s="3" t="s">
        <v>82</v>
      </c>
      <c r="D3143" s="3" t="s">
        <v>58</v>
      </c>
      <c r="E3143" s="3" t="s">
        <v>59</v>
      </c>
      <c r="F3143" s="3" t="s">
        <v>60</v>
      </c>
      <c r="G3143" s="3" t="s">
        <v>22</v>
      </c>
      <c r="H3143" s="3" t="s">
        <v>93</v>
      </c>
      <c r="I3143" s="3" t="s">
        <v>1715</v>
      </c>
      <c r="J3143" s="3" t="s">
        <v>85</v>
      </c>
      <c r="K3143" s="3">
        <v>6</v>
      </c>
      <c r="L3143" s="3">
        <v>7066</v>
      </c>
      <c r="M3143" s="3">
        <v>42396</v>
      </c>
      <c r="N3143" s="3">
        <v>30327.31</v>
      </c>
      <c r="O3143" s="3">
        <v>12068.69</v>
      </c>
      <c r="P3143" s="3" t="s">
        <v>34</v>
      </c>
    </row>
    <row r="3144" spans="1:16" x14ac:dyDescent="0.35">
      <c r="A3144" s="3" t="s">
        <v>4554</v>
      </c>
      <c r="B3144" s="3" t="s">
        <v>534</v>
      </c>
      <c r="C3144" s="3" t="s">
        <v>29</v>
      </c>
      <c r="D3144" s="3" t="s">
        <v>19</v>
      </c>
      <c r="E3144" s="3" t="s">
        <v>20</v>
      </c>
      <c r="F3144" s="3" t="s">
        <v>21</v>
      </c>
      <c r="G3144" s="3" t="s">
        <v>41</v>
      </c>
      <c r="H3144" s="3" t="s">
        <v>138</v>
      </c>
      <c r="I3144" s="3" t="s">
        <v>2038</v>
      </c>
      <c r="J3144" s="3" t="s">
        <v>131</v>
      </c>
      <c r="K3144" s="3">
        <v>7</v>
      </c>
      <c r="L3144" s="3">
        <v>17393.310000000001</v>
      </c>
      <c r="M3144" s="3">
        <v>121753.17</v>
      </c>
      <c r="N3144" s="3">
        <v>96503.02</v>
      </c>
      <c r="O3144" s="3">
        <v>25250.15</v>
      </c>
      <c r="P3144" s="3" t="s">
        <v>26</v>
      </c>
    </row>
    <row r="3145" spans="1:16" x14ac:dyDescent="0.35">
      <c r="A3145" s="3" t="s">
        <v>4555</v>
      </c>
      <c r="B3145" s="3" t="s">
        <v>856</v>
      </c>
      <c r="C3145" s="3" t="s">
        <v>103</v>
      </c>
      <c r="D3145" s="3" t="s">
        <v>90</v>
      </c>
      <c r="E3145" s="3" t="s">
        <v>91</v>
      </c>
      <c r="F3145" s="3" t="s">
        <v>92</v>
      </c>
      <c r="G3145" s="3" t="s">
        <v>30</v>
      </c>
      <c r="H3145" s="3" t="s">
        <v>67</v>
      </c>
      <c r="I3145" s="3" t="s">
        <v>4040</v>
      </c>
      <c r="J3145" s="3" t="s">
        <v>217</v>
      </c>
      <c r="K3145" s="3">
        <v>5</v>
      </c>
      <c r="L3145" s="3">
        <v>9682.85</v>
      </c>
      <c r="M3145" s="3">
        <v>48414.25</v>
      </c>
      <c r="N3145" s="3">
        <v>39797.4</v>
      </c>
      <c r="O3145" s="3">
        <v>8616.85</v>
      </c>
      <c r="P3145" s="3" t="s">
        <v>86</v>
      </c>
    </row>
    <row r="3146" spans="1:16" x14ac:dyDescent="0.35">
      <c r="A3146" s="3" t="s">
        <v>4556</v>
      </c>
      <c r="B3146" s="3" t="s">
        <v>2127</v>
      </c>
      <c r="C3146" s="3" t="s">
        <v>48</v>
      </c>
      <c r="D3146" s="3" t="s">
        <v>90</v>
      </c>
      <c r="E3146" s="3" t="s">
        <v>119</v>
      </c>
      <c r="F3146" s="3" t="s">
        <v>120</v>
      </c>
      <c r="G3146" s="3" t="s">
        <v>51</v>
      </c>
      <c r="H3146" s="3" t="s">
        <v>77</v>
      </c>
      <c r="I3146" s="3" t="s">
        <v>1277</v>
      </c>
      <c r="J3146" s="3" t="s">
        <v>161</v>
      </c>
      <c r="K3146" s="3">
        <v>5</v>
      </c>
      <c r="L3146" s="3">
        <v>11202.81</v>
      </c>
      <c r="M3146" s="3">
        <v>56014.05</v>
      </c>
      <c r="N3146" s="3">
        <v>45387.54</v>
      </c>
      <c r="O3146" s="3">
        <v>10626.51</v>
      </c>
      <c r="P3146" s="3" t="s">
        <v>26</v>
      </c>
    </row>
    <row r="3147" spans="1:16" x14ac:dyDescent="0.35">
      <c r="A3147" s="3" t="s">
        <v>4557</v>
      </c>
      <c r="B3147" s="3" t="s">
        <v>443</v>
      </c>
      <c r="C3147" s="3" t="s">
        <v>57</v>
      </c>
      <c r="D3147" s="3" t="s">
        <v>19</v>
      </c>
      <c r="E3147" s="3" t="s">
        <v>199</v>
      </c>
      <c r="F3147" s="3" t="s">
        <v>200</v>
      </c>
      <c r="G3147" s="3" t="s">
        <v>41</v>
      </c>
      <c r="H3147" s="3" t="s">
        <v>138</v>
      </c>
      <c r="I3147" s="3" t="s">
        <v>1318</v>
      </c>
      <c r="J3147" s="3" t="s">
        <v>161</v>
      </c>
      <c r="K3147" s="3">
        <v>1</v>
      </c>
      <c r="L3147" s="3">
        <v>18545.97</v>
      </c>
      <c r="M3147" s="3">
        <v>18545.97</v>
      </c>
      <c r="N3147" s="3">
        <v>13385.23</v>
      </c>
      <c r="O3147" s="3">
        <v>5160.74</v>
      </c>
      <c r="P3147" s="3" t="s">
        <v>26</v>
      </c>
    </row>
    <row r="3148" spans="1:16" x14ac:dyDescent="0.35">
      <c r="A3148" s="3" t="s">
        <v>4558</v>
      </c>
      <c r="B3148" s="3" t="s">
        <v>305</v>
      </c>
      <c r="C3148" s="3" t="s">
        <v>18</v>
      </c>
      <c r="D3148" s="3" t="s">
        <v>38</v>
      </c>
      <c r="E3148" s="3" t="s">
        <v>104</v>
      </c>
      <c r="F3148" s="3" t="s">
        <v>104</v>
      </c>
      <c r="G3148" s="3" t="s">
        <v>51</v>
      </c>
      <c r="H3148" s="3" t="s">
        <v>77</v>
      </c>
      <c r="I3148" s="3" t="s">
        <v>1164</v>
      </c>
      <c r="J3148" s="3" t="s">
        <v>154</v>
      </c>
      <c r="K3148" s="3">
        <v>4</v>
      </c>
      <c r="L3148" s="3">
        <v>12490.36</v>
      </c>
      <c r="M3148" s="3">
        <v>49961.440000000002</v>
      </c>
      <c r="N3148" s="3">
        <v>37708.559999999998</v>
      </c>
      <c r="O3148" s="3">
        <v>12252.88</v>
      </c>
      <c r="P3148" s="3" t="s">
        <v>34</v>
      </c>
    </row>
    <row r="3149" spans="1:16" x14ac:dyDescent="0.35">
      <c r="A3149" s="3" t="s">
        <v>4559</v>
      </c>
      <c r="B3149" s="3" t="s">
        <v>499</v>
      </c>
      <c r="C3149" s="3" t="s">
        <v>103</v>
      </c>
      <c r="D3149" s="3" t="s">
        <v>90</v>
      </c>
      <c r="E3149" s="3" t="s">
        <v>97</v>
      </c>
      <c r="F3149" s="3" t="s">
        <v>98</v>
      </c>
      <c r="G3149" s="3" t="s">
        <v>51</v>
      </c>
      <c r="H3149" s="3" t="s">
        <v>77</v>
      </c>
      <c r="I3149" s="3" t="s">
        <v>1986</v>
      </c>
      <c r="J3149" s="3" t="s">
        <v>161</v>
      </c>
      <c r="K3149" s="3">
        <v>5</v>
      </c>
      <c r="L3149" s="3">
        <v>12517.31</v>
      </c>
      <c r="M3149" s="3">
        <v>62586.55</v>
      </c>
      <c r="N3149" s="3">
        <v>45275.06</v>
      </c>
      <c r="O3149" s="3">
        <v>17311.490000000002</v>
      </c>
      <c r="P3149" s="3" t="s">
        <v>34</v>
      </c>
    </row>
    <row r="3150" spans="1:16" x14ac:dyDescent="0.35">
      <c r="A3150" s="3" t="s">
        <v>4560</v>
      </c>
      <c r="B3150" s="3" t="s">
        <v>2801</v>
      </c>
      <c r="C3150" s="3" t="s">
        <v>29</v>
      </c>
      <c r="D3150" s="3" t="s">
        <v>90</v>
      </c>
      <c r="E3150" s="3" t="s">
        <v>91</v>
      </c>
      <c r="F3150" s="3" t="s">
        <v>92</v>
      </c>
      <c r="G3150" s="3" t="s">
        <v>41</v>
      </c>
      <c r="H3150" s="3" t="s">
        <v>42</v>
      </c>
      <c r="I3150" s="3" t="s">
        <v>4351</v>
      </c>
      <c r="J3150" s="3" t="s">
        <v>33</v>
      </c>
      <c r="K3150" s="3">
        <v>8</v>
      </c>
      <c r="L3150" s="3">
        <v>42603.98</v>
      </c>
      <c r="M3150" s="3">
        <v>340831.84</v>
      </c>
      <c r="N3150" s="3">
        <v>266008.84999999998</v>
      </c>
      <c r="O3150" s="3">
        <v>74822.990000000005</v>
      </c>
      <c r="P3150" s="3" t="s">
        <v>45</v>
      </c>
    </row>
    <row r="3151" spans="1:16" x14ac:dyDescent="0.35">
      <c r="A3151" s="3" t="s">
        <v>4561</v>
      </c>
      <c r="B3151" s="3" t="s">
        <v>429</v>
      </c>
      <c r="C3151" s="3" t="s">
        <v>137</v>
      </c>
      <c r="D3151" s="3" t="s">
        <v>90</v>
      </c>
      <c r="E3151" s="3" t="s">
        <v>97</v>
      </c>
      <c r="F3151" s="3" t="s">
        <v>98</v>
      </c>
      <c r="G3151" s="3" t="s">
        <v>22</v>
      </c>
      <c r="H3151" s="3" t="s">
        <v>83</v>
      </c>
      <c r="I3151" s="3" t="s">
        <v>503</v>
      </c>
      <c r="J3151" s="3" t="s">
        <v>85</v>
      </c>
      <c r="K3151" s="3">
        <v>3</v>
      </c>
      <c r="L3151" s="3">
        <v>23247.33</v>
      </c>
      <c r="M3151" s="3">
        <v>69741.990000000005</v>
      </c>
      <c r="N3151" s="3">
        <v>48750.7</v>
      </c>
      <c r="O3151" s="3">
        <v>20991.29</v>
      </c>
      <c r="P3151" s="3" t="s">
        <v>26</v>
      </c>
    </row>
    <row r="3152" spans="1:16" x14ac:dyDescent="0.35">
      <c r="A3152" s="3" t="s">
        <v>4562</v>
      </c>
      <c r="B3152" s="3" t="s">
        <v>310</v>
      </c>
      <c r="C3152" s="3" t="s">
        <v>37</v>
      </c>
      <c r="D3152" s="3" t="s">
        <v>38</v>
      </c>
      <c r="E3152" s="3" t="s">
        <v>39</v>
      </c>
      <c r="F3152" s="3" t="s">
        <v>40</v>
      </c>
      <c r="G3152" s="3" t="s">
        <v>51</v>
      </c>
      <c r="H3152" s="3" t="s">
        <v>145</v>
      </c>
      <c r="I3152" s="3" t="s">
        <v>258</v>
      </c>
      <c r="J3152" s="3" t="s">
        <v>106</v>
      </c>
      <c r="K3152" s="3">
        <v>4</v>
      </c>
      <c r="L3152" s="3">
        <v>126.57</v>
      </c>
      <c r="M3152" s="3">
        <v>506.28</v>
      </c>
      <c r="N3152" s="3">
        <v>234.76</v>
      </c>
      <c r="O3152" s="3">
        <v>271.52</v>
      </c>
      <c r="P3152" s="3" t="s">
        <v>45</v>
      </c>
    </row>
    <row r="3153" spans="1:16" x14ac:dyDescent="0.35">
      <c r="A3153" s="3" t="s">
        <v>4563</v>
      </c>
      <c r="B3153" s="3" t="s">
        <v>889</v>
      </c>
      <c r="C3153" s="3" t="s">
        <v>82</v>
      </c>
      <c r="D3153" s="3" t="s">
        <v>58</v>
      </c>
      <c r="E3153" s="3" t="s">
        <v>65</v>
      </c>
      <c r="F3153" s="3" t="s">
        <v>66</v>
      </c>
      <c r="G3153" s="3" t="s">
        <v>30</v>
      </c>
      <c r="H3153" s="3" t="s">
        <v>31</v>
      </c>
      <c r="I3153" s="3" t="s">
        <v>4040</v>
      </c>
      <c r="J3153" s="3" t="s">
        <v>100</v>
      </c>
      <c r="K3153" s="3">
        <v>7</v>
      </c>
      <c r="L3153" s="3">
        <v>3012.32</v>
      </c>
      <c r="M3153" s="3">
        <v>21086.240000000002</v>
      </c>
      <c r="N3153" s="3">
        <v>13754.92</v>
      </c>
      <c r="O3153" s="3">
        <v>7331.32</v>
      </c>
      <c r="P3153" s="3" t="s">
        <v>69</v>
      </c>
    </row>
    <row r="3154" spans="1:16" x14ac:dyDescent="0.35">
      <c r="A3154" s="3" t="s">
        <v>4564</v>
      </c>
      <c r="B3154" s="3" t="s">
        <v>866</v>
      </c>
      <c r="C3154" s="3" t="s">
        <v>72</v>
      </c>
      <c r="D3154" s="3" t="s">
        <v>38</v>
      </c>
      <c r="E3154" s="3" t="s">
        <v>39</v>
      </c>
      <c r="F3154" s="3" t="s">
        <v>40</v>
      </c>
      <c r="G3154" s="3" t="s">
        <v>30</v>
      </c>
      <c r="H3154" s="3" t="s">
        <v>73</v>
      </c>
      <c r="I3154" s="3" t="s">
        <v>985</v>
      </c>
      <c r="J3154" s="3" t="s">
        <v>54</v>
      </c>
      <c r="K3154" s="3">
        <v>8</v>
      </c>
      <c r="L3154" s="3">
        <v>3020.89</v>
      </c>
      <c r="M3154" s="3">
        <v>24167.119999999999</v>
      </c>
      <c r="N3154" s="3">
        <v>19981.48</v>
      </c>
      <c r="O3154" s="3">
        <v>4185.6400000000003</v>
      </c>
      <c r="P3154" s="3" t="s">
        <v>45</v>
      </c>
    </row>
    <row r="3155" spans="1:16" x14ac:dyDescent="0.35">
      <c r="A3155" s="3" t="s">
        <v>4565</v>
      </c>
      <c r="B3155" s="3" t="s">
        <v>621</v>
      </c>
      <c r="C3155" s="3" t="s">
        <v>118</v>
      </c>
      <c r="D3155" s="3" t="s">
        <v>19</v>
      </c>
      <c r="E3155" s="3" t="s">
        <v>49</v>
      </c>
      <c r="F3155" s="3" t="s">
        <v>50</v>
      </c>
      <c r="G3155" s="3" t="s">
        <v>51</v>
      </c>
      <c r="H3155" s="3" t="s">
        <v>77</v>
      </c>
      <c r="I3155" s="3" t="s">
        <v>768</v>
      </c>
      <c r="J3155" s="3" t="s">
        <v>154</v>
      </c>
      <c r="K3155" s="3">
        <v>1</v>
      </c>
      <c r="L3155" s="3">
        <v>12717.13</v>
      </c>
      <c r="M3155" s="3">
        <v>12717.13</v>
      </c>
      <c r="N3155" s="3">
        <v>8936.32</v>
      </c>
      <c r="O3155" s="3">
        <v>3780.81</v>
      </c>
      <c r="P3155" s="3" t="s">
        <v>34</v>
      </c>
    </row>
    <row r="3156" spans="1:16" x14ac:dyDescent="0.35">
      <c r="A3156" s="3" t="s">
        <v>4566</v>
      </c>
      <c r="B3156" s="3" t="s">
        <v>344</v>
      </c>
      <c r="C3156" s="3" t="s">
        <v>48</v>
      </c>
      <c r="D3156" s="3" t="s">
        <v>58</v>
      </c>
      <c r="E3156" s="3" t="s">
        <v>176</v>
      </c>
      <c r="F3156" s="3" t="s">
        <v>177</v>
      </c>
      <c r="G3156" s="3" t="s">
        <v>41</v>
      </c>
      <c r="H3156" s="3" t="s">
        <v>42</v>
      </c>
      <c r="I3156" s="3" t="s">
        <v>953</v>
      </c>
      <c r="J3156" s="3" t="s">
        <v>154</v>
      </c>
      <c r="K3156" s="3">
        <v>8</v>
      </c>
      <c r="L3156" s="3">
        <v>42780.22</v>
      </c>
      <c r="M3156" s="3">
        <v>342241.76</v>
      </c>
      <c r="N3156" s="3">
        <v>274743.58</v>
      </c>
      <c r="O3156" s="3">
        <v>67498.179999999993</v>
      </c>
      <c r="P3156" s="3" t="s">
        <v>34</v>
      </c>
    </row>
    <row r="3157" spans="1:16" x14ac:dyDescent="0.35">
      <c r="A3157" s="3" t="s">
        <v>4567</v>
      </c>
      <c r="B3157" s="3" t="s">
        <v>1095</v>
      </c>
      <c r="C3157" s="3" t="s">
        <v>103</v>
      </c>
      <c r="D3157" s="3" t="s">
        <v>58</v>
      </c>
      <c r="E3157" s="3" t="s">
        <v>176</v>
      </c>
      <c r="F3157" s="3" t="s">
        <v>177</v>
      </c>
      <c r="G3157" s="3" t="s">
        <v>22</v>
      </c>
      <c r="H3157" s="3" t="s">
        <v>83</v>
      </c>
      <c r="I3157" s="3" t="s">
        <v>1630</v>
      </c>
      <c r="J3157" s="3" t="s">
        <v>79</v>
      </c>
      <c r="K3157" s="3">
        <v>6</v>
      </c>
      <c r="L3157" s="3">
        <v>21545.55</v>
      </c>
      <c r="M3157" s="3">
        <v>129273.3</v>
      </c>
      <c r="N3157" s="3">
        <v>104872</v>
      </c>
      <c r="O3157" s="3">
        <v>24401.3</v>
      </c>
      <c r="P3157" s="3" t="s">
        <v>26</v>
      </c>
    </row>
    <row r="3158" spans="1:16" x14ac:dyDescent="0.35">
      <c r="A3158" s="3" t="s">
        <v>4568</v>
      </c>
      <c r="B3158" s="3" t="s">
        <v>807</v>
      </c>
      <c r="C3158" s="3" t="s">
        <v>72</v>
      </c>
      <c r="D3158" s="3" t="s">
        <v>90</v>
      </c>
      <c r="E3158" s="3" t="s">
        <v>97</v>
      </c>
      <c r="F3158" s="3" t="s">
        <v>98</v>
      </c>
      <c r="G3158" s="3" t="s">
        <v>22</v>
      </c>
      <c r="H3158" s="3" t="s">
        <v>83</v>
      </c>
      <c r="I3158" s="3" t="s">
        <v>1784</v>
      </c>
      <c r="J3158" s="3" t="s">
        <v>25</v>
      </c>
      <c r="K3158" s="3">
        <v>7</v>
      </c>
      <c r="L3158" s="3">
        <v>20538.32</v>
      </c>
      <c r="M3158" s="3">
        <v>143768.24</v>
      </c>
      <c r="N3158" s="3">
        <v>113240.34</v>
      </c>
      <c r="O3158" s="3">
        <v>30527.9</v>
      </c>
      <c r="P3158" s="3" t="s">
        <v>45</v>
      </c>
    </row>
    <row r="3159" spans="1:16" x14ac:dyDescent="0.35">
      <c r="A3159" s="3" t="s">
        <v>4569</v>
      </c>
      <c r="B3159" s="3" t="s">
        <v>305</v>
      </c>
      <c r="C3159" s="3" t="s">
        <v>18</v>
      </c>
      <c r="D3159" s="3" t="s">
        <v>38</v>
      </c>
      <c r="E3159" s="3" t="s">
        <v>104</v>
      </c>
      <c r="F3159" s="3" t="s">
        <v>104</v>
      </c>
      <c r="G3159" s="3" t="s">
        <v>30</v>
      </c>
      <c r="H3159" s="3" t="s">
        <v>73</v>
      </c>
      <c r="I3159" s="3" t="s">
        <v>2608</v>
      </c>
      <c r="J3159" s="3" t="s">
        <v>25</v>
      </c>
      <c r="K3159" s="3">
        <v>4</v>
      </c>
      <c r="L3159" s="3">
        <v>3436.62</v>
      </c>
      <c r="M3159" s="3">
        <v>13746.48</v>
      </c>
      <c r="N3159" s="3">
        <v>9606.57</v>
      </c>
      <c r="O3159" s="3">
        <v>4139.91</v>
      </c>
      <c r="P3159" s="3" t="s">
        <v>86</v>
      </c>
    </row>
    <row r="3160" spans="1:16" x14ac:dyDescent="0.35">
      <c r="A3160" s="3" t="s">
        <v>4570</v>
      </c>
      <c r="B3160" s="3" t="s">
        <v>1752</v>
      </c>
      <c r="C3160" s="3" t="s">
        <v>114</v>
      </c>
      <c r="D3160" s="3" t="s">
        <v>19</v>
      </c>
      <c r="E3160" s="3" t="s">
        <v>199</v>
      </c>
      <c r="F3160" s="3" t="s">
        <v>200</v>
      </c>
      <c r="G3160" s="3" t="s">
        <v>22</v>
      </c>
      <c r="H3160" s="3" t="s">
        <v>83</v>
      </c>
      <c r="I3160" s="3" t="s">
        <v>489</v>
      </c>
      <c r="J3160" s="3" t="s">
        <v>25</v>
      </c>
      <c r="K3160" s="3">
        <v>7</v>
      </c>
      <c r="L3160" s="3">
        <v>20597.2</v>
      </c>
      <c r="M3160" s="3">
        <v>144180.4</v>
      </c>
      <c r="N3160" s="3">
        <v>119246.47</v>
      </c>
      <c r="O3160" s="3">
        <v>24933.93</v>
      </c>
      <c r="P3160" s="3" t="s">
        <v>69</v>
      </c>
    </row>
    <row r="3161" spans="1:16" x14ac:dyDescent="0.35">
      <c r="A3161" s="3" t="s">
        <v>4571</v>
      </c>
      <c r="B3161" s="3" t="s">
        <v>370</v>
      </c>
      <c r="C3161" s="3" t="s">
        <v>137</v>
      </c>
      <c r="D3161" s="3" t="s">
        <v>58</v>
      </c>
      <c r="E3161" s="3" t="s">
        <v>176</v>
      </c>
      <c r="F3161" s="3" t="s">
        <v>177</v>
      </c>
      <c r="G3161" s="3" t="s">
        <v>51</v>
      </c>
      <c r="H3161" s="3" t="s">
        <v>77</v>
      </c>
      <c r="I3161" s="3" t="s">
        <v>4572</v>
      </c>
      <c r="J3161" s="3" t="s">
        <v>100</v>
      </c>
      <c r="K3161" s="3">
        <v>8</v>
      </c>
      <c r="L3161" s="3">
        <v>11302.14</v>
      </c>
      <c r="M3161" s="3">
        <v>90417.12</v>
      </c>
      <c r="N3161" s="3">
        <v>73551.009999999995</v>
      </c>
      <c r="O3161" s="3">
        <v>16866.11</v>
      </c>
      <c r="P3161" s="3" t="s">
        <v>69</v>
      </c>
    </row>
    <row r="3162" spans="1:16" x14ac:dyDescent="0.35">
      <c r="A3162" s="3" t="s">
        <v>4573</v>
      </c>
      <c r="B3162" s="3" t="s">
        <v>251</v>
      </c>
      <c r="C3162" s="3" t="s">
        <v>37</v>
      </c>
      <c r="D3162" s="3" t="s">
        <v>90</v>
      </c>
      <c r="E3162" s="3" t="s">
        <v>97</v>
      </c>
      <c r="F3162" s="3" t="s">
        <v>98</v>
      </c>
      <c r="G3162" s="3" t="s">
        <v>22</v>
      </c>
      <c r="H3162" s="3" t="s">
        <v>93</v>
      </c>
      <c r="I3162" s="3" t="s">
        <v>2250</v>
      </c>
      <c r="J3162" s="3" t="s">
        <v>85</v>
      </c>
      <c r="K3162" s="3">
        <v>3</v>
      </c>
      <c r="L3162" s="3">
        <v>6745.43</v>
      </c>
      <c r="M3162" s="3">
        <v>20236.29</v>
      </c>
      <c r="N3162" s="3">
        <v>14382.17</v>
      </c>
      <c r="O3162" s="3">
        <v>5854.12</v>
      </c>
      <c r="P3162" s="3" t="s">
        <v>69</v>
      </c>
    </row>
    <row r="3163" spans="1:16" x14ac:dyDescent="0.35">
      <c r="A3163" s="3" t="s">
        <v>4574</v>
      </c>
      <c r="B3163" s="3" t="s">
        <v>129</v>
      </c>
      <c r="C3163" s="3" t="s">
        <v>37</v>
      </c>
      <c r="D3163" s="3" t="s">
        <v>58</v>
      </c>
      <c r="E3163" s="3" t="s">
        <v>176</v>
      </c>
      <c r="F3163" s="3" t="s">
        <v>177</v>
      </c>
      <c r="G3163" s="3" t="s">
        <v>51</v>
      </c>
      <c r="H3163" s="3" t="s">
        <v>145</v>
      </c>
      <c r="I3163" s="3" t="s">
        <v>181</v>
      </c>
      <c r="J3163" s="3" t="s">
        <v>217</v>
      </c>
      <c r="K3163" s="3">
        <v>6</v>
      </c>
      <c r="L3163" s="3">
        <v>114.66</v>
      </c>
      <c r="M3163" s="3">
        <v>687.96</v>
      </c>
      <c r="N3163" s="3">
        <v>357.19</v>
      </c>
      <c r="O3163" s="3">
        <v>330.77</v>
      </c>
      <c r="P3163" s="3" t="s">
        <v>45</v>
      </c>
    </row>
    <row r="3164" spans="1:16" x14ac:dyDescent="0.35">
      <c r="A3164" s="3" t="s">
        <v>4575</v>
      </c>
      <c r="B3164" s="3" t="s">
        <v>1578</v>
      </c>
      <c r="C3164" s="3" t="s">
        <v>137</v>
      </c>
      <c r="D3164" s="3" t="s">
        <v>38</v>
      </c>
      <c r="E3164" s="3" t="s">
        <v>39</v>
      </c>
      <c r="F3164" s="3" t="s">
        <v>40</v>
      </c>
      <c r="G3164" s="3" t="s">
        <v>22</v>
      </c>
      <c r="H3164" s="3" t="s">
        <v>93</v>
      </c>
      <c r="I3164" s="3" t="s">
        <v>2318</v>
      </c>
      <c r="J3164" s="3" t="s">
        <v>161</v>
      </c>
      <c r="K3164" s="3">
        <v>8</v>
      </c>
      <c r="L3164" s="3">
        <v>6500.67</v>
      </c>
      <c r="M3164" s="3">
        <v>52005.36</v>
      </c>
      <c r="N3164" s="3">
        <v>40044.61</v>
      </c>
      <c r="O3164" s="3">
        <v>11960.75</v>
      </c>
      <c r="P3164" s="3" t="s">
        <v>45</v>
      </c>
    </row>
    <row r="3165" spans="1:16" x14ac:dyDescent="0.35">
      <c r="A3165" s="3" t="s">
        <v>4576</v>
      </c>
      <c r="B3165" s="3" t="s">
        <v>47</v>
      </c>
      <c r="C3165" s="3" t="s">
        <v>48</v>
      </c>
      <c r="D3165" s="3" t="s">
        <v>90</v>
      </c>
      <c r="E3165" s="3" t="s">
        <v>119</v>
      </c>
      <c r="F3165" s="3" t="s">
        <v>120</v>
      </c>
      <c r="G3165" s="3" t="s">
        <v>51</v>
      </c>
      <c r="H3165" s="3" t="s">
        <v>145</v>
      </c>
      <c r="I3165" s="3" t="s">
        <v>2553</v>
      </c>
      <c r="J3165" s="3" t="s">
        <v>44</v>
      </c>
      <c r="K3165" s="3">
        <v>5</v>
      </c>
      <c r="L3165" s="3">
        <v>123.55</v>
      </c>
      <c r="M3165" s="3">
        <v>617.75</v>
      </c>
      <c r="N3165" s="3">
        <v>288.41000000000003</v>
      </c>
      <c r="O3165" s="3">
        <v>329.34</v>
      </c>
      <c r="P3165" s="3" t="s">
        <v>26</v>
      </c>
    </row>
    <row r="3166" spans="1:16" x14ac:dyDescent="0.35">
      <c r="A3166" s="3" t="s">
        <v>4577</v>
      </c>
      <c r="B3166" s="3" t="s">
        <v>407</v>
      </c>
      <c r="C3166" s="3" t="s">
        <v>48</v>
      </c>
      <c r="D3166" s="3" t="s">
        <v>58</v>
      </c>
      <c r="E3166" s="3" t="s">
        <v>65</v>
      </c>
      <c r="F3166" s="3" t="s">
        <v>66</v>
      </c>
      <c r="G3166" s="3" t="s">
        <v>51</v>
      </c>
      <c r="H3166" s="3" t="s">
        <v>77</v>
      </c>
      <c r="I3166" s="3" t="s">
        <v>568</v>
      </c>
      <c r="J3166" s="3" t="s">
        <v>171</v>
      </c>
      <c r="K3166" s="3">
        <v>2</v>
      </c>
      <c r="L3166" s="3">
        <v>10942.27</v>
      </c>
      <c r="M3166" s="3">
        <v>21884.54</v>
      </c>
      <c r="N3166" s="3">
        <v>17794.400000000001</v>
      </c>
      <c r="O3166" s="3">
        <v>4090.14</v>
      </c>
      <c r="P3166" s="3" t="s">
        <v>69</v>
      </c>
    </row>
    <row r="3167" spans="1:16" x14ac:dyDescent="0.35">
      <c r="A3167" s="3" t="s">
        <v>4578</v>
      </c>
      <c r="B3167" s="3" t="s">
        <v>904</v>
      </c>
      <c r="C3167" s="3" t="s">
        <v>118</v>
      </c>
      <c r="D3167" s="3" t="s">
        <v>19</v>
      </c>
      <c r="E3167" s="3" t="s">
        <v>49</v>
      </c>
      <c r="F3167" s="3" t="s">
        <v>50</v>
      </c>
      <c r="G3167" s="3" t="s">
        <v>30</v>
      </c>
      <c r="H3167" s="3" t="s">
        <v>31</v>
      </c>
      <c r="I3167" s="3" t="s">
        <v>4579</v>
      </c>
      <c r="J3167" s="3" t="s">
        <v>171</v>
      </c>
      <c r="K3167" s="3">
        <v>5</v>
      </c>
      <c r="L3167" s="3">
        <v>2710.81</v>
      </c>
      <c r="M3167" s="3">
        <v>13554.05</v>
      </c>
      <c r="N3167" s="3">
        <v>9031.5300000000007</v>
      </c>
      <c r="O3167" s="3">
        <v>4522.5200000000004</v>
      </c>
      <c r="P3167" s="3" t="s">
        <v>26</v>
      </c>
    </row>
    <row r="3168" spans="1:16" x14ac:dyDescent="0.35">
      <c r="A3168" s="3" t="s">
        <v>4580</v>
      </c>
      <c r="B3168" s="3" t="s">
        <v>2117</v>
      </c>
      <c r="C3168" s="3" t="s">
        <v>37</v>
      </c>
      <c r="D3168" s="3" t="s">
        <v>19</v>
      </c>
      <c r="E3168" s="3" t="s">
        <v>199</v>
      </c>
      <c r="F3168" s="3" t="s">
        <v>200</v>
      </c>
      <c r="G3168" s="3" t="s">
        <v>22</v>
      </c>
      <c r="H3168" s="3" t="s">
        <v>93</v>
      </c>
      <c r="I3168" s="3" t="s">
        <v>516</v>
      </c>
      <c r="J3168" s="3" t="s">
        <v>54</v>
      </c>
      <c r="K3168" s="3">
        <v>7</v>
      </c>
      <c r="L3168" s="3">
        <v>7355.48</v>
      </c>
      <c r="M3168" s="3">
        <v>51488.36</v>
      </c>
      <c r="N3168" s="3">
        <v>35429.800000000003</v>
      </c>
      <c r="O3168" s="3">
        <v>16058.56</v>
      </c>
      <c r="P3168" s="3" t="s">
        <v>45</v>
      </c>
    </row>
    <row r="3169" spans="1:16" x14ac:dyDescent="0.35">
      <c r="A3169" s="3" t="s">
        <v>4581</v>
      </c>
      <c r="B3169" s="3" t="s">
        <v>1098</v>
      </c>
      <c r="C3169" s="3" t="s">
        <v>57</v>
      </c>
      <c r="D3169" s="3" t="s">
        <v>19</v>
      </c>
      <c r="E3169" s="3" t="s">
        <v>20</v>
      </c>
      <c r="F3169" s="3" t="s">
        <v>21</v>
      </c>
      <c r="G3169" s="3" t="s">
        <v>22</v>
      </c>
      <c r="H3169" s="3" t="s">
        <v>93</v>
      </c>
      <c r="I3169" s="3" t="s">
        <v>121</v>
      </c>
      <c r="J3169" s="3" t="s">
        <v>161</v>
      </c>
      <c r="K3169" s="3">
        <v>4</v>
      </c>
      <c r="L3169" s="3">
        <v>6551.92</v>
      </c>
      <c r="M3169" s="3">
        <v>26207.68</v>
      </c>
      <c r="N3169" s="3">
        <v>20758.57</v>
      </c>
      <c r="O3169" s="3">
        <v>5449.11</v>
      </c>
      <c r="P3169" s="3" t="s">
        <v>45</v>
      </c>
    </row>
    <row r="3170" spans="1:16" x14ac:dyDescent="0.35">
      <c r="A3170" s="3" t="s">
        <v>4582</v>
      </c>
      <c r="B3170" s="3" t="s">
        <v>949</v>
      </c>
      <c r="C3170" s="3" t="s">
        <v>18</v>
      </c>
      <c r="D3170" s="3" t="s">
        <v>90</v>
      </c>
      <c r="E3170" s="3" t="s">
        <v>97</v>
      </c>
      <c r="F3170" s="3" t="s">
        <v>98</v>
      </c>
      <c r="G3170" s="3" t="s">
        <v>51</v>
      </c>
      <c r="H3170" s="3" t="s">
        <v>77</v>
      </c>
      <c r="I3170" s="3" t="s">
        <v>1231</v>
      </c>
      <c r="J3170" s="3" t="s">
        <v>85</v>
      </c>
      <c r="K3170" s="3">
        <v>1</v>
      </c>
      <c r="L3170" s="3">
        <v>12333.88</v>
      </c>
      <c r="M3170" s="3">
        <v>12333.88</v>
      </c>
      <c r="N3170" s="3">
        <v>9200.98</v>
      </c>
      <c r="O3170" s="3">
        <v>3132.9</v>
      </c>
      <c r="P3170" s="3" t="s">
        <v>45</v>
      </c>
    </row>
    <row r="3171" spans="1:16" x14ac:dyDescent="0.35">
      <c r="A3171" s="3" t="s">
        <v>4583</v>
      </c>
      <c r="B3171" s="3" t="s">
        <v>1895</v>
      </c>
      <c r="C3171" s="3" t="s">
        <v>48</v>
      </c>
      <c r="D3171" s="3" t="s">
        <v>38</v>
      </c>
      <c r="E3171" s="3" t="s">
        <v>39</v>
      </c>
      <c r="F3171" s="3" t="s">
        <v>40</v>
      </c>
      <c r="G3171" s="3" t="s">
        <v>30</v>
      </c>
      <c r="H3171" s="3" t="s">
        <v>73</v>
      </c>
      <c r="I3171" s="3" t="s">
        <v>1295</v>
      </c>
      <c r="J3171" s="3" t="s">
        <v>161</v>
      </c>
      <c r="K3171" s="3">
        <v>7</v>
      </c>
      <c r="L3171" s="3">
        <v>3171.59</v>
      </c>
      <c r="M3171" s="3">
        <v>22201.13</v>
      </c>
      <c r="N3171" s="3">
        <v>17461.810000000001</v>
      </c>
      <c r="O3171" s="3">
        <v>4739.32</v>
      </c>
      <c r="P3171" s="3" t="s">
        <v>26</v>
      </c>
    </row>
    <row r="3172" spans="1:16" x14ac:dyDescent="0.35">
      <c r="A3172" s="3" t="s">
        <v>4584</v>
      </c>
      <c r="B3172" s="3" t="s">
        <v>1082</v>
      </c>
      <c r="C3172" s="3" t="s">
        <v>114</v>
      </c>
      <c r="D3172" s="3" t="s">
        <v>38</v>
      </c>
      <c r="E3172" s="3" t="s">
        <v>39</v>
      </c>
      <c r="F3172" s="3" t="s">
        <v>40</v>
      </c>
      <c r="G3172" s="3" t="s">
        <v>30</v>
      </c>
      <c r="H3172" s="3" t="s">
        <v>31</v>
      </c>
      <c r="I3172" s="3" t="s">
        <v>1015</v>
      </c>
      <c r="J3172" s="3" t="s">
        <v>131</v>
      </c>
      <c r="K3172" s="3">
        <v>8</v>
      </c>
      <c r="L3172" s="3">
        <v>2725.85</v>
      </c>
      <c r="M3172" s="3">
        <v>21806.799999999999</v>
      </c>
      <c r="N3172" s="3">
        <v>14602.67</v>
      </c>
      <c r="O3172" s="3">
        <v>7204.13</v>
      </c>
      <c r="P3172" s="3" t="s">
        <v>86</v>
      </c>
    </row>
    <row r="3173" spans="1:16" x14ac:dyDescent="0.35">
      <c r="A3173" s="3" t="s">
        <v>4585</v>
      </c>
      <c r="B3173" s="3" t="s">
        <v>126</v>
      </c>
      <c r="C3173" s="3" t="s">
        <v>103</v>
      </c>
      <c r="D3173" s="3" t="s">
        <v>19</v>
      </c>
      <c r="E3173" s="3" t="s">
        <v>20</v>
      </c>
      <c r="F3173" s="3" t="s">
        <v>21</v>
      </c>
      <c r="G3173" s="3" t="s">
        <v>30</v>
      </c>
      <c r="H3173" s="3" t="s">
        <v>31</v>
      </c>
      <c r="I3173" s="3" t="s">
        <v>1010</v>
      </c>
      <c r="J3173" s="3" t="s">
        <v>54</v>
      </c>
      <c r="K3173" s="3">
        <v>2</v>
      </c>
      <c r="L3173" s="3">
        <v>3024.24</v>
      </c>
      <c r="M3173" s="3">
        <v>6048.48</v>
      </c>
      <c r="N3173" s="3">
        <v>3912.23</v>
      </c>
      <c r="O3173" s="3">
        <v>2136.25</v>
      </c>
      <c r="P3173" s="3" t="s">
        <v>26</v>
      </c>
    </row>
    <row r="3174" spans="1:16" x14ac:dyDescent="0.35">
      <c r="A3174" s="3" t="s">
        <v>4586</v>
      </c>
      <c r="B3174" s="3" t="s">
        <v>999</v>
      </c>
      <c r="C3174" s="3" t="s">
        <v>103</v>
      </c>
      <c r="D3174" s="3" t="s">
        <v>19</v>
      </c>
      <c r="E3174" s="3" t="s">
        <v>49</v>
      </c>
      <c r="F3174" s="3" t="s">
        <v>50</v>
      </c>
      <c r="G3174" s="3" t="s">
        <v>22</v>
      </c>
      <c r="H3174" s="3" t="s">
        <v>23</v>
      </c>
      <c r="I3174" s="3" t="s">
        <v>4501</v>
      </c>
      <c r="J3174" s="3" t="s">
        <v>25</v>
      </c>
      <c r="K3174" s="3">
        <v>3</v>
      </c>
      <c r="L3174" s="3">
        <v>3220.14</v>
      </c>
      <c r="M3174" s="3">
        <v>9660.42</v>
      </c>
      <c r="N3174" s="3">
        <v>6417.61</v>
      </c>
      <c r="O3174" s="3">
        <v>3242.81</v>
      </c>
      <c r="P3174" s="3" t="s">
        <v>69</v>
      </c>
    </row>
    <row r="3175" spans="1:16" x14ac:dyDescent="0.35">
      <c r="A3175" s="3" t="s">
        <v>4587</v>
      </c>
      <c r="B3175" s="3" t="s">
        <v>485</v>
      </c>
      <c r="C3175" s="3" t="s">
        <v>114</v>
      </c>
      <c r="D3175" s="3" t="s">
        <v>38</v>
      </c>
      <c r="E3175" s="3" t="s">
        <v>109</v>
      </c>
      <c r="F3175" s="3" t="s">
        <v>110</v>
      </c>
      <c r="G3175" s="3" t="s">
        <v>41</v>
      </c>
      <c r="H3175" s="3" t="s">
        <v>42</v>
      </c>
      <c r="I3175" s="3" t="s">
        <v>433</v>
      </c>
      <c r="J3175" s="3" t="s">
        <v>85</v>
      </c>
      <c r="K3175" s="3">
        <v>4</v>
      </c>
      <c r="L3175" s="3">
        <v>48217.98</v>
      </c>
      <c r="M3175" s="3">
        <v>192871.92</v>
      </c>
      <c r="N3175" s="3">
        <v>137419.92000000001</v>
      </c>
      <c r="O3175" s="3">
        <v>55452</v>
      </c>
      <c r="P3175" s="3" t="s">
        <v>34</v>
      </c>
    </row>
    <row r="3176" spans="1:16" x14ac:dyDescent="0.35">
      <c r="A3176" s="3" t="s">
        <v>4588</v>
      </c>
      <c r="B3176" s="3" t="s">
        <v>1623</v>
      </c>
      <c r="C3176" s="3" t="s">
        <v>29</v>
      </c>
      <c r="D3176" s="3" t="s">
        <v>58</v>
      </c>
      <c r="E3176" s="3" t="s">
        <v>65</v>
      </c>
      <c r="F3176" s="3" t="s">
        <v>66</v>
      </c>
      <c r="G3176" s="3" t="s">
        <v>22</v>
      </c>
      <c r="H3176" s="3" t="s">
        <v>83</v>
      </c>
      <c r="I3176" s="3" t="s">
        <v>2475</v>
      </c>
      <c r="J3176" s="3" t="s">
        <v>100</v>
      </c>
      <c r="K3176" s="3">
        <v>2</v>
      </c>
      <c r="L3176" s="3">
        <v>22105.25</v>
      </c>
      <c r="M3176" s="3">
        <v>44210.5</v>
      </c>
      <c r="N3176" s="3">
        <v>33817.86</v>
      </c>
      <c r="O3176" s="3">
        <v>10392.64</v>
      </c>
      <c r="P3176" s="3" t="s">
        <v>34</v>
      </c>
    </row>
    <row r="3177" spans="1:16" x14ac:dyDescent="0.35">
      <c r="A3177" s="3" t="s">
        <v>4589</v>
      </c>
      <c r="B3177" s="3" t="s">
        <v>2089</v>
      </c>
      <c r="C3177" s="3" t="s">
        <v>29</v>
      </c>
      <c r="D3177" s="3" t="s">
        <v>19</v>
      </c>
      <c r="E3177" s="3" t="s">
        <v>20</v>
      </c>
      <c r="F3177" s="3" t="s">
        <v>21</v>
      </c>
      <c r="G3177" s="3" t="s">
        <v>51</v>
      </c>
      <c r="H3177" s="3" t="s">
        <v>52</v>
      </c>
      <c r="I3177" s="3" t="s">
        <v>1208</v>
      </c>
      <c r="J3177" s="3" t="s">
        <v>131</v>
      </c>
      <c r="K3177" s="3">
        <v>2</v>
      </c>
      <c r="L3177" s="3">
        <v>25.55</v>
      </c>
      <c r="M3177" s="3">
        <v>51.1</v>
      </c>
      <c r="N3177" s="3">
        <v>19.62</v>
      </c>
      <c r="O3177" s="3">
        <v>31.48</v>
      </c>
      <c r="P3177" s="3" t="s">
        <v>86</v>
      </c>
    </row>
    <row r="3178" spans="1:16" x14ac:dyDescent="0.35">
      <c r="A3178" s="3" t="s">
        <v>4590</v>
      </c>
      <c r="B3178" s="3" t="s">
        <v>364</v>
      </c>
      <c r="C3178" s="3" t="s">
        <v>137</v>
      </c>
      <c r="D3178" s="3" t="s">
        <v>90</v>
      </c>
      <c r="E3178" s="3" t="s">
        <v>119</v>
      </c>
      <c r="F3178" s="3" t="s">
        <v>120</v>
      </c>
      <c r="G3178" s="3" t="s">
        <v>41</v>
      </c>
      <c r="H3178" s="3" t="s">
        <v>42</v>
      </c>
      <c r="I3178" s="3" t="s">
        <v>3260</v>
      </c>
      <c r="J3178" s="3" t="s">
        <v>106</v>
      </c>
      <c r="K3178" s="3">
        <v>5</v>
      </c>
      <c r="L3178" s="3">
        <v>44007.32</v>
      </c>
      <c r="M3178" s="3">
        <v>220036.6</v>
      </c>
      <c r="N3178" s="3">
        <v>169376.41</v>
      </c>
      <c r="O3178" s="3">
        <v>50660.19</v>
      </c>
      <c r="P3178" s="3" t="s">
        <v>26</v>
      </c>
    </row>
    <row r="3179" spans="1:16" x14ac:dyDescent="0.35">
      <c r="A3179" s="3" t="s">
        <v>4591</v>
      </c>
      <c r="B3179" s="3" t="s">
        <v>1269</v>
      </c>
      <c r="C3179" s="3" t="s">
        <v>57</v>
      </c>
      <c r="D3179" s="3" t="s">
        <v>38</v>
      </c>
      <c r="E3179" s="3" t="s">
        <v>39</v>
      </c>
      <c r="F3179" s="3" t="s">
        <v>40</v>
      </c>
      <c r="G3179" s="3" t="s">
        <v>51</v>
      </c>
      <c r="H3179" s="3" t="s">
        <v>77</v>
      </c>
      <c r="I3179" s="3" t="s">
        <v>1000</v>
      </c>
      <c r="J3179" s="3" t="s">
        <v>100</v>
      </c>
      <c r="K3179" s="3">
        <v>1</v>
      </c>
      <c r="L3179" s="3">
        <v>11751.84</v>
      </c>
      <c r="M3179" s="3">
        <v>11751.84</v>
      </c>
      <c r="N3179" s="3">
        <v>8686.7199999999993</v>
      </c>
      <c r="O3179" s="3">
        <v>3065.12</v>
      </c>
      <c r="P3179" s="3" t="s">
        <v>45</v>
      </c>
    </row>
    <row r="3180" spans="1:16" x14ac:dyDescent="0.35">
      <c r="A3180" s="3" t="s">
        <v>4592</v>
      </c>
      <c r="B3180" s="3" t="s">
        <v>1461</v>
      </c>
      <c r="C3180" s="3" t="s">
        <v>72</v>
      </c>
      <c r="D3180" s="3" t="s">
        <v>90</v>
      </c>
      <c r="E3180" s="3" t="s">
        <v>97</v>
      </c>
      <c r="F3180" s="3" t="s">
        <v>98</v>
      </c>
      <c r="G3180" s="3" t="s">
        <v>41</v>
      </c>
      <c r="H3180" s="3" t="s">
        <v>138</v>
      </c>
      <c r="I3180" s="3" t="s">
        <v>2763</v>
      </c>
      <c r="J3180" s="3" t="s">
        <v>131</v>
      </c>
      <c r="K3180" s="3">
        <v>4</v>
      </c>
      <c r="L3180" s="3">
        <v>19289.11</v>
      </c>
      <c r="M3180" s="3">
        <v>77156.44</v>
      </c>
      <c r="N3180" s="3">
        <v>56603.86</v>
      </c>
      <c r="O3180" s="3">
        <v>20552.580000000002</v>
      </c>
      <c r="P3180" s="3" t="s">
        <v>26</v>
      </c>
    </row>
    <row r="3181" spans="1:16" x14ac:dyDescent="0.35">
      <c r="A3181" s="3" t="s">
        <v>4593</v>
      </c>
      <c r="B3181" s="3" t="s">
        <v>195</v>
      </c>
      <c r="C3181" s="3" t="s">
        <v>18</v>
      </c>
      <c r="D3181" s="3" t="s">
        <v>90</v>
      </c>
      <c r="E3181" s="3" t="s">
        <v>119</v>
      </c>
      <c r="F3181" s="3" t="s">
        <v>120</v>
      </c>
      <c r="G3181" s="3" t="s">
        <v>51</v>
      </c>
      <c r="H3181" s="3" t="s">
        <v>77</v>
      </c>
      <c r="I3181" s="3" t="s">
        <v>3298</v>
      </c>
      <c r="J3181" s="3" t="s">
        <v>131</v>
      </c>
      <c r="K3181" s="3">
        <v>1</v>
      </c>
      <c r="L3181" s="3">
        <v>11746.6</v>
      </c>
      <c r="M3181" s="3">
        <v>11746.6</v>
      </c>
      <c r="N3181" s="3">
        <v>8960.65</v>
      </c>
      <c r="O3181" s="3">
        <v>2785.95</v>
      </c>
      <c r="P3181" s="3" t="s">
        <v>86</v>
      </c>
    </row>
    <row r="3182" spans="1:16" x14ac:dyDescent="0.35">
      <c r="A3182" s="3" t="s">
        <v>4594</v>
      </c>
      <c r="B3182" s="3" t="s">
        <v>1733</v>
      </c>
      <c r="C3182" s="3" t="s">
        <v>137</v>
      </c>
      <c r="D3182" s="3" t="s">
        <v>90</v>
      </c>
      <c r="E3182" s="3" t="s">
        <v>119</v>
      </c>
      <c r="F3182" s="3" t="s">
        <v>120</v>
      </c>
      <c r="G3182" s="3" t="s">
        <v>22</v>
      </c>
      <c r="H3182" s="3" t="s">
        <v>93</v>
      </c>
      <c r="I3182" s="3" t="s">
        <v>1662</v>
      </c>
      <c r="J3182" s="3" t="s">
        <v>100</v>
      </c>
      <c r="K3182" s="3">
        <v>7</v>
      </c>
      <c r="L3182" s="3">
        <v>6636.58</v>
      </c>
      <c r="M3182" s="3">
        <v>46456.06</v>
      </c>
      <c r="N3182" s="3">
        <v>34588.870000000003</v>
      </c>
      <c r="O3182" s="3">
        <v>11867.19</v>
      </c>
      <c r="P3182" s="3" t="s">
        <v>69</v>
      </c>
    </row>
    <row r="3183" spans="1:16" x14ac:dyDescent="0.35">
      <c r="A3183" s="3" t="s">
        <v>4595</v>
      </c>
      <c r="B3183" s="3" t="s">
        <v>245</v>
      </c>
      <c r="C3183" s="3" t="s">
        <v>29</v>
      </c>
      <c r="D3183" s="3" t="s">
        <v>90</v>
      </c>
      <c r="E3183" s="3" t="s">
        <v>97</v>
      </c>
      <c r="F3183" s="3" t="s">
        <v>98</v>
      </c>
      <c r="G3183" s="3" t="s">
        <v>41</v>
      </c>
      <c r="H3183" s="3" t="s">
        <v>138</v>
      </c>
      <c r="I3183" s="3" t="s">
        <v>2755</v>
      </c>
      <c r="J3183" s="3" t="s">
        <v>147</v>
      </c>
      <c r="K3183" s="3">
        <v>8</v>
      </c>
      <c r="L3183" s="3">
        <v>16966</v>
      </c>
      <c r="M3183" s="3">
        <v>135728</v>
      </c>
      <c r="N3183" s="3">
        <v>109098.93</v>
      </c>
      <c r="O3183" s="3">
        <v>26629.07</v>
      </c>
      <c r="P3183" s="3" t="s">
        <v>86</v>
      </c>
    </row>
    <row r="3184" spans="1:16" x14ac:dyDescent="0.35">
      <c r="A3184" s="3" t="s">
        <v>4596</v>
      </c>
      <c r="B3184" s="3" t="s">
        <v>987</v>
      </c>
      <c r="C3184" s="3" t="s">
        <v>82</v>
      </c>
      <c r="D3184" s="3" t="s">
        <v>38</v>
      </c>
      <c r="E3184" s="3" t="s">
        <v>39</v>
      </c>
      <c r="F3184" s="3" t="s">
        <v>40</v>
      </c>
      <c r="G3184" s="3" t="s">
        <v>22</v>
      </c>
      <c r="H3184" s="3" t="s">
        <v>23</v>
      </c>
      <c r="I3184" s="3" t="s">
        <v>4597</v>
      </c>
      <c r="J3184" s="3" t="s">
        <v>33</v>
      </c>
      <c r="K3184" s="3">
        <v>3</v>
      </c>
      <c r="L3184" s="3">
        <v>3430.38</v>
      </c>
      <c r="M3184" s="3">
        <v>10291.14</v>
      </c>
      <c r="N3184" s="3">
        <v>6334.55</v>
      </c>
      <c r="O3184" s="3">
        <v>3956.59</v>
      </c>
      <c r="P3184" s="3" t="s">
        <v>86</v>
      </c>
    </row>
    <row r="3185" spans="1:16" x14ac:dyDescent="0.35">
      <c r="A3185" s="3" t="s">
        <v>4598</v>
      </c>
      <c r="B3185" s="3" t="s">
        <v>2086</v>
      </c>
      <c r="C3185" s="3" t="s">
        <v>72</v>
      </c>
      <c r="D3185" s="3" t="s">
        <v>90</v>
      </c>
      <c r="E3185" s="3" t="s">
        <v>91</v>
      </c>
      <c r="F3185" s="3" t="s">
        <v>92</v>
      </c>
      <c r="G3185" s="3" t="s">
        <v>30</v>
      </c>
      <c r="H3185" s="3" t="s">
        <v>73</v>
      </c>
      <c r="I3185" s="3" t="s">
        <v>544</v>
      </c>
      <c r="J3185" s="3" t="s">
        <v>79</v>
      </c>
      <c r="K3185" s="3">
        <v>3</v>
      </c>
      <c r="L3185" s="3">
        <v>3444.75</v>
      </c>
      <c r="M3185" s="3">
        <v>10334.25</v>
      </c>
      <c r="N3185" s="3">
        <v>7401.95</v>
      </c>
      <c r="O3185" s="3">
        <v>2932.3</v>
      </c>
      <c r="P3185" s="3" t="s">
        <v>26</v>
      </c>
    </row>
    <row r="3186" spans="1:16" x14ac:dyDescent="0.35">
      <c r="A3186" s="3" t="s">
        <v>4599</v>
      </c>
      <c r="B3186" s="3" t="s">
        <v>927</v>
      </c>
      <c r="C3186" s="3" t="s">
        <v>57</v>
      </c>
      <c r="D3186" s="3" t="s">
        <v>38</v>
      </c>
      <c r="E3186" s="3" t="s">
        <v>109</v>
      </c>
      <c r="F3186" s="3" t="s">
        <v>110</v>
      </c>
      <c r="G3186" s="3" t="s">
        <v>30</v>
      </c>
      <c r="H3186" s="3" t="s">
        <v>73</v>
      </c>
      <c r="I3186" s="3" t="s">
        <v>1981</v>
      </c>
      <c r="J3186" s="3" t="s">
        <v>188</v>
      </c>
      <c r="K3186" s="3">
        <v>5</v>
      </c>
      <c r="L3186" s="3">
        <v>3402.23</v>
      </c>
      <c r="M3186" s="3">
        <v>17011.150000000001</v>
      </c>
      <c r="N3186" s="3">
        <v>11630.65</v>
      </c>
      <c r="O3186" s="3">
        <v>5380.5</v>
      </c>
      <c r="P3186" s="3" t="s">
        <v>45</v>
      </c>
    </row>
    <row r="3187" spans="1:16" x14ac:dyDescent="0.35">
      <c r="A3187" s="3" t="s">
        <v>4600</v>
      </c>
      <c r="B3187" s="3" t="s">
        <v>245</v>
      </c>
      <c r="C3187" s="3" t="s">
        <v>29</v>
      </c>
      <c r="D3187" s="3" t="s">
        <v>58</v>
      </c>
      <c r="E3187" s="3" t="s">
        <v>65</v>
      </c>
      <c r="F3187" s="3" t="s">
        <v>66</v>
      </c>
      <c r="G3187" s="3" t="s">
        <v>30</v>
      </c>
      <c r="H3187" s="3" t="s">
        <v>73</v>
      </c>
      <c r="I3187" s="3" t="s">
        <v>3853</v>
      </c>
      <c r="J3187" s="3" t="s">
        <v>33</v>
      </c>
      <c r="K3187" s="3">
        <v>3</v>
      </c>
      <c r="L3187" s="3">
        <v>3252.95</v>
      </c>
      <c r="M3187" s="3">
        <v>9758.85</v>
      </c>
      <c r="N3187" s="3">
        <v>7400.39</v>
      </c>
      <c r="O3187" s="3">
        <v>2358.46</v>
      </c>
      <c r="P3187" s="3" t="s">
        <v>45</v>
      </c>
    </row>
    <row r="3188" spans="1:16" x14ac:dyDescent="0.35">
      <c r="A3188" s="3" t="s">
        <v>4601</v>
      </c>
      <c r="B3188" s="3" t="s">
        <v>1089</v>
      </c>
      <c r="C3188" s="3" t="s">
        <v>48</v>
      </c>
      <c r="D3188" s="3" t="s">
        <v>38</v>
      </c>
      <c r="E3188" s="3" t="s">
        <v>109</v>
      </c>
      <c r="F3188" s="3" t="s">
        <v>110</v>
      </c>
      <c r="G3188" s="3" t="s">
        <v>51</v>
      </c>
      <c r="H3188" s="3" t="s">
        <v>145</v>
      </c>
      <c r="I3188" s="3" t="s">
        <v>2246</v>
      </c>
      <c r="J3188" s="3" t="s">
        <v>131</v>
      </c>
      <c r="K3188" s="3">
        <v>4</v>
      </c>
      <c r="L3188" s="3">
        <v>109.47</v>
      </c>
      <c r="M3188" s="3">
        <v>437.88</v>
      </c>
      <c r="N3188" s="3">
        <v>234.19</v>
      </c>
      <c r="O3188" s="3">
        <v>203.69</v>
      </c>
      <c r="P3188" s="3" t="s">
        <v>26</v>
      </c>
    </row>
    <row r="3189" spans="1:16" x14ac:dyDescent="0.35">
      <c r="A3189" s="3" t="s">
        <v>4602</v>
      </c>
      <c r="B3189" s="3" t="s">
        <v>186</v>
      </c>
      <c r="C3189" s="3" t="s">
        <v>89</v>
      </c>
      <c r="D3189" s="3" t="s">
        <v>38</v>
      </c>
      <c r="E3189" s="3" t="s">
        <v>109</v>
      </c>
      <c r="F3189" s="3" t="s">
        <v>110</v>
      </c>
      <c r="G3189" s="3" t="s">
        <v>22</v>
      </c>
      <c r="H3189" s="3" t="s">
        <v>83</v>
      </c>
      <c r="I3189" s="3" t="s">
        <v>2076</v>
      </c>
      <c r="J3189" s="3" t="s">
        <v>33</v>
      </c>
      <c r="K3189" s="3">
        <v>7</v>
      </c>
      <c r="L3189" s="3">
        <v>21553.96</v>
      </c>
      <c r="M3189" s="3">
        <v>150877.72</v>
      </c>
      <c r="N3189" s="3">
        <v>117226.92</v>
      </c>
      <c r="O3189" s="3">
        <v>33650.800000000003</v>
      </c>
      <c r="P3189" s="3" t="s">
        <v>26</v>
      </c>
    </row>
    <row r="3190" spans="1:16" x14ac:dyDescent="0.35">
      <c r="A3190" s="3" t="s">
        <v>4603</v>
      </c>
      <c r="B3190" s="3" t="s">
        <v>449</v>
      </c>
      <c r="C3190" s="3" t="s">
        <v>37</v>
      </c>
      <c r="D3190" s="3" t="s">
        <v>38</v>
      </c>
      <c r="E3190" s="3" t="s">
        <v>39</v>
      </c>
      <c r="F3190" s="3" t="s">
        <v>40</v>
      </c>
      <c r="G3190" s="3" t="s">
        <v>30</v>
      </c>
      <c r="H3190" s="3" t="s">
        <v>73</v>
      </c>
      <c r="I3190" s="3" t="s">
        <v>213</v>
      </c>
      <c r="J3190" s="3" t="s">
        <v>44</v>
      </c>
      <c r="K3190" s="3">
        <v>8</v>
      </c>
      <c r="L3190" s="3">
        <v>2959.11</v>
      </c>
      <c r="M3190" s="3">
        <v>23672.880000000001</v>
      </c>
      <c r="N3190" s="3">
        <v>20003.54</v>
      </c>
      <c r="O3190" s="3">
        <v>3669.34</v>
      </c>
      <c r="P3190" s="3" t="s">
        <v>26</v>
      </c>
    </row>
    <row r="3191" spans="1:16" x14ac:dyDescent="0.35">
      <c r="A3191" s="3" t="s">
        <v>4604</v>
      </c>
      <c r="B3191" s="3" t="s">
        <v>1910</v>
      </c>
      <c r="C3191" s="3" t="s">
        <v>29</v>
      </c>
      <c r="D3191" s="3" t="s">
        <v>19</v>
      </c>
      <c r="E3191" s="3" t="s">
        <v>49</v>
      </c>
      <c r="F3191" s="3" t="s">
        <v>50</v>
      </c>
      <c r="G3191" s="3" t="s">
        <v>22</v>
      </c>
      <c r="H3191" s="3" t="s">
        <v>93</v>
      </c>
      <c r="I3191" s="3" t="s">
        <v>469</v>
      </c>
      <c r="J3191" s="3" t="s">
        <v>100</v>
      </c>
      <c r="K3191" s="3">
        <v>3</v>
      </c>
      <c r="L3191" s="3">
        <v>6886.7</v>
      </c>
      <c r="M3191" s="3">
        <v>20660.099999999999</v>
      </c>
      <c r="N3191" s="3">
        <v>14777.56</v>
      </c>
      <c r="O3191" s="3">
        <v>5882.54</v>
      </c>
      <c r="P3191" s="3" t="s">
        <v>34</v>
      </c>
    </row>
    <row r="3192" spans="1:16" x14ac:dyDescent="0.35">
      <c r="A3192" s="3" t="s">
        <v>4605</v>
      </c>
      <c r="B3192" s="3" t="s">
        <v>589</v>
      </c>
      <c r="C3192" s="3" t="s">
        <v>137</v>
      </c>
      <c r="D3192" s="3" t="s">
        <v>58</v>
      </c>
      <c r="E3192" s="3" t="s">
        <v>65</v>
      </c>
      <c r="F3192" s="3" t="s">
        <v>66</v>
      </c>
      <c r="G3192" s="3" t="s">
        <v>51</v>
      </c>
      <c r="H3192" s="3" t="s">
        <v>52</v>
      </c>
      <c r="I3192" s="3" t="s">
        <v>2954</v>
      </c>
      <c r="J3192" s="3" t="s">
        <v>147</v>
      </c>
      <c r="K3192" s="3">
        <v>2</v>
      </c>
      <c r="L3192" s="3">
        <v>23.68</v>
      </c>
      <c r="M3192" s="3">
        <v>47.36</v>
      </c>
      <c r="N3192" s="3">
        <v>20.74</v>
      </c>
      <c r="O3192" s="3">
        <v>26.62</v>
      </c>
      <c r="P3192" s="3" t="s">
        <v>26</v>
      </c>
    </row>
    <row r="3193" spans="1:16" x14ac:dyDescent="0.35">
      <c r="A3193" s="3" t="s">
        <v>4606</v>
      </c>
      <c r="B3193" s="3" t="s">
        <v>2580</v>
      </c>
      <c r="C3193" s="3" t="s">
        <v>37</v>
      </c>
      <c r="D3193" s="3" t="s">
        <v>58</v>
      </c>
      <c r="E3193" s="3" t="s">
        <v>59</v>
      </c>
      <c r="F3193" s="3" t="s">
        <v>60</v>
      </c>
      <c r="G3193" s="3" t="s">
        <v>41</v>
      </c>
      <c r="H3193" s="3" t="s">
        <v>138</v>
      </c>
      <c r="I3193" s="3" t="s">
        <v>1379</v>
      </c>
      <c r="J3193" s="3" t="s">
        <v>131</v>
      </c>
      <c r="K3193" s="3">
        <v>4</v>
      </c>
      <c r="L3193" s="3">
        <v>17908.330000000002</v>
      </c>
      <c r="M3193" s="3">
        <v>71633.320000000007</v>
      </c>
      <c r="N3193" s="3">
        <v>53922.64</v>
      </c>
      <c r="O3193" s="3">
        <v>17710.68</v>
      </c>
      <c r="P3193" s="3" t="s">
        <v>26</v>
      </c>
    </row>
    <row r="3194" spans="1:16" x14ac:dyDescent="0.35">
      <c r="A3194" s="3" t="s">
        <v>4607</v>
      </c>
      <c r="B3194" s="3" t="s">
        <v>2580</v>
      </c>
      <c r="C3194" s="3" t="s">
        <v>37</v>
      </c>
      <c r="D3194" s="3" t="s">
        <v>58</v>
      </c>
      <c r="E3194" s="3" t="s">
        <v>65</v>
      </c>
      <c r="F3194" s="3" t="s">
        <v>66</v>
      </c>
      <c r="G3194" s="3" t="s">
        <v>41</v>
      </c>
      <c r="H3194" s="3" t="s">
        <v>61</v>
      </c>
      <c r="I3194" s="3" t="s">
        <v>2475</v>
      </c>
      <c r="J3194" s="3" t="s">
        <v>131</v>
      </c>
      <c r="K3194" s="3">
        <v>3</v>
      </c>
      <c r="L3194" s="3">
        <v>2380.0100000000002</v>
      </c>
      <c r="M3194" s="3">
        <v>7140.03</v>
      </c>
      <c r="N3194" s="3">
        <v>4635.8100000000004</v>
      </c>
      <c r="O3194" s="3">
        <v>2504.2199999999998</v>
      </c>
      <c r="P3194" s="3" t="s">
        <v>26</v>
      </c>
    </row>
    <row r="3195" spans="1:16" x14ac:dyDescent="0.35">
      <c r="A3195" s="3" t="s">
        <v>4608</v>
      </c>
      <c r="B3195" s="3" t="s">
        <v>485</v>
      </c>
      <c r="C3195" s="3" t="s">
        <v>114</v>
      </c>
      <c r="D3195" s="3" t="s">
        <v>19</v>
      </c>
      <c r="E3195" s="3" t="s">
        <v>49</v>
      </c>
      <c r="F3195" s="3" t="s">
        <v>50</v>
      </c>
      <c r="G3195" s="3" t="s">
        <v>30</v>
      </c>
      <c r="H3195" s="3" t="s">
        <v>73</v>
      </c>
      <c r="I3195" s="3" t="s">
        <v>706</v>
      </c>
      <c r="J3195" s="3" t="s">
        <v>106</v>
      </c>
      <c r="K3195" s="3">
        <v>2</v>
      </c>
      <c r="L3195" s="3">
        <v>3221.81</v>
      </c>
      <c r="M3195" s="3">
        <v>6443.62</v>
      </c>
      <c r="N3195" s="3">
        <v>4633.1499999999996</v>
      </c>
      <c r="O3195" s="3">
        <v>1810.47</v>
      </c>
      <c r="P3195" s="3" t="s">
        <v>26</v>
      </c>
    </row>
    <row r="3196" spans="1:16" x14ac:dyDescent="0.35">
      <c r="A3196" s="3" t="s">
        <v>4609</v>
      </c>
      <c r="B3196" s="3" t="s">
        <v>370</v>
      </c>
      <c r="C3196" s="3" t="s">
        <v>137</v>
      </c>
      <c r="D3196" s="3" t="s">
        <v>90</v>
      </c>
      <c r="E3196" s="3" t="s">
        <v>91</v>
      </c>
      <c r="F3196" s="3" t="s">
        <v>92</v>
      </c>
      <c r="G3196" s="3" t="s">
        <v>41</v>
      </c>
      <c r="H3196" s="3" t="s">
        <v>61</v>
      </c>
      <c r="I3196" s="3" t="s">
        <v>793</v>
      </c>
      <c r="J3196" s="3" t="s">
        <v>188</v>
      </c>
      <c r="K3196" s="3">
        <v>4</v>
      </c>
      <c r="L3196" s="3">
        <v>2362.61</v>
      </c>
      <c r="M3196" s="3">
        <v>9450.44</v>
      </c>
      <c r="N3196" s="3">
        <v>6685.46</v>
      </c>
      <c r="O3196" s="3">
        <v>2764.98</v>
      </c>
      <c r="P3196" s="3" t="s">
        <v>34</v>
      </c>
    </row>
    <row r="3197" spans="1:16" x14ac:dyDescent="0.35">
      <c r="A3197" s="3" t="s">
        <v>4610</v>
      </c>
      <c r="B3197" s="3" t="s">
        <v>524</v>
      </c>
      <c r="C3197" s="3" t="s">
        <v>89</v>
      </c>
      <c r="D3197" s="3" t="s">
        <v>19</v>
      </c>
      <c r="E3197" s="3" t="s">
        <v>49</v>
      </c>
      <c r="F3197" s="3" t="s">
        <v>50</v>
      </c>
      <c r="G3197" s="3" t="s">
        <v>41</v>
      </c>
      <c r="H3197" s="3" t="s">
        <v>42</v>
      </c>
      <c r="I3197" s="3" t="s">
        <v>640</v>
      </c>
      <c r="J3197" s="3" t="s">
        <v>161</v>
      </c>
      <c r="K3197" s="3">
        <v>2</v>
      </c>
      <c r="L3197" s="3">
        <v>47090.74</v>
      </c>
      <c r="M3197" s="3">
        <v>94181.48</v>
      </c>
      <c r="N3197" s="3">
        <v>67399.66</v>
      </c>
      <c r="O3197" s="3">
        <v>26781.82</v>
      </c>
      <c r="P3197" s="3" t="s">
        <v>26</v>
      </c>
    </row>
    <row r="3198" spans="1:16" x14ac:dyDescent="0.35">
      <c r="A3198" s="3" t="s">
        <v>4611</v>
      </c>
      <c r="B3198" s="3" t="s">
        <v>1644</v>
      </c>
      <c r="C3198" s="3" t="s">
        <v>118</v>
      </c>
      <c r="D3198" s="3" t="s">
        <v>58</v>
      </c>
      <c r="E3198" s="3" t="s">
        <v>59</v>
      </c>
      <c r="F3198" s="3" t="s">
        <v>60</v>
      </c>
      <c r="G3198" s="3" t="s">
        <v>51</v>
      </c>
      <c r="H3198" s="3" t="s">
        <v>145</v>
      </c>
      <c r="I3198" s="3" t="s">
        <v>4612</v>
      </c>
      <c r="J3198" s="3" t="s">
        <v>25</v>
      </c>
      <c r="K3198" s="3">
        <v>4</v>
      </c>
      <c r="L3198" s="3">
        <v>130.53</v>
      </c>
      <c r="M3198" s="3">
        <v>522.12</v>
      </c>
      <c r="N3198" s="3">
        <v>251.98</v>
      </c>
      <c r="O3198" s="3">
        <v>270.14</v>
      </c>
      <c r="P3198" s="3" t="s">
        <v>86</v>
      </c>
    </row>
    <row r="3199" spans="1:16" x14ac:dyDescent="0.35">
      <c r="A3199" s="3" t="s">
        <v>4613</v>
      </c>
      <c r="B3199" s="3" t="s">
        <v>429</v>
      </c>
      <c r="C3199" s="3" t="s">
        <v>137</v>
      </c>
      <c r="D3199" s="3" t="s">
        <v>38</v>
      </c>
      <c r="E3199" s="3" t="s">
        <v>109</v>
      </c>
      <c r="F3199" s="3" t="s">
        <v>110</v>
      </c>
      <c r="G3199" s="3" t="s">
        <v>30</v>
      </c>
      <c r="H3199" s="3" t="s">
        <v>73</v>
      </c>
      <c r="I3199" s="3" t="s">
        <v>78</v>
      </c>
      <c r="J3199" s="3" t="s">
        <v>106</v>
      </c>
      <c r="K3199" s="3">
        <v>7</v>
      </c>
      <c r="L3199" s="3">
        <v>3315.35</v>
      </c>
      <c r="M3199" s="3">
        <v>23207.45</v>
      </c>
      <c r="N3199" s="3">
        <v>16408.939999999999</v>
      </c>
      <c r="O3199" s="3">
        <v>6798.51</v>
      </c>
      <c r="P3199" s="3" t="s">
        <v>26</v>
      </c>
    </row>
    <row r="3200" spans="1:16" x14ac:dyDescent="0.35">
      <c r="A3200" s="3" t="s">
        <v>4614</v>
      </c>
      <c r="B3200" s="3" t="s">
        <v>1644</v>
      </c>
      <c r="C3200" s="3" t="s">
        <v>118</v>
      </c>
      <c r="D3200" s="3" t="s">
        <v>19</v>
      </c>
      <c r="E3200" s="3" t="s">
        <v>49</v>
      </c>
      <c r="F3200" s="3" t="s">
        <v>50</v>
      </c>
      <c r="G3200" s="3" t="s">
        <v>41</v>
      </c>
      <c r="H3200" s="3" t="s">
        <v>61</v>
      </c>
      <c r="I3200" s="3" t="s">
        <v>3177</v>
      </c>
      <c r="J3200" s="3" t="s">
        <v>217</v>
      </c>
      <c r="K3200" s="3">
        <v>6</v>
      </c>
      <c r="L3200" s="3">
        <v>2337.19</v>
      </c>
      <c r="M3200" s="3">
        <v>14023.14</v>
      </c>
      <c r="N3200" s="3">
        <v>9574.36</v>
      </c>
      <c r="O3200" s="3">
        <v>4448.78</v>
      </c>
      <c r="P3200" s="3" t="s">
        <v>34</v>
      </c>
    </row>
    <row r="3201" spans="1:16" x14ac:dyDescent="0.35">
      <c r="A3201" s="3" t="s">
        <v>4615</v>
      </c>
      <c r="B3201" s="3" t="s">
        <v>113</v>
      </c>
      <c r="C3201" s="3" t="s">
        <v>114</v>
      </c>
      <c r="D3201" s="3" t="s">
        <v>90</v>
      </c>
      <c r="E3201" s="3" t="s">
        <v>97</v>
      </c>
      <c r="F3201" s="3" t="s">
        <v>98</v>
      </c>
      <c r="G3201" s="3" t="s">
        <v>51</v>
      </c>
      <c r="H3201" s="3" t="s">
        <v>145</v>
      </c>
      <c r="I3201" s="3" t="s">
        <v>4616</v>
      </c>
      <c r="J3201" s="3" t="s">
        <v>188</v>
      </c>
      <c r="K3201" s="3">
        <v>1</v>
      </c>
      <c r="L3201" s="3">
        <v>121.41</v>
      </c>
      <c r="M3201" s="3">
        <v>121.41</v>
      </c>
      <c r="N3201" s="3">
        <v>59.4</v>
      </c>
      <c r="O3201" s="3">
        <v>62.01</v>
      </c>
      <c r="P3201" s="3" t="s">
        <v>45</v>
      </c>
    </row>
    <row r="3202" spans="1:16" x14ac:dyDescent="0.35">
      <c r="A3202" s="3" t="s">
        <v>4617</v>
      </c>
      <c r="B3202" s="3" t="s">
        <v>1031</v>
      </c>
      <c r="C3202" s="3" t="s">
        <v>82</v>
      </c>
      <c r="D3202" s="3" t="s">
        <v>58</v>
      </c>
      <c r="E3202" s="3" t="s">
        <v>65</v>
      </c>
      <c r="F3202" s="3" t="s">
        <v>66</v>
      </c>
      <c r="G3202" s="3" t="s">
        <v>30</v>
      </c>
      <c r="H3202" s="3" t="s">
        <v>67</v>
      </c>
      <c r="I3202" s="3" t="s">
        <v>2833</v>
      </c>
      <c r="J3202" s="3" t="s">
        <v>85</v>
      </c>
      <c r="K3202" s="3">
        <v>8</v>
      </c>
      <c r="L3202" s="3">
        <v>9172.52</v>
      </c>
      <c r="M3202" s="3">
        <v>73380.160000000003</v>
      </c>
      <c r="N3202" s="3">
        <v>62759.27</v>
      </c>
      <c r="O3202" s="3">
        <v>10620.89</v>
      </c>
      <c r="P3202" s="3" t="s">
        <v>86</v>
      </c>
    </row>
    <row r="3203" spans="1:16" x14ac:dyDescent="0.35">
      <c r="A3203" s="3" t="s">
        <v>4618</v>
      </c>
      <c r="B3203" s="3" t="s">
        <v>666</v>
      </c>
      <c r="C3203" s="3" t="s">
        <v>37</v>
      </c>
      <c r="D3203" s="3" t="s">
        <v>19</v>
      </c>
      <c r="E3203" s="3" t="s">
        <v>199</v>
      </c>
      <c r="F3203" s="3" t="s">
        <v>200</v>
      </c>
      <c r="G3203" s="3" t="s">
        <v>30</v>
      </c>
      <c r="H3203" s="3" t="s">
        <v>31</v>
      </c>
      <c r="I3203" s="3" t="s">
        <v>1782</v>
      </c>
      <c r="J3203" s="3" t="s">
        <v>85</v>
      </c>
      <c r="K3203" s="3">
        <v>1</v>
      </c>
      <c r="L3203" s="3">
        <v>3061.85</v>
      </c>
      <c r="M3203" s="3">
        <v>3061.85</v>
      </c>
      <c r="N3203" s="3">
        <v>1926.57</v>
      </c>
      <c r="O3203" s="3">
        <v>1135.28</v>
      </c>
      <c r="P3203" s="3" t="s">
        <v>86</v>
      </c>
    </row>
    <row r="3204" spans="1:16" x14ac:dyDescent="0.35">
      <c r="A3204" s="3" t="s">
        <v>4619</v>
      </c>
      <c r="B3204" s="3" t="s">
        <v>1695</v>
      </c>
      <c r="C3204" s="3" t="s">
        <v>89</v>
      </c>
      <c r="D3204" s="3" t="s">
        <v>38</v>
      </c>
      <c r="E3204" s="3" t="s">
        <v>104</v>
      </c>
      <c r="F3204" s="3" t="s">
        <v>104</v>
      </c>
      <c r="G3204" s="3" t="s">
        <v>41</v>
      </c>
      <c r="H3204" s="3" t="s">
        <v>138</v>
      </c>
      <c r="I3204" s="3" t="s">
        <v>1603</v>
      </c>
      <c r="J3204" s="3" t="s">
        <v>100</v>
      </c>
      <c r="K3204" s="3">
        <v>6</v>
      </c>
      <c r="L3204" s="3">
        <v>18930.509999999998</v>
      </c>
      <c r="M3204" s="3">
        <v>113583.06</v>
      </c>
      <c r="N3204" s="3">
        <v>81454.759999999995</v>
      </c>
      <c r="O3204" s="3">
        <v>32128.3</v>
      </c>
      <c r="P3204" s="3" t="s">
        <v>69</v>
      </c>
    </row>
    <row r="3205" spans="1:16" x14ac:dyDescent="0.35">
      <c r="A3205" s="3" t="s">
        <v>4620</v>
      </c>
      <c r="B3205" s="3" t="s">
        <v>629</v>
      </c>
      <c r="C3205" s="3" t="s">
        <v>29</v>
      </c>
      <c r="D3205" s="3" t="s">
        <v>19</v>
      </c>
      <c r="E3205" s="3" t="s">
        <v>20</v>
      </c>
      <c r="F3205" s="3" t="s">
        <v>21</v>
      </c>
      <c r="G3205" s="3" t="s">
        <v>22</v>
      </c>
      <c r="H3205" s="3" t="s">
        <v>93</v>
      </c>
      <c r="I3205" s="3" t="s">
        <v>2009</v>
      </c>
      <c r="J3205" s="3" t="s">
        <v>100</v>
      </c>
      <c r="K3205" s="3">
        <v>6</v>
      </c>
      <c r="L3205" s="3">
        <v>7121.76</v>
      </c>
      <c r="M3205" s="3">
        <v>42730.559999999998</v>
      </c>
      <c r="N3205" s="3">
        <v>31044.080000000002</v>
      </c>
      <c r="O3205" s="3">
        <v>11686.48</v>
      </c>
      <c r="P3205" s="3" t="s">
        <v>26</v>
      </c>
    </row>
    <row r="3206" spans="1:16" x14ac:dyDescent="0.35">
      <c r="A3206" s="3" t="s">
        <v>4621</v>
      </c>
      <c r="B3206" s="3" t="s">
        <v>1761</v>
      </c>
      <c r="C3206" s="3" t="s">
        <v>72</v>
      </c>
      <c r="D3206" s="3" t="s">
        <v>90</v>
      </c>
      <c r="E3206" s="3" t="s">
        <v>119</v>
      </c>
      <c r="F3206" s="3" t="s">
        <v>120</v>
      </c>
      <c r="G3206" s="3" t="s">
        <v>51</v>
      </c>
      <c r="H3206" s="3" t="s">
        <v>145</v>
      </c>
      <c r="I3206" s="3" t="s">
        <v>3378</v>
      </c>
      <c r="J3206" s="3" t="s">
        <v>106</v>
      </c>
      <c r="K3206" s="3">
        <v>4</v>
      </c>
      <c r="L3206" s="3">
        <v>115.65</v>
      </c>
      <c r="M3206" s="3">
        <v>462.6</v>
      </c>
      <c r="N3206" s="3">
        <v>250.19</v>
      </c>
      <c r="O3206" s="3">
        <v>212.41</v>
      </c>
      <c r="P3206" s="3" t="s">
        <v>34</v>
      </c>
    </row>
    <row r="3207" spans="1:16" x14ac:dyDescent="0.35">
      <c r="A3207" s="3" t="s">
        <v>4622</v>
      </c>
      <c r="B3207" s="3" t="s">
        <v>2969</v>
      </c>
      <c r="C3207" s="3" t="s">
        <v>137</v>
      </c>
      <c r="D3207" s="3" t="s">
        <v>90</v>
      </c>
      <c r="E3207" s="3" t="s">
        <v>97</v>
      </c>
      <c r="F3207" s="3" t="s">
        <v>98</v>
      </c>
      <c r="G3207" s="3" t="s">
        <v>30</v>
      </c>
      <c r="H3207" s="3" t="s">
        <v>67</v>
      </c>
      <c r="I3207" s="3" t="s">
        <v>2629</v>
      </c>
      <c r="J3207" s="3" t="s">
        <v>147</v>
      </c>
      <c r="K3207" s="3">
        <v>5</v>
      </c>
      <c r="L3207" s="3">
        <v>9441.24</v>
      </c>
      <c r="M3207" s="3">
        <v>47206.2</v>
      </c>
      <c r="N3207" s="3">
        <v>36779.760000000002</v>
      </c>
      <c r="O3207" s="3">
        <v>10426.44</v>
      </c>
      <c r="P3207" s="3" t="s">
        <v>26</v>
      </c>
    </row>
    <row r="3208" spans="1:16" x14ac:dyDescent="0.35">
      <c r="A3208" s="3" t="s">
        <v>4623</v>
      </c>
      <c r="B3208" s="3" t="s">
        <v>351</v>
      </c>
      <c r="C3208" s="3" t="s">
        <v>114</v>
      </c>
      <c r="D3208" s="3" t="s">
        <v>38</v>
      </c>
      <c r="E3208" s="3" t="s">
        <v>109</v>
      </c>
      <c r="F3208" s="3" t="s">
        <v>110</v>
      </c>
      <c r="G3208" s="3" t="s">
        <v>41</v>
      </c>
      <c r="H3208" s="3" t="s">
        <v>138</v>
      </c>
      <c r="I3208" s="3" t="s">
        <v>2547</v>
      </c>
      <c r="J3208" s="3" t="s">
        <v>79</v>
      </c>
      <c r="K3208" s="3">
        <v>2</v>
      </c>
      <c r="L3208" s="3">
        <v>17942.77</v>
      </c>
      <c r="M3208" s="3">
        <v>35885.54</v>
      </c>
      <c r="N3208" s="3">
        <v>26634.31</v>
      </c>
      <c r="O3208" s="3">
        <v>9251.23</v>
      </c>
      <c r="P3208" s="3" t="s">
        <v>45</v>
      </c>
    </row>
    <row r="3209" spans="1:16" x14ac:dyDescent="0.35">
      <c r="A3209" s="3" t="s">
        <v>4624</v>
      </c>
      <c r="B3209" s="3" t="s">
        <v>1698</v>
      </c>
      <c r="C3209" s="3" t="s">
        <v>18</v>
      </c>
      <c r="D3209" s="3" t="s">
        <v>19</v>
      </c>
      <c r="E3209" s="3" t="s">
        <v>20</v>
      </c>
      <c r="F3209" s="3" t="s">
        <v>21</v>
      </c>
      <c r="G3209" s="3" t="s">
        <v>51</v>
      </c>
      <c r="H3209" s="3" t="s">
        <v>77</v>
      </c>
      <c r="I3209" s="3" t="s">
        <v>990</v>
      </c>
      <c r="J3209" s="3" t="s">
        <v>131</v>
      </c>
      <c r="K3209" s="3">
        <v>7</v>
      </c>
      <c r="L3209" s="3">
        <v>12288</v>
      </c>
      <c r="M3209" s="3">
        <v>86016</v>
      </c>
      <c r="N3209" s="3">
        <v>60749.5</v>
      </c>
      <c r="O3209" s="3">
        <v>25266.5</v>
      </c>
      <c r="P3209" s="3" t="s">
        <v>69</v>
      </c>
    </row>
    <row r="3210" spans="1:16" x14ac:dyDescent="0.35">
      <c r="A3210" s="3" t="s">
        <v>4625</v>
      </c>
      <c r="B3210" s="3" t="s">
        <v>407</v>
      </c>
      <c r="C3210" s="3" t="s">
        <v>48</v>
      </c>
      <c r="D3210" s="3" t="s">
        <v>58</v>
      </c>
      <c r="E3210" s="3" t="s">
        <v>65</v>
      </c>
      <c r="F3210" s="3" t="s">
        <v>66</v>
      </c>
      <c r="G3210" s="3" t="s">
        <v>51</v>
      </c>
      <c r="H3210" s="3" t="s">
        <v>145</v>
      </c>
      <c r="I3210" s="3" t="s">
        <v>32</v>
      </c>
      <c r="J3210" s="3" t="s">
        <v>188</v>
      </c>
      <c r="K3210" s="3">
        <v>4</v>
      </c>
      <c r="L3210" s="3">
        <v>110.31</v>
      </c>
      <c r="M3210" s="3">
        <v>441.24</v>
      </c>
      <c r="N3210" s="3">
        <v>233</v>
      </c>
      <c r="O3210" s="3">
        <v>208.24</v>
      </c>
      <c r="P3210" s="3" t="s">
        <v>34</v>
      </c>
    </row>
    <row r="3211" spans="1:16" x14ac:dyDescent="0.35">
      <c r="A3211" s="3" t="s">
        <v>4626</v>
      </c>
      <c r="B3211" s="3" t="s">
        <v>1086</v>
      </c>
      <c r="C3211" s="3" t="s">
        <v>37</v>
      </c>
      <c r="D3211" s="3" t="s">
        <v>90</v>
      </c>
      <c r="E3211" s="3" t="s">
        <v>119</v>
      </c>
      <c r="F3211" s="3" t="s">
        <v>120</v>
      </c>
      <c r="G3211" s="3" t="s">
        <v>30</v>
      </c>
      <c r="H3211" s="3" t="s">
        <v>31</v>
      </c>
      <c r="I3211" s="3" t="s">
        <v>342</v>
      </c>
      <c r="J3211" s="3" t="s">
        <v>131</v>
      </c>
      <c r="K3211" s="3">
        <v>1</v>
      </c>
      <c r="L3211" s="3">
        <v>2686.67</v>
      </c>
      <c r="M3211" s="3">
        <v>2686.67</v>
      </c>
      <c r="N3211" s="3">
        <v>1828.53</v>
      </c>
      <c r="O3211" s="3">
        <v>858.14</v>
      </c>
      <c r="P3211" s="3" t="s">
        <v>86</v>
      </c>
    </row>
    <row r="3212" spans="1:16" x14ac:dyDescent="0.35">
      <c r="A3212" s="3" t="s">
        <v>4627</v>
      </c>
      <c r="B3212" s="3" t="s">
        <v>511</v>
      </c>
      <c r="C3212" s="3" t="s">
        <v>29</v>
      </c>
      <c r="D3212" s="3" t="s">
        <v>19</v>
      </c>
      <c r="E3212" s="3" t="s">
        <v>199</v>
      </c>
      <c r="F3212" s="3" t="s">
        <v>200</v>
      </c>
      <c r="G3212" s="3" t="s">
        <v>41</v>
      </c>
      <c r="H3212" s="3" t="s">
        <v>61</v>
      </c>
      <c r="I3212" s="3" t="s">
        <v>473</v>
      </c>
      <c r="J3212" s="3" t="s">
        <v>85</v>
      </c>
      <c r="K3212" s="3">
        <v>7</v>
      </c>
      <c r="L3212" s="3">
        <v>2379</v>
      </c>
      <c r="M3212" s="3">
        <v>16653</v>
      </c>
      <c r="N3212" s="3">
        <v>11682.03</v>
      </c>
      <c r="O3212" s="3">
        <v>4970.97</v>
      </c>
      <c r="P3212" s="3" t="s">
        <v>86</v>
      </c>
    </row>
    <row r="3213" spans="1:16" x14ac:dyDescent="0.35">
      <c r="A3213" s="3" t="s">
        <v>4628</v>
      </c>
      <c r="B3213" s="3" t="s">
        <v>974</v>
      </c>
      <c r="C3213" s="3" t="s">
        <v>29</v>
      </c>
      <c r="D3213" s="3" t="s">
        <v>19</v>
      </c>
      <c r="E3213" s="3" t="s">
        <v>49</v>
      </c>
      <c r="F3213" s="3" t="s">
        <v>50</v>
      </c>
      <c r="G3213" s="3" t="s">
        <v>30</v>
      </c>
      <c r="H3213" s="3" t="s">
        <v>73</v>
      </c>
      <c r="I3213" s="3" t="s">
        <v>625</v>
      </c>
      <c r="J3213" s="3" t="s">
        <v>188</v>
      </c>
      <c r="K3213" s="3">
        <v>7</v>
      </c>
      <c r="L3213" s="3">
        <v>3151.25</v>
      </c>
      <c r="M3213" s="3">
        <v>22058.75</v>
      </c>
      <c r="N3213" s="3">
        <v>16448.060000000001</v>
      </c>
      <c r="O3213" s="3">
        <v>5610.69</v>
      </c>
      <c r="P3213" s="3" t="s">
        <v>26</v>
      </c>
    </row>
    <row r="3214" spans="1:16" x14ac:dyDescent="0.35">
      <c r="A3214" s="3" t="s">
        <v>4629</v>
      </c>
      <c r="B3214" s="3" t="s">
        <v>1082</v>
      </c>
      <c r="C3214" s="3" t="s">
        <v>114</v>
      </c>
      <c r="D3214" s="3" t="s">
        <v>19</v>
      </c>
      <c r="E3214" s="3" t="s">
        <v>20</v>
      </c>
      <c r="F3214" s="3" t="s">
        <v>21</v>
      </c>
      <c r="G3214" s="3" t="s">
        <v>51</v>
      </c>
      <c r="H3214" s="3" t="s">
        <v>145</v>
      </c>
      <c r="I3214" s="3" t="s">
        <v>1796</v>
      </c>
      <c r="J3214" s="3" t="s">
        <v>161</v>
      </c>
      <c r="K3214" s="3">
        <v>7</v>
      </c>
      <c r="L3214" s="3">
        <v>123.1</v>
      </c>
      <c r="M3214" s="3">
        <v>861.7</v>
      </c>
      <c r="N3214" s="3">
        <v>400.14</v>
      </c>
      <c r="O3214" s="3">
        <v>461.56</v>
      </c>
      <c r="P3214" s="3" t="s">
        <v>34</v>
      </c>
    </row>
    <row r="3215" spans="1:16" x14ac:dyDescent="0.35">
      <c r="A3215" s="3" t="s">
        <v>4630</v>
      </c>
      <c r="B3215" s="3" t="s">
        <v>392</v>
      </c>
      <c r="C3215" s="3" t="s">
        <v>103</v>
      </c>
      <c r="D3215" s="3" t="s">
        <v>58</v>
      </c>
      <c r="E3215" s="3" t="s">
        <v>65</v>
      </c>
      <c r="F3215" s="3" t="s">
        <v>66</v>
      </c>
      <c r="G3215" s="3" t="s">
        <v>41</v>
      </c>
      <c r="H3215" s="3" t="s">
        <v>61</v>
      </c>
      <c r="I3215" s="3" t="s">
        <v>157</v>
      </c>
      <c r="J3215" s="3" t="s">
        <v>217</v>
      </c>
      <c r="K3215" s="3">
        <v>1</v>
      </c>
      <c r="L3215" s="3">
        <v>2289.79</v>
      </c>
      <c r="M3215" s="3">
        <v>2289.79</v>
      </c>
      <c r="N3215" s="3">
        <v>1578.86</v>
      </c>
      <c r="O3215" s="3">
        <v>710.93</v>
      </c>
      <c r="P3215" s="3" t="s">
        <v>45</v>
      </c>
    </row>
    <row r="3216" spans="1:16" x14ac:dyDescent="0.35">
      <c r="A3216" s="3" t="s">
        <v>4631</v>
      </c>
      <c r="B3216" s="3" t="s">
        <v>163</v>
      </c>
      <c r="C3216" s="3" t="s">
        <v>137</v>
      </c>
      <c r="D3216" s="3" t="s">
        <v>58</v>
      </c>
      <c r="E3216" s="3" t="s">
        <v>176</v>
      </c>
      <c r="F3216" s="3" t="s">
        <v>177</v>
      </c>
      <c r="G3216" s="3" t="s">
        <v>51</v>
      </c>
      <c r="H3216" s="3" t="s">
        <v>52</v>
      </c>
      <c r="I3216" s="3" t="s">
        <v>311</v>
      </c>
      <c r="J3216" s="3" t="s">
        <v>171</v>
      </c>
      <c r="K3216" s="3">
        <v>7</v>
      </c>
      <c r="L3216" s="3">
        <v>26.1</v>
      </c>
      <c r="M3216" s="3">
        <v>182.7</v>
      </c>
      <c r="N3216" s="3">
        <v>68.87</v>
      </c>
      <c r="O3216" s="3">
        <v>113.83</v>
      </c>
      <c r="P3216" s="3" t="s">
        <v>69</v>
      </c>
    </row>
    <row r="3217" spans="1:16" x14ac:dyDescent="0.35">
      <c r="A3217" s="3" t="s">
        <v>4632</v>
      </c>
      <c r="B3217" s="3" t="s">
        <v>696</v>
      </c>
      <c r="C3217" s="3" t="s">
        <v>82</v>
      </c>
      <c r="D3217" s="3" t="s">
        <v>58</v>
      </c>
      <c r="E3217" s="3" t="s">
        <v>59</v>
      </c>
      <c r="F3217" s="3" t="s">
        <v>60</v>
      </c>
      <c r="G3217" s="3" t="s">
        <v>22</v>
      </c>
      <c r="H3217" s="3" t="s">
        <v>93</v>
      </c>
      <c r="I3217" s="3" t="s">
        <v>300</v>
      </c>
      <c r="J3217" s="3" t="s">
        <v>25</v>
      </c>
      <c r="K3217" s="3">
        <v>4</v>
      </c>
      <c r="L3217" s="3">
        <v>7122.99</v>
      </c>
      <c r="M3217" s="3">
        <v>28491.96</v>
      </c>
      <c r="N3217" s="3">
        <v>19301.5</v>
      </c>
      <c r="O3217" s="3">
        <v>9190.4599999999991</v>
      </c>
      <c r="P3217" s="3" t="s">
        <v>45</v>
      </c>
    </row>
    <row r="3218" spans="1:16" x14ac:dyDescent="0.35">
      <c r="A3218" s="3" t="s">
        <v>4633</v>
      </c>
      <c r="B3218" s="3" t="s">
        <v>524</v>
      </c>
      <c r="C3218" s="3" t="s">
        <v>89</v>
      </c>
      <c r="D3218" s="3" t="s">
        <v>58</v>
      </c>
      <c r="E3218" s="3" t="s">
        <v>176</v>
      </c>
      <c r="F3218" s="3" t="s">
        <v>177</v>
      </c>
      <c r="G3218" s="3" t="s">
        <v>30</v>
      </c>
      <c r="H3218" s="3" t="s">
        <v>67</v>
      </c>
      <c r="I3218" s="3" t="s">
        <v>2782</v>
      </c>
      <c r="J3218" s="3" t="s">
        <v>147</v>
      </c>
      <c r="K3218" s="3">
        <v>5</v>
      </c>
      <c r="L3218" s="3">
        <v>10421.049999999999</v>
      </c>
      <c r="M3218" s="3">
        <v>52105.25</v>
      </c>
      <c r="N3218" s="3">
        <v>38224.589999999997</v>
      </c>
      <c r="O3218" s="3">
        <v>13880.66</v>
      </c>
      <c r="P3218" s="3" t="s">
        <v>26</v>
      </c>
    </row>
    <row r="3219" spans="1:16" x14ac:dyDescent="0.35">
      <c r="A3219" s="3" t="s">
        <v>4634</v>
      </c>
      <c r="B3219" s="3" t="s">
        <v>102</v>
      </c>
      <c r="C3219" s="3" t="s">
        <v>103</v>
      </c>
      <c r="D3219" s="3" t="s">
        <v>58</v>
      </c>
      <c r="E3219" s="3" t="s">
        <v>65</v>
      </c>
      <c r="F3219" s="3" t="s">
        <v>66</v>
      </c>
      <c r="G3219" s="3" t="s">
        <v>51</v>
      </c>
      <c r="H3219" s="3" t="s">
        <v>145</v>
      </c>
      <c r="I3219" s="3" t="s">
        <v>1961</v>
      </c>
      <c r="J3219" s="3" t="s">
        <v>85</v>
      </c>
      <c r="K3219" s="3">
        <v>1</v>
      </c>
      <c r="L3219" s="3">
        <v>108.99</v>
      </c>
      <c r="M3219" s="3">
        <v>108.99</v>
      </c>
      <c r="N3219" s="3">
        <v>59.59</v>
      </c>
      <c r="O3219" s="3">
        <v>49.4</v>
      </c>
      <c r="P3219" s="3" t="s">
        <v>69</v>
      </c>
    </row>
    <row r="3220" spans="1:16" x14ac:dyDescent="0.35">
      <c r="A3220" s="3" t="s">
        <v>4635</v>
      </c>
      <c r="B3220" s="3" t="s">
        <v>1455</v>
      </c>
      <c r="C3220" s="3" t="s">
        <v>103</v>
      </c>
      <c r="D3220" s="3" t="s">
        <v>58</v>
      </c>
      <c r="E3220" s="3" t="s">
        <v>176</v>
      </c>
      <c r="F3220" s="3" t="s">
        <v>177</v>
      </c>
      <c r="G3220" s="3" t="s">
        <v>51</v>
      </c>
      <c r="H3220" s="3" t="s">
        <v>145</v>
      </c>
      <c r="I3220" s="3" t="s">
        <v>1402</v>
      </c>
      <c r="J3220" s="3" t="s">
        <v>33</v>
      </c>
      <c r="K3220" s="3">
        <v>5</v>
      </c>
      <c r="L3220" s="3">
        <v>123.63</v>
      </c>
      <c r="M3220" s="3">
        <v>618.15</v>
      </c>
      <c r="N3220" s="3">
        <v>292.11</v>
      </c>
      <c r="O3220" s="3">
        <v>326.04000000000002</v>
      </c>
      <c r="P3220" s="3" t="s">
        <v>26</v>
      </c>
    </row>
    <row r="3221" spans="1:16" x14ac:dyDescent="0.35">
      <c r="A3221" s="3" t="s">
        <v>4636</v>
      </c>
      <c r="B3221" s="3" t="s">
        <v>126</v>
      </c>
      <c r="C3221" s="3" t="s">
        <v>103</v>
      </c>
      <c r="D3221" s="3" t="s">
        <v>19</v>
      </c>
      <c r="E3221" s="3" t="s">
        <v>199</v>
      </c>
      <c r="F3221" s="3" t="s">
        <v>200</v>
      </c>
      <c r="G3221" s="3" t="s">
        <v>30</v>
      </c>
      <c r="H3221" s="3" t="s">
        <v>67</v>
      </c>
      <c r="I3221" s="3" t="s">
        <v>3248</v>
      </c>
      <c r="J3221" s="3" t="s">
        <v>44</v>
      </c>
      <c r="K3221" s="3">
        <v>1</v>
      </c>
      <c r="L3221" s="3">
        <v>9842.4699999999993</v>
      </c>
      <c r="M3221" s="3">
        <v>9842.4699999999993</v>
      </c>
      <c r="N3221" s="3">
        <v>7359.63</v>
      </c>
      <c r="O3221" s="3">
        <v>2482.84</v>
      </c>
      <c r="P3221" s="3" t="s">
        <v>26</v>
      </c>
    </row>
    <row r="3222" spans="1:16" x14ac:dyDescent="0.35">
      <c r="A3222" s="3" t="s">
        <v>4637</v>
      </c>
      <c r="B3222" s="3" t="s">
        <v>559</v>
      </c>
      <c r="C3222" s="3" t="s">
        <v>89</v>
      </c>
      <c r="D3222" s="3" t="s">
        <v>19</v>
      </c>
      <c r="E3222" s="3" t="s">
        <v>20</v>
      </c>
      <c r="F3222" s="3" t="s">
        <v>21</v>
      </c>
      <c r="G3222" s="3" t="s">
        <v>51</v>
      </c>
      <c r="H3222" s="3" t="s">
        <v>145</v>
      </c>
      <c r="I3222" s="3" t="s">
        <v>3524</v>
      </c>
      <c r="J3222" s="3" t="s">
        <v>188</v>
      </c>
      <c r="K3222" s="3">
        <v>1</v>
      </c>
      <c r="L3222" s="3">
        <v>121.83</v>
      </c>
      <c r="M3222" s="3">
        <v>121.83</v>
      </c>
      <c r="N3222" s="3">
        <v>62.39</v>
      </c>
      <c r="O3222" s="3">
        <v>59.44</v>
      </c>
      <c r="P3222" s="3" t="s">
        <v>86</v>
      </c>
    </row>
    <row r="3223" spans="1:16" x14ac:dyDescent="0.35">
      <c r="A3223" s="3" t="s">
        <v>4638</v>
      </c>
      <c r="B3223" s="3" t="s">
        <v>699</v>
      </c>
      <c r="C3223" s="3" t="s">
        <v>137</v>
      </c>
      <c r="D3223" s="3" t="s">
        <v>19</v>
      </c>
      <c r="E3223" s="3" t="s">
        <v>199</v>
      </c>
      <c r="F3223" s="3" t="s">
        <v>200</v>
      </c>
      <c r="G3223" s="3" t="s">
        <v>41</v>
      </c>
      <c r="H3223" s="3" t="s">
        <v>42</v>
      </c>
      <c r="I3223" s="3" t="s">
        <v>713</v>
      </c>
      <c r="J3223" s="3" t="s">
        <v>54</v>
      </c>
      <c r="K3223" s="3">
        <v>7</v>
      </c>
      <c r="L3223" s="3">
        <v>46875.41</v>
      </c>
      <c r="M3223" s="3">
        <v>328127.87</v>
      </c>
      <c r="N3223" s="3">
        <v>246395.45</v>
      </c>
      <c r="O3223" s="3">
        <v>81732.42</v>
      </c>
      <c r="P3223" s="3" t="s">
        <v>45</v>
      </c>
    </row>
    <row r="3224" spans="1:16" x14ac:dyDescent="0.35">
      <c r="A3224" s="3" t="s">
        <v>4639</v>
      </c>
      <c r="B3224" s="3" t="s">
        <v>333</v>
      </c>
      <c r="C3224" s="3" t="s">
        <v>118</v>
      </c>
      <c r="D3224" s="3" t="s">
        <v>90</v>
      </c>
      <c r="E3224" s="3" t="s">
        <v>119</v>
      </c>
      <c r="F3224" s="3" t="s">
        <v>120</v>
      </c>
      <c r="G3224" s="3" t="s">
        <v>22</v>
      </c>
      <c r="H3224" s="3" t="s">
        <v>93</v>
      </c>
      <c r="I3224" s="3" t="s">
        <v>713</v>
      </c>
      <c r="J3224" s="3" t="s">
        <v>171</v>
      </c>
      <c r="K3224" s="3">
        <v>4</v>
      </c>
      <c r="L3224" s="3">
        <v>7205.84</v>
      </c>
      <c r="M3224" s="3">
        <v>28823.360000000001</v>
      </c>
      <c r="N3224" s="3">
        <v>19348.349999999999</v>
      </c>
      <c r="O3224" s="3">
        <v>9475.01</v>
      </c>
      <c r="P3224" s="3" t="s">
        <v>45</v>
      </c>
    </row>
    <row r="3225" spans="1:16" x14ac:dyDescent="0.35">
      <c r="A3225" s="3" t="s">
        <v>4640</v>
      </c>
      <c r="B3225" s="3" t="s">
        <v>96</v>
      </c>
      <c r="C3225" s="3" t="s">
        <v>48</v>
      </c>
      <c r="D3225" s="3" t="s">
        <v>90</v>
      </c>
      <c r="E3225" s="3" t="s">
        <v>119</v>
      </c>
      <c r="F3225" s="3" t="s">
        <v>120</v>
      </c>
      <c r="G3225" s="3" t="s">
        <v>51</v>
      </c>
      <c r="H3225" s="3" t="s">
        <v>77</v>
      </c>
      <c r="I3225" s="3" t="s">
        <v>3479</v>
      </c>
      <c r="J3225" s="3" t="s">
        <v>79</v>
      </c>
      <c r="K3225" s="3">
        <v>1</v>
      </c>
      <c r="L3225" s="3">
        <v>11390.32</v>
      </c>
      <c r="M3225" s="3">
        <v>11390.32</v>
      </c>
      <c r="N3225" s="3">
        <v>9124.9</v>
      </c>
      <c r="O3225" s="3">
        <v>2265.42</v>
      </c>
      <c r="P3225" s="3" t="s">
        <v>26</v>
      </c>
    </row>
    <row r="3226" spans="1:16" x14ac:dyDescent="0.35">
      <c r="A3226" s="3" t="s">
        <v>4641</v>
      </c>
      <c r="B3226" s="3" t="s">
        <v>656</v>
      </c>
      <c r="C3226" s="3" t="s">
        <v>89</v>
      </c>
      <c r="D3226" s="3" t="s">
        <v>58</v>
      </c>
      <c r="E3226" s="3" t="s">
        <v>59</v>
      </c>
      <c r="F3226" s="3" t="s">
        <v>60</v>
      </c>
      <c r="G3226" s="3" t="s">
        <v>30</v>
      </c>
      <c r="H3226" s="3" t="s">
        <v>67</v>
      </c>
      <c r="I3226" s="3" t="s">
        <v>2108</v>
      </c>
      <c r="J3226" s="3" t="s">
        <v>161</v>
      </c>
      <c r="K3226" s="3">
        <v>7</v>
      </c>
      <c r="L3226" s="3">
        <v>8669.76</v>
      </c>
      <c r="M3226" s="3">
        <v>60688.32</v>
      </c>
      <c r="N3226" s="3">
        <v>51641.21</v>
      </c>
      <c r="O3226" s="3">
        <v>9047.11</v>
      </c>
      <c r="P3226" s="3" t="s">
        <v>86</v>
      </c>
    </row>
    <row r="3227" spans="1:16" x14ac:dyDescent="0.35">
      <c r="A3227" s="3" t="s">
        <v>4642</v>
      </c>
      <c r="B3227" s="3" t="s">
        <v>534</v>
      </c>
      <c r="C3227" s="3" t="s">
        <v>29</v>
      </c>
      <c r="D3227" s="3" t="s">
        <v>19</v>
      </c>
      <c r="E3227" s="3" t="s">
        <v>49</v>
      </c>
      <c r="F3227" s="3" t="s">
        <v>50</v>
      </c>
      <c r="G3227" s="3" t="s">
        <v>51</v>
      </c>
      <c r="H3227" s="3" t="s">
        <v>145</v>
      </c>
      <c r="I3227" s="3" t="s">
        <v>2094</v>
      </c>
      <c r="J3227" s="3" t="s">
        <v>106</v>
      </c>
      <c r="K3227" s="3">
        <v>1</v>
      </c>
      <c r="L3227" s="3">
        <v>129.16999999999999</v>
      </c>
      <c r="M3227" s="3">
        <v>129.16999999999999</v>
      </c>
      <c r="N3227" s="3">
        <v>59.9</v>
      </c>
      <c r="O3227" s="3">
        <v>69.27</v>
      </c>
      <c r="P3227" s="3" t="s">
        <v>26</v>
      </c>
    </row>
    <row r="3228" spans="1:16" x14ac:dyDescent="0.35">
      <c r="A3228" s="3" t="s">
        <v>4643</v>
      </c>
      <c r="B3228" s="3" t="s">
        <v>1269</v>
      </c>
      <c r="C3228" s="3" t="s">
        <v>57</v>
      </c>
      <c r="D3228" s="3" t="s">
        <v>38</v>
      </c>
      <c r="E3228" s="3" t="s">
        <v>39</v>
      </c>
      <c r="F3228" s="3" t="s">
        <v>40</v>
      </c>
      <c r="G3228" s="3" t="s">
        <v>22</v>
      </c>
      <c r="H3228" s="3" t="s">
        <v>83</v>
      </c>
      <c r="I3228" s="3" t="s">
        <v>444</v>
      </c>
      <c r="J3228" s="3" t="s">
        <v>154</v>
      </c>
      <c r="K3228" s="3">
        <v>4</v>
      </c>
      <c r="L3228" s="3">
        <v>22499.4</v>
      </c>
      <c r="M3228" s="3">
        <v>89997.6</v>
      </c>
      <c r="N3228" s="3">
        <v>67466.41</v>
      </c>
      <c r="O3228" s="3">
        <v>22531.19</v>
      </c>
      <c r="P3228" s="3" t="s">
        <v>45</v>
      </c>
    </row>
    <row r="3229" spans="1:16" x14ac:dyDescent="0.35">
      <c r="A3229" s="3" t="s">
        <v>4644</v>
      </c>
      <c r="B3229" s="3" t="s">
        <v>254</v>
      </c>
      <c r="C3229" s="3" t="s">
        <v>82</v>
      </c>
      <c r="D3229" s="3" t="s">
        <v>19</v>
      </c>
      <c r="E3229" s="3" t="s">
        <v>20</v>
      </c>
      <c r="F3229" s="3" t="s">
        <v>21</v>
      </c>
      <c r="G3229" s="3" t="s">
        <v>41</v>
      </c>
      <c r="H3229" s="3" t="s">
        <v>138</v>
      </c>
      <c r="I3229" s="3" t="s">
        <v>1010</v>
      </c>
      <c r="J3229" s="3" t="s">
        <v>217</v>
      </c>
      <c r="K3229" s="3">
        <v>3</v>
      </c>
      <c r="L3229" s="3">
        <v>18003.259999999998</v>
      </c>
      <c r="M3229" s="3">
        <v>54009.78</v>
      </c>
      <c r="N3229" s="3">
        <v>40392.160000000003</v>
      </c>
      <c r="O3229" s="3">
        <v>13617.62</v>
      </c>
      <c r="P3229" s="3" t="s">
        <v>34</v>
      </c>
    </row>
    <row r="3230" spans="1:16" x14ac:dyDescent="0.35">
      <c r="A3230" s="3" t="s">
        <v>4645</v>
      </c>
      <c r="B3230" s="3" t="s">
        <v>1872</v>
      </c>
      <c r="C3230" s="3" t="s">
        <v>82</v>
      </c>
      <c r="D3230" s="3" t="s">
        <v>38</v>
      </c>
      <c r="E3230" s="3" t="s">
        <v>39</v>
      </c>
      <c r="F3230" s="3" t="s">
        <v>40</v>
      </c>
      <c r="G3230" s="3" t="s">
        <v>51</v>
      </c>
      <c r="H3230" s="3" t="s">
        <v>52</v>
      </c>
      <c r="I3230" s="3" t="s">
        <v>2151</v>
      </c>
      <c r="J3230" s="3" t="s">
        <v>79</v>
      </c>
      <c r="K3230" s="3">
        <v>8</v>
      </c>
      <c r="L3230" s="3">
        <v>25.84</v>
      </c>
      <c r="M3230" s="3">
        <v>206.72</v>
      </c>
      <c r="N3230" s="3">
        <v>83.05</v>
      </c>
      <c r="O3230" s="3">
        <v>123.67</v>
      </c>
      <c r="P3230" s="3" t="s">
        <v>86</v>
      </c>
    </row>
    <row r="3231" spans="1:16" x14ac:dyDescent="0.35">
      <c r="A3231" s="3" t="s">
        <v>4646</v>
      </c>
      <c r="B3231" s="3" t="s">
        <v>333</v>
      </c>
      <c r="C3231" s="3" t="s">
        <v>118</v>
      </c>
      <c r="D3231" s="3" t="s">
        <v>19</v>
      </c>
      <c r="E3231" s="3" t="s">
        <v>199</v>
      </c>
      <c r="F3231" s="3" t="s">
        <v>200</v>
      </c>
      <c r="G3231" s="3" t="s">
        <v>30</v>
      </c>
      <c r="H3231" s="3" t="s">
        <v>67</v>
      </c>
      <c r="I3231" s="3" t="s">
        <v>1924</v>
      </c>
      <c r="J3231" s="3" t="s">
        <v>154</v>
      </c>
      <c r="K3231" s="3">
        <v>7</v>
      </c>
      <c r="L3231" s="3">
        <v>10071.530000000001</v>
      </c>
      <c r="M3231" s="3">
        <v>70500.710000000006</v>
      </c>
      <c r="N3231" s="3">
        <v>51666.48</v>
      </c>
      <c r="O3231" s="3">
        <v>18834.23</v>
      </c>
      <c r="P3231" s="3" t="s">
        <v>86</v>
      </c>
    </row>
    <row r="3232" spans="1:16" x14ac:dyDescent="0.35">
      <c r="A3232" s="3" t="s">
        <v>4647</v>
      </c>
      <c r="B3232" s="3" t="s">
        <v>733</v>
      </c>
      <c r="C3232" s="3" t="s">
        <v>89</v>
      </c>
      <c r="D3232" s="3" t="s">
        <v>19</v>
      </c>
      <c r="E3232" s="3" t="s">
        <v>49</v>
      </c>
      <c r="F3232" s="3" t="s">
        <v>50</v>
      </c>
      <c r="G3232" s="3" t="s">
        <v>41</v>
      </c>
      <c r="H3232" s="3" t="s">
        <v>42</v>
      </c>
      <c r="I3232" s="3" t="s">
        <v>374</v>
      </c>
      <c r="J3232" s="3" t="s">
        <v>85</v>
      </c>
      <c r="K3232" s="3">
        <v>1</v>
      </c>
      <c r="L3232" s="3">
        <v>45300.75</v>
      </c>
      <c r="M3232" s="3">
        <v>45300.75</v>
      </c>
      <c r="N3232" s="3">
        <v>35319.06</v>
      </c>
      <c r="O3232" s="3">
        <v>9981.69</v>
      </c>
      <c r="P3232" s="3" t="s">
        <v>34</v>
      </c>
    </row>
    <row r="3233" spans="1:16" x14ac:dyDescent="0.35">
      <c r="A3233" s="3" t="s">
        <v>4648</v>
      </c>
      <c r="B3233" s="3" t="s">
        <v>1092</v>
      </c>
      <c r="C3233" s="3" t="s">
        <v>103</v>
      </c>
      <c r="D3233" s="3" t="s">
        <v>90</v>
      </c>
      <c r="E3233" s="3" t="s">
        <v>91</v>
      </c>
      <c r="F3233" s="3" t="s">
        <v>92</v>
      </c>
      <c r="G3233" s="3" t="s">
        <v>51</v>
      </c>
      <c r="H3233" s="3" t="s">
        <v>52</v>
      </c>
      <c r="I3233" s="3" t="s">
        <v>4649</v>
      </c>
      <c r="J3233" s="3" t="s">
        <v>85</v>
      </c>
      <c r="K3233" s="3">
        <v>8</v>
      </c>
      <c r="L3233" s="3">
        <v>22.56</v>
      </c>
      <c r="M3233" s="3">
        <v>180.48</v>
      </c>
      <c r="N3233" s="3">
        <v>81.069999999999993</v>
      </c>
      <c r="O3233" s="3">
        <v>99.41</v>
      </c>
      <c r="P3233" s="3" t="s">
        <v>34</v>
      </c>
    </row>
    <row r="3234" spans="1:16" x14ac:dyDescent="0.35">
      <c r="A3234" s="3" t="s">
        <v>4650</v>
      </c>
      <c r="B3234" s="3" t="s">
        <v>893</v>
      </c>
      <c r="C3234" s="3" t="s">
        <v>89</v>
      </c>
      <c r="D3234" s="3" t="s">
        <v>58</v>
      </c>
      <c r="E3234" s="3" t="s">
        <v>176</v>
      </c>
      <c r="F3234" s="3" t="s">
        <v>177</v>
      </c>
      <c r="G3234" s="3" t="s">
        <v>41</v>
      </c>
      <c r="H3234" s="3" t="s">
        <v>138</v>
      </c>
      <c r="I3234" s="3" t="s">
        <v>322</v>
      </c>
      <c r="J3234" s="3" t="s">
        <v>33</v>
      </c>
      <c r="K3234" s="3">
        <v>6</v>
      </c>
      <c r="L3234" s="3">
        <v>19000.23</v>
      </c>
      <c r="M3234" s="3">
        <v>114001.38</v>
      </c>
      <c r="N3234" s="3">
        <v>83105.67</v>
      </c>
      <c r="O3234" s="3">
        <v>30895.71</v>
      </c>
      <c r="P3234" s="3" t="s">
        <v>45</v>
      </c>
    </row>
    <row r="3235" spans="1:16" x14ac:dyDescent="0.35">
      <c r="A3235" s="3" t="s">
        <v>4651</v>
      </c>
      <c r="B3235" s="3" t="s">
        <v>1122</v>
      </c>
      <c r="C3235" s="3" t="s">
        <v>118</v>
      </c>
      <c r="D3235" s="3" t="s">
        <v>90</v>
      </c>
      <c r="E3235" s="3" t="s">
        <v>97</v>
      </c>
      <c r="F3235" s="3" t="s">
        <v>98</v>
      </c>
      <c r="G3235" s="3" t="s">
        <v>51</v>
      </c>
      <c r="H3235" s="3" t="s">
        <v>77</v>
      </c>
      <c r="I3235" s="3" t="s">
        <v>1345</v>
      </c>
      <c r="J3235" s="3" t="s">
        <v>171</v>
      </c>
      <c r="K3235" s="3">
        <v>2</v>
      </c>
      <c r="L3235" s="3">
        <v>12959.48</v>
      </c>
      <c r="M3235" s="3">
        <v>25918.959999999999</v>
      </c>
      <c r="N3235" s="3">
        <v>18121.18</v>
      </c>
      <c r="O3235" s="3">
        <v>7797.78</v>
      </c>
      <c r="P3235" s="3" t="s">
        <v>69</v>
      </c>
    </row>
    <row r="3236" spans="1:16" x14ac:dyDescent="0.35">
      <c r="A3236" s="3" t="s">
        <v>4652</v>
      </c>
      <c r="B3236" s="3" t="s">
        <v>837</v>
      </c>
      <c r="C3236" s="3" t="s">
        <v>72</v>
      </c>
      <c r="D3236" s="3" t="s">
        <v>58</v>
      </c>
      <c r="E3236" s="3" t="s">
        <v>176</v>
      </c>
      <c r="F3236" s="3" t="s">
        <v>177</v>
      </c>
      <c r="G3236" s="3" t="s">
        <v>22</v>
      </c>
      <c r="H3236" s="3" t="s">
        <v>23</v>
      </c>
      <c r="I3236" s="3" t="s">
        <v>1690</v>
      </c>
      <c r="J3236" s="3" t="s">
        <v>106</v>
      </c>
      <c r="K3236" s="3">
        <v>4</v>
      </c>
      <c r="L3236" s="3">
        <v>3597.86</v>
      </c>
      <c r="M3236" s="3">
        <v>14391.44</v>
      </c>
      <c r="N3236" s="3">
        <v>8801.75</v>
      </c>
      <c r="O3236" s="3">
        <v>5589.69</v>
      </c>
      <c r="P3236" s="3" t="s">
        <v>69</v>
      </c>
    </row>
    <row r="3237" spans="1:16" x14ac:dyDescent="0.35">
      <c r="A3237" s="3" t="s">
        <v>4653</v>
      </c>
      <c r="B3237" s="3" t="s">
        <v>1898</v>
      </c>
      <c r="C3237" s="3" t="s">
        <v>29</v>
      </c>
      <c r="D3237" s="3" t="s">
        <v>19</v>
      </c>
      <c r="E3237" s="3" t="s">
        <v>49</v>
      </c>
      <c r="F3237" s="3" t="s">
        <v>50</v>
      </c>
      <c r="G3237" s="3" t="s">
        <v>30</v>
      </c>
      <c r="H3237" s="3" t="s">
        <v>67</v>
      </c>
      <c r="I3237" s="3" t="s">
        <v>2721</v>
      </c>
      <c r="J3237" s="3" t="s">
        <v>188</v>
      </c>
      <c r="K3237" s="3">
        <v>2</v>
      </c>
      <c r="L3237" s="3">
        <v>8930.73</v>
      </c>
      <c r="M3237" s="3">
        <v>17861.46</v>
      </c>
      <c r="N3237" s="3">
        <v>14762.95</v>
      </c>
      <c r="O3237" s="3">
        <v>3098.51</v>
      </c>
      <c r="P3237" s="3" t="s">
        <v>86</v>
      </c>
    </row>
    <row r="3238" spans="1:16" x14ac:dyDescent="0.35">
      <c r="A3238" s="3" t="s">
        <v>4654</v>
      </c>
      <c r="B3238" s="3" t="s">
        <v>88</v>
      </c>
      <c r="C3238" s="3" t="s">
        <v>89</v>
      </c>
      <c r="D3238" s="3" t="s">
        <v>90</v>
      </c>
      <c r="E3238" s="3" t="s">
        <v>119</v>
      </c>
      <c r="F3238" s="3" t="s">
        <v>120</v>
      </c>
      <c r="G3238" s="3" t="s">
        <v>22</v>
      </c>
      <c r="H3238" s="3" t="s">
        <v>23</v>
      </c>
      <c r="I3238" s="3" t="s">
        <v>1722</v>
      </c>
      <c r="J3238" s="3" t="s">
        <v>44</v>
      </c>
      <c r="K3238" s="3">
        <v>8</v>
      </c>
      <c r="L3238" s="3">
        <v>3249.03</v>
      </c>
      <c r="M3238" s="3">
        <v>25992.240000000002</v>
      </c>
      <c r="N3238" s="3">
        <v>17633.02</v>
      </c>
      <c r="O3238" s="3">
        <v>8359.2199999999993</v>
      </c>
      <c r="P3238" s="3" t="s">
        <v>26</v>
      </c>
    </row>
    <row r="3239" spans="1:16" x14ac:dyDescent="0.35">
      <c r="A3239" s="3" t="s">
        <v>4655</v>
      </c>
      <c r="B3239" s="3" t="s">
        <v>930</v>
      </c>
      <c r="C3239" s="3" t="s">
        <v>103</v>
      </c>
      <c r="D3239" s="3" t="s">
        <v>58</v>
      </c>
      <c r="E3239" s="3" t="s">
        <v>59</v>
      </c>
      <c r="F3239" s="3" t="s">
        <v>60</v>
      </c>
      <c r="G3239" s="3" t="s">
        <v>51</v>
      </c>
      <c r="H3239" s="3" t="s">
        <v>77</v>
      </c>
      <c r="I3239" s="3" t="s">
        <v>917</v>
      </c>
      <c r="J3239" s="3" t="s">
        <v>131</v>
      </c>
      <c r="K3239" s="3">
        <v>1</v>
      </c>
      <c r="L3239" s="3">
        <v>11300.92</v>
      </c>
      <c r="M3239" s="3">
        <v>11300.92</v>
      </c>
      <c r="N3239" s="3">
        <v>8829.84</v>
      </c>
      <c r="O3239" s="3">
        <v>2471.08</v>
      </c>
      <c r="P3239" s="3" t="s">
        <v>86</v>
      </c>
    </row>
    <row r="3240" spans="1:16" x14ac:dyDescent="0.35">
      <c r="A3240" s="3" t="s">
        <v>4656</v>
      </c>
      <c r="B3240" s="3" t="s">
        <v>1042</v>
      </c>
      <c r="C3240" s="3" t="s">
        <v>118</v>
      </c>
      <c r="D3240" s="3" t="s">
        <v>38</v>
      </c>
      <c r="E3240" s="3" t="s">
        <v>39</v>
      </c>
      <c r="F3240" s="3" t="s">
        <v>40</v>
      </c>
      <c r="G3240" s="3" t="s">
        <v>41</v>
      </c>
      <c r="H3240" s="3" t="s">
        <v>61</v>
      </c>
      <c r="I3240" s="3" t="s">
        <v>1134</v>
      </c>
      <c r="J3240" s="3" t="s">
        <v>100</v>
      </c>
      <c r="K3240" s="3">
        <v>3</v>
      </c>
      <c r="L3240" s="3">
        <v>2497.3200000000002</v>
      </c>
      <c r="M3240" s="3">
        <v>7491.96</v>
      </c>
      <c r="N3240" s="3">
        <v>5038.37</v>
      </c>
      <c r="O3240" s="3">
        <v>2453.59</v>
      </c>
      <c r="P3240" s="3" t="s">
        <v>45</v>
      </c>
    </row>
    <row r="3241" spans="1:16" x14ac:dyDescent="0.35">
      <c r="A3241" s="3" t="s">
        <v>4657</v>
      </c>
      <c r="B3241" s="3" t="s">
        <v>1704</v>
      </c>
      <c r="C3241" s="3" t="s">
        <v>48</v>
      </c>
      <c r="D3241" s="3" t="s">
        <v>38</v>
      </c>
      <c r="E3241" s="3" t="s">
        <v>104</v>
      </c>
      <c r="F3241" s="3" t="s">
        <v>104</v>
      </c>
      <c r="G3241" s="3" t="s">
        <v>30</v>
      </c>
      <c r="H3241" s="3" t="s">
        <v>31</v>
      </c>
      <c r="I3241" s="3" t="s">
        <v>985</v>
      </c>
      <c r="J3241" s="3" t="s">
        <v>217</v>
      </c>
      <c r="K3241" s="3">
        <v>1</v>
      </c>
      <c r="L3241" s="3">
        <v>2817.96</v>
      </c>
      <c r="M3241" s="3">
        <v>2817.96</v>
      </c>
      <c r="N3241" s="3">
        <v>1901.77</v>
      </c>
      <c r="O3241" s="3">
        <v>916.19</v>
      </c>
      <c r="P3241" s="3" t="s">
        <v>26</v>
      </c>
    </row>
    <row r="3242" spans="1:16" x14ac:dyDescent="0.35">
      <c r="A3242" s="3" t="s">
        <v>4658</v>
      </c>
      <c r="B3242" s="3" t="s">
        <v>1504</v>
      </c>
      <c r="C3242" s="3" t="s">
        <v>48</v>
      </c>
      <c r="D3242" s="3" t="s">
        <v>38</v>
      </c>
      <c r="E3242" s="3" t="s">
        <v>109</v>
      </c>
      <c r="F3242" s="3" t="s">
        <v>110</v>
      </c>
      <c r="G3242" s="3" t="s">
        <v>41</v>
      </c>
      <c r="H3242" s="3" t="s">
        <v>61</v>
      </c>
      <c r="I3242" s="3" t="s">
        <v>2990</v>
      </c>
      <c r="J3242" s="3" t="s">
        <v>188</v>
      </c>
      <c r="K3242" s="3">
        <v>6</v>
      </c>
      <c r="L3242" s="3">
        <v>2743.08</v>
      </c>
      <c r="M3242" s="3">
        <v>16458.48</v>
      </c>
      <c r="N3242" s="3">
        <v>9121.93</v>
      </c>
      <c r="O3242" s="3">
        <v>7336.55</v>
      </c>
      <c r="P3242" s="3" t="s">
        <v>45</v>
      </c>
    </row>
    <row r="3243" spans="1:16" x14ac:dyDescent="0.35">
      <c r="A3243" s="3" t="s">
        <v>4659</v>
      </c>
      <c r="B3243" s="3" t="s">
        <v>1935</v>
      </c>
      <c r="C3243" s="3" t="s">
        <v>72</v>
      </c>
      <c r="D3243" s="3" t="s">
        <v>58</v>
      </c>
      <c r="E3243" s="3" t="s">
        <v>176</v>
      </c>
      <c r="F3243" s="3" t="s">
        <v>177</v>
      </c>
      <c r="G3243" s="3" t="s">
        <v>30</v>
      </c>
      <c r="H3243" s="3" t="s">
        <v>31</v>
      </c>
      <c r="I3243" s="3" t="s">
        <v>1957</v>
      </c>
      <c r="J3243" s="3" t="s">
        <v>161</v>
      </c>
      <c r="K3243" s="3">
        <v>1</v>
      </c>
      <c r="L3243" s="3">
        <v>3075.84</v>
      </c>
      <c r="M3243" s="3">
        <v>3075.84</v>
      </c>
      <c r="N3243" s="3">
        <v>1863.79</v>
      </c>
      <c r="O3243" s="3">
        <v>1212.05</v>
      </c>
      <c r="P3243" s="3" t="s">
        <v>34</v>
      </c>
    </row>
    <row r="3244" spans="1:16" x14ac:dyDescent="0.35">
      <c r="A3244" s="3" t="s">
        <v>4660</v>
      </c>
      <c r="B3244" s="3" t="s">
        <v>889</v>
      </c>
      <c r="C3244" s="3" t="s">
        <v>82</v>
      </c>
      <c r="D3244" s="3" t="s">
        <v>90</v>
      </c>
      <c r="E3244" s="3" t="s">
        <v>119</v>
      </c>
      <c r="F3244" s="3" t="s">
        <v>120</v>
      </c>
      <c r="G3244" s="3" t="s">
        <v>41</v>
      </c>
      <c r="H3244" s="3" t="s">
        <v>42</v>
      </c>
      <c r="I3244" s="3" t="s">
        <v>220</v>
      </c>
      <c r="J3244" s="3" t="s">
        <v>100</v>
      </c>
      <c r="K3244" s="3">
        <v>3</v>
      </c>
      <c r="L3244" s="3">
        <v>42308.14</v>
      </c>
      <c r="M3244" s="3">
        <v>126924.42</v>
      </c>
      <c r="N3244" s="3">
        <v>105672.62</v>
      </c>
      <c r="O3244" s="3">
        <v>21251.8</v>
      </c>
      <c r="P3244" s="3" t="s">
        <v>34</v>
      </c>
    </row>
    <row r="3245" spans="1:16" x14ac:dyDescent="0.35">
      <c r="A3245" s="3" t="s">
        <v>4661</v>
      </c>
      <c r="B3245" s="3" t="s">
        <v>852</v>
      </c>
      <c r="C3245" s="3" t="s">
        <v>118</v>
      </c>
      <c r="D3245" s="3" t="s">
        <v>19</v>
      </c>
      <c r="E3245" s="3" t="s">
        <v>20</v>
      </c>
      <c r="F3245" s="3" t="s">
        <v>21</v>
      </c>
      <c r="G3245" s="3" t="s">
        <v>51</v>
      </c>
      <c r="H3245" s="3" t="s">
        <v>77</v>
      </c>
      <c r="I3245" s="3" t="s">
        <v>2356</v>
      </c>
      <c r="J3245" s="3" t="s">
        <v>33</v>
      </c>
      <c r="K3245" s="3">
        <v>5</v>
      </c>
      <c r="L3245" s="3">
        <v>11493.79</v>
      </c>
      <c r="M3245" s="3">
        <v>57468.95</v>
      </c>
      <c r="N3245" s="3">
        <v>44459.519999999997</v>
      </c>
      <c r="O3245" s="3">
        <v>13009.43</v>
      </c>
      <c r="P3245" s="3" t="s">
        <v>34</v>
      </c>
    </row>
    <row r="3246" spans="1:16" x14ac:dyDescent="0.35">
      <c r="A3246" s="3" t="s">
        <v>4662</v>
      </c>
      <c r="B3246" s="3" t="s">
        <v>407</v>
      </c>
      <c r="C3246" s="3" t="s">
        <v>48</v>
      </c>
      <c r="D3246" s="3" t="s">
        <v>90</v>
      </c>
      <c r="E3246" s="3" t="s">
        <v>91</v>
      </c>
      <c r="F3246" s="3" t="s">
        <v>92</v>
      </c>
      <c r="G3246" s="3" t="s">
        <v>22</v>
      </c>
      <c r="H3246" s="3" t="s">
        <v>83</v>
      </c>
      <c r="I3246" s="3" t="s">
        <v>1389</v>
      </c>
      <c r="J3246" s="3" t="s">
        <v>147</v>
      </c>
      <c r="K3246" s="3">
        <v>7</v>
      </c>
      <c r="L3246" s="3">
        <v>22107.72</v>
      </c>
      <c r="M3246" s="3">
        <v>154754.04</v>
      </c>
      <c r="N3246" s="3">
        <v>119203.37</v>
      </c>
      <c r="O3246" s="3">
        <v>35550.67</v>
      </c>
      <c r="P3246" s="3" t="s">
        <v>45</v>
      </c>
    </row>
    <row r="3247" spans="1:16" x14ac:dyDescent="0.35">
      <c r="A3247" s="3" t="s">
        <v>4663</v>
      </c>
      <c r="B3247" s="3" t="s">
        <v>387</v>
      </c>
      <c r="C3247" s="3" t="s">
        <v>82</v>
      </c>
      <c r="D3247" s="3" t="s">
        <v>19</v>
      </c>
      <c r="E3247" s="3" t="s">
        <v>199</v>
      </c>
      <c r="F3247" s="3" t="s">
        <v>200</v>
      </c>
      <c r="G3247" s="3" t="s">
        <v>41</v>
      </c>
      <c r="H3247" s="3" t="s">
        <v>138</v>
      </c>
      <c r="I3247" s="3" t="s">
        <v>1220</v>
      </c>
      <c r="J3247" s="3" t="s">
        <v>25</v>
      </c>
      <c r="K3247" s="3">
        <v>1</v>
      </c>
      <c r="L3247" s="3">
        <v>16382.47</v>
      </c>
      <c r="M3247" s="3">
        <v>16382.47</v>
      </c>
      <c r="N3247" s="3">
        <v>13699.1</v>
      </c>
      <c r="O3247" s="3">
        <v>2683.37</v>
      </c>
      <c r="P3247" s="3" t="s">
        <v>34</v>
      </c>
    </row>
    <row r="3248" spans="1:16" x14ac:dyDescent="0.35">
      <c r="A3248" s="3" t="s">
        <v>4664</v>
      </c>
      <c r="B3248" s="3" t="s">
        <v>1910</v>
      </c>
      <c r="C3248" s="3" t="s">
        <v>29</v>
      </c>
      <c r="D3248" s="3" t="s">
        <v>58</v>
      </c>
      <c r="E3248" s="3" t="s">
        <v>65</v>
      </c>
      <c r="F3248" s="3" t="s">
        <v>66</v>
      </c>
      <c r="G3248" s="3" t="s">
        <v>30</v>
      </c>
      <c r="H3248" s="3" t="s">
        <v>67</v>
      </c>
      <c r="I3248" s="3" t="s">
        <v>1253</v>
      </c>
      <c r="J3248" s="3" t="s">
        <v>161</v>
      </c>
      <c r="K3248" s="3">
        <v>4</v>
      </c>
      <c r="L3248" s="3">
        <v>10124.57</v>
      </c>
      <c r="M3248" s="3">
        <v>40498.28</v>
      </c>
      <c r="N3248" s="3">
        <v>30479.69</v>
      </c>
      <c r="O3248" s="3">
        <v>10018.59</v>
      </c>
      <c r="P3248" s="3" t="s">
        <v>69</v>
      </c>
    </row>
    <row r="3249" spans="1:16" x14ac:dyDescent="0.35">
      <c r="A3249" s="3" t="s">
        <v>4665</v>
      </c>
      <c r="B3249" s="3" t="s">
        <v>921</v>
      </c>
      <c r="C3249" s="3" t="s">
        <v>103</v>
      </c>
      <c r="D3249" s="3" t="s">
        <v>58</v>
      </c>
      <c r="E3249" s="3" t="s">
        <v>65</v>
      </c>
      <c r="F3249" s="3" t="s">
        <v>66</v>
      </c>
      <c r="G3249" s="3" t="s">
        <v>41</v>
      </c>
      <c r="H3249" s="3" t="s">
        <v>42</v>
      </c>
      <c r="I3249" s="3" t="s">
        <v>4383</v>
      </c>
      <c r="J3249" s="3" t="s">
        <v>147</v>
      </c>
      <c r="K3249" s="3">
        <v>3</v>
      </c>
      <c r="L3249" s="3">
        <v>42514.57</v>
      </c>
      <c r="M3249" s="3">
        <v>127543.71</v>
      </c>
      <c r="N3249" s="3">
        <v>107650.65</v>
      </c>
      <c r="O3249" s="3">
        <v>19893.060000000001</v>
      </c>
      <c r="P3249" s="3" t="s">
        <v>86</v>
      </c>
    </row>
    <row r="3250" spans="1:16" x14ac:dyDescent="0.35">
      <c r="A3250" s="3" t="s">
        <v>4666</v>
      </c>
      <c r="B3250" s="3" t="s">
        <v>913</v>
      </c>
      <c r="C3250" s="3" t="s">
        <v>48</v>
      </c>
      <c r="D3250" s="3" t="s">
        <v>19</v>
      </c>
      <c r="E3250" s="3" t="s">
        <v>20</v>
      </c>
      <c r="F3250" s="3" t="s">
        <v>21</v>
      </c>
      <c r="G3250" s="3" t="s">
        <v>41</v>
      </c>
      <c r="H3250" s="3" t="s">
        <v>138</v>
      </c>
      <c r="I3250" s="3" t="s">
        <v>1941</v>
      </c>
      <c r="J3250" s="3" t="s">
        <v>79</v>
      </c>
      <c r="K3250" s="3">
        <v>2</v>
      </c>
      <c r="L3250" s="3">
        <v>18550.669999999998</v>
      </c>
      <c r="M3250" s="3">
        <v>37101.339999999997</v>
      </c>
      <c r="N3250" s="3">
        <v>28417.51</v>
      </c>
      <c r="O3250" s="3">
        <v>8683.83</v>
      </c>
      <c r="P3250" s="3" t="s">
        <v>34</v>
      </c>
    </row>
    <row r="3251" spans="1:16" x14ac:dyDescent="0.35">
      <c r="A3251" s="3" t="s">
        <v>4667</v>
      </c>
      <c r="B3251" s="3" t="s">
        <v>239</v>
      </c>
      <c r="C3251" s="3" t="s">
        <v>72</v>
      </c>
      <c r="D3251" s="3" t="s">
        <v>19</v>
      </c>
      <c r="E3251" s="3" t="s">
        <v>49</v>
      </c>
      <c r="F3251" s="3" t="s">
        <v>50</v>
      </c>
      <c r="G3251" s="3" t="s">
        <v>22</v>
      </c>
      <c r="H3251" s="3" t="s">
        <v>23</v>
      </c>
      <c r="I3251" s="3" t="s">
        <v>3051</v>
      </c>
      <c r="J3251" s="3" t="s">
        <v>33</v>
      </c>
      <c r="K3251" s="3">
        <v>6</v>
      </c>
      <c r="L3251" s="3">
        <v>3768.94</v>
      </c>
      <c r="M3251" s="3">
        <v>22613.64</v>
      </c>
      <c r="N3251" s="3">
        <v>13789.94</v>
      </c>
      <c r="O3251" s="3">
        <v>8823.7000000000007</v>
      </c>
      <c r="P3251" s="3" t="s">
        <v>86</v>
      </c>
    </row>
    <row r="3252" spans="1:16" x14ac:dyDescent="0.35">
      <c r="A3252" s="3" t="s">
        <v>4668</v>
      </c>
      <c r="B3252" s="3" t="s">
        <v>1695</v>
      </c>
      <c r="C3252" s="3" t="s">
        <v>89</v>
      </c>
      <c r="D3252" s="3" t="s">
        <v>90</v>
      </c>
      <c r="E3252" s="3" t="s">
        <v>119</v>
      </c>
      <c r="F3252" s="3" t="s">
        <v>120</v>
      </c>
      <c r="G3252" s="3" t="s">
        <v>30</v>
      </c>
      <c r="H3252" s="3" t="s">
        <v>67</v>
      </c>
      <c r="I3252" s="3" t="s">
        <v>4669</v>
      </c>
      <c r="J3252" s="3" t="s">
        <v>54</v>
      </c>
      <c r="K3252" s="3">
        <v>1</v>
      </c>
      <c r="L3252" s="3">
        <v>8753.98</v>
      </c>
      <c r="M3252" s="3">
        <v>8753.98</v>
      </c>
      <c r="N3252" s="3">
        <v>7849.34</v>
      </c>
      <c r="O3252" s="3">
        <v>904.64</v>
      </c>
      <c r="P3252" s="3" t="s">
        <v>45</v>
      </c>
    </row>
    <row r="3253" spans="1:16" x14ac:dyDescent="0.35">
      <c r="A3253" s="3" t="s">
        <v>4670</v>
      </c>
      <c r="B3253" s="3" t="s">
        <v>624</v>
      </c>
      <c r="C3253" s="3" t="s">
        <v>18</v>
      </c>
      <c r="D3253" s="3" t="s">
        <v>58</v>
      </c>
      <c r="E3253" s="3" t="s">
        <v>176</v>
      </c>
      <c r="F3253" s="3" t="s">
        <v>177</v>
      </c>
      <c r="G3253" s="3" t="s">
        <v>22</v>
      </c>
      <c r="H3253" s="3" t="s">
        <v>93</v>
      </c>
      <c r="I3253" s="3" t="s">
        <v>1658</v>
      </c>
      <c r="J3253" s="3" t="s">
        <v>106</v>
      </c>
      <c r="K3253" s="3">
        <v>6</v>
      </c>
      <c r="L3253" s="3">
        <v>7527.4</v>
      </c>
      <c r="M3253" s="3">
        <v>45164.4</v>
      </c>
      <c r="N3253" s="3">
        <v>29495.25</v>
      </c>
      <c r="O3253" s="3">
        <v>15669.15</v>
      </c>
      <c r="P3253" s="3" t="s">
        <v>26</v>
      </c>
    </row>
    <row r="3254" spans="1:16" x14ac:dyDescent="0.35">
      <c r="A3254" s="3" t="s">
        <v>4671</v>
      </c>
      <c r="B3254" s="3" t="s">
        <v>299</v>
      </c>
      <c r="C3254" s="3" t="s">
        <v>89</v>
      </c>
      <c r="D3254" s="3" t="s">
        <v>90</v>
      </c>
      <c r="E3254" s="3" t="s">
        <v>119</v>
      </c>
      <c r="F3254" s="3" t="s">
        <v>120</v>
      </c>
      <c r="G3254" s="3" t="s">
        <v>51</v>
      </c>
      <c r="H3254" s="3" t="s">
        <v>52</v>
      </c>
      <c r="I3254" s="3" t="s">
        <v>2557</v>
      </c>
      <c r="J3254" s="3" t="s">
        <v>54</v>
      </c>
      <c r="K3254" s="3">
        <v>4</v>
      </c>
      <c r="L3254" s="3">
        <v>23.32</v>
      </c>
      <c r="M3254" s="3">
        <v>93.28</v>
      </c>
      <c r="N3254" s="3">
        <v>41.92</v>
      </c>
      <c r="O3254" s="3">
        <v>51.36</v>
      </c>
      <c r="P3254" s="3" t="s">
        <v>86</v>
      </c>
    </row>
    <row r="3255" spans="1:16" x14ac:dyDescent="0.35">
      <c r="A3255" s="3" t="s">
        <v>4672</v>
      </c>
      <c r="B3255" s="3" t="s">
        <v>1423</v>
      </c>
      <c r="C3255" s="3" t="s">
        <v>37</v>
      </c>
      <c r="D3255" s="3" t="s">
        <v>90</v>
      </c>
      <c r="E3255" s="3" t="s">
        <v>97</v>
      </c>
      <c r="F3255" s="3" t="s">
        <v>98</v>
      </c>
      <c r="G3255" s="3" t="s">
        <v>41</v>
      </c>
      <c r="H3255" s="3" t="s">
        <v>61</v>
      </c>
      <c r="I3255" s="3" t="s">
        <v>2436</v>
      </c>
      <c r="J3255" s="3" t="s">
        <v>147</v>
      </c>
      <c r="K3255" s="3">
        <v>7</v>
      </c>
      <c r="L3255" s="3">
        <v>2386.9</v>
      </c>
      <c r="M3255" s="3">
        <v>16708.3</v>
      </c>
      <c r="N3255" s="3">
        <v>11643.83</v>
      </c>
      <c r="O3255" s="3">
        <v>5064.47</v>
      </c>
      <c r="P3255" s="3" t="s">
        <v>86</v>
      </c>
    </row>
    <row r="3256" spans="1:16" x14ac:dyDescent="0.35">
      <c r="A3256" s="3" t="s">
        <v>4673</v>
      </c>
      <c r="B3256" s="3" t="s">
        <v>222</v>
      </c>
      <c r="C3256" s="3" t="s">
        <v>48</v>
      </c>
      <c r="D3256" s="3" t="s">
        <v>90</v>
      </c>
      <c r="E3256" s="3" t="s">
        <v>97</v>
      </c>
      <c r="F3256" s="3" t="s">
        <v>98</v>
      </c>
      <c r="G3256" s="3" t="s">
        <v>51</v>
      </c>
      <c r="H3256" s="3" t="s">
        <v>77</v>
      </c>
      <c r="I3256" s="3" t="s">
        <v>4342</v>
      </c>
      <c r="J3256" s="3" t="s">
        <v>161</v>
      </c>
      <c r="K3256" s="3">
        <v>6</v>
      </c>
      <c r="L3256" s="3">
        <v>13054.37</v>
      </c>
      <c r="M3256" s="3">
        <v>78326.22</v>
      </c>
      <c r="N3256" s="3">
        <v>54697.73</v>
      </c>
      <c r="O3256" s="3">
        <v>23628.49</v>
      </c>
      <c r="P3256" s="3" t="s">
        <v>86</v>
      </c>
    </row>
    <row r="3257" spans="1:16" x14ac:dyDescent="0.35">
      <c r="A3257" s="3" t="s">
        <v>4674</v>
      </c>
      <c r="B3257" s="3" t="s">
        <v>2280</v>
      </c>
      <c r="C3257" s="3" t="s">
        <v>89</v>
      </c>
      <c r="D3257" s="3" t="s">
        <v>19</v>
      </c>
      <c r="E3257" s="3" t="s">
        <v>49</v>
      </c>
      <c r="F3257" s="3" t="s">
        <v>50</v>
      </c>
      <c r="G3257" s="3" t="s">
        <v>41</v>
      </c>
      <c r="H3257" s="3" t="s">
        <v>138</v>
      </c>
      <c r="I3257" s="3" t="s">
        <v>3077</v>
      </c>
      <c r="J3257" s="3" t="s">
        <v>171</v>
      </c>
      <c r="K3257" s="3">
        <v>2</v>
      </c>
      <c r="L3257" s="3">
        <v>18591.23</v>
      </c>
      <c r="M3257" s="3">
        <v>37182.46</v>
      </c>
      <c r="N3257" s="3">
        <v>29220.959999999999</v>
      </c>
      <c r="O3257" s="3">
        <v>7961.5</v>
      </c>
      <c r="P3257" s="3" t="s">
        <v>34</v>
      </c>
    </row>
    <row r="3258" spans="1:16" x14ac:dyDescent="0.35">
      <c r="A3258" s="3" t="s">
        <v>4675</v>
      </c>
      <c r="B3258" s="3" t="s">
        <v>327</v>
      </c>
      <c r="C3258" s="3" t="s">
        <v>48</v>
      </c>
      <c r="D3258" s="3" t="s">
        <v>90</v>
      </c>
      <c r="E3258" s="3" t="s">
        <v>97</v>
      </c>
      <c r="F3258" s="3" t="s">
        <v>98</v>
      </c>
      <c r="G3258" s="3" t="s">
        <v>41</v>
      </c>
      <c r="H3258" s="3" t="s">
        <v>138</v>
      </c>
      <c r="I3258" s="3" t="s">
        <v>456</v>
      </c>
      <c r="J3258" s="3" t="s">
        <v>44</v>
      </c>
      <c r="K3258" s="3">
        <v>2</v>
      </c>
      <c r="L3258" s="3">
        <v>18274.34</v>
      </c>
      <c r="M3258" s="3">
        <v>36548.68</v>
      </c>
      <c r="N3258" s="3">
        <v>28808.98</v>
      </c>
      <c r="O3258" s="3">
        <v>7739.7</v>
      </c>
      <c r="P3258" s="3" t="s">
        <v>34</v>
      </c>
    </row>
    <row r="3259" spans="1:16" x14ac:dyDescent="0.35">
      <c r="A3259" s="3" t="s">
        <v>4676</v>
      </c>
      <c r="B3259" s="3" t="s">
        <v>599</v>
      </c>
      <c r="C3259" s="3" t="s">
        <v>82</v>
      </c>
      <c r="D3259" s="3" t="s">
        <v>58</v>
      </c>
      <c r="E3259" s="3" t="s">
        <v>176</v>
      </c>
      <c r="F3259" s="3" t="s">
        <v>177</v>
      </c>
      <c r="G3259" s="3" t="s">
        <v>51</v>
      </c>
      <c r="H3259" s="3" t="s">
        <v>145</v>
      </c>
      <c r="I3259" s="3" t="s">
        <v>371</v>
      </c>
      <c r="J3259" s="3" t="s">
        <v>33</v>
      </c>
      <c r="K3259" s="3">
        <v>2</v>
      </c>
      <c r="L3259" s="3">
        <v>129.37</v>
      </c>
      <c r="M3259" s="3">
        <v>258.74</v>
      </c>
      <c r="N3259" s="3">
        <v>116.34</v>
      </c>
      <c r="O3259" s="3">
        <v>142.4</v>
      </c>
      <c r="P3259" s="3" t="s">
        <v>86</v>
      </c>
    </row>
    <row r="3260" spans="1:16" x14ac:dyDescent="0.35">
      <c r="A3260" s="3" t="s">
        <v>4677</v>
      </c>
      <c r="B3260" s="3" t="s">
        <v>2365</v>
      </c>
      <c r="C3260" s="3" t="s">
        <v>57</v>
      </c>
      <c r="D3260" s="3" t="s">
        <v>19</v>
      </c>
      <c r="E3260" s="3" t="s">
        <v>199</v>
      </c>
      <c r="F3260" s="3" t="s">
        <v>200</v>
      </c>
      <c r="G3260" s="3" t="s">
        <v>30</v>
      </c>
      <c r="H3260" s="3" t="s">
        <v>31</v>
      </c>
      <c r="I3260" s="3" t="s">
        <v>710</v>
      </c>
      <c r="J3260" s="3" t="s">
        <v>154</v>
      </c>
      <c r="K3260" s="3">
        <v>7</v>
      </c>
      <c r="L3260" s="3">
        <v>3000.35</v>
      </c>
      <c r="M3260" s="3">
        <v>21002.45</v>
      </c>
      <c r="N3260" s="3">
        <v>13641.66</v>
      </c>
      <c r="O3260" s="3">
        <v>7360.79</v>
      </c>
      <c r="P3260" s="3" t="s">
        <v>69</v>
      </c>
    </row>
    <row r="3261" spans="1:16" x14ac:dyDescent="0.35">
      <c r="A3261" s="3" t="s">
        <v>4678</v>
      </c>
      <c r="B3261" s="3" t="s">
        <v>760</v>
      </c>
      <c r="C3261" s="3" t="s">
        <v>114</v>
      </c>
      <c r="D3261" s="3" t="s">
        <v>90</v>
      </c>
      <c r="E3261" s="3" t="s">
        <v>119</v>
      </c>
      <c r="F3261" s="3" t="s">
        <v>120</v>
      </c>
      <c r="G3261" s="3" t="s">
        <v>41</v>
      </c>
      <c r="H3261" s="3" t="s">
        <v>61</v>
      </c>
      <c r="I3261" s="3" t="s">
        <v>3313</v>
      </c>
      <c r="J3261" s="3" t="s">
        <v>188</v>
      </c>
      <c r="K3261" s="3">
        <v>5</v>
      </c>
      <c r="L3261" s="3">
        <v>2335.2800000000002</v>
      </c>
      <c r="M3261" s="3">
        <v>11676.4</v>
      </c>
      <c r="N3261" s="3">
        <v>7640.33</v>
      </c>
      <c r="O3261" s="3">
        <v>4036.07</v>
      </c>
      <c r="P3261" s="3" t="s">
        <v>34</v>
      </c>
    </row>
    <row r="3262" spans="1:16" x14ac:dyDescent="0.35">
      <c r="A3262" s="3" t="s">
        <v>4679</v>
      </c>
      <c r="B3262" s="3" t="s">
        <v>856</v>
      </c>
      <c r="C3262" s="3" t="s">
        <v>103</v>
      </c>
      <c r="D3262" s="3" t="s">
        <v>38</v>
      </c>
      <c r="E3262" s="3" t="s">
        <v>39</v>
      </c>
      <c r="F3262" s="3" t="s">
        <v>40</v>
      </c>
      <c r="G3262" s="3" t="s">
        <v>22</v>
      </c>
      <c r="H3262" s="3" t="s">
        <v>93</v>
      </c>
      <c r="I3262" s="3" t="s">
        <v>522</v>
      </c>
      <c r="J3262" s="3" t="s">
        <v>25</v>
      </c>
      <c r="K3262" s="3">
        <v>1</v>
      </c>
      <c r="L3262" s="3">
        <v>6519.12</v>
      </c>
      <c r="M3262" s="3">
        <v>6519.12</v>
      </c>
      <c r="N3262" s="3">
        <v>5107.3900000000003</v>
      </c>
      <c r="O3262" s="3">
        <v>1411.73</v>
      </c>
      <c r="P3262" s="3" t="s">
        <v>34</v>
      </c>
    </row>
    <row r="3263" spans="1:16" x14ac:dyDescent="0.35">
      <c r="A3263" s="3" t="s">
        <v>4680</v>
      </c>
      <c r="B3263" s="3" t="s">
        <v>169</v>
      </c>
      <c r="C3263" s="3" t="s">
        <v>37</v>
      </c>
      <c r="D3263" s="3" t="s">
        <v>58</v>
      </c>
      <c r="E3263" s="3" t="s">
        <v>59</v>
      </c>
      <c r="F3263" s="3" t="s">
        <v>60</v>
      </c>
      <c r="G3263" s="3" t="s">
        <v>22</v>
      </c>
      <c r="H3263" s="3" t="s">
        <v>93</v>
      </c>
      <c r="I3263" s="3" t="s">
        <v>3055</v>
      </c>
      <c r="J3263" s="3" t="s">
        <v>217</v>
      </c>
      <c r="K3263" s="3">
        <v>6</v>
      </c>
      <c r="L3263" s="3">
        <v>7148.16</v>
      </c>
      <c r="M3263" s="3">
        <v>42888.959999999999</v>
      </c>
      <c r="N3263" s="3">
        <v>29334.1</v>
      </c>
      <c r="O3263" s="3">
        <v>13554.86</v>
      </c>
      <c r="P3263" s="3" t="s">
        <v>26</v>
      </c>
    </row>
    <row r="3264" spans="1:16" x14ac:dyDescent="0.35">
      <c r="A3264" s="3" t="s">
        <v>4681</v>
      </c>
      <c r="B3264" s="3" t="s">
        <v>837</v>
      </c>
      <c r="C3264" s="3" t="s">
        <v>72</v>
      </c>
      <c r="D3264" s="3" t="s">
        <v>90</v>
      </c>
      <c r="E3264" s="3" t="s">
        <v>97</v>
      </c>
      <c r="F3264" s="3" t="s">
        <v>98</v>
      </c>
      <c r="G3264" s="3" t="s">
        <v>22</v>
      </c>
      <c r="H3264" s="3" t="s">
        <v>83</v>
      </c>
      <c r="I3264" s="3" t="s">
        <v>396</v>
      </c>
      <c r="J3264" s="3" t="s">
        <v>171</v>
      </c>
      <c r="K3264" s="3">
        <v>2</v>
      </c>
      <c r="L3264" s="3">
        <v>21381.75</v>
      </c>
      <c r="M3264" s="3">
        <v>42763.5</v>
      </c>
      <c r="N3264" s="3">
        <v>33188.92</v>
      </c>
      <c r="O3264" s="3">
        <v>9574.58</v>
      </c>
      <c r="P3264" s="3" t="s">
        <v>26</v>
      </c>
    </row>
    <row r="3265" spans="1:16" x14ac:dyDescent="0.35">
      <c r="A3265" s="3" t="s">
        <v>4682</v>
      </c>
      <c r="B3265" s="3" t="s">
        <v>367</v>
      </c>
      <c r="C3265" s="3" t="s">
        <v>29</v>
      </c>
      <c r="D3265" s="3" t="s">
        <v>19</v>
      </c>
      <c r="E3265" s="3" t="s">
        <v>20</v>
      </c>
      <c r="F3265" s="3" t="s">
        <v>21</v>
      </c>
      <c r="G3265" s="3" t="s">
        <v>41</v>
      </c>
      <c r="H3265" s="3" t="s">
        <v>61</v>
      </c>
      <c r="I3265" s="3" t="s">
        <v>4683</v>
      </c>
      <c r="J3265" s="3" t="s">
        <v>188</v>
      </c>
      <c r="K3265" s="3">
        <v>1</v>
      </c>
      <c r="L3265" s="3">
        <v>2597.92</v>
      </c>
      <c r="M3265" s="3">
        <v>2597.92</v>
      </c>
      <c r="N3265" s="3">
        <v>1634.82</v>
      </c>
      <c r="O3265" s="3">
        <v>963.1</v>
      </c>
      <c r="P3265" s="3" t="s">
        <v>26</v>
      </c>
    </row>
    <row r="3266" spans="1:16" x14ac:dyDescent="0.35">
      <c r="A3266" s="3" t="s">
        <v>4684</v>
      </c>
      <c r="B3266" s="3" t="s">
        <v>1125</v>
      </c>
      <c r="C3266" s="3" t="s">
        <v>57</v>
      </c>
      <c r="D3266" s="3" t="s">
        <v>58</v>
      </c>
      <c r="E3266" s="3" t="s">
        <v>176</v>
      </c>
      <c r="F3266" s="3" t="s">
        <v>177</v>
      </c>
      <c r="G3266" s="3" t="s">
        <v>41</v>
      </c>
      <c r="H3266" s="3" t="s">
        <v>42</v>
      </c>
      <c r="I3266" s="3" t="s">
        <v>540</v>
      </c>
      <c r="J3266" s="3" t="s">
        <v>44</v>
      </c>
      <c r="K3266" s="3">
        <v>5</v>
      </c>
      <c r="L3266" s="3">
        <v>46263</v>
      </c>
      <c r="M3266" s="3">
        <v>231315</v>
      </c>
      <c r="N3266" s="3">
        <v>170128.19</v>
      </c>
      <c r="O3266" s="3">
        <v>61186.81</v>
      </c>
      <c r="P3266" s="3" t="s">
        <v>34</v>
      </c>
    </row>
    <row r="3267" spans="1:16" x14ac:dyDescent="0.35">
      <c r="A3267" s="3" t="s">
        <v>4685</v>
      </c>
      <c r="B3267" s="3" t="s">
        <v>656</v>
      </c>
      <c r="C3267" s="3" t="s">
        <v>89</v>
      </c>
      <c r="D3267" s="3" t="s">
        <v>19</v>
      </c>
      <c r="E3267" s="3" t="s">
        <v>20</v>
      </c>
      <c r="F3267" s="3" t="s">
        <v>21</v>
      </c>
      <c r="G3267" s="3" t="s">
        <v>22</v>
      </c>
      <c r="H3267" s="3" t="s">
        <v>83</v>
      </c>
      <c r="I3267" s="3" t="s">
        <v>898</v>
      </c>
      <c r="J3267" s="3" t="s">
        <v>106</v>
      </c>
      <c r="K3267" s="3">
        <v>1</v>
      </c>
      <c r="L3267" s="3">
        <v>21461.01</v>
      </c>
      <c r="M3267" s="3">
        <v>21461.01</v>
      </c>
      <c r="N3267" s="3">
        <v>17287.98</v>
      </c>
      <c r="O3267" s="3">
        <v>4173.03</v>
      </c>
      <c r="P3267" s="3" t="s">
        <v>86</v>
      </c>
    </row>
    <row r="3268" spans="1:16" x14ac:dyDescent="0.35">
      <c r="A3268" s="3" t="s">
        <v>4686</v>
      </c>
      <c r="B3268" s="3" t="s">
        <v>1216</v>
      </c>
      <c r="C3268" s="3" t="s">
        <v>114</v>
      </c>
      <c r="D3268" s="3" t="s">
        <v>19</v>
      </c>
      <c r="E3268" s="3" t="s">
        <v>49</v>
      </c>
      <c r="F3268" s="3" t="s">
        <v>50</v>
      </c>
      <c r="G3268" s="3" t="s">
        <v>51</v>
      </c>
      <c r="H3268" s="3" t="s">
        <v>145</v>
      </c>
      <c r="I3268" s="3" t="s">
        <v>512</v>
      </c>
      <c r="J3268" s="3" t="s">
        <v>54</v>
      </c>
      <c r="K3268" s="3">
        <v>6</v>
      </c>
      <c r="L3268" s="3">
        <v>114.31</v>
      </c>
      <c r="M3268" s="3">
        <v>685.86</v>
      </c>
      <c r="N3268" s="3">
        <v>343.35</v>
      </c>
      <c r="O3268" s="3">
        <v>342.51</v>
      </c>
      <c r="P3268" s="3" t="s">
        <v>69</v>
      </c>
    </row>
    <row r="3269" spans="1:16" x14ac:dyDescent="0.35">
      <c r="A3269" s="3" t="s">
        <v>4687</v>
      </c>
      <c r="B3269" s="3" t="s">
        <v>373</v>
      </c>
      <c r="C3269" s="3" t="s">
        <v>137</v>
      </c>
      <c r="D3269" s="3" t="s">
        <v>19</v>
      </c>
      <c r="E3269" s="3" t="s">
        <v>199</v>
      </c>
      <c r="F3269" s="3" t="s">
        <v>200</v>
      </c>
      <c r="G3269" s="3" t="s">
        <v>30</v>
      </c>
      <c r="H3269" s="3" t="s">
        <v>31</v>
      </c>
      <c r="I3269" s="3" t="s">
        <v>1959</v>
      </c>
      <c r="J3269" s="3" t="s">
        <v>217</v>
      </c>
      <c r="K3269" s="3">
        <v>3</v>
      </c>
      <c r="L3269" s="3">
        <v>2690.14</v>
      </c>
      <c r="M3269" s="3">
        <v>8070.42</v>
      </c>
      <c r="N3269" s="3">
        <v>5604.15</v>
      </c>
      <c r="O3269" s="3">
        <v>2466.27</v>
      </c>
      <c r="P3269" s="3" t="s">
        <v>34</v>
      </c>
    </row>
    <row r="3270" spans="1:16" x14ac:dyDescent="0.35">
      <c r="A3270" s="3" t="s">
        <v>4688</v>
      </c>
      <c r="B3270" s="3" t="s">
        <v>1299</v>
      </c>
      <c r="C3270" s="3" t="s">
        <v>82</v>
      </c>
      <c r="D3270" s="3" t="s">
        <v>19</v>
      </c>
      <c r="E3270" s="3" t="s">
        <v>20</v>
      </c>
      <c r="F3270" s="3" t="s">
        <v>21</v>
      </c>
      <c r="G3270" s="3" t="s">
        <v>22</v>
      </c>
      <c r="H3270" s="3" t="s">
        <v>93</v>
      </c>
      <c r="I3270" s="3" t="s">
        <v>961</v>
      </c>
      <c r="J3270" s="3" t="s">
        <v>79</v>
      </c>
      <c r="K3270" s="3">
        <v>4</v>
      </c>
      <c r="L3270" s="3">
        <v>7638.35</v>
      </c>
      <c r="M3270" s="3">
        <v>30553.4</v>
      </c>
      <c r="N3270" s="3">
        <v>20685.93</v>
      </c>
      <c r="O3270" s="3">
        <v>9867.4699999999993</v>
      </c>
      <c r="P3270" s="3" t="s">
        <v>86</v>
      </c>
    </row>
    <row r="3271" spans="1:16" x14ac:dyDescent="0.35">
      <c r="A3271" s="3" t="s">
        <v>4689</v>
      </c>
      <c r="B3271" s="3" t="s">
        <v>209</v>
      </c>
      <c r="C3271" s="3" t="s">
        <v>118</v>
      </c>
      <c r="D3271" s="3" t="s">
        <v>19</v>
      </c>
      <c r="E3271" s="3" t="s">
        <v>49</v>
      </c>
      <c r="F3271" s="3" t="s">
        <v>50</v>
      </c>
      <c r="G3271" s="3" t="s">
        <v>41</v>
      </c>
      <c r="H3271" s="3" t="s">
        <v>42</v>
      </c>
      <c r="I3271" s="3" t="s">
        <v>105</v>
      </c>
      <c r="J3271" s="3" t="s">
        <v>131</v>
      </c>
      <c r="K3271" s="3">
        <v>3</v>
      </c>
      <c r="L3271" s="3">
        <v>45519.67</v>
      </c>
      <c r="M3271" s="3">
        <v>136559.01</v>
      </c>
      <c r="N3271" s="3">
        <v>108143.14</v>
      </c>
      <c r="O3271" s="3">
        <v>28415.87</v>
      </c>
      <c r="P3271" s="3" t="s">
        <v>26</v>
      </c>
    </row>
    <row r="3272" spans="1:16" x14ac:dyDescent="0.35">
      <c r="A3272" s="3" t="s">
        <v>4690</v>
      </c>
      <c r="B3272" s="3" t="s">
        <v>2197</v>
      </c>
      <c r="C3272" s="3" t="s">
        <v>18</v>
      </c>
      <c r="D3272" s="3" t="s">
        <v>58</v>
      </c>
      <c r="E3272" s="3" t="s">
        <v>176</v>
      </c>
      <c r="F3272" s="3" t="s">
        <v>177</v>
      </c>
      <c r="G3272" s="3" t="s">
        <v>51</v>
      </c>
      <c r="H3272" s="3" t="s">
        <v>77</v>
      </c>
      <c r="I3272" s="3" t="s">
        <v>3234</v>
      </c>
      <c r="J3272" s="3" t="s">
        <v>131</v>
      </c>
      <c r="K3272" s="3">
        <v>2</v>
      </c>
      <c r="L3272" s="3">
        <v>11720.31</v>
      </c>
      <c r="M3272" s="3">
        <v>23440.62</v>
      </c>
      <c r="N3272" s="3">
        <v>18503.93</v>
      </c>
      <c r="O3272" s="3">
        <v>4936.6899999999996</v>
      </c>
      <c r="P3272" s="3" t="s">
        <v>26</v>
      </c>
    </row>
    <row r="3273" spans="1:16" x14ac:dyDescent="0.35">
      <c r="A3273" s="3" t="s">
        <v>4691</v>
      </c>
      <c r="B3273" s="3" t="s">
        <v>2127</v>
      </c>
      <c r="C3273" s="3" t="s">
        <v>48</v>
      </c>
      <c r="D3273" s="3" t="s">
        <v>19</v>
      </c>
      <c r="E3273" s="3" t="s">
        <v>199</v>
      </c>
      <c r="F3273" s="3" t="s">
        <v>200</v>
      </c>
      <c r="G3273" s="3" t="s">
        <v>22</v>
      </c>
      <c r="H3273" s="3" t="s">
        <v>83</v>
      </c>
      <c r="I3273" s="3" t="s">
        <v>605</v>
      </c>
      <c r="J3273" s="3" t="s">
        <v>106</v>
      </c>
      <c r="K3273" s="3">
        <v>5</v>
      </c>
      <c r="L3273" s="3">
        <v>23756.06</v>
      </c>
      <c r="M3273" s="3">
        <v>118780.3</v>
      </c>
      <c r="N3273" s="3">
        <v>84966.93</v>
      </c>
      <c r="O3273" s="3">
        <v>33813.370000000003</v>
      </c>
      <c r="P3273" s="3" t="s">
        <v>86</v>
      </c>
    </row>
    <row r="3274" spans="1:16" x14ac:dyDescent="0.35">
      <c r="A3274" s="3" t="s">
        <v>4692</v>
      </c>
      <c r="B3274" s="3" t="s">
        <v>507</v>
      </c>
      <c r="C3274" s="3" t="s">
        <v>118</v>
      </c>
      <c r="D3274" s="3" t="s">
        <v>19</v>
      </c>
      <c r="E3274" s="3" t="s">
        <v>20</v>
      </c>
      <c r="F3274" s="3" t="s">
        <v>21</v>
      </c>
      <c r="G3274" s="3" t="s">
        <v>30</v>
      </c>
      <c r="H3274" s="3" t="s">
        <v>73</v>
      </c>
      <c r="I3274" s="3" t="s">
        <v>2267</v>
      </c>
      <c r="J3274" s="3" t="s">
        <v>33</v>
      </c>
      <c r="K3274" s="3">
        <v>5</v>
      </c>
      <c r="L3274" s="3">
        <v>3299.2</v>
      </c>
      <c r="M3274" s="3">
        <v>16496</v>
      </c>
      <c r="N3274" s="3">
        <v>12333.69</v>
      </c>
      <c r="O3274" s="3">
        <v>4162.3100000000004</v>
      </c>
      <c r="P3274" s="3" t="s">
        <v>45</v>
      </c>
    </row>
    <row r="3275" spans="1:16" x14ac:dyDescent="0.35">
      <c r="A3275" s="3" t="s">
        <v>4693</v>
      </c>
      <c r="B3275" s="3" t="s">
        <v>1552</v>
      </c>
      <c r="C3275" s="3" t="s">
        <v>114</v>
      </c>
      <c r="D3275" s="3" t="s">
        <v>58</v>
      </c>
      <c r="E3275" s="3" t="s">
        <v>59</v>
      </c>
      <c r="F3275" s="3" t="s">
        <v>60</v>
      </c>
      <c r="G3275" s="3" t="s">
        <v>22</v>
      </c>
      <c r="H3275" s="3" t="s">
        <v>83</v>
      </c>
      <c r="I3275" s="3" t="s">
        <v>937</v>
      </c>
      <c r="J3275" s="3" t="s">
        <v>44</v>
      </c>
      <c r="K3275" s="3">
        <v>5</v>
      </c>
      <c r="L3275" s="3">
        <v>22959.53</v>
      </c>
      <c r="M3275" s="3">
        <v>114797.65</v>
      </c>
      <c r="N3275" s="3">
        <v>86800.62</v>
      </c>
      <c r="O3275" s="3">
        <v>27997.03</v>
      </c>
      <c r="P3275" s="3" t="s">
        <v>45</v>
      </c>
    </row>
    <row r="3276" spans="1:16" x14ac:dyDescent="0.35">
      <c r="A3276" s="3" t="s">
        <v>4694</v>
      </c>
      <c r="B3276" s="3" t="s">
        <v>921</v>
      </c>
      <c r="C3276" s="3" t="s">
        <v>103</v>
      </c>
      <c r="D3276" s="3" t="s">
        <v>58</v>
      </c>
      <c r="E3276" s="3" t="s">
        <v>65</v>
      </c>
      <c r="F3276" s="3" t="s">
        <v>66</v>
      </c>
      <c r="G3276" s="3" t="s">
        <v>41</v>
      </c>
      <c r="H3276" s="3" t="s">
        <v>138</v>
      </c>
      <c r="I3276" s="3" t="s">
        <v>1483</v>
      </c>
      <c r="J3276" s="3" t="s">
        <v>188</v>
      </c>
      <c r="K3276" s="3">
        <v>5</v>
      </c>
      <c r="L3276" s="3">
        <v>17524.03</v>
      </c>
      <c r="M3276" s="3">
        <v>87620.15</v>
      </c>
      <c r="N3276" s="3">
        <v>72287.75</v>
      </c>
      <c r="O3276" s="3">
        <v>15332.4</v>
      </c>
      <c r="P3276" s="3" t="s">
        <v>34</v>
      </c>
    </row>
    <row r="3277" spans="1:16" x14ac:dyDescent="0.35">
      <c r="A3277" s="3" t="s">
        <v>4695</v>
      </c>
      <c r="B3277" s="3" t="s">
        <v>807</v>
      </c>
      <c r="C3277" s="3" t="s">
        <v>72</v>
      </c>
      <c r="D3277" s="3" t="s">
        <v>90</v>
      </c>
      <c r="E3277" s="3" t="s">
        <v>91</v>
      </c>
      <c r="F3277" s="3" t="s">
        <v>92</v>
      </c>
      <c r="G3277" s="3" t="s">
        <v>41</v>
      </c>
      <c r="H3277" s="3" t="s">
        <v>42</v>
      </c>
      <c r="I3277" s="3" t="s">
        <v>240</v>
      </c>
      <c r="J3277" s="3" t="s">
        <v>85</v>
      </c>
      <c r="K3277" s="3">
        <v>4</v>
      </c>
      <c r="L3277" s="3">
        <v>46519.6</v>
      </c>
      <c r="M3277" s="3">
        <v>186078.4</v>
      </c>
      <c r="N3277" s="3">
        <v>137415.42000000001</v>
      </c>
      <c r="O3277" s="3">
        <v>48662.98</v>
      </c>
      <c r="P3277" s="3" t="s">
        <v>69</v>
      </c>
    </row>
    <row r="3278" spans="1:16" x14ac:dyDescent="0.35">
      <c r="A3278" s="3" t="s">
        <v>4696</v>
      </c>
      <c r="B3278" s="3" t="s">
        <v>960</v>
      </c>
      <c r="C3278" s="3" t="s">
        <v>114</v>
      </c>
      <c r="D3278" s="3" t="s">
        <v>90</v>
      </c>
      <c r="E3278" s="3" t="s">
        <v>119</v>
      </c>
      <c r="F3278" s="3" t="s">
        <v>120</v>
      </c>
      <c r="G3278" s="3" t="s">
        <v>41</v>
      </c>
      <c r="H3278" s="3" t="s">
        <v>138</v>
      </c>
      <c r="I3278" s="3" t="s">
        <v>2264</v>
      </c>
      <c r="J3278" s="3" t="s">
        <v>147</v>
      </c>
      <c r="K3278" s="3">
        <v>6</v>
      </c>
      <c r="L3278" s="3">
        <v>17475.64</v>
      </c>
      <c r="M3278" s="3">
        <v>104853.84</v>
      </c>
      <c r="N3278" s="3">
        <v>86845.22</v>
      </c>
      <c r="O3278" s="3">
        <v>18008.62</v>
      </c>
      <c r="P3278" s="3" t="s">
        <v>69</v>
      </c>
    </row>
    <row r="3279" spans="1:16" x14ac:dyDescent="0.35">
      <c r="A3279" s="3" t="s">
        <v>4697</v>
      </c>
      <c r="B3279" s="3" t="s">
        <v>1095</v>
      </c>
      <c r="C3279" s="3" t="s">
        <v>103</v>
      </c>
      <c r="D3279" s="3" t="s">
        <v>58</v>
      </c>
      <c r="E3279" s="3" t="s">
        <v>59</v>
      </c>
      <c r="F3279" s="3" t="s">
        <v>60</v>
      </c>
      <c r="G3279" s="3" t="s">
        <v>51</v>
      </c>
      <c r="H3279" s="3" t="s">
        <v>145</v>
      </c>
      <c r="I3279" s="3" t="s">
        <v>1129</v>
      </c>
      <c r="J3279" s="3" t="s">
        <v>154</v>
      </c>
      <c r="K3279" s="3">
        <v>1</v>
      </c>
      <c r="L3279" s="3">
        <v>116.78</v>
      </c>
      <c r="M3279" s="3">
        <v>116.78</v>
      </c>
      <c r="N3279" s="3">
        <v>60.4</v>
      </c>
      <c r="O3279" s="3">
        <v>56.38</v>
      </c>
      <c r="P3279" s="3" t="s">
        <v>69</v>
      </c>
    </row>
    <row r="3280" spans="1:16" x14ac:dyDescent="0.35">
      <c r="A3280" s="3" t="s">
        <v>4698</v>
      </c>
      <c r="B3280" s="3" t="s">
        <v>518</v>
      </c>
      <c r="C3280" s="3" t="s">
        <v>89</v>
      </c>
      <c r="D3280" s="3" t="s">
        <v>90</v>
      </c>
      <c r="E3280" s="3" t="s">
        <v>91</v>
      </c>
      <c r="F3280" s="3" t="s">
        <v>92</v>
      </c>
      <c r="G3280" s="3" t="s">
        <v>51</v>
      </c>
      <c r="H3280" s="3" t="s">
        <v>52</v>
      </c>
      <c r="I3280" s="3" t="s">
        <v>950</v>
      </c>
      <c r="J3280" s="3" t="s">
        <v>147</v>
      </c>
      <c r="K3280" s="3">
        <v>5</v>
      </c>
      <c r="L3280" s="3">
        <v>27.46</v>
      </c>
      <c r="M3280" s="3">
        <v>137.30000000000001</v>
      </c>
      <c r="N3280" s="3">
        <v>49.07</v>
      </c>
      <c r="O3280" s="3">
        <v>88.23</v>
      </c>
      <c r="P3280" s="3" t="s">
        <v>69</v>
      </c>
    </row>
    <row r="3281" spans="1:16" x14ac:dyDescent="0.35">
      <c r="A3281" s="3" t="s">
        <v>4699</v>
      </c>
      <c r="B3281" s="3" t="s">
        <v>186</v>
      </c>
      <c r="C3281" s="3" t="s">
        <v>89</v>
      </c>
      <c r="D3281" s="3" t="s">
        <v>19</v>
      </c>
      <c r="E3281" s="3" t="s">
        <v>199</v>
      </c>
      <c r="F3281" s="3" t="s">
        <v>200</v>
      </c>
      <c r="G3281" s="3" t="s">
        <v>41</v>
      </c>
      <c r="H3281" s="3" t="s">
        <v>138</v>
      </c>
      <c r="I3281" s="3" t="s">
        <v>1767</v>
      </c>
      <c r="J3281" s="3" t="s">
        <v>147</v>
      </c>
      <c r="K3281" s="3">
        <v>5</v>
      </c>
      <c r="L3281" s="3">
        <v>16736.71</v>
      </c>
      <c r="M3281" s="3">
        <v>83683.55</v>
      </c>
      <c r="N3281" s="3">
        <v>69462.47</v>
      </c>
      <c r="O3281" s="3">
        <v>14221.08</v>
      </c>
      <c r="P3281" s="3" t="s">
        <v>69</v>
      </c>
    </row>
    <row r="3282" spans="1:16" x14ac:dyDescent="0.35">
      <c r="A3282" s="3" t="s">
        <v>4700</v>
      </c>
      <c r="B3282" s="3" t="s">
        <v>1072</v>
      </c>
      <c r="C3282" s="3" t="s">
        <v>18</v>
      </c>
      <c r="D3282" s="3" t="s">
        <v>90</v>
      </c>
      <c r="E3282" s="3" t="s">
        <v>97</v>
      </c>
      <c r="F3282" s="3" t="s">
        <v>98</v>
      </c>
      <c r="G3282" s="3" t="s">
        <v>41</v>
      </c>
      <c r="H3282" s="3" t="s">
        <v>42</v>
      </c>
      <c r="I3282" s="3" t="s">
        <v>78</v>
      </c>
      <c r="J3282" s="3" t="s">
        <v>171</v>
      </c>
      <c r="K3282" s="3">
        <v>6</v>
      </c>
      <c r="L3282" s="3">
        <v>41693.879999999997</v>
      </c>
      <c r="M3282" s="3">
        <v>250163.28</v>
      </c>
      <c r="N3282" s="3">
        <v>206341.73</v>
      </c>
      <c r="O3282" s="3">
        <v>43821.55</v>
      </c>
      <c r="P3282" s="3" t="s">
        <v>26</v>
      </c>
    </row>
    <row r="3283" spans="1:16" x14ac:dyDescent="0.35">
      <c r="A3283" s="3" t="s">
        <v>4701</v>
      </c>
      <c r="B3283" s="3" t="s">
        <v>1504</v>
      </c>
      <c r="C3283" s="3" t="s">
        <v>48</v>
      </c>
      <c r="D3283" s="3" t="s">
        <v>58</v>
      </c>
      <c r="E3283" s="3" t="s">
        <v>176</v>
      </c>
      <c r="F3283" s="3" t="s">
        <v>177</v>
      </c>
      <c r="G3283" s="3" t="s">
        <v>51</v>
      </c>
      <c r="H3283" s="3" t="s">
        <v>52</v>
      </c>
      <c r="I3283" s="3" t="s">
        <v>2242</v>
      </c>
      <c r="J3283" s="3" t="s">
        <v>54</v>
      </c>
      <c r="K3283" s="3">
        <v>3</v>
      </c>
      <c r="L3283" s="3">
        <v>27.47</v>
      </c>
      <c r="M3283" s="3">
        <v>82.41</v>
      </c>
      <c r="N3283" s="3">
        <v>30.12</v>
      </c>
      <c r="O3283" s="3">
        <v>52.29</v>
      </c>
      <c r="P3283" s="3" t="s">
        <v>26</v>
      </c>
    </row>
    <row r="3284" spans="1:16" x14ac:dyDescent="0.35">
      <c r="A3284" s="3" t="s">
        <v>4702</v>
      </c>
      <c r="B3284" s="3" t="s">
        <v>669</v>
      </c>
      <c r="C3284" s="3" t="s">
        <v>57</v>
      </c>
      <c r="D3284" s="3" t="s">
        <v>58</v>
      </c>
      <c r="E3284" s="3" t="s">
        <v>65</v>
      </c>
      <c r="F3284" s="3" t="s">
        <v>66</v>
      </c>
      <c r="G3284" s="3" t="s">
        <v>51</v>
      </c>
      <c r="H3284" s="3" t="s">
        <v>145</v>
      </c>
      <c r="I3284" s="3" t="s">
        <v>2065</v>
      </c>
      <c r="J3284" s="3" t="s">
        <v>217</v>
      </c>
      <c r="K3284" s="3">
        <v>7</v>
      </c>
      <c r="L3284" s="3">
        <v>110.29</v>
      </c>
      <c r="M3284" s="3">
        <v>772.03</v>
      </c>
      <c r="N3284" s="3">
        <v>415.36</v>
      </c>
      <c r="O3284" s="3">
        <v>356.67</v>
      </c>
      <c r="P3284" s="3" t="s">
        <v>26</v>
      </c>
    </row>
    <row r="3285" spans="1:16" x14ac:dyDescent="0.35">
      <c r="A3285" s="3" t="s">
        <v>4703</v>
      </c>
      <c r="B3285" s="3" t="s">
        <v>1752</v>
      </c>
      <c r="C3285" s="3" t="s">
        <v>114</v>
      </c>
      <c r="D3285" s="3" t="s">
        <v>38</v>
      </c>
      <c r="E3285" s="3" t="s">
        <v>39</v>
      </c>
      <c r="F3285" s="3" t="s">
        <v>40</v>
      </c>
      <c r="G3285" s="3" t="s">
        <v>51</v>
      </c>
      <c r="H3285" s="3" t="s">
        <v>145</v>
      </c>
      <c r="I3285" s="3" t="s">
        <v>249</v>
      </c>
      <c r="J3285" s="3" t="s">
        <v>44</v>
      </c>
      <c r="K3285" s="3">
        <v>3</v>
      </c>
      <c r="L3285" s="3">
        <v>109.16</v>
      </c>
      <c r="M3285" s="3">
        <v>327.48</v>
      </c>
      <c r="N3285" s="3">
        <v>186</v>
      </c>
      <c r="O3285" s="3">
        <v>141.47999999999999</v>
      </c>
      <c r="P3285" s="3" t="s">
        <v>45</v>
      </c>
    </row>
    <row r="3286" spans="1:16" x14ac:dyDescent="0.35">
      <c r="A3286" s="3" t="s">
        <v>4704</v>
      </c>
      <c r="B3286" s="3" t="s">
        <v>222</v>
      </c>
      <c r="C3286" s="3" t="s">
        <v>48</v>
      </c>
      <c r="D3286" s="3" t="s">
        <v>19</v>
      </c>
      <c r="E3286" s="3" t="s">
        <v>49</v>
      </c>
      <c r="F3286" s="3" t="s">
        <v>50</v>
      </c>
      <c r="G3286" s="3" t="s">
        <v>22</v>
      </c>
      <c r="H3286" s="3" t="s">
        <v>23</v>
      </c>
      <c r="I3286" s="3" t="s">
        <v>2665</v>
      </c>
      <c r="J3286" s="3" t="s">
        <v>100</v>
      </c>
      <c r="K3286" s="3">
        <v>1</v>
      </c>
      <c r="L3286" s="3">
        <v>3394.89</v>
      </c>
      <c r="M3286" s="3">
        <v>3394.89</v>
      </c>
      <c r="N3286" s="3">
        <v>2112.61</v>
      </c>
      <c r="O3286" s="3">
        <v>1282.28</v>
      </c>
      <c r="P3286" s="3" t="s">
        <v>26</v>
      </c>
    </row>
    <row r="3287" spans="1:16" x14ac:dyDescent="0.35">
      <c r="A3287" s="3" t="s">
        <v>4705</v>
      </c>
      <c r="B3287" s="3" t="s">
        <v>859</v>
      </c>
      <c r="C3287" s="3" t="s">
        <v>48</v>
      </c>
      <c r="D3287" s="3" t="s">
        <v>38</v>
      </c>
      <c r="E3287" s="3" t="s">
        <v>104</v>
      </c>
      <c r="F3287" s="3" t="s">
        <v>104</v>
      </c>
      <c r="G3287" s="3" t="s">
        <v>30</v>
      </c>
      <c r="H3287" s="3" t="s">
        <v>67</v>
      </c>
      <c r="I3287" s="3" t="s">
        <v>1051</v>
      </c>
      <c r="J3287" s="3" t="s">
        <v>85</v>
      </c>
      <c r="K3287" s="3">
        <v>2</v>
      </c>
      <c r="L3287" s="3">
        <v>9977.77</v>
      </c>
      <c r="M3287" s="3">
        <v>19955.54</v>
      </c>
      <c r="N3287" s="3">
        <v>14533.55</v>
      </c>
      <c r="O3287" s="3">
        <v>5421.99</v>
      </c>
      <c r="P3287" s="3" t="s">
        <v>45</v>
      </c>
    </row>
    <row r="3288" spans="1:16" x14ac:dyDescent="0.35">
      <c r="A3288" s="3" t="s">
        <v>4706</v>
      </c>
      <c r="B3288" s="3" t="s">
        <v>1294</v>
      </c>
      <c r="C3288" s="3" t="s">
        <v>118</v>
      </c>
      <c r="D3288" s="3" t="s">
        <v>90</v>
      </c>
      <c r="E3288" s="3" t="s">
        <v>97</v>
      </c>
      <c r="F3288" s="3" t="s">
        <v>98</v>
      </c>
      <c r="G3288" s="3" t="s">
        <v>41</v>
      </c>
      <c r="H3288" s="3" t="s">
        <v>61</v>
      </c>
      <c r="I3288" s="3" t="s">
        <v>829</v>
      </c>
      <c r="J3288" s="3" t="s">
        <v>147</v>
      </c>
      <c r="K3288" s="3">
        <v>5</v>
      </c>
      <c r="L3288" s="3">
        <v>2537.64</v>
      </c>
      <c r="M3288" s="3">
        <v>12688.2</v>
      </c>
      <c r="N3288" s="3">
        <v>8369.07</v>
      </c>
      <c r="O3288" s="3">
        <v>4319.13</v>
      </c>
      <c r="P3288" s="3" t="s">
        <v>34</v>
      </c>
    </row>
    <row r="3289" spans="1:16" x14ac:dyDescent="0.35">
      <c r="A3289" s="3" t="s">
        <v>4707</v>
      </c>
      <c r="B3289" s="3" t="s">
        <v>1435</v>
      </c>
      <c r="C3289" s="3" t="s">
        <v>137</v>
      </c>
      <c r="D3289" s="3" t="s">
        <v>90</v>
      </c>
      <c r="E3289" s="3" t="s">
        <v>91</v>
      </c>
      <c r="F3289" s="3" t="s">
        <v>92</v>
      </c>
      <c r="G3289" s="3" t="s">
        <v>22</v>
      </c>
      <c r="H3289" s="3" t="s">
        <v>23</v>
      </c>
      <c r="I3289" s="3" t="s">
        <v>2092</v>
      </c>
      <c r="J3289" s="3" t="s">
        <v>131</v>
      </c>
      <c r="K3289" s="3">
        <v>4</v>
      </c>
      <c r="L3289" s="3">
        <v>3797.87</v>
      </c>
      <c r="M3289" s="3">
        <v>15191.48</v>
      </c>
      <c r="N3289" s="3">
        <v>8633.0400000000009</v>
      </c>
      <c r="O3289" s="3">
        <v>6558.44</v>
      </c>
      <c r="P3289" s="3" t="s">
        <v>86</v>
      </c>
    </row>
    <row r="3290" spans="1:16" x14ac:dyDescent="0.35">
      <c r="A3290" s="3" t="s">
        <v>4708</v>
      </c>
      <c r="B3290" s="3" t="s">
        <v>412</v>
      </c>
      <c r="C3290" s="3" t="s">
        <v>48</v>
      </c>
      <c r="D3290" s="3" t="s">
        <v>90</v>
      </c>
      <c r="E3290" s="3" t="s">
        <v>91</v>
      </c>
      <c r="F3290" s="3" t="s">
        <v>92</v>
      </c>
      <c r="G3290" s="3" t="s">
        <v>30</v>
      </c>
      <c r="H3290" s="3" t="s">
        <v>31</v>
      </c>
      <c r="I3290" s="3" t="s">
        <v>1747</v>
      </c>
      <c r="J3290" s="3" t="s">
        <v>106</v>
      </c>
      <c r="K3290" s="3">
        <v>8</v>
      </c>
      <c r="L3290" s="3">
        <v>2815.23</v>
      </c>
      <c r="M3290" s="3">
        <v>22521.84</v>
      </c>
      <c r="N3290" s="3">
        <v>14612.04</v>
      </c>
      <c r="O3290" s="3">
        <v>7909.8</v>
      </c>
      <c r="P3290" s="3" t="s">
        <v>26</v>
      </c>
    </row>
    <row r="3291" spans="1:16" x14ac:dyDescent="0.35">
      <c r="A3291" s="3" t="s">
        <v>4709</v>
      </c>
      <c r="B3291" s="3" t="s">
        <v>1136</v>
      </c>
      <c r="C3291" s="3" t="s">
        <v>118</v>
      </c>
      <c r="D3291" s="3" t="s">
        <v>19</v>
      </c>
      <c r="E3291" s="3" t="s">
        <v>199</v>
      </c>
      <c r="F3291" s="3" t="s">
        <v>200</v>
      </c>
      <c r="G3291" s="3" t="s">
        <v>30</v>
      </c>
      <c r="H3291" s="3" t="s">
        <v>73</v>
      </c>
      <c r="I3291" s="3" t="s">
        <v>568</v>
      </c>
      <c r="J3291" s="3" t="s">
        <v>154</v>
      </c>
      <c r="K3291" s="3">
        <v>8</v>
      </c>
      <c r="L3291" s="3">
        <v>3084.93</v>
      </c>
      <c r="M3291" s="3">
        <v>24679.439999999999</v>
      </c>
      <c r="N3291" s="3">
        <v>19547.009999999998</v>
      </c>
      <c r="O3291" s="3">
        <v>5132.43</v>
      </c>
      <c r="P3291" s="3" t="s">
        <v>69</v>
      </c>
    </row>
    <row r="3292" spans="1:16" x14ac:dyDescent="0.35">
      <c r="A3292" s="3" t="s">
        <v>4710</v>
      </c>
      <c r="B3292" s="3" t="s">
        <v>96</v>
      </c>
      <c r="C3292" s="3" t="s">
        <v>48</v>
      </c>
      <c r="D3292" s="3" t="s">
        <v>58</v>
      </c>
      <c r="E3292" s="3" t="s">
        <v>59</v>
      </c>
      <c r="F3292" s="3" t="s">
        <v>60</v>
      </c>
      <c r="G3292" s="3" t="s">
        <v>22</v>
      </c>
      <c r="H3292" s="3" t="s">
        <v>23</v>
      </c>
      <c r="I3292" s="3" t="s">
        <v>970</v>
      </c>
      <c r="J3292" s="3" t="s">
        <v>147</v>
      </c>
      <c r="K3292" s="3">
        <v>7</v>
      </c>
      <c r="L3292" s="3">
        <v>3542.61</v>
      </c>
      <c r="M3292" s="3">
        <v>24798.27</v>
      </c>
      <c r="N3292" s="3">
        <v>14840.27</v>
      </c>
      <c r="O3292" s="3">
        <v>9958</v>
      </c>
      <c r="P3292" s="3" t="s">
        <v>26</v>
      </c>
    </row>
    <row r="3293" spans="1:16" x14ac:dyDescent="0.35">
      <c r="A3293" s="3" t="s">
        <v>4711</v>
      </c>
      <c r="B3293" s="3" t="s">
        <v>3156</v>
      </c>
      <c r="C3293" s="3" t="s">
        <v>89</v>
      </c>
      <c r="D3293" s="3" t="s">
        <v>58</v>
      </c>
      <c r="E3293" s="3" t="s">
        <v>176</v>
      </c>
      <c r="F3293" s="3" t="s">
        <v>177</v>
      </c>
      <c r="G3293" s="3" t="s">
        <v>22</v>
      </c>
      <c r="H3293" s="3" t="s">
        <v>83</v>
      </c>
      <c r="I3293" s="3" t="s">
        <v>884</v>
      </c>
      <c r="J3293" s="3" t="s">
        <v>171</v>
      </c>
      <c r="K3293" s="3">
        <v>5</v>
      </c>
      <c r="L3293" s="3">
        <v>20744.759999999998</v>
      </c>
      <c r="M3293" s="3">
        <v>103723.8</v>
      </c>
      <c r="N3293" s="3">
        <v>89085.73</v>
      </c>
      <c r="O3293" s="3">
        <v>14638.07</v>
      </c>
      <c r="P3293" s="3" t="s">
        <v>86</v>
      </c>
    </row>
    <row r="3294" spans="1:16" x14ac:dyDescent="0.35">
      <c r="A3294" s="3" t="s">
        <v>4712</v>
      </c>
      <c r="B3294" s="3" t="s">
        <v>1761</v>
      </c>
      <c r="C3294" s="3" t="s">
        <v>72</v>
      </c>
      <c r="D3294" s="3" t="s">
        <v>38</v>
      </c>
      <c r="E3294" s="3" t="s">
        <v>39</v>
      </c>
      <c r="F3294" s="3" t="s">
        <v>40</v>
      </c>
      <c r="G3294" s="3" t="s">
        <v>41</v>
      </c>
      <c r="H3294" s="3" t="s">
        <v>138</v>
      </c>
      <c r="I3294" s="3" t="s">
        <v>1808</v>
      </c>
      <c r="J3294" s="3" t="s">
        <v>85</v>
      </c>
      <c r="K3294" s="3">
        <v>1</v>
      </c>
      <c r="L3294" s="3">
        <v>16995</v>
      </c>
      <c r="M3294" s="3">
        <v>16995</v>
      </c>
      <c r="N3294" s="3">
        <v>13499.41</v>
      </c>
      <c r="O3294" s="3">
        <v>3495.59</v>
      </c>
      <c r="P3294" s="3" t="s">
        <v>69</v>
      </c>
    </row>
    <row r="3295" spans="1:16" x14ac:dyDescent="0.35">
      <c r="A3295" s="3" t="s">
        <v>4713</v>
      </c>
      <c r="B3295" s="3" t="s">
        <v>180</v>
      </c>
      <c r="C3295" s="3" t="s">
        <v>48</v>
      </c>
      <c r="D3295" s="3" t="s">
        <v>19</v>
      </c>
      <c r="E3295" s="3" t="s">
        <v>49</v>
      </c>
      <c r="F3295" s="3" t="s">
        <v>50</v>
      </c>
      <c r="G3295" s="3" t="s">
        <v>51</v>
      </c>
      <c r="H3295" s="3" t="s">
        <v>77</v>
      </c>
      <c r="I3295" s="3" t="s">
        <v>4517</v>
      </c>
      <c r="J3295" s="3" t="s">
        <v>85</v>
      </c>
      <c r="K3295" s="3">
        <v>8</v>
      </c>
      <c r="L3295" s="3">
        <v>11824.94</v>
      </c>
      <c r="M3295" s="3">
        <v>94599.52</v>
      </c>
      <c r="N3295" s="3">
        <v>73584.66</v>
      </c>
      <c r="O3295" s="3">
        <v>21014.86</v>
      </c>
      <c r="P3295" s="3" t="s">
        <v>34</v>
      </c>
    </row>
    <row r="3296" spans="1:16" x14ac:dyDescent="0.35">
      <c r="A3296" s="3" t="s">
        <v>4714</v>
      </c>
      <c r="B3296" s="3" t="s">
        <v>1695</v>
      </c>
      <c r="C3296" s="3" t="s">
        <v>89</v>
      </c>
      <c r="D3296" s="3" t="s">
        <v>90</v>
      </c>
      <c r="E3296" s="3" t="s">
        <v>97</v>
      </c>
      <c r="F3296" s="3" t="s">
        <v>98</v>
      </c>
      <c r="G3296" s="3" t="s">
        <v>30</v>
      </c>
      <c r="H3296" s="3" t="s">
        <v>31</v>
      </c>
      <c r="I3296" s="3" t="s">
        <v>425</v>
      </c>
      <c r="J3296" s="3" t="s">
        <v>161</v>
      </c>
      <c r="K3296" s="3">
        <v>2</v>
      </c>
      <c r="L3296" s="3">
        <v>2536.2800000000002</v>
      </c>
      <c r="M3296" s="3">
        <v>5072.5600000000004</v>
      </c>
      <c r="N3296" s="3">
        <v>3778.54</v>
      </c>
      <c r="O3296" s="3">
        <v>1294.02</v>
      </c>
      <c r="P3296" s="3" t="s">
        <v>34</v>
      </c>
    </row>
    <row r="3297" spans="1:16" x14ac:dyDescent="0.35">
      <c r="A3297" s="3" t="s">
        <v>4715</v>
      </c>
      <c r="B3297" s="3" t="s">
        <v>81</v>
      </c>
      <c r="C3297" s="3" t="s">
        <v>82</v>
      </c>
      <c r="D3297" s="3" t="s">
        <v>19</v>
      </c>
      <c r="E3297" s="3" t="s">
        <v>20</v>
      </c>
      <c r="F3297" s="3" t="s">
        <v>21</v>
      </c>
      <c r="G3297" s="3" t="s">
        <v>41</v>
      </c>
      <c r="H3297" s="3" t="s">
        <v>61</v>
      </c>
      <c r="I3297" s="3" t="s">
        <v>2665</v>
      </c>
      <c r="J3297" s="3" t="s">
        <v>106</v>
      </c>
      <c r="K3297" s="3">
        <v>5</v>
      </c>
      <c r="L3297" s="3">
        <v>2523.4899999999998</v>
      </c>
      <c r="M3297" s="3">
        <v>12617.45</v>
      </c>
      <c r="N3297" s="3">
        <v>8255.68</v>
      </c>
      <c r="O3297" s="3">
        <v>4361.7700000000004</v>
      </c>
      <c r="P3297" s="3" t="s">
        <v>45</v>
      </c>
    </row>
    <row r="3298" spans="1:16" x14ac:dyDescent="0.35">
      <c r="A3298" s="3" t="s">
        <v>4716</v>
      </c>
      <c r="B3298" s="3" t="s">
        <v>265</v>
      </c>
      <c r="C3298" s="3" t="s">
        <v>37</v>
      </c>
      <c r="D3298" s="3" t="s">
        <v>90</v>
      </c>
      <c r="E3298" s="3" t="s">
        <v>119</v>
      </c>
      <c r="F3298" s="3" t="s">
        <v>120</v>
      </c>
      <c r="G3298" s="3" t="s">
        <v>22</v>
      </c>
      <c r="H3298" s="3" t="s">
        <v>23</v>
      </c>
      <c r="I3298" s="3" t="s">
        <v>453</v>
      </c>
      <c r="J3298" s="3" t="s">
        <v>188</v>
      </c>
      <c r="K3298" s="3">
        <v>6</v>
      </c>
      <c r="L3298" s="3">
        <v>3580.28</v>
      </c>
      <c r="M3298" s="3">
        <v>21481.68</v>
      </c>
      <c r="N3298" s="3">
        <v>13226.79</v>
      </c>
      <c r="O3298" s="3">
        <v>8254.89</v>
      </c>
      <c r="P3298" s="3" t="s">
        <v>34</v>
      </c>
    </row>
    <row r="3299" spans="1:16" x14ac:dyDescent="0.35">
      <c r="A3299" s="3" t="s">
        <v>4717</v>
      </c>
      <c r="B3299" s="3" t="s">
        <v>230</v>
      </c>
      <c r="C3299" s="3" t="s">
        <v>118</v>
      </c>
      <c r="D3299" s="3" t="s">
        <v>19</v>
      </c>
      <c r="E3299" s="3" t="s">
        <v>199</v>
      </c>
      <c r="F3299" s="3" t="s">
        <v>200</v>
      </c>
      <c r="G3299" s="3" t="s">
        <v>51</v>
      </c>
      <c r="H3299" s="3" t="s">
        <v>145</v>
      </c>
      <c r="I3299" s="3" t="s">
        <v>3499</v>
      </c>
      <c r="J3299" s="3" t="s">
        <v>33</v>
      </c>
      <c r="K3299" s="3">
        <v>7</v>
      </c>
      <c r="L3299" s="3">
        <v>122.89</v>
      </c>
      <c r="M3299" s="3">
        <v>860.23</v>
      </c>
      <c r="N3299" s="3">
        <v>406.18</v>
      </c>
      <c r="O3299" s="3">
        <v>454.05</v>
      </c>
      <c r="P3299" s="3" t="s">
        <v>26</v>
      </c>
    </row>
    <row r="3300" spans="1:16" x14ac:dyDescent="0.35">
      <c r="A3300" s="3" t="s">
        <v>4718</v>
      </c>
      <c r="B3300" s="3" t="s">
        <v>880</v>
      </c>
      <c r="C3300" s="3" t="s">
        <v>114</v>
      </c>
      <c r="D3300" s="3" t="s">
        <v>90</v>
      </c>
      <c r="E3300" s="3" t="s">
        <v>119</v>
      </c>
      <c r="F3300" s="3" t="s">
        <v>120</v>
      </c>
      <c r="G3300" s="3" t="s">
        <v>22</v>
      </c>
      <c r="H3300" s="3" t="s">
        <v>83</v>
      </c>
      <c r="I3300" s="3" t="s">
        <v>2366</v>
      </c>
      <c r="J3300" s="3" t="s">
        <v>147</v>
      </c>
      <c r="K3300" s="3">
        <v>1</v>
      </c>
      <c r="L3300" s="3">
        <v>21931.17</v>
      </c>
      <c r="M3300" s="3">
        <v>21931.17</v>
      </c>
      <c r="N3300" s="3">
        <v>17497.41</v>
      </c>
      <c r="O3300" s="3">
        <v>4433.76</v>
      </c>
      <c r="P3300" s="3" t="s">
        <v>26</v>
      </c>
    </row>
    <row r="3301" spans="1:16" x14ac:dyDescent="0.35">
      <c r="A3301" s="3" t="s">
        <v>4719</v>
      </c>
      <c r="B3301" s="3" t="s">
        <v>1687</v>
      </c>
      <c r="C3301" s="3" t="s">
        <v>18</v>
      </c>
      <c r="D3301" s="3" t="s">
        <v>38</v>
      </c>
      <c r="E3301" s="3" t="s">
        <v>109</v>
      </c>
      <c r="F3301" s="3" t="s">
        <v>110</v>
      </c>
      <c r="G3301" s="3" t="s">
        <v>41</v>
      </c>
      <c r="H3301" s="3" t="s">
        <v>42</v>
      </c>
      <c r="I3301" s="3" t="s">
        <v>1443</v>
      </c>
      <c r="J3301" s="3" t="s">
        <v>161</v>
      </c>
      <c r="K3301" s="3">
        <v>2</v>
      </c>
      <c r="L3301" s="3">
        <v>45684.72</v>
      </c>
      <c r="M3301" s="3">
        <v>91369.44</v>
      </c>
      <c r="N3301" s="3">
        <v>71582.59</v>
      </c>
      <c r="O3301" s="3">
        <v>19786.849999999999</v>
      </c>
      <c r="P3301" s="3" t="s">
        <v>34</v>
      </c>
    </row>
    <row r="3302" spans="1:16" x14ac:dyDescent="0.35">
      <c r="A3302" s="3" t="s">
        <v>4720</v>
      </c>
      <c r="B3302" s="3" t="s">
        <v>1053</v>
      </c>
      <c r="C3302" s="3" t="s">
        <v>82</v>
      </c>
      <c r="D3302" s="3" t="s">
        <v>19</v>
      </c>
      <c r="E3302" s="3" t="s">
        <v>49</v>
      </c>
      <c r="F3302" s="3" t="s">
        <v>50</v>
      </c>
      <c r="G3302" s="3" t="s">
        <v>22</v>
      </c>
      <c r="H3302" s="3" t="s">
        <v>23</v>
      </c>
      <c r="I3302" s="3" t="s">
        <v>1782</v>
      </c>
      <c r="J3302" s="3" t="s">
        <v>100</v>
      </c>
      <c r="K3302" s="3">
        <v>4</v>
      </c>
      <c r="L3302" s="3">
        <v>3198.05</v>
      </c>
      <c r="M3302" s="3">
        <v>12792.2</v>
      </c>
      <c r="N3302" s="3">
        <v>8363.56</v>
      </c>
      <c r="O3302" s="3">
        <v>4428.6400000000003</v>
      </c>
      <c r="P3302" s="3" t="s">
        <v>69</v>
      </c>
    </row>
    <row r="3303" spans="1:16" x14ac:dyDescent="0.35">
      <c r="A3303" s="3" t="s">
        <v>4721</v>
      </c>
      <c r="B3303" s="3" t="s">
        <v>3482</v>
      </c>
      <c r="C3303" s="3" t="s">
        <v>57</v>
      </c>
      <c r="D3303" s="3" t="s">
        <v>19</v>
      </c>
      <c r="E3303" s="3" t="s">
        <v>20</v>
      </c>
      <c r="F3303" s="3" t="s">
        <v>21</v>
      </c>
      <c r="G3303" s="3" t="s">
        <v>41</v>
      </c>
      <c r="H3303" s="3" t="s">
        <v>61</v>
      </c>
      <c r="I3303" s="3" t="s">
        <v>4579</v>
      </c>
      <c r="J3303" s="3" t="s">
        <v>131</v>
      </c>
      <c r="K3303" s="3">
        <v>6</v>
      </c>
      <c r="L3303" s="3">
        <v>2576.77</v>
      </c>
      <c r="M3303" s="3">
        <v>15460.62</v>
      </c>
      <c r="N3303" s="3">
        <v>9918.7199999999993</v>
      </c>
      <c r="O3303" s="3">
        <v>5541.9</v>
      </c>
      <c r="P3303" s="3" t="s">
        <v>86</v>
      </c>
    </row>
    <row r="3304" spans="1:16" x14ac:dyDescent="0.35">
      <c r="A3304" s="3" t="s">
        <v>4722</v>
      </c>
      <c r="B3304" s="3" t="s">
        <v>265</v>
      </c>
      <c r="C3304" s="3" t="s">
        <v>37</v>
      </c>
      <c r="D3304" s="3" t="s">
        <v>90</v>
      </c>
      <c r="E3304" s="3" t="s">
        <v>97</v>
      </c>
      <c r="F3304" s="3" t="s">
        <v>98</v>
      </c>
      <c r="G3304" s="3" t="s">
        <v>41</v>
      </c>
      <c r="H3304" s="3" t="s">
        <v>42</v>
      </c>
      <c r="I3304" s="3" t="s">
        <v>1905</v>
      </c>
      <c r="J3304" s="3" t="s">
        <v>25</v>
      </c>
      <c r="K3304" s="3">
        <v>3</v>
      </c>
      <c r="L3304" s="3">
        <v>44683.6</v>
      </c>
      <c r="M3304" s="3">
        <v>134050.79999999999</v>
      </c>
      <c r="N3304" s="3">
        <v>108297.54</v>
      </c>
      <c r="O3304" s="3">
        <v>25753.26</v>
      </c>
      <c r="P3304" s="3" t="s">
        <v>69</v>
      </c>
    </row>
    <row r="3305" spans="1:16" x14ac:dyDescent="0.35">
      <c r="A3305" s="3" t="s">
        <v>4723</v>
      </c>
      <c r="B3305" s="3" t="s">
        <v>507</v>
      </c>
      <c r="C3305" s="3" t="s">
        <v>118</v>
      </c>
      <c r="D3305" s="3" t="s">
        <v>58</v>
      </c>
      <c r="E3305" s="3" t="s">
        <v>65</v>
      </c>
      <c r="F3305" s="3" t="s">
        <v>66</v>
      </c>
      <c r="G3305" s="3" t="s">
        <v>22</v>
      </c>
      <c r="H3305" s="3" t="s">
        <v>23</v>
      </c>
      <c r="I3305" s="3" t="s">
        <v>1975</v>
      </c>
      <c r="J3305" s="3" t="s">
        <v>217</v>
      </c>
      <c r="K3305" s="3">
        <v>8</v>
      </c>
      <c r="L3305" s="3">
        <v>3547.23</v>
      </c>
      <c r="M3305" s="3">
        <v>28377.84</v>
      </c>
      <c r="N3305" s="3">
        <v>17582.52</v>
      </c>
      <c r="O3305" s="3">
        <v>10795.32</v>
      </c>
      <c r="P3305" s="3" t="s">
        <v>86</v>
      </c>
    </row>
    <row r="3306" spans="1:16" x14ac:dyDescent="0.35">
      <c r="A3306" s="3" t="s">
        <v>4724</v>
      </c>
      <c r="B3306" s="3" t="s">
        <v>299</v>
      </c>
      <c r="C3306" s="3" t="s">
        <v>89</v>
      </c>
      <c r="D3306" s="3" t="s">
        <v>58</v>
      </c>
      <c r="E3306" s="3" t="s">
        <v>176</v>
      </c>
      <c r="F3306" s="3" t="s">
        <v>177</v>
      </c>
      <c r="G3306" s="3" t="s">
        <v>41</v>
      </c>
      <c r="H3306" s="3" t="s">
        <v>42</v>
      </c>
      <c r="I3306" s="3" t="s">
        <v>1817</v>
      </c>
      <c r="J3306" s="3" t="s">
        <v>54</v>
      </c>
      <c r="K3306" s="3">
        <v>8</v>
      </c>
      <c r="L3306" s="3">
        <v>47932.93</v>
      </c>
      <c r="M3306" s="3">
        <v>383463.44</v>
      </c>
      <c r="N3306" s="3">
        <v>269518.31</v>
      </c>
      <c r="O3306" s="3">
        <v>113945.13</v>
      </c>
      <c r="P3306" s="3" t="s">
        <v>45</v>
      </c>
    </row>
    <row r="3307" spans="1:16" x14ac:dyDescent="0.35">
      <c r="A3307" s="3" t="s">
        <v>4725</v>
      </c>
      <c r="B3307" s="3" t="s">
        <v>1301</v>
      </c>
      <c r="C3307" s="3" t="s">
        <v>18</v>
      </c>
      <c r="D3307" s="3" t="s">
        <v>38</v>
      </c>
      <c r="E3307" s="3" t="s">
        <v>39</v>
      </c>
      <c r="F3307" s="3" t="s">
        <v>40</v>
      </c>
      <c r="G3307" s="3" t="s">
        <v>41</v>
      </c>
      <c r="H3307" s="3" t="s">
        <v>42</v>
      </c>
      <c r="I3307" s="3" t="s">
        <v>390</v>
      </c>
      <c r="J3307" s="3" t="s">
        <v>131</v>
      </c>
      <c r="K3307" s="3">
        <v>4</v>
      </c>
      <c r="L3307" s="3">
        <v>48451.85</v>
      </c>
      <c r="M3307" s="3">
        <v>193807.4</v>
      </c>
      <c r="N3307" s="3">
        <v>141637.23000000001</v>
      </c>
      <c r="O3307" s="3">
        <v>52170.17</v>
      </c>
      <c r="P3307" s="3" t="s">
        <v>26</v>
      </c>
    </row>
    <row r="3308" spans="1:16" x14ac:dyDescent="0.35">
      <c r="A3308" s="3" t="s">
        <v>4726</v>
      </c>
      <c r="B3308" s="3" t="s">
        <v>463</v>
      </c>
      <c r="C3308" s="3" t="s">
        <v>29</v>
      </c>
      <c r="D3308" s="3" t="s">
        <v>58</v>
      </c>
      <c r="E3308" s="3" t="s">
        <v>176</v>
      </c>
      <c r="F3308" s="3" t="s">
        <v>177</v>
      </c>
      <c r="G3308" s="3" t="s">
        <v>51</v>
      </c>
      <c r="H3308" s="3" t="s">
        <v>52</v>
      </c>
      <c r="I3308" s="3" t="s">
        <v>283</v>
      </c>
      <c r="J3308" s="3" t="s">
        <v>131</v>
      </c>
      <c r="K3308" s="3">
        <v>4</v>
      </c>
      <c r="L3308" s="3">
        <v>24.65</v>
      </c>
      <c r="M3308" s="3">
        <v>98.6</v>
      </c>
      <c r="N3308" s="3">
        <v>40.07</v>
      </c>
      <c r="O3308" s="3">
        <v>58.53</v>
      </c>
      <c r="P3308" s="3" t="s">
        <v>26</v>
      </c>
    </row>
    <row r="3309" spans="1:16" x14ac:dyDescent="0.35">
      <c r="A3309" s="3" t="s">
        <v>4727</v>
      </c>
      <c r="B3309" s="3" t="s">
        <v>344</v>
      </c>
      <c r="C3309" s="3" t="s">
        <v>48</v>
      </c>
      <c r="D3309" s="3" t="s">
        <v>38</v>
      </c>
      <c r="E3309" s="3" t="s">
        <v>109</v>
      </c>
      <c r="F3309" s="3" t="s">
        <v>110</v>
      </c>
      <c r="G3309" s="3" t="s">
        <v>41</v>
      </c>
      <c r="H3309" s="3" t="s">
        <v>138</v>
      </c>
      <c r="I3309" s="3" t="s">
        <v>4093</v>
      </c>
      <c r="J3309" s="3" t="s">
        <v>79</v>
      </c>
      <c r="K3309" s="3">
        <v>2</v>
      </c>
      <c r="L3309" s="3">
        <v>18942.04</v>
      </c>
      <c r="M3309" s="3">
        <v>37884.080000000002</v>
      </c>
      <c r="N3309" s="3">
        <v>28409.23</v>
      </c>
      <c r="O3309" s="3">
        <v>9474.85</v>
      </c>
      <c r="P3309" s="3" t="s">
        <v>45</v>
      </c>
    </row>
    <row r="3310" spans="1:16" x14ac:dyDescent="0.35">
      <c r="A3310" s="3" t="s">
        <v>4728</v>
      </c>
      <c r="B3310" s="3" t="s">
        <v>1216</v>
      </c>
      <c r="C3310" s="3" t="s">
        <v>114</v>
      </c>
      <c r="D3310" s="3" t="s">
        <v>90</v>
      </c>
      <c r="E3310" s="3" t="s">
        <v>119</v>
      </c>
      <c r="F3310" s="3" t="s">
        <v>120</v>
      </c>
      <c r="G3310" s="3" t="s">
        <v>30</v>
      </c>
      <c r="H3310" s="3" t="s">
        <v>67</v>
      </c>
      <c r="I3310" s="3" t="s">
        <v>3587</v>
      </c>
      <c r="J3310" s="3" t="s">
        <v>154</v>
      </c>
      <c r="K3310" s="3">
        <v>4</v>
      </c>
      <c r="L3310" s="3">
        <v>10290.67</v>
      </c>
      <c r="M3310" s="3">
        <v>41162.68</v>
      </c>
      <c r="N3310" s="3">
        <v>30081.73</v>
      </c>
      <c r="O3310" s="3">
        <v>11080.95</v>
      </c>
      <c r="P3310" s="3" t="s">
        <v>69</v>
      </c>
    </row>
    <row r="3311" spans="1:16" x14ac:dyDescent="0.35">
      <c r="A3311" s="3" t="s">
        <v>4729</v>
      </c>
      <c r="B3311" s="3" t="s">
        <v>274</v>
      </c>
      <c r="C3311" s="3" t="s">
        <v>57</v>
      </c>
      <c r="D3311" s="3" t="s">
        <v>90</v>
      </c>
      <c r="E3311" s="3" t="s">
        <v>91</v>
      </c>
      <c r="F3311" s="3" t="s">
        <v>92</v>
      </c>
      <c r="G3311" s="3" t="s">
        <v>41</v>
      </c>
      <c r="H3311" s="3" t="s">
        <v>138</v>
      </c>
      <c r="I3311" s="3" t="s">
        <v>1024</v>
      </c>
      <c r="J3311" s="3" t="s">
        <v>44</v>
      </c>
      <c r="K3311" s="3">
        <v>4</v>
      </c>
      <c r="L3311" s="3">
        <v>17593.009999999998</v>
      </c>
      <c r="M3311" s="3">
        <v>70372.039999999994</v>
      </c>
      <c r="N3311" s="3">
        <v>57590.27</v>
      </c>
      <c r="O3311" s="3">
        <v>12781.77</v>
      </c>
      <c r="P3311" s="3" t="s">
        <v>86</v>
      </c>
    </row>
    <row r="3312" spans="1:16" x14ac:dyDescent="0.35">
      <c r="A3312" s="3" t="s">
        <v>4730</v>
      </c>
      <c r="B3312" s="3" t="s">
        <v>1092</v>
      </c>
      <c r="C3312" s="3" t="s">
        <v>103</v>
      </c>
      <c r="D3312" s="3" t="s">
        <v>38</v>
      </c>
      <c r="E3312" s="3" t="s">
        <v>39</v>
      </c>
      <c r="F3312" s="3" t="s">
        <v>40</v>
      </c>
      <c r="G3312" s="3" t="s">
        <v>30</v>
      </c>
      <c r="H3312" s="3" t="s">
        <v>67</v>
      </c>
      <c r="I3312" s="3" t="s">
        <v>557</v>
      </c>
      <c r="J3312" s="3" t="s">
        <v>85</v>
      </c>
      <c r="K3312" s="3">
        <v>2</v>
      </c>
      <c r="L3312" s="3">
        <v>9182.9699999999993</v>
      </c>
      <c r="M3312" s="3">
        <v>18365.939999999999</v>
      </c>
      <c r="N3312" s="3">
        <v>15769.34</v>
      </c>
      <c r="O3312" s="3">
        <v>2596.6</v>
      </c>
      <c r="P3312" s="3" t="s">
        <v>26</v>
      </c>
    </row>
    <row r="3313" spans="1:16" x14ac:dyDescent="0.35">
      <c r="A3313" s="3" t="s">
        <v>4731</v>
      </c>
      <c r="B3313" s="3" t="s">
        <v>47</v>
      </c>
      <c r="C3313" s="3" t="s">
        <v>48</v>
      </c>
      <c r="D3313" s="3" t="s">
        <v>90</v>
      </c>
      <c r="E3313" s="3" t="s">
        <v>119</v>
      </c>
      <c r="F3313" s="3" t="s">
        <v>120</v>
      </c>
      <c r="G3313" s="3" t="s">
        <v>22</v>
      </c>
      <c r="H3313" s="3" t="s">
        <v>93</v>
      </c>
      <c r="I3313" s="3" t="s">
        <v>841</v>
      </c>
      <c r="J3313" s="3" t="s">
        <v>106</v>
      </c>
      <c r="K3313" s="3">
        <v>4</v>
      </c>
      <c r="L3313" s="3">
        <v>6920.04</v>
      </c>
      <c r="M3313" s="3">
        <v>27680.16</v>
      </c>
      <c r="N3313" s="3">
        <v>20491.82</v>
      </c>
      <c r="O3313" s="3">
        <v>7188.34</v>
      </c>
      <c r="P3313" s="3" t="s">
        <v>34</v>
      </c>
    </row>
    <row r="3314" spans="1:16" x14ac:dyDescent="0.35">
      <c r="A3314" s="3" t="s">
        <v>4732</v>
      </c>
      <c r="B3314" s="3" t="s">
        <v>1761</v>
      </c>
      <c r="C3314" s="3" t="s">
        <v>72</v>
      </c>
      <c r="D3314" s="3" t="s">
        <v>38</v>
      </c>
      <c r="E3314" s="3" t="s">
        <v>109</v>
      </c>
      <c r="F3314" s="3" t="s">
        <v>110</v>
      </c>
      <c r="G3314" s="3" t="s">
        <v>41</v>
      </c>
      <c r="H3314" s="3" t="s">
        <v>42</v>
      </c>
      <c r="I3314" s="3" t="s">
        <v>1222</v>
      </c>
      <c r="J3314" s="3" t="s">
        <v>25</v>
      </c>
      <c r="K3314" s="3">
        <v>8</v>
      </c>
      <c r="L3314" s="3">
        <v>47172.639999999999</v>
      </c>
      <c r="M3314" s="3">
        <v>377381.12</v>
      </c>
      <c r="N3314" s="3">
        <v>293966.99</v>
      </c>
      <c r="O3314" s="3">
        <v>83414.13</v>
      </c>
      <c r="P3314" s="3" t="s">
        <v>34</v>
      </c>
    </row>
    <row r="3315" spans="1:16" x14ac:dyDescent="0.35">
      <c r="A3315" s="3" t="s">
        <v>4733</v>
      </c>
      <c r="B3315" s="3" t="s">
        <v>1644</v>
      </c>
      <c r="C3315" s="3" t="s">
        <v>118</v>
      </c>
      <c r="D3315" s="3" t="s">
        <v>38</v>
      </c>
      <c r="E3315" s="3" t="s">
        <v>39</v>
      </c>
      <c r="F3315" s="3" t="s">
        <v>40</v>
      </c>
      <c r="G3315" s="3" t="s">
        <v>22</v>
      </c>
      <c r="H3315" s="3" t="s">
        <v>83</v>
      </c>
      <c r="I3315" s="3" t="s">
        <v>3234</v>
      </c>
      <c r="J3315" s="3" t="s">
        <v>44</v>
      </c>
      <c r="K3315" s="3">
        <v>6</v>
      </c>
      <c r="L3315" s="3">
        <v>23577.05</v>
      </c>
      <c r="M3315" s="3">
        <v>141462.29999999999</v>
      </c>
      <c r="N3315" s="3">
        <v>103603.78</v>
      </c>
      <c r="O3315" s="3">
        <v>37858.519999999997</v>
      </c>
      <c r="P3315" s="3" t="s">
        <v>86</v>
      </c>
    </row>
    <row r="3316" spans="1:16" x14ac:dyDescent="0.35">
      <c r="A3316" s="3" t="s">
        <v>4734</v>
      </c>
      <c r="B3316" s="3" t="s">
        <v>1136</v>
      </c>
      <c r="C3316" s="3" t="s">
        <v>118</v>
      </c>
      <c r="D3316" s="3" t="s">
        <v>58</v>
      </c>
      <c r="E3316" s="3" t="s">
        <v>176</v>
      </c>
      <c r="F3316" s="3" t="s">
        <v>177</v>
      </c>
      <c r="G3316" s="3" t="s">
        <v>22</v>
      </c>
      <c r="H3316" s="3" t="s">
        <v>83</v>
      </c>
      <c r="I3316" s="3" t="s">
        <v>1312</v>
      </c>
      <c r="J3316" s="3" t="s">
        <v>33</v>
      </c>
      <c r="K3316" s="3">
        <v>1</v>
      </c>
      <c r="L3316" s="3">
        <v>22374.75</v>
      </c>
      <c r="M3316" s="3">
        <v>22374.75</v>
      </c>
      <c r="N3316" s="3">
        <v>16809.03</v>
      </c>
      <c r="O3316" s="3">
        <v>5565.72</v>
      </c>
      <c r="P3316" s="3" t="s">
        <v>69</v>
      </c>
    </row>
    <row r="3317" spans="1:16" x14ac:dyDescent="0.35">
      <c r="A3317" s="3" t="s">
        <v>4735</v>
      </c>
      <c r="B3317" s="3" t="s">
        <v>2197</v>
      </c>
      <c r="C3317" s="3" t="s">
        <v>18</v>
      </c>
      <c r="D3317" s="3" t="s">
        <v>38</v>
      </c>
      <c r="E3317" s="3" t="s">
        <v>109</v>
      </c>
      <c r="F3317" s="3" t="s">
        <v>110</v>
      </c>
      <c r="G3317" s="3" t="s">
        <v>30</v>
      </c>
      <c r="H3317" s="3" t="s">
        <v>73</v>
      </c>
      <c r="I3317" s="3" t="s">
        <v>2178</v>
      </c>
      <c r="J3317" s="3" t="s">
        <v>54</v>
      </c>
      <c r="K3317" s="3">
        <v>8</v>
      </c>
      <c r="L3317" s="3">
        <v>3273.82</v>
      </c>
      <c r="M3317" s="3">
        <v>26190.560000000001</v>
      </c>
      <c r="N3317" s="3">
        <v>19638.11</v>
      </c>
      <c r="O3317" s="3">
        <v>6552.45</v>
      </c>
      <c r="P3317" s="3" t="s">
        <v>86</v>
      </c>
    </row>
    <row r="3318" spans="1:16" x14ac:dyDescent="0.35">
      <c r="A3318" s="3" t="s">
        <v>4736</v>
      </c>
      <c r="B3318" s="3" t="s">
        <v>1187</v>
      </c>
      <c r="C3318" s="3" t="s">
        <v>18</v>
      </c>
      <c r="D3318" s="3" t="s">
        <v>19</v>
      </c>
      <c r="E3318" s="3" t="s">
        <v>199</v>
      </c>
      <c r="F3318" s="3" t="s">
        <v>200</v>
      </c>
      <c r="G3318" s="3" t="s">
        <v>51</v>
      </c>
      <c r="H3318" s="3" t="s">
        <v>145</v>
      </c>
      <c r="I3318" s="3" t="s">
        <v>475</v>
      </c>
      <c r="J3318" s="3" t="s">
        <v>85</v>
      </c>
      <c r="K3318" s="3">
        <v>3</v>
      </c>
      <c r="L3318" s="3">
        <v>120.3</v>
      </c>
      <c r="M3318" s="3">
        <v>360.9</v>
      </c>
      <c r="N3318" s="3">
        <v>174.14</v>
      </c>
      <c r="O3318" s="3">
        <v>186.76</v>
      </c>
      <c r="P3318" s="3" t="s">
        <v>86</v>
      </c>
    </row>
    <row r="3319" spans="1:16" x14ac:dyDescent="0.35">
      <c r="A3319" s="3" t="s">
        <v>4737</v>
      </c>
      <c r="B3319" s="3" t="s">
        <v>468</v>
      </c>
      <c r="C3319" s="3" t="s">
        <v>82</v>
      </c>
      <c r="D3319" s="3" t="s">
        <v>19</v>
      </c>
      <c r="E3319" s="3" t="s">
        <v>20</v>
      </c>
      <c r="F3319" s="3" t="s">
        <v>21</v>
      </c>
      <c r="G3319" s="3" t="s">
        <v>51</v>
      </c>
      <c r="H3319" s="3" t="s">
        <v>77</v>
      </c>
      <c r="I3319" s="3" t="s">
        <v>1619</v>
      </c>
      <c r="J3319" s="3" t="s">
        <v>106</v>
      </c>
      <c r="K3319" s="3">
        <v>5</v>
      </c>
      <c r="L3319" s="3">
        <v>12476</v>
      </c>
      <c r="M3319" s="3">
        <v>62380</v>
      </c>
      <c r="N3319" s="3">
        <v>46971.360000000001</v>
      </c>
      <c r="O3319" s="3">
        <v>15408.64</v>
      </c>
      <c r="P3319" s="3" t="s">
        <v>69</v>
      </c>
    </row>
    <row r="3320" spans="1:16" x14ac:dyDescent="0.35">
      <c r="A3320" s="3" t="s">
        <v>4738</v>
      </c>
      <c r="B3320" s="3" t="s">
        <v>485</v>
      </c>
      <c r="C3320" s="3" t="s">
        <v>114</v>
      </c>
      <c r="D3320" s="3" t="s">
        <v>38</v>
      </c>
      <c r="E3320" s="3" t="s">
        <v>104</v>
      </c>
      <c r="F3320" s="3" t="s">
        <v>104</v>
      </c>
      <c r="G3320" s="3" t="s">
        <v>22</v>
      </c>
      <c r="H3320" s="3" t="s">
        <v>93</v>
      </c>
      <c r="I3320" s="3" t="s">
        <v>481</v>
      </c>
      <c r="J3320" s="3" t="s">
        <v>171</v>
      </c>
      <c r="K3320" s="3">
        <v>6</v>
      </c>
      <c r="L3320" s="3">
        <v>7296.47</v>
      </c>
      <c r="M3320" s="3">
        <v>43778.82</v>
      </c>
      <c r="N3320" s="3">
        <v>31489.91</v>
      </c>
      <c r="O3320" s="3">
        <v>12288.91</v>
      </c>
      <c r="P3320" s="3" t="s">
        <v>86</v>
      </c>
    </row>
    <row r="3321" spans="1:16" x14ac:dyDescent="0.35">
      <c r="A3321" s="3" t="s">
        <v>4739</v>
      </c>
      <c r="B3321" s="3" t="s">
        <v>367</v>
      </c>
      <c r="C3321" s="3" t="s">
        <v>29</v>
      </c>
      <c r="D3321" s="3" t="s">
        <v>19</v>
      </c>
      <c r="E3321" s="3" t="s">
        <v>49</v>
      </c>
      <c r="F3321" s="3" t="s">
        <v>50</v>
      </c>
      <c r="G3321" s="3" t="s">
        <v>51</v>
      </c>
      <c r="H3321" s="3" t="s">
        <v>77</v>
      </c>
      <c r="I3321" s="3" t="s">
        <v>2329</v>
      </c>
      <c r="J3321" s="3" t="s">
        <v>33</v>
      </c>
      <c r="K3321" s="3">
        <v>2</v>
      </c>
      <c r="L3321" s="3">
        <v>12009.68</v>
      </c>
      <c r="M3321" s="3">
        <v>24019.360000000001</v>
      </c>
      <c r="N3321" s="3">
        <v>18745.849999999999</v>
      </c>
      <c r="O3321" s="3">
        <v>5273.51</v>
      </c>
      <c r="P3321" s="3" t="s">
        <v>86</v>
      </c>
    </row>
    <row r="3322" spans="1:16" x14ac:dyDescent="0.35">
      <c r="A3322" s="3" t="s">
        <v>4740</v>
      </c>
      <c r="B3322" s="3" t="s">
        <v>257</v>
      </c>
      <c r="C3322" s="3" t="s">
        <v>72</v>
      </c>
      <c r="D3322" s="3" t="s">
        <v>58</v>
      </c>
      <c r="E3322" s="3" t="s">
        <v>59</v>
      </c>
      <c r="F3322" s="3" t="s">
        <v>60</v>
      </c>
      <c r="G3322" s="3" t="s">
        <v>30</v>
      </c>
      <c r="H3322" s="3" t="s">
        <v>67</v>
      </c>
      <c r="I3322" s="3" t="s">
        <v>2215</v>
      </c>
      <c r="J3322" s="3" t="s">
        <v>33</v>
      </c>
      <c r="K3322" s="3">
        <v>2</v>
      </c>
      <c r="L3322" s="3">
        <v>9075.83</v>
      </c>
      <c r="M3322" s="3">
        <v>18151.66</v>
      </c>
      <c r="N3322" s="3">
        <v>15522.9</v>
      </c>
      <c r="O3322" s="3">
        <v>2628.76</v>
      </c>
      <c r="P3322" s="3" t="s">
        <v>34</v>
      </c>
    </row>
    <row r="3323" spans="1:16" x14ac:dyDescent="0.35">
      <c r="A3323" s="3" t="s">
        <v>4741</v>
      </c>
      <c r="B3323" s="3" t="s">
        <v>136</v>
      </c>
      <c r="C3323" s="3" t="s">
        <v>137</v>
      </c>
      <c r="D3323" s="3" t="s">
        <v>38</v>
      </c>
      <c r="E3323" s="3" t="s">
        <v>104</v>
      </c>
      <c r="F3323" s="3" t="s">
        <v>104</v>
      </c>
      <c r="G3323" s="3" t="s">
        <v>51</v>
      </c>
      <c r="H3323" s="3" t="s">
        <v>52</v>
      </c>
      <c r="I3323" s="3" t="s">
        <v>1093</v>
      </c>
      <c r="J3323" s="3" t="s">
        <v>188</v>
      </c>
      <c r="K3323" s="3">
        <v>2</v>
      </c>
      <c r="L3323" s="3">
        <v>22.97</v>
      </c>
      <c r="M3323" s="3">
        <v>45.94</v>
      </c>
      <c r="N3323" s="3">
        <v>20.99</v>
      </c>
      <c r="O3323" s="3">
        <v>24.95</v>
      </c>
      <c r="P3323" s="3" t="s">
        <v>34</v>
      </c>
    </row>
    <row r="3324" spans="1:16" x14ac:dyDescent="0.35">
      <c r="A3324" s="3" t="s">
        <v>4742</v>
      </c>
      <c r="B3324" s="3" t="s">
        <v>1858</v>
      </c>
      <c r="C3324" s="3" t="s">
        <v>89</v>
      </c>
      <c r="D3324" s="3" t="s">
        <v>90</v>
      </c>
      <c r="E3324" s="3" t="s">
        <v>97</v>
      </c>
      <c r="F3324" s="3" t="s">
        <v>98</v>
      </c>
      <c r="G3324" s="3" t="s">
        <v>22</v>
      </c>
      <c r="H3324" s="3" t="s">
        <v>23</v>
      </c>
      <c r="I3324" s="3" t="s">
        <v>4597</v>
      </c>
      <c r="J3324" s="3" t="s">
        <v>171</v>
      </c>
      <c r="K3324" s="3">
        <v>2</v>
      </c>
      <c r="L3324" s="3">
        <v>3212.35</v>
      </c>
      <c r="M3324" s="3">
        <v>6424.7</v>
      </c>
      <c r="N3324" s="3">
        <v>4188.92</v>
      </c>
      <c r="O3324" s="3">
        <v>2235.7800000000002</v>
      </c>
      <c r="P3324" s="3" t="s">
        <v>26</v>
      </c>
    </row>
    <row r="3325" spans="1:16" x14ac:dyDescent="0.35">
      <c r="A3325" s="3" t="s">
        <v>4743</v>
      </c>
      <c r="B3325" s="3" t="s">
        <v>802</v>
      </c>
      <c r="C3325" s="3" t="s">
        <v>118</v>
      </c>
      <c r="D3325" s="3" t="s">
        <v>19</v>
      </c>
      <c r="E3325" s="3" t="s">
        <v>49</v>
      </c>
      <c r="F3325" s="3" t="s">
        <v>50</v>
      </c>
      <c r="G3325" s="3" t="s">
        <v>51</v>
      </c>
      <c r="H3325" s="3" t="s">
        <v>145</v>
      </c>
      <c r="I3325" s="3" t="s">
        <v>2743</v>
      </c>
      <c r="J3325" s="3" t="s">
        <v>161</v>
      </c>
      <c r="K3325" s="3">
        <v>1</v>
      </c>
      <c r="L3325" s="3">
        <v>124.8</v>
      </c>
      <c r="M3325" s="3">
        <v>124.8</v>
      </c>
      <c r="N3325" s="3">
        <v>60.9</v>
      </c>
      <c r="O3325" s="3">
        <v>63.9</v>
      </c>
      <c r="P3325" s="3" t="s">
        <v>34</v>
      </c>
    </row>
    <row r="3326" spans="1:16" x14ac:dyDescent="0.35">
      <c r="A3326" s="3" t="s">
        <v>4744</v>
      </c>
      <c r="B3326" s="3" t="s">
        <v>636</v>
      </c>
      <c r="C3326" s="3" t="s">
        <v>57</v>
      </c>
      <c r="D3326" s="3" t="s">
        <v>19</v>
      </c>
      <c r="E3326" s="3" t="s">
        <v>20</v>
      </c>
      <c r="F3326" s="3" t="s">
        <v>21</v>
      </c>
      <c r="G3326" s="3" t="s">
        <v>51</v>
      </c>
      <c r="H3326" s="3" t="s">
        <v>145</v>
      </c>
      <c r="I3326" s="3" t="s">
        <v>1015</v>
      </c>
      <c r="J3326" s="3" t="s">
        <v>154</v>
      </c>
      <c r="K3326" s="3">
        <v>2</v>
      </c>
      <c r="L3326" s="3">
        <v>129.09</v>
      </c>
      <c r="M3326" s="3">
        <v>258.18</v>
      </c>
      <c r="N3326" s="3">
        <v>120.67</v>
      </c>
      <c r="O3326" s="3">
        <v>137.51</v>
      </c>
      <c r="P3326" s="3" t="s">
        <v>34</v>
      </c>
    </row>
    <row r="3327" spans="1:16" x14ac:dyDescent="0.35">
      <c r="A3327" s="3" t="s">
        <v>4745</v>
      </c>
      <c r="B3327" s="3" t="s">
        <v>921</v>
      </c>
      <c r="C3327" s="3" t="s">
        <v>103</v>
      </c>
      <c r="D3327" s="3" t="s">
        <v>90</v>
      </c>
      <c r="E3327" s="3" t="s">
        <v>119</v>
      </c>
      <c r="F3327" s="3" t="s">
        <v>120</v>
      </c>
      <c r="G3327" s="3" t="s">
        <v>51</v>
      </c>
      <c r="H3327" s="3" t="s">
        <v>145</v>
      </c>
      <c r="I3327" s="3" t="s">
        <v>469</v>
      </c>
      <c r="J3327" s="3" t="s">
        <v>100</v>
      </c>
      <c r="K3327" s="3">
        <v>3</v>
      </c>
      <c r="L3327" s="3">
        <v>128</v>
      </c>
      <c r="M3327" s="3">
        <v>384</v>
      </c>
      <c r="N3327" s="3">
        <v>188.27</v>
      </c>
      <c r="O3327" s="3">
        <v>195.73</v>
      </c>
      <c r="P3327" s="3" t="s">
        <v>26</v>
      </c>
    </row>
    <row r="3328" spans="1:16" x14ac:dyDescent="0.35">
      <c r="A3328" s="3" t="s">
        <v>4746</v>
      </c>
      <c r="B3328" s="3" t="s">
        <v>452</v>
      </c>
      <c r="C3328" s="3" t="s">
        <v>114</v>
      </c>
      <c r="D3328" s="3" t="s">
        <v>90</v>
      </c>
      <c r="E3328" s="3" t="s">
        <v>91</v>
      </c>
      <c r="F3328" s="3" t="s">
        <v>92</v>
      </c>
      <c r="G3328" s="3" t="s">
        <v>22</v>
      </c>
      <c r="H3328" s="3" t="s">
        <v>83</v>
      </c>
      <c r="I3328" s="3" t="s">
        <v>210</v>
      </c>
      <c r="J3328" s="3" t="s">
        <v>147</v>
      </c>
      <c r="K3328" s="3">
        <v>8</v>
      </c>
      <c r="L3328" s="3">
        <v>23852.05</v>
      </c>
      <c r="M3328" s="3">
        <v>190816.4</v>
      </c>
      <c r="N3328" s="3">
        <v>139523.24</v>
      </c>
      <c r="O3328" s="3">
        <v>51293.16</v>
      </c>
      <c r="P3328" s="3" t="s">
        <v>86</v>
      </c>
    </row>
    <row r="3329" spans="1:16" x14ac:dyDescent="0.35">
      <c r="A3329" s="3" t="s">
        <v>4747</v>
      </c>
      <c r="B3329" s="3" t="s">
        <v>285</v>
      </c>
      <c r="C3329" s="3" t="s">
        <v>18</v>
      </c>
      <c r="D3329" s="3" t="s">
        <v>38</v>
      </c>
      <c r="E3329" s="3" t="s">
        <v>109</v>
      </c>
      <c r="F3329" s="3" t="s">
        <v>110</v>
      </c>
      <c r="G3329" s="3" t="s">
        <v>22</v>
      </c>
      <c r="H3329" s="3" t="s">
        <v>23</v>
      </c>
      <c r="I3329" s="3" t="s">
        <v>1679</v>
      </c>
      <c r="J3329" s="3" t="s">
        <v>44</v>
      </c>
      <c r="K3329" s="3">
        <v>4</v>
      </c>
      <c r="L3329" s="3">
        <v>3675.56</v>
      </c>
      <c r="M3329" s="3">
        <v>14702.24</v>
      </c>
      <c r="N3329" s="3">
        <v>8505.01</v>
      </c>
      <c r="O3329" s="3">
        <v>6197.23</v>
      </c>
      <c r="P3329" s="3" t="s">
        <v>86</v>
      </c>
    </row>
    <row r="3330" spans="1:16" x14ac:dyDescent="0.35">
      <c r="A3330" s="3" t="s">
        <v>4748</v>
      </c>
      <c r="B3330" s="3" t="s">
        <v>133</v>
      </c>
      <c r="C3330" s="3" t="s">
        <v>18</v>
      </c>
      <c r="D3330" s="3" t="s">
        <v>19</v>
      </c>
      <c r="E3330" s="3" t="s">
        <v>199</v>
      </c>
      <c r="F3330" s="3" t="s">
        <v>200</v>
      </c>
      <c r="G3330" s="3" t="s">
        <v>51</v>
      </c>
      <c r="H3330" s="3" t="s">
        <v>145</v>
      </c>
      <c r="I3330" s="3" t="s">
        <v>1773</v>
      </c>
      <c r="J3330" s="3" t="s">
        <v>85</v>
      </c>
      <c r="K3330" s="3">
        <v>1</v>
      </c>
      <c r="L3330" s="3">
        <v>112.21</v>
      </c>
      <c r="M3330" s="3">
        <v>112.21</v>
      </c>
      <c r="N3330" s="3">
        <v>57.44</v>
      </c>
      <c r="O3330" s="3">
        <v>54.77</v>
      </c>
      <c r="P3330" s="3" t="s">
        <v>69</v>
      </c>
    </row>
    <row r="3331" spans="1:16" x14ac:dyDescent="0.35">
      <c r="A3331" s="3" t="s">
        <v>4749</v>
      </c>
      <c r="B3331" s="3" t="s">
        <v>893</v>
      </c>
      <c r="C3331" s="3" t="s">
        <v>89</v>
      </c>
      <c r="D3331" s="3" t="s">
        <v>19</v>
      </c>
      <c r="E3331" s="3" t="s">
        <v>199</v>
      </c>
      <c r="F3331" s="3" t="s">
        <v>200</v>
      </c>
      <c r="G3331" s="3" t="s">
        <v>51</v>
      </c>
      <c r="H3331" s="3" t="s">
        <v>52</v>
      </c>
      <c r="I3331" s="3" t="s">
        <v>2286</v>
      </c>
      <c r="J3331" s="3" t="s">
        <v>217</v>
      </c>
      <c r="K3331" s="3">
        <v>3</v>
      </c>
      <c r="L3331" s="3">
        <v>27.38</v>
      </c>
      <c r="M3331" s="3">
        <v>82.14</v>
      </c>
      <c r="N3331" s="3">
        <v>31.13</v>
      </c>
      <c r="O3331" s="3">
        <v>51.01</v>
      </c>
      <c r="P3331" s="3" t="s">
        <v>26</v>
      </c>
    </row>
    <row r="3332" spans="1:16" x14ac:dyDescent="0.35">
      <c r="A3332" s="3" t="s">
        <v>4750</v>
      </c>
      <c r="B3332" s="3" t="s">
        <v>1727</v>
      </c>
      <c r="C3332" s="3" t="s">
        <v>89</v>
      </c>
      <c r="D3332" s="3" t="s">
        <v>58</v>
      </c>
      <c r="E3332" s="3" t="s">
        <v>59</v>
      </c>
      <c r="F3332" s="3" t="s">
        <v>60</v>
      </c>
      <c r="G3332" s="3" t="s">
        <v>51</v>
      </c>
      <c r="H3332" s="3" t="s">
        <v>145</v>
      </c>
      <c r="I3332" s="3" t="s">
        <v>3485</v>
      </c>
      <c r="J3332" s="3" t="s">
        <v>25</v>
      </c>
      <c r="K3332" s="3">
        <v>3</v>
      </c>
      <c r="L3332" s="3">
        <v>108.62</v>
      </c>
      <c r="M3332" s="3">
        <v>325.86</v>
      </c>
      <c r="N3332" s="3">
        <v>188.26</v>
      </c>
      <c r="O3332" s="3">
        <v>137.6</v>
      </c>
      <c r="P3332" s="3" t="s">
        <v>34</v>
      </c>
    </row>
    <row r="3333" spans="1:16" x14ac:dyDescent="0.35">
      <c r="A3333" s="3" t="s">
        <v>4751</v>
      </c>
      <c r="B3333" s="3" t="s">
        <v>941</v>
      </c>
      <c r="C3333" s="3" t="s">
        <v>118</v>
      </c>
      <c r="D3333" s="3" t="s">
        <v>58</v>
      </c>
      <c r="E3333" s="3" t="s">
        <v>176</v>
      </c>
      <c r="F3333" s="3" t="s">
        <v>177</v>
      </c>
      <c r="G3333" s="3" t="s">
        <v>30</v>
      </c>
      <c r="H3333" s="3" t="s">
        <v>73</v>
      </c>
      <c r="I3333" s="3" t="s">
        <v>342</v>
      </c>
      <c r="J3333" s="3" t="s">
        <v>171</v>
      </c>
      <c r="K3333" s="3">
        <v>4</v>
      </c>
      <c r="L3333" s="3">
        <v>2921.93</v>
      </c>
      <c r="M3333" s="3">
        <v>11687.72</v>
      </c>
      <c r="N3333" s="3">
        <v>10049.39</v>
      </c>
      <c r="O3333" s="3">
        <v>1638.33</v>
      </c>
      <c r="P3333" s="3" t="s">
        <v>45</v>
      </c>
    </row>
    <row r="3334" spans="1:16" x14ac:dyDescent="0.35">
      <c r="A3334" s="3" t="s">
        <v>4752</v>
      </c>
      <c r="B3334" s="3" t="s">
        <v>795</v>
      </c>
      <c r="C3334" s="3" t="s">
        <v>82</v>
      </c>
      <c r="D3334" s="3" t="s">
        <v>90</v>
      </c>
      <c r="E3334" s="3" t="s">
        <v>91</v>
      </c>
      <c r="F3334" s="3" t="s">
        <v>92</v>
      </c>
      <c r="G3334" s="3" t="s">
        <v>41</v>
      </c>
      <c r="H3334" s="3" t="s">
        <v>61</v>
      </c>
      <c r="I3334" s="3" t="s">
        <v>2804</v>
      </c>
      <c r="J3334" s="3" t="s">
        <v>106</v>
      </c>
      <c r="K3334" s="3">
        <v>6</v>
      </c>
      <c r="L3334" s="3">
        <v>2684.5</v>
      </c>
      <c r="M3334" s="3">
        <v>16107</v>
      </c>
      <c r="N3334" s="3">
        <v>9547.2999999999993</v>
      </c>
      <c r="O3334" s="3">
        <v>6559.7</v>
      </c>
      <c r="P3334" s="3" t="s">
        <v>34</v>
      </c>
    </row>
    <row r="3335" spans="1:16" x14ac:dyDescent="0.35">
      <c r="A3335" s="3" t="s">
        <v>4753</v>
      </c>
      <c r="B3335" s="3" t="s">
        <v>612</v>
      </c>
      <c r="C3335" s="3" t="s">
        <v>57</v>
      </c>
      <c r="D3335" s="3" t="s">
        <v>19</v>
      </c>
      <c r="E3335" s="3" t="s">
        <v>20</v>
      </c>
      <c r="F3335" s="3" t="s">
        <v>21</v>
      </c>
      <c r="G3335" s="3" t="s">
        <v>41</v>
      </c>
      <c r="H3335" s="3" t="s">
        <v>42</v>
      </c>
      <c r="I3335" s="3" t="s">
        <v>919</v>
      </c>
      <c r="J3335" s="3" t="s">
        <v>161</v>
      </c>
      <c r="K3335" s="3">
        <v>2</v>
      </c>
      <c r="L3335" s="3">
        <v>46431.77</v>
      </c>
      <c r="M3335" s="3">
        <v>92863.54</v>
      </c>
      <c r="N3335" s="3">
        <v>71166.31</v>
      </c>
      <c r="O3335" s="3">
        <v>21697.23</v>
      </c>
      <c r="P3335" s="3" t="s">
        <v>26</v>
      </c>
    </row>
    <row r="3336" spans="1:16" x14ac:dyDescent="0.35">
      <c r="A3336" s="3" t="s">
        <v>4754</v>
      </c>
      <c r="B3336" s="3" t="s">
        <v>1427</v>
      </c>
      <c r="C3336" s="3" t="s">
        <v>29</v>
      </c>
      <c r="D3336" s="3" t="s">
        <v>19</v>
      </c>
      <c r="E3336" s="3" t="s">
        <v>199</v>
      </c>
      <c r="F3336" s="3" t="s">
        <v>200</v>
      </c>
      <c r="G3336" s="3" t="s">
        <v>41</v>
      </c>
      <c r="H3336" s="3" t="s">
        <v>42</v>
      </c>
      <c r="I3336" s="3" t="s">
        <v>3587</v>
      </c>
      <c r="J3336" s="3" t="s">
        <v>106</v>
      </c>
      <c r="K3336" s="3">
        <v>7</v>
      </c>
      <c r="L3336" s="3">
        <v>46714.18</v>
      </c>
      <c r="M3336" s="3">
        <v>326999.26</v>
      </c>
      <c r="N3336" s="3">
        <v>236604.31</v>
      </c>
      <c r="O3336" s="3">
        <v>90394.95</v>
      </c>
      <c r="P3336" s="3" t="s">
        <v>45</v>
      </c>
    </row>
    <row r="3337" spans="1:16" x14ac:dyDescent="0.35">
      <c r="A3337" s="3" t="s">
        <v>4755</v>
      </c>
      <c r="B3337" s="3" t="s">
        <v>883</v>
      </c>
      <c r="C3337" s="3" t="s">
        <v>37</v>
      </c>
      <c r="D3337" s="3" t="s">
        <v>58</v>
      </c>
      <c r="E3337" s="3" t="s">
        <v>59</v>
      </c>
      <c r="F3337" s="3" t="s">
        <v>60</v>
      </c>
      <c r="G3337" s="3" t="s">
        <v>51</v>
      </c>
      <c r="H3337" s="3" t="s">
        <v>77</v>
      </c>
      <c r="I3337" s="3" t="s">
        <v>1640</v>
      </c>
      <c r="J3337" s="3" t="s">
        <v>79</v>
      </c>
      <c r="K3337" s="3">
        <v>7</v>
      </c>
      <c r="L3337" s="3">
        <v>12851.77</v>
      </c>
      <c r="M3337" s="3">
        <v>89962.39</v>
      </c>
      <c r="N3337" s="3">
        <v>60365.14</v>
      </c>
      <c r="O3337" s="3">
        <v>29597.25</v>
      </c>
      <c r="P3337" s="3" t="s">
        <v>69</v>
      </c>
    </row>
    <row r="3338" spans="1:16" x14ac:dyDescent="0.35">
      <c r="A3338" s="3" t="s">
        <v>4756</v>
      </c>
      <c r="B3338" s="3" t="s">
        <v>327</v>
      </c>
      <c r="C3338" s="3" t="s">
        <v>48</v>
      </c>
      <c r="D3338" s="3" t="s">
        <v>38</v>
      </c>
      <c r="E3338" s="3" t="s">
        <v>104</v>
      </c>
      <c r="F3338" s="3" t="s">
        <v>104</v>
      </c>
      <c r="G3338" s="3" t="s">
        <v>41</v>
      </c>
      <c r="H3338" s="3" t="s">
        <v>42</v>
      </c>
      <c r="I3338" s="3" t="s">
        <v>4757</v>
      </c>
      <c r="J3338" s="3" t="s">
        <v>106</v>
      </c>
      <c r="K3338" s="3">
        <v>3</v>
      </c>
      <c r="L3338" s="3">
        <v>40890.5</v>
      </c>
      <c r="M3338" s="3">
        <v>122671.5</v>
      </c>
      <c r="N3338" s="3">
        <v>104724.55</v>
      </c>
      <c r="O3338" s="3">
        <v>17946.95</v>
      </c>
      <c r="P3338" s="3" t="s">
        <v>69</v>
      </c>
    </row>
    <row r="3339" spans="1:16" x14ac:dyDescent="0.35">
      <c r="A3339" s="3" t="s">
        <v>4758</v>
      </c>
      <c r="B3339" s="3" t="s">
        <v>291</v>
      </c>
      <c r="C3339" s="3" t="s">
        <v>48</v>
      </c>
      <c r="D3339" s="3" t="s">
        <v>58</v>
      </c>
      <c r="E3339" s="3" t="s">
        <v>65</v>
      </c>
      <c r="F3339" s="3" t="s">
        <v>66</v>
      </c>
      <c r="G3339" s="3" t="s">
        <v>30</v>
      </c>
      <c r="H3339" s="3" t="s">
        <v>73</v>
      </c>
      <c r="I3339" s="3" t="s">
        <v>2420</v>
      </c>
      <c r="J3339" s="3" t="s">
        <v>161</v>
      </c>
      <c r="K3339" s="3">
        <v>1</v>
      </c>
      <c r="L3339" s="3">
        <v>3477.03</v>
      </c>
      <c r="M3339" s="3">
        <v>3477.03</v>
      </c>
      <c r="N3339" s="3">
        <v>2436.0100000000002</v>
      </c>
      <c r="O3339" s="3">
        <v>1041.02</v>
      </c>
      <c r="P3339" s="3" t="s">
        <v>86</v>
      </c>
    </row>
    <row r="3340" spans="1:16" x14ac:dyDescent="0.35">
      <c r="A3340" s="3" t="s">
        <v>4759</v>
      </c>
      <c r="B3340" s="3" t="s">
        <v>2969</v>
      </c>
      <c r="C3340" s="3" t="s">
        <v>137</v>
      </c>
      <c r="D3340" s="3" t="s">
        <v>19</v>
      </c>
      <c r="E3340" s="3" t="s">
        <v>49</v>
      </c>
      <c r="F3340" s="3" t="s">
        <v>50</v>
      </c>
      <c r="G3340" s="3" t="s">
        <v>30</v>
      </c>
      <c r="H3340" s="3" t="s">
        <v>67</v>
      </c>
      <c r="I3340" s="3" t="s">
        <v>313</v>
      </c>
      <c r="J3340" s="3" t="s">
        <v>188</v>
      </c>
      <c r="K3340" s="3">
        <v>5</v>
      </c>
      <c r="L3340" s="3">
        <v>9775.76</v>
      </c>
      <c r="M3340" s="3">
        <v>48878.8</v>
      </c>
      <c r="N3340" s="3">
        <v>37875.019999999997</v>
      </c>
      <c r="O3340" s="3">
        <v>11003.78</v>
      </c>
      <c r="P3340" s="3" t="s">
        <v>86</v>
      </c>
    </row>
    <row r="3341" spans="1:16" x14ac:dyDescent="0.35">
      <c r="A3341" s="3" t="s">
        <v>4760</v>
      </c>
      <c r="B3341" s="3" t="s">
        <v>565</v>
      </c>
      <c r="C3341" s="3" t="s">
        <v>137</v>
      </c>
      <c r="D3341" s="3" t="s">
        <v>90</v>
      </c>
      <c r="E3341" s="3" t="s">
        <v>119</v>
      </c>
      <c r="F3341" s="3" t="s">
        <v>120</v>
      </c>
      <c r="G3341" s="3" t="s">
        <v>41</v>
      </c>
      <c r="H3341" s="3" t="s">
        <v>42</v>
      </c>
      <c r="I3341" s="3" t="s">
        <v>3051</v>
      </c>
      <c r="J3341" s="3" t="s">
        <v>54</v>
      </c>
      <c r="K3341" s="3">
        <v>4</v>
      </c>
      <c r="L3341" s="3">
        <v>44571.26</v>
      </c>
      <c r="M3341" s="3">
        <v>178285.04</v>
      </c>
      <c r="N3341" s="3">
        <v>146828.26</v>
      </c>
      <c r="O3341" s="3">
        <v>31456.78</v>
      </c>
      <c r="P3341" s="3" t="s">
        <v>86</v>
      </c>
    </row>
    <row r="3342" spans="1:16" x14ac:dyDescent="0.35">
      <c r="A3342" s="3" t="s">
        <v>4761</v>
      </c>
      <c r="B3342" s="3" t="s">
        <v>1226</v>
      </c>
      <c r="C3342" s="3" t="s">
        <v>29</v>
      </c>
      <c r="D3342" s="3" t="s">
        <v>19</v>
      </c>
      <c r="E3342" s="3" t="s">
        <v>199</v>
      </c>
      <c r="F3342" s="3" t="s">
        <v>200</v>
      </c>
      <c r="G3342" s="3" t="s">
        <v>30</v>
      </c>
      <c r="H3342" s="3" t="s">
        <v>67</v>
      </c>
      <c r="I3342" s="3" t="s">
        <v>4762</v>
      </c>
      <c r="J3342" s="3" t="s">
        <v>33</v>
      </c>
      <c r="K3342" s="3">
        <v>1</v>
      </c>
      <c r="L3342" s="3">
        <v>10268.51</v>
      </c>
      <c r="M3342" s="3">
        <v>10268.51</v>
      </c>
      <c r="N3342" s="3">
        <v>7584.24</v>
      </c>
      <c r="O3342" s="3">
        <v>2684.27</v>
      </c>
      <c r="P3342" s="3" t="s">
        <v>34</v>
      </c>
    </row>
    <row r="3343" spans="1:16" x14ac:dyDescent="0.35">
      <c r="A3343" s="3" t="s">
        <v>4763</v>
      </c>
      <c r="B3343" s="3" t="s">
        <v>230</v>
      </c>
      <c r="C3343" s="3" t="s">
        <v>118</v>
      </c>
      <c r="D3343" s="3" t="s">
        <v>38</v>
      </c>
      <c r="E3343" s="3" t="s">
        <v>104</v>
      </c>
      <c r="F3343" s="3" t="s">
        <v>104</v>
      </c>
      <c r="G3343" s="3" t="s">
        <v>22</v>
      </c>
      <c r="H3343" s="3" t="s">
        <v>93</v>
      </c>
      <c r="I3343" s="3" t="s">
        <v>1817</v>
      </c>
      <c r="J3343" s="3" t="s">
        <v>33</v>
      </c>
      <c r="K3343" s="3">
        <v>1</v>
      </c>
      <c r="L3343" s="3">
        <v>7133.38</v>
      </c>
      <c r="M3343" s="3">
        <v>7133.38</v>
      </c>
      <c r="N3343" s="3">
        <v>5014.1499999999996</v>
      </c>
      <c r="O3343" s="3">
        <v>2119.23</v>
      </c>
      <c r="P3343" s="3" t="s">
        <v>86</v>
      </c>
    </row>
    <row r="3344" spans="1:16" x14ac:dyDescent="0.35">
      <c r="A3344" s="3" t="s">
        <v>4764</v>
      </c>
      <c r="B3344" s="3" t="s">
        <v>1755</v>
      </c>
      <c r="C3344" s="3" t="s">
        <v>57</v>
      </c>
      <c r="D3344" s="3" t="s">
        <v>90</v>
      </c>
      <c r="E3344" s="3" t="s">
        <v>119</v>
      </c>
      <c r="F3344" s="3" t="s">
        <v>120</v>
      </c>
      <c r="G3344" s="3" t="s">
        <v>41</v>
      </c>
      <c r="H3344" s="3" t="s">
        <v>42</v>
      </c>
      <c r="I3344" s="3" t="s">
        <v>1512</v>
      </c>
      <c r="J3344" s="3" t="s">
        <v>79</v>
      </c>
      <c r="K3344" s="3">
        <v>1</v>
      </c>
      <c r="L3344" s="3">
        <v>42573.97</v>
      </c>
      <c r="M3344" s="3">
        <v>42573.97</v>
      </c>
      <c r="N3344" s="3">
        <v>33667.019999999997</v>
      </c>
      <c r="O3344" s="3">
        <v>8906.9500000000007</v>
      </c>
      <c r="P3344" s="3" t="s">
        <v>69</v>
      </c>
    </row>
    <row r="3345" spans="1:16" x14ac:dyDescent="0.35">
      <c r="A3345" s="3" t="s">
        <v>4765</v>
      </c>
      <c r="B3345" s="3" t="s">
        <v>351</v>
      </c>
      <c r="C3345" s="3" t="s">
        <v>114</v>
      </c>
      <c r="D3345" s="3" t="s">
        <v>58</v>
      </c>
      <c r="E3345" s="3" t="s">
        <v>59</v>
      </c>
      <c r="F3345" s="3" t="s">
        <v>60</v>
      </c>
      <c r="G3345" s="3" t="s">
        <v>41</v>
      </c>
      <c r="H3345" s="3" t="s">
        <v>61</v>
      </c>
      <c r="I3345" s="3" t="s">
        <v>1381</v>
      </c>
      <c r="J3345" s="3" t="s">
        <v>106</v>
      </c>
      <c r="K3345" s="3">
        <v>8</v>
      </c>
      <c r="L3345" s="3">
        <v>2709.09</v>
      </c>
      <c r="M3345" s="3">
        <v>21672.720000000001</v>
      </c>
      <c r="N3345" s="3">
        <v>12160.79</v>
      </c>
      <c r="O3345" s="3">
        <v>9511.93</v>
      </c>
      <c r="P3345" s="3" t="s">
        <v>45</v>
      </c>
    </row>
    <row r="3346" spans="1:16" x14ac:dyDescent="0.35">
      <c r="A3346" s="3" t="s">
        <v>4766</v>
      </c>
      <c r="B3346" s="3" t="s">
        <v>547</v>
      </c>
      <c r="C3346" s="3" t="s">
        <v>89</v>
      </c>
      <c r="D3346" s="3" t="s">
        <v>58</v>
      </c>
      <c r="E3346" s="3" t="s">
        <v>59</v>
      </c>
      <c r="F3346" s="3" t="s">
        <v>60</v>
      </c>
      <c r="G3346" s="3" t="s">
        <v>41</v>
      </c>
      <c r="H3346" s="3" t="s">
        <v>138</v>
      </c>
      <c r="I3346" s="3" t="s">
        <v>3260</v>
      </c>
      <c r="J3346" s="3" t="s">
        <v>154</v>
      </c>
      <c r="K3346" s="3">
        <v>7</v>
      </c>
      <c r="L3346" s="3">
        <v>17369.75</v>
      </c>
      <c r="M3346" s="3">
        <v>121588.25</v>
      </c>
      <c r="N3346" s="3">
        <v>94006.11</v>
      </c>
      <c r="O3346" s="3">
        <v>27582.14</v>
      </c>
      <c r="P3346" s="3" t="s">
        <v>34</v>
      </c>
    </row>
    <row r="3347" spans="1:16" x14ac:dyDescent="0.35">
      <c r="A3347" s="3" t="s">
        <v>4767</v>
      </c>
      <c r="B3347" s="3" t="s">
        <v>367</v>
      </c>
      <c r="C3347" s="3" t="s">
        <v>29</v>
      </c>
      <c r="D3347" s="3" t="s">
        <v>38</v>
      </c>
      <c r="E3347" s="3" t="s">
        <v>109</v>
      </c>
      <c r="F3347" s="3" t="s">
        <v>110</v>
      </c>
      <c r="G3347" s="3" t="s">
        <v>22</v>
      </c>
      <c r="H3347" s="3" t="s">
        <v>93</v>
      </c>
      <c r="I3347" s="3" t="s">
        <v>269</v>
      </c>
      <c r="J3347" s="3" t="s">
        <v>171</v>
      </c>
      <c r="K3347" s="3">
        <v>6</v>
      </c>
      <c r="L3347" s="3">
        <v>7077.02</v>
      </c>
      <c r="M3347" s="3">
        <v>42462.12</v>
      </c>
      <c r="N3347" s="3">
        <v>30487.69</v>
      </c>
      <c r="O3347" s="3">
        <v>11974.43</v>
      </c>
      <c r="P3347" s="3" t="s">
        <v>86</v>
      </c>
    </row>
    <row r="3348" spans="1:16" x14ac:dyDescent="0.35">
      <c r="A3348" s="3" t="s">
        <v>4768</v>
      </c>
      <c r="B3348" s="3" t="s">
        <v>3482</v>
      </c>
      <c r="C3348" s="3" t="s">
        <v>57</v>
      </c>
      <c r="D3348" s="3" t="s">
        <v>90</v>
      </c>
      <c r="E3348" s="3" t="s">
        <v>91</v>
      </c>
      <c r="F3348" s="3" t="s">
        <v>92</v>
      </c>
      <c r="G3348" s="3" t="s">
        <v>30</v>
      </c>
      <c r="H3348" s="3" t="s">
        <v>31</v>
      </c>
      <c r="I3348" s="3" t="s">
        <v>652</v>
      </c>
      <c r="J3348" s="3" t="s">
        <v>217</v>
      </c>
      <c r="K3348" s="3">
        <v>1</v>
      </c>
      <c r="L3348" s="3">
        <v>2743.24</v>
      </c>
      <c r="M3348" s="3">
        <v>2743.24</v>
      </c>
      <c r="N3348" s="3">
        <v>1824.26</v>
      </c>
      <c r="O3348" s="3">
        <v>918.98</v>
      </c>
      <c r="P3348" s="3" t="s">
        <v>45</v>
      </c>
    </row>
    <row r="3349" spans="1:16" x14ac:dyDescent="0.35">
      <c r="A3349" s="3" t="s">
        <v>4769</v>
      </c>
      <c r="B3349" s="3" t="s">
        <v>672</v>
      </c>
      <c r="C3349" s="3" t="s">
        <v>118</v>
      </c>
      <c r="D3349" s="3" t="s">
        <v>90</v>
      </c>
      <c r="E3349" s="3" t="s">
        <v>91</v>
      </c>
      <c r="F3349" s="3" t="s">
        <v>92</v>
      </c>
      <c r="G3349" s="3" t="s">
        <v>41</v>
      </c>
      <c r="H3349" s="3" t="s">
        <v>138</v>
      </c>
      <c r="I3349" s="3" t="s">
        <v>1571</v>
      </c>
      <c r="J3349" s="3" t="s">
        <v>44</v>
      </c>
      <c r="K3349" s="3">
        <v>2</v>
      </c>
      <c r="L3349" s="3">
        <v>16432.169999999998</v>
      </c>
      <c r="M3349" s="3">
        <v>32864.339999999997</v>
      </c>
      <c r="N3349" s="3">
        <v>27843.74</v>
      </c>
      <c r="O3349" s="3">
        <v>5020.6000000000004</v>
      </c>
      <c r="P3349" s="3" t="s">
        <v>34</v>
      </c>
    </row>
    <row r="3350" spans="1:16" x14ac:dyDescent="0.35">
      <c r="A3350" s="3" t="s">
        <v>4770</v>
      </c>
      <c r="B3350" s="3" t="s">
        <v>485</v>
      </c>
      <c r="C3350" s="3" t="s">
        <v>114</v>
      </c>
      <c r="D3350" s="3" t="s">
        <v>90</v>
      </c>
      <c r="E3350" s="3" t="s">
        <v>119</v>
      </c>
      <c r="F3350" s="3" t="s">
        <v>120</v>
      </c>
      <c r="G3350" s="3" t="s">
        <v>30</v>
      </c>
      <c r="H3350" s="3" t="s">
        <v>67</v>
      </c>
      <c r="I3350" s="3" t="s">
        <v>1395</v>
      </c>
      <c r="J3350" s="3" t="s">
        <v>85</v>
      </c>
      <c r="K3350" s="3">
        <v>2</v>
      </c>
      <c r="L3350" s="3">
        <v>9944.66</v>
      </c>
      <c r="M3350" s="3">
        <v>19889.32</v>
      </c>
      <c r="N3350" s="3">
        <v>15256.28</v>
      </c>
      <c r="O3350" s="3">
        <v>4633.04</v>
      </c>
      <c r="P3350" s="3" t="s">
        <v>34</v>
      </c>
    </row>
    <row r="3351" spans="1:16" x14ac:dyDescent="0.35">
      <c r="A3351" s="3" t="s">
        <v>4771</v>
      </c>
      <c r="B3351" s="3" t="s">
        <v>1733</v>
      </c>
      <c r="C3351" s="3" t="s">
        <v>137</v>
      </c>
      <c r="D3351" s="3" t="s">
        <v>58</v>
      </c>
      <c r="E3351" s="3" t="s">
        <v>176</v>
      </c>
      <c r="F3351" s="3" t="s">
        <v>177</v>
      </c>
      <c r="G3351" s="3" t="s">
        <v>22</v>
      </c>
      <c r="H3351" s="3" t="s">
        <v>23</v>
      </c>
      <c r="I3351" s="3" t="s">
        <v>3506</v>
      </c>
      <c r="J3351" s="3" t="s">
        <v>106</v>
      </c>
      <c r="K3351" s="3">
        <v>4</v>
      </c>
      <c r="L3351" s="3">
        <v>3527.28</v>
      </c>
      <c r="M3351" s="3">
        <v>14109.12</v>
      </c>
      <c r="N3351" s="3">
        <v>8488.89</v>
      </c>
      <c r="O3351" s="3">
        <v>5620.23</v>
      </c>
      <c r="P3351" s="3" t="s">
        <v>26</v>
      </c>
    </row>
    <row r="3352" spans="1:16" x14ac:dyDescent="0.35">
      <c r="A3352" s="3" t="s">
        <v>4772</v>
      </c>
      <c r="B3352" s="3" t="s">
        <v>3482</v>
      </c>
      <c r="C3352" s="3" t="s">
        <v>57</v>
      </c>
      <c r="D3352" s="3" t="s">
        <v>58</v>
      </c>
      <c r="E3352" s="3" t="s">
        <v>176</v>
      </c>
      <c r="F3352" s="3" t="s">
        <v>177</v>
      </c>
      <c r="G3352" s="3" t="s">
        <v>22</v>
      </c>
      <c r="H3352" s="3" t="s">
        <v>93</v>
      </c>
      <c r="I3352" s="3" t="s">
        <v>328</v>
      </c>
      <c r="J3352" s="3" t="s">
        <v>154</v>
      </c>
      <c r="K3352" s="3">
        <v>5</v>
      </c>
      <c r="L3352" s="3">
        <v>6513.12</v>
      </c>
      <c r="M3352" s="3">
        <v>32565.599999999999</v>
      </c>
      <c r="N3352" s="3">
        <v>25688.82</v>
      </c>
      <c r="O3352" s="3">
        <v>6876.78</v>
      </c>
      <c r="P3352" s="3" t="s">
        <v>45</v>
      </c>
    </row>
    <row r="3353" spans="1:16" x14ac:dyDescent="0.35">
      <c r="A3353" s="3" t="s">
        <v>4773</v>
      </c>
      <c r="B3353" s="3" t="s">
        <v>395</v>
      </c>
      <c r="C3353" s="3" t="s">
        <v>29</v>
      </c>
      <c r="D3353" s="3" t="s">
        <v>19</v>
      </c>
      <c r="E3353" s="3" t="s">
        <v>199</v>
      </c>
      <c r="F3353" s="3" t="s">
        <v>200</v>
      </c>
      <c r="G3353" s="3" t="s">
        <v>30</v>
      </c>
      <c r="H3353" s="3" t="s">
        <v>73</v>
      </c>
      <c r="I3353" s="3" t="s">
        <v>2523</v>
      </c>
      <c r="J3353" s="3" t="s">
        <v>217</v>
      </c>
      <c r="K3353" s="3">
        <v>1</v>
      </c>
      <c r="L3353" s="3">
        <v>3083.82</v>
      </c>
      <c r="M3353" s="3">
        <v>3083.82</v>
      </c>
      <c r="N3353" s="3">
        <v>2423.52</v>
      </c>
      <c r="O3353" s="3">
        <v>660.3</v>
      </c>
      <c r="P3353" s="3" t="s">
        <v>69</v>
      </c>
    </row>
    <row r="3354" spans="1:16" x14ac:dyDescent="0.35">
      <c r="A3354" s="3" t="s">
        <v>4774</v>
      </c>
      <c r="B3354" s="3" t="s">
        <v>536</v>
      </c>
      <c r="C3354" s="3" t="s">
        <v>18</v>
      </c>
      <c r="D3354" s="3" t="s">
        <v>58</v>
      </c>
      <c r="E3354" s="3" t="s">
        <v>176</v>
      </c>
      <c r="F3354" s="3" t="s">
        <v>177</v>
      </c>
      <c r="G3354" s="3" t="s">
        <v>22</v>
      </c>
      <c r="H3354" s="3" t="s">
        <v>23</v>
      </c>
      <c r="I3354" s="3" t="s">
        <v>142</v>
      </c>
      <c r="J3354" s="3" t="s">
        <v>33</v>
      </c>
      <c r="K3354" s="3">
        <v>8</v>
      </c>
      <c r="L3354" s="3">
        <v>3842.7</v>
      </c>
      <c r="M3354" s="3">
        <v>30741.599999999999</v>
      </c>
      <c r="N3354" s="3">
        <v>18401.28</v>
      </c>
      <c r="O3354" s="3">
        <v>12340.32</v>
      </c>
      <c r="P3354" s="3" t="s">
        <v>45</v>
      </c>
    </row>
    <row r="3355" spans="1:16" x14ac:dyDescent="0.35">
      <c r="A3355" s="3" t="s">
        <v>4775</v>
      </c>
      <c r="B3355" s="3" t="s">
        <v>387</v>
      </c>
      <c r="C3355" s="3" t="s">
        <v>82</v>
      </c>
      <c r="D3355" s="3" t="s">
        <v>58</v>
      </c>
      <c r="E3355" s="3" t="s">
        <v>65</v>
      </c>
      <c r="F3355" s="3" t="s">
        <v>66</v>
      </c>
      <c r="G3355" s="3" t="s">
        <v>30</v>
      </c>
      <c r="H3355" s="3" t="s">
        <v>31</v>
      </c>
      <c r="I3355" s="3" t="s">
        <v>3205</v>
      </c>
      <c r="J3355" s="3" t="s">
        <v>54</v>
      </c>
      <c r="K3355" s="3">
        <v>1</v>
      </c>
      <c r="L3355" s="3">
        <v>3013.02</v>
      </c>
      <c r="M3355" s="3">
        <v>3013.02</v>
      </c>
      <c r="N3355" s="3">
        <v>1975.8</v>
      </c>
      <c r="O3355" s="3">
        <v>1037.22</v>
      </c>
      <c r="P3355" s="3" t="s">
        <v>45</v>
      </c>
    </row>
    <row r="3356" spans="1:16" x14ac:dyDescent="0.35">
      <c r="A3356" s="3" t="s">
        <v>4776</v>
      </c>
      <c r="B3356" s="3" t="s">
        <v>1772</v>
      </c>
      <c r="C3356" s="3" t="s">
        <v>114</v>
      </c>
      <c r="D3356" s="3" t="s">
        <v>58</v>
      </c>
      <c r="E3356" s="3" t="s">
        <v>65</v>
      </c>
      <c r="F3356" s="3" t="s">
        <v>66</v>
      </c>
      <c r="G3356" s="3" t="s">
        <v>30</v>
      </c>
      <c r="H3356" s="3" t="s">
        <v>67</v>
      </c>
      <c r="I3356" s="3" t="s">
        <v>1592</v>
      </c>
      <c r="J3356" s="3" t="s">
        <v>79</v>
      </c>
      <c r="K3356" s="3">
        <v>7</v>
      </c>
      <c r="L3356" s="3">
        <v>9481.7199999999993</v>
      </c>
      <c r="M3356" s="3">
        <v>66372.039999999994</v>
      </c>
      <c r="N3356" s="3">
        <v>55132.7</v>
      </c>
      <c r="O3356" s="3">
        <v>11239.34</v>
      </c>
      <c r="P3356" s="3" t="s">
        <v>26</v>
      </c>
    </row>
    <row r="3357" spans="1:16" x14ac:dyDescent="0.35">
      <c r="A3357" s="3" t="s">
        <v>4777</v>
      </c>
      <c r="B3357" s="3" t="s">
        <v>949</v>
      </c>
      <c r="C3357" s="3" t="s">
        <v>18</v>
      </c>
      <c r="D3357" s="3" t="s">
        <v>90</v>
      </c>
      <c r="E3357" s="3" t="s">
        <v>97</v>
      </c>
      <c r="F3357" s="3" t="s">
        <v>98</v>
      </c>
      <c r="G3357" s="3" t="s">
        <v>30</v>
      </c>
      <c r="H3357" s="3" t="s">
        <v>31</v>
      </c>
      <c r="I3357" s="3" t="s">
        <v>4778</v>
      </c>
      <c r="J3357" s="3" t="s">
        <v>44</v>
      </c>
      <c r="K3357" s="3">
        <v>2</v>
      </c>
      <c r="L3357" s="3">
        <v>2591.8000000000002</v>
      </c>
      <c r="M3357" s="3">
        <v>5183.6000000000004</v>
      </c>
      <c r="N3357" s="3">
        <v>3859.97</v>
      </c>
      <c r="O3357" s="3">
        <v>1323.63</v>
      </c>
      <c r="P3357" s="3" t="s">
        <v>34</v>
      </c>
    </row>
    <row r="3358" spans="1:16" x14ac:dyDescent="0.35">
      <c r="A3358" s="3" t="s">
        <v>4779</v>
      </c>
      <c r="B3358" s="3" t="s">
        <v>485</v>
      </c>
      <c r="C3358" s="3" t="s">
        <v>114</v>
      </c>
      <c r="D3358" s="3" t="s">
        <v>19</v>
      </c>
      <c r="E3358" s="3" t="s">
        <v>49</v>
      </c>
      <c r="F3358" s="3" t="s">
        <v>50</v>
      </c>
      <c r="G3358" s="3" t="s">
        <v>51</v>
      </c>
      <c r="H3358" s="3" t="s">
        <v>77</v>
      </c>
      <c r="I3358" s="3" t="s">
        <v>1002</v>
      </c>
      <c r="J3358" s="3" t="s">
        <v>79</v>
      </c>
      <c r="K3358" s="3">
        <v>2</v>
      </c>
      <c r="L3358" s="3">
        <v>12307.56</v>
      </c>
      <c r="M3358" s="3">
        <v>24615.119999999999</v>
      </c>
      <c r="N3358" s="3">
        <v>18230.52</v>
      </c>
      <c r="O3358" s="3">
        <v>6384.6</v>
      </c>
      <c r="P3358" s="3" t="s">
        <v>69</v>
      </c>
    </row>
    <row r="3359" spans="1:16" x14ac:dyDescent="0.35">
      <c r="A3359" s="3" t="s">
        <v>4780</v>
      </c>
      <c r="B3359" s="3" t="s">
        <v>911</v>
      </c>
      <c r="C3359" s="3" t="s">
        <v>72</v>
      </c>
      <c r="D3359" s="3" t="s">
        <v>19</v>
      </c>
      <c r="E3359" s="3" t="s">
        <v>49</v>
      </c>
      <c r="F3359" s="3" t="s">
        <v>50</v>
      </c>
      <c r="G3359" s="3" t="s">
        <v>30</v>
      </c>
      <c r="H3359" s="3" t="s">
        <v>67</v>
      </c>
      <c r="I3359" s="3" t="s">
        <v>2441</v>
      </c>
      <c r="J3359" s="3" t="s">
        <v>171</v>
      </c>
      <c r="K3359" s="3">
        <v>3</v>
      </c>
      <c r="L3359" s="3">
        <v>9558.39</v>
      </c>
      <c r="M3359" s="3">
        <v>28675.17</v>
      </c>
      <c r="N3359" s="3">
        <v>23912.21</v>
      </c>
      <c r="O3359" s="3">
        <v>4762.96</v>
      </c>
      <c r="P3359" s="3" t="s">
        <v>69</v>
      </c>
    </row>
    <row r="3360" spans="1:16" x14ac:dyDescent="0.35">
      <c r="A3360" s="3" t="s">
        <v>4781</v>
      </c>
      <c r="B3360" s="3" t="s">
        <v>1240</v>
      </c>
      <c r="C3360" s="3" t="s">
        <v>118</v>
      </c>
      <c r="D3360" s="3" t="s">
        <v>90</v>
      </c>
      <c r="E3360" s="3" t="s">
        <v>91</v>
      </c>
      <c r="F3360" s="3" t="s">
        <v>92</v>
      </c>
      <c r="G3360" s="3" t="s">
        <v>22</v>
      </c>
      <c r="H3360" s="3" t="s">
        <v>93</v>
      </c>
      <c r="I3360" s="3" t="s">
        <v>2115</v>
      </c>
      <c r="J3360" s="3" t="s">
        <v>171</v>
      </c>
      <c r="K3360" s="3">
        <v>7</v>
      </c>
      <c r="L3360" s="3">
        <v>7008.44</v>
      </c>
      <c r="M3360" s="3">
        <v>49059.08</v>
      </c>
      <c r="N3360" s="3">
        <v>36278.33</v>
      </c>
      <c r="O3360" s="3">
        <v>12780.75</v>
      </c>
      <c r="P3360" s="3" t="s">
        <v>69</v>
      </c>
    </row>
    <row r="3361" spans="1:16" x14ac:dyDescent="0.35">
      <c r="A3361" s="3" t="s">
        <v>4782</v>
      </c>
      <c r="B3361" s="3" t="s">
        <v>133</v>
      </c>
      <c r="C3361" s="3" t="s">
        <v>18</v>
      </c>
      <c r="D3361" s="3" t="s">
        <v>19</v>
      </c>
      <c r="E3361" s="3" t="s">
        <v>49</v>
      </c>
      <c r="F3361" s="3" t="s">
        <v>50</v>
      </c>
      <c r="G3361" s="3" t="s">
        <v>51</v>
      </c>
      <c r="H3361" s="3" t="s">
        <v>145</v>
      </c>
      <c r="I3361" s="3" t="s">
        <v>1731</v>
      </c>
      <c r="J3361" s="3" t="s">
        <v>25</v>
      </c>
      <c r="K3361" s="3">
        <v>4</v>
      </c>
      <c r="L3361" s="3">
        <v>129.99</v>
      </c>
      <c r="M3361" s="3">
        <v>519.96</v>
      </c>
      <c r="N3361" s="3">
        <v>230.72</v>
      </c>
      <c r="O3361" s="3">
        <v>289.24</v>
      </c>
      <c r="P3361" s="3" t="s">
        <v>34</v>
      </c>
    </row>
    <row r="3362" spans="1:16" x14ac:dyDescent="0.35">
      <c r="A3362" s="3" t="s">
        <v>4783</v>
      </c>
      <c r="B3362" s="3" t="s">
        <v>728</v>
      </c>
      <c r="C3362" s="3" t="s">
        <v>82</v>
      </c>
      <c r="D3362" s="3" t="s">
        <v>90</v>
      </c>
      <c r="E3362" s="3" t="s">
        <v>91</v>
      </c>
      <c r="F3362" s="3" t="s">
        <v>92</v>
      </c>
      <c r="G3362" s="3" t="s">
        <v>30</v>
      </c>
      <c r="H3362" s="3" t="s">
        <v>73</v>
      </c>
      <c r="I3362" s="3" t="s">
        <v>1008</v>
      </c>
      <c r="J3362" s="3" t="s">
        <v>217</v>
      </c>
      <c r="K3362" s="3">
        <v>5</v>
      </c>
      <c r="L3362" s="3">
        <v>3248.44</v>
      </c>
      <c r="M3362" s="3">
        <v>16242.2</v>
      </c>
      <c r="N3362" s="3">
        <v>11454.85</v>
      </c>
      <c r="O3362" s="3">
        <v>4787.3500000000004</v>
      </c>
      <c r="P3362" s="3" t="s">
        <v>45</v>
      </c>
    </row>
    <row r="3363" spans="1:16" x14ac:dyDescent="0.35">
      <c r="A3363" s="3" t="s">
        <v>4784</v>
      </c>
      <c r="B3363" s="3" t="s">
        <v>1182</v>
      </c>
      <c r="C3363" s="3" t="s">
        <v>48</v>
      </c>
      <c r="D3363" s="3" t="s">
        <v>90</v>
      </c>
      <c r="E3363" s="3" t="s">
        <v>97</v>
      </c>
      <c r="F3363" s="3" t="s">
        <v>98</v>
      </c>
      <c r="G3363" s="3" t="s">
        <v>41</v>
      </c>
      <c r="H3363" s="3" t="s">
        <v>138</v>
      </c>
      <c r="I3363" s="3" t="s">
        <v>1685</v>
      </c>
      <c r="J3363" s="3" t="s">
        <v>54</v>
      </c>
      <c r="K3363" s="3">
        <v>8</v>
      </c>
      <c r="L3363" s="3">
        <v>18566.349999999999</v>
      </c>
      <c r="M3363" s="3">
        <v>148530.79999999999</v>
      </c>
      <c r="N3363" s="3">
        <v>116463.13</v>
      </c>
      <c r="O3363" s="3">
        <v>32067.67</v>
      </c>
      <c r="P3363" s="3" t="s">
        <v>34</v>
      </c>
    </row>
    <row r="3364" spans="1:16" x14ac:dyDescent="0.35">
      <c r="A3364" s="3" t="s">
        <v>4785</v>
      </c>
      <c r="B3364" s="3" t="s">
        <v>64</v>
      </c>
      <c r="C3364" s="3" t="s">
        <v>57</v>
      </c>
      <c r="D3364" s="3" t="s">
        <v>58</v>
      </c>
      <c r="E3364" s="3" t="s">
        <v>65</v>
      </c>
      <c r="F3364" s="3" t="s">
        <v>66</v>
      </c>
      <c r="G3364" s="3" t="s">
        <v>51</v>
      </c>
      <c r="H3364" s="3" t="s">
        <v>145</v>
      </c>
      <c r="I3364" s="3" t="s">
        <v>2344</v>
      </c>
      <c r="J3364" s="3" t="s">
        <v>106</v>
      </c>
      <c r="K3364" s="3">
        <v>2</v>
      </c>
      <c r="L3364" s="3">
        <v>121.98</v>
      </c>
      <c r="M3364" s="3">
        <v>243.96</v>
      </c>
      <c r="N3364" s="3">
        <v>118.98</v>
      </c>
      <c r="O3364" s="3">
        <v>124.98</v>
      </c>
      <c r="P3364" s="3" t="s">
        <v>45</v>
      </c>
    </row>
    <row r="3365" spans="1:16" x14ac:dyDescent="0.35">
      <c r="A3365" s="3" t="s">
        <v>4786</v>
      </c>
      <c r="B3365" s="3" t="s">
        <v>163</v>
      </c>
      <c r="C3365" s="3" t="s">
        <v>137</v>
      </c>
      <c r="D3365" s="3" t="s">
        <v>19</v>
      </c>
      <c r="E3365" s="3" t="s">
        <v>49</v>
      </c>
      <c r="F3365" s="3" t="s">
        <v>50</v>
      </c>
      <c r="G3365" s="3" t="s">
        <v>22</v>
      </c>
      <c r="H3365" s="3" t="s">
        <v>23</v>
      </c>
      <c r="I3365" s="3" t="s">
        <v>703</v>
      </c>
      <c r="J3365" s="3" t="s">
        <v>85</v>
      </c>
      <c r="K3365" s="3">
        <v>3</v>
      </c>
      <c r="L3365" s="3">
        <v>3810.31</v>
      </c>
      <c r="M3365" s="3">
        <v>11430.93</v>
      </c>
      <c r="N3365" s="3">
        <v>6350.81</v>
      </c>
      <c r="O3365" s="3">
        <v>5080.12</v>
      </c>
      <c r="P3365" s="3" t="s">
        <v>69</v>
      </c>
    </row>
    <row r="3366" spans="1:16" x14ac:dyDescent="0.35">
      <c r="A3366" s="3" t="s">
        <v>4787</v>
      </c>
      <c r="B3366" s="3" t="s">
        <v>539</v>
      </c>
      <c r="C3366" s="3" t="s">
        <v>89</v>
      </c>
      <c r="D3366" s="3" t="s">
        <v>38</v>
      </c>
      <c r="E3366" s="3" t="s">
        <v>109</v>
      </c>
      <c r="F3366" s="3" t="s">
        <v>110</v>
      </c>
      <c r="G3366" s="3" t="s">
        <v>30</v>
      </c>
      <c r="H3366" s="3" t="s">
        <v>67</v>
      </c>
      <c r="I3366" s="3" t="s">
        <v>2090</v>
      </c>
      <c r="J3366" s="3" t="s">
        <v>54</v>
      </c>
      <c r="K3366" s="3">
        <v>5</v>
      </c>
      <c r="L3366" s="3">
        <v>10326.719999999999</v>
      </c>
      <c r="M3366" s="3">
        <v>51633.599999999999</v>
      </c>
      <c r="N3366" s="3">
        <v>39801.32</v>
      </c>
      <c r="O3366" s="3">
        <v>11832.28</v>
      </c>
      <c r="P3366" s="3" t="s">
        <v>26</v>
      </c>
    </row>
    <row r="3367" spans="1:16" x14ac:dyDescent="0.35">
      <c r="A3367" s="3" t="s">
        <v>4788</v>
      </c>
      <c r="B3367" s="3" t="s">
        <v>315</v>
      </c>
      <c r="C3367" s="3" t="s">
        <v>118</v>
      </c>
      <c r="D3367" s="3" t="s">
        <v>19</v>
      </c>
      <c r="E3367" s="3" t="s">
        <v>20</v>
      </c>
      <c r="F3367" s="3" t="s">
        <v>21</v>
      </c>
      <c r="G3367" s="3" t="s">
        <v>30</v>
      </c>
      <c r="H3367" s="3" t="s">
        <v>73</v>
      </c>
      <c r="I3367" s="3" t="s">
        <v>1381</v>
      </c>
      <c r="J3367" s="3" t="s">
        <v>217</v>
      </c>
      <c r="K3367" s="3">
        <v>1</v>
      </c>
      <c r="L3367" s="3">
        <v>3177.15</v>
      </c>
      <c r="M3367" s="3">
        <v>3177.15</v>
      </c>
      <c r="N3367" s="3">
        <v>2298.19</v>
      </c>
      <c r="O3367" s="3">
        <v>878.96</v>
      </c>
      <c r="P3367" s="3" t="s">
        <v>34</v>
      </c>
    </row>
    <row r="3368" spans="1:16" x14ac:dyDescent="0.35">
      <c r="A3368" s="3" t="s">
        <v>4789</v>
      </c>
      <c r="B3368" s="3" t="s">
        <v>760</v>
      </c>
      <c r="C3368" s="3" t="s">
        <v>114</v>
      </c>
      <c r="D3368" s="3" t="s">
        <v>38</v>
      </c>
      <c r="E3368" s="3" t="s">
        <v>39</v>
      </c>
      <c r="F3368" s="3" t="s">
        <v>40</v>
      </c>
      <c r="G3368" s="3" t="s">
        <v>22</v>
      </c>
      <c r="H3368" s="3" t="s">
        <v>83</v>
      </c>
      <c r="I3368" s="3" t="s">
        <v>283</v>
      </c>
      <c r="J3368" s="3" t="s">
        <v>106</v>
      </c>
      <c r="K3368" s="3">
        <v>7</v>
      </c>
      <c r="L3368" s="3">
        <v>21066.66</v>
      </c>
      <c r="M3368" s="3">
        <v>147466.62</v>
      </c>
      <c r="N3368" s="3">
        <v>123533.67</v>
      </c>
      <c r="O3368" s="3">
        <v>23932.95</v>
      </c>
      <c r="P3368" s="3" t="s">
        <v>86</v>
      </c>
    </row>
    <row r="3369" spans="1:16" x14ac:dyDescent="0.35">
      <c r="A3369" s="3" t="s">
        <v>4790</v>
      </c>
      <c r="B3369" s="3" t="s">
        <v>1999</v>
      </c>
      <c r="C3369" s="3" t="s">
        <v>114</v>
      </c>
      <c r="D3369" s="3" t="s">
        <v>19</v>
      </c>
      <c r="E3369" s="3" t="s">
        <v>20</v>
      </c>
      <c r="F3369" s="3" t="s">
        <v>21</v>
      </c>
      <c r="G3369" s="3" t="s">
        <v>30</v>
      </c>
      <c r="H3369" s="3" t="s">
        <v>67</v>
      </c>
      <c r="I3369" s="3" t="s">
        <v>950</v>
      </c>
      <c r="J3369" s="3" t="s">
        <v>79</v>
      </c>
      <c r="K3369" s="3">
        <v>5</v>
      </c>
      <c r="L3369" s="3">
        <v>9197.51</v>
      </c>
      <c r="M3369" s="3">
        <v>45987.55</v>
      </c>
      <c r="N3369" s="3">
        <v>38769.72</v>
      </c>
      <c r="O3369" s="3">
        <v>7217.83</v>
      </c>
      <c r="P3369" s="3" t="s">
        <v>86</v>
      </c>
    </row>
    <row r="3370" spans="1:16" x14ac:dyDescent="0.35">
      <c r="A3370" s="3" t="s">
        <v>4791</v>
      </c>
      <c r="B3370" s="3" t="s">
        <v>113</v>
      </c>
      <c r="C3370" s="3" t="s">
        <v>114</v>
      </c>
      <c r="D3370" s="3" t="s">
        <v>90</v>
      </c>
      <c r="E3370" s="3" t="s">
        <v>91</v>
      </c>
      <c r="F3370" s="3" t="s">
        <v>92</v>
      </c>
      <c r="G3370" s="3" t="s">
        <v>30</v>
      </c>
      <c r="H3370" s="3" t="s">
        <v>73</v>
      </c>
      <c r="I3370" s="3" t="s">
        <v>1610</v>
      </c>
      <c r="J3370" s="3" t="s">
        <v>33</v>
      </c>
      <c r="K3370" s="3">
        <v>5</v>
      </c>
      <c r="L3370" s="3">
        <v>3061.85</v>
      </c>
      <c r="M3370" s="3">
        <v>15309.25</v>
      </c>
      <c r="N3370" s="3">
        <v>11487.83</v>
      </c>
      <c r="O3370" s="3">
        <v>3821.42</v>
      </c>
      <c r="P3370" s="3" t="s">
        <v>45</v>
      </c>
    </row>
    <row r="3371" spans="1:16" x14ac:dyDescent="0.35">
      <c r="A3371" s="3" t="s">
        <v>4792</v>
      </c>
      <c r="B3371" s="3" t="s">
        <v>276</v>
      </c>
      <c r="C3371" s="3" t="s">
        <v>114</v>
      </c>
      <c r="D3371" s="3" t="s">
        <v>90</v>
      </c>
      <c r="E3371" s="3" t="s">
        <v>91</v>
      </c>
      <c r="F3371" s="3" t="s">
        <v>92</v>
      </c>
      <c r="G3371" s="3" t="s">
        <v>30</v>
      </c>
      <c r="H3371" s="3" t="s">
        <v>31</v>
      </c>
      <c r="I3371" s="3" t="s">
        <v>2387</v>
      </c>
      <c r="J3371" s="3" t="s">
        <v>25</v>
      </c>
      <c r="K3371" s="3">
        <v>6</v>
      </c>
      <c r="L3371" s="3">
        <v>3005.94</v>
      </c>
      <c r="M3371" s="3">
        <v>18035.64</v>
      </c>
      <c r="N3371" s="3">
        <v>11771.04</v>
      </c>
      <c r="O3371" s="3">
        <v>6264.6</v>
      </c>
      <c r="P3371" s="3" t="s">
        <v>69</v>
      </c>
    </row>
    <row r="3372" spans="1:16" x14ac:dyDescent="0.35">
      <c r="A3372" s="3" t="s">
        <v>4793</v>
      </c>
      <c r="B3372" s="3" t="s">
        <v>1113</v>
      </c>
      <c r="C3372" s="3" t="s">
        <v>82</v>
      </c>
      <c r="D3372" s="3" t="s">
        <v>38</v>
      </c>
      <c r="E3372" s="3" t="s">
        <v>39</v>
      </c>
      <c r="F3372" s="3" t="s">
        <v>40</v>
      </c>
      <c r="G3372" s="3" t="s">
        <v>30</v>
      </c>
      <c r="H3372" s="3" t="s">
        <v>73</v>
      </c>
      <c r="I3372" s="3" t="s">
        <v>3420</v>
      </c>
      <c r="J3372" s="3" t="s">
        <v>33</v>
      </c>
      <c r="K3372" s="3">
        <v>1</v>
      </c>
      <c r="L3372" s="3">
        <v>3228.67</v>
      </c>
      <c r="M3372" s="3">
        <v>3228.67</v>
      </c>
      <c r="N3372" s="3">
        <v>2448.54</v>
      </c>
      <c r="O3372" s="3">
        <v>780.13</v>
      </c>
      <c r="P3372" s="3" t="s">
        <v>34</v>
      </c>
    </row>
    <row r="3373" spans="1:16" x14ac:dyDescent="0.35">
      <c r="A3373" s="3" t="s">
        <v>4794</v>
      </c>
      <c r="B3373" s="3" t="s">
        <v>1733</v>
      </c>
      <c r="C3373" s="3" t="s">
        <v>137</v>
      </c>
      <c r="D3373" s="3" t="s">
        <v>19</v>
      </c>
      <c r="E3373" s="3" t="s">
        <v>199</v>
      </c>
      <c r="F3373" s="3" t="s">
        <v>200</v>
      </c>
      <c r="G3373" s="3" t="s">
        <v>41</v>
      </c>
      <c r="H3373" s="3" t="s">
        <v>138</v>
      </c>
      <c r="I3373" s="3" t="s">
        <v>2629</v>
      </c>
      <c r="J3373" s="3" t="s">
        <v>188</v>
      </c>
      <c r="K3373" s="3">
        <v>2</v>
      </c>
      <c r="L3373" s="3">
        <v>18996.78</v>
      </c>
      <c r="M3373" s="3">
        <v>37993.56</v>
      </c>
      <c r="N3373" s="3">
        <v>26617.05</v>
      </c>
      <c r="O3373" s="3">
        <v>11376.51</v>
      </c>
      <c r="P3373" s="3" t="s">
        <v>26</v>
      </c>
    </row>
    <row r="3374" spans="1:16" x14ac:dyDescent="0.35">
      <c r="A3374" s="3" t="s">
        <v>4795</v>
      </c>
      <c r="B3374" s="3" t="s">
        <v>562</v>
      </c>
      <c r="C3374" s="3" t="s">
        <v>82</v>
      </c>
      <c r="D3374" s="3" t="s">
        <v>58</v>
      </c>
      <c r="E3374" s="3" t="s">
        <v>65</v>
      </c>
      <c r="F3374" s="3" t="s">
        <v>66</v>
      </c>
      <c r="G3374" s="3" t="s">
        <v>51</v>
      </c>
      <c r="H3374" s="3" t="s">
        <v>77</v>
      </c>
      <c r="I3374" s="3" t="s">
        <v>1640</v>
      </c>
      <c r="J3374" s="3" t="s">
        <v>100</v>
      </c>
      <c r="K3374" s="3">
        <v>4</v>
      </c>
      <c r="L3374" s="3">
        <v>12700.26</v>
      </c>
      <c r="M3374" s="3">
        <v>50801.04</v>
      </c>
      <c r="N3374" s="3">
        <v>36391.93</v>
      </c>
      <c r="O3374" s="3">
        <v>14409.11</v>
      </c>
      <c r="P3374" s="3" t="s">
        <v>45</v>
      </c>
    </row>
    <row r="3375" spans="1:16" x14ac:dyDescent="0.35">
      <c r="A3375" s="3" t="s">
        <v>4796</v>
      </c>
      <c r="B3375" s="3" t="s">
        <v>336</v>
      </c>
      <c r="C3375" s="3" t="s">
        <v>29</v>
      </c>
      <c r="D3375" s="3" t="s">
        <v>90</v>
      </c>
      <c r="E3375" s="3" t="s">
        <v>91</v>
      </c>
      <c r="F3375" s="3" t="s">
        <v>92</v>
      </c>
      <c r="G3375" s="3" t="s">
        <v>30</v>
      </c>
      <c r="H3375" s="3" t="s">
        <v>31</v>
      </c>
      <c r="I3375" s="3" t="s">
        <v>647</v>
      </c>
      <c r="J3375" s="3" t="s">
        <v>85</v>
      </c>
      <c r="K3375" s="3">
        <v>7</v>
      </c>
      <c r="L3375" s="3">
        <v>2729.86</v>
      </c>
      <c r="M3375" s="3">
        <v>19109.02</v>
      </c>
      <c r="N3375" s="3">
        <v>12832.74</v>
      </c>
      <c r="O3375" s="3">
        <v>6276.28</v>
      </c>
      <c r="P3375" s="3" t="s">
        <v>34</v>
      </c>
    </row>
    <row r="3376" spans="1:16" x14ac:dyDescent="0.35">
      <c r="A3376" s="3" t="s">
        <v>4797</v>
      </c>
      <c r="B3376" s="3" t="s">
        <v>126</v>
      </c>
      <c r="C3376" s="3" t="s">
        <v>103</v>
      </c>
      <c r="D3376" s="3" t="s">
        <v>38</v>
      </c>
      <c r="E3376" s="3" t="s">
        <v>109</v>
      </c>
      <c r="F3376" s="3" t="s">
        <v>110</v>
      </c>
      <c r="G3376" s="3" t="s">
        <v>30</v>
      </c>
      <c r="H3376" s="3" t="s">
        <v>31</v>
      </c>
      <c r="I3376" s="3" t="s">
        <v>1521</v>
      </c>
      <c r="J3376" s="3" t="s">
        <v>79</v>
      </c>
      <c r="K3376" s="3">
        <v>5</v>
      </c>
      <c r="L3376" s="3">
        <v>2630.6</v>
      </c>
      <c r="M3376" s="3">
        <v>13153</v>
      </c>
      <c r="N3376" s="3">
        <v>9094.2800000000007</v>
      </c>
      <c r="O3376" s="3">
        <v>4058.72</v>
      </c>
      <c r="P3376" s="3" t="s">
        <v>45</v>
      </c>
    </row>
    <row r="3377" spans="1:16" x14ac:dyDescent="0.35">
      <c r="A3377" s="3" t="s">
        <v>4798</v>
      </c>
      <c r="B3377" s="3" t="s">
        <v>552</v>
      </c>
      <c r="C3377" s="3" t="s">
        <v>89</v>
      </c>
      <c r="D3377" s="3" t="s">
        <v>90</v>
      </c>
      <c r="E3377" s="3" t="s">
        <v>97</v>
      </c>
      <c r="F3377" s="3" t="s">
        <v>98</v>
      </c>
      <c r="G3377" s="3" t="s">
        <v>51</v>
      </c>
      <c r="H3377" s="3" t="s">
        <v>77</v>
      </c>
      <c r="I3377" s="3" t="s">
        <v>2002</v>
      </c>
      <c r="J3377" s="3" t="s">
        <v>161</v>
      </c>
      <c r="K3377" s="3">
        <v>6</v>
      </c>
      <c r="L3377" s="3">
        <v>11270.15</v>
      </c>
      <c r="M3377" s="3">
        <v>67620.899999999994</v>
      </c>
      <c r="N3377" s="3">
        <v>56186.92</v>
      </c>
      <c r="O3377" s="3">
        <v>11433.98</v>
      </c>
      <c r="P3377" s="3" t="s">
        <v>45</v>
      </c>
    </row>
    <row r="3378" spans="1:16" x14ac:dyDescent="0.35">
      <c r="A3378" s="3" t="s">
        <v>4799</v>
      </c>
      <c r="B3378" s="3" t="s">
        <v>285</v>
      </c>
      <c r="C3378" s="3" t="s">
        <v>18</v>
      </c>
      <c r="D3378" s="3" t="s">
        <v>38</v>
      </c>
      <c r="E3378" s="3" t="s">
        <v>104</v>
      </c>
      <c r="F3378" s="3" t="s">
        <v>104</v>
      </c>
      <c r="G3378" s="3" t="s">
        <v>51</v>
      </c>
      <c r="H3378" s="3" t="s">
        <v>77</v>
      </c>
      <c r="I3378" s="3" t="s">
        <v>1035</v>
      </c>
      <c r="J3378" s="3" t="s">
        <v>85</v>
      </c>
      <c r="K3378" s="3">
        <v>3</v>
      </c>
      <c r="L3378" s="3">
        <v>11081.83</v>
      </c>
      <c r="M3378" s="3">
        <v>33245.49</v>
      </c>
      <c r="N3378" s="3">
        <v>27726.799999999999</v>
      </c>
      <c r="O3378" s="3">
        <v>5518.69</v>
      </c>
      <c r="P3378" s="3" t="s">
        <v>86</v>
      </c>
    </row>
    <row r="3379" spans="1:16" x14ac:dyDescent="0.35">
      <c r="A3379" s="3" t="s">
        <v>4800</v>
      </c>
      <c r="B3379" s="3" t="s">
        <v>299</v>
      </c>
      <c r="C3379" s="3" t="s">
        <v>89</v>
      </c>
      <c r="D3379" s="3" t="s">
        <v>58</v>
      </c>
      <c r="E3379" s="3" t="s">
        <v>176</v>
      </c>
      <c r="F3379" s="3" t="s">
        <v>177</v>
      </c>
      <c r="G3379" s="3" t="s">
        <v>51</v>
      </c>
      <c r="H3379" s="3" t="s">
        <v>52</v>
      </c>
      <c r="I3379" s="3" t="s">
        <v>1728</v>
      </c>
      <c r="J3379" s="3" t="s">
        <v>217</v>
      </c>
      <c r="K3379" s="3">
        <v>8</v>
      </c>
      <c r="L3379" s="3">
        <v>26.19</v>
      </c>
      <c r="M3379" s="3">
        <v>209.52</v>
      </c>
      <c r="N3379" s="3">
        <v>79.05</v>
      </c>
      <c r="O3379" s="3">
        <v>130.47</v>
      </c>
      <c r="P3379" s="3" t="s">
        <v>45</v>
      </c>
    </row>
    <row r="3380" spans="1:16" x14ac:dyDescent="0.35">
      <c r="A3380" s="3" t="s">
        <v>4801</v>
      </c>
      <c r="B3380" s="3" t="s">
        <v>960</v>
      </c>
      <c r="C3380" s="3" t="s">
        <v>114</v>
      </c>
      <c r="D3380" s="3" t="s">
        <v>90</v>
      </c>
      <c r="E3380" s="3" t="s">
        <v>119</v>
      </c>
      <c r="F3380" s="3" t="s">
        <v>120</v>
      </c>
      <c r="G3380" s="3" t="s">
        <v>30</v>
      </c>
      <c r="H3380" s="3" t="s">
        <v>73</v>
      </c>
      <c r="I3380" s="3" t="s">
        <v>374</v>
      </c>
      <c r="J3380" s="3" t="s">
        <v>54</v>
      </c>
      <c r="K3380" s="3">
        <v>8</v>
      </c>
      <c r="L3380" s="3">
        <v>3445.18</v>
      </c>
      <c r="M3380" s="3">
        <v>27561.439999999999</v>
      </c>
      <c r="N3380" s="3">
        <v>19418</v>
      </c>
      <c r="O3380" s="3">
        <v>8143.44</v>
      </c>
      <c r="P3380" s="3" t="s">
        <v>45</v>
      </c>
    </row>
    <row r="3381" spans="1:16" x14ac:dyDescent="0.35">
      <c r="A3381" s="3" t="s">
        <v>4802</v>
      </c>
      <c r="B3381" s="3" t="s">
        <v>305</v>
      </c>
      <c r="C3381" s="3" t="s">
        <v>18</v>
      </c>
      <c r="D3381" s="3" t="s">
        <v>90</v>
      </c>
      <c r="E3381" s="3" t="s">
        <v>91</v>
      </c>
      <c r="F3381" s="3" t="s">
        <v>92</v>
      </c>
      <c r="G3381" s="3" t="s">
        <v>51</v>
      </c>
      <c r="H3381" s="3" t="s">
        <v>145</v>
      </c>
      <c r="I3381" s="3" t="s">
        <v>1837</v>
      </c>
      <c r="J3381" s="3" t="s">
        <v>79</v>
      </c>
      <c r="K3381" s="3">
        <v>4</v>
      </c>
      <c r="L3381" s="3">
        <v>109.58</v>
      </c>
      <c r="M3381" s="3">
        <v>438.32</v>
      </c>
      <c r="N3381" s="3">
        <v>249.98</v>
      </c>
      <c r="O3381" s="3">
        <v>188.34</v>
      </c>
      <c r="P3381" s="3" t="s">
        <v>86</v>
      </c>
    </row>
    <row r="3382" spans="1:16" x14ac:dyDescent="0.35">
      <c r="A3382" s="3" t="s">
        <v>4803</v>
      </c>
      <c r="B3382" s="3" t="s">
        <v>1187</v>
      </c>
      <c r="C3382" s="3" t="s">
        <v>18</v>
      </c>
      <c r="D3382" s="3" t="s">
        <v>38</v>
      </c>
      <c r="E3382" s="3" t="s">
        <v>39</v>
      </c>
      <c r="F3382" s="3" t="s">
        <v>40</v>
      </c>
      <c r="G3382" s="3" t="s">
        <v>30</v>
      </c>
      <c r="H3382" s="3" t="s">
        <v>73</v>
      </c>
      <c r="I3382" s="3" t="s">
        <v>3298</v>
      </c>
      <c r="J3382" s="3" t="s">
        <v>54</v>
      </c>
      <c r="K3382" s="3">
        <v>4</v>
      </c>
      <c r="L3382" s="3">
        <v>3286.81</v>
      </c>
      <c r="M3382" s="3">
        <v>13147.24</v>
      </c>
      <c r="N3382" s="3">
        <v>9752.2800000000007</v>
      </c>
      <c r="O3382" s="3">
        <v>3394.96</v>
      </c>
      <c r="P3382" s="3" t="s">
        <v>69</v>
      </c>
    </row>
    <row r="3383" spans="1:16" x14ac:dyDescent="0.35">
      <c r="A3383" s="3" t="s">
        <v>4804</v>
      </c>
      <c r="B3383" s="3" t="s">
        <v>559</v>
      </c>
      <c r="C3383" s="3" t="s">
        <v>89</v>
      </c>
      <c r="D3383" s="3" t="s">
        <v>90</v>
      </c>
      <c r="E3383" s="3" t="s">
        <v>119</v>
      </c>
      <c r="F3383" s="3" t="s">
        <v>120</v>
      </c>
      <c r="G3383" s="3" t="s">
        <v>22</v>
      </c>
      <c r="H3383" s="3" t="s">
        <v>83</v>
      </c>
      <c r="I3383" s="3" t="s">
        <v>3615</v>
      </c>
      <c r="J3383" s="3" t="s">
        <v>100</v>
      </c>
      <c r="K3383" s="3">
        <v>6</v>
      </c>
      <c r="L3383" s="3">
        <v>23659.119999999999</v>
      </c>
      <c r="M3383" s="3">
        <v>141954.72</v>
      </c>
      <c r="N3383" s="3">
        <v>104490.51</v>
      </c>
      <c r="O3383" s="3">
        <v>37464.21</v>
      </c>
      <c r="P3383" s="3" t="s">
        <v>34</v>
      </c>
    </row>
    <row r="3384" spans="1:16" x14ac:dyDescent="0.35">
      <c r="A3384" s="3" t="s">
        <v>4805</v>
      </c>
      <c r="B3384" s="3" t="s">
        <v>222</v>
      </c>
      <c r="C3384" s="3" t="s">
        <v>48</v>
      </c>
      <c r="D3384" s="3" t="s">
        <v>38</v>
      </c>
      <c r="E3384" s="3" t="s">
        <v>39</v>
      </c>
      <c r="F3384" s="3" t="s">
        <v>40</v>
      </c>
      <c r="G3384" s="3" t="s">
        <v>51</v>
      </c>
      <c r="H3384" s="3" t="s">
        <v>52</v>
      </c>
      <c r="I3384" s="3" t="s">
        <v>637</v>
      </c>
      <c r="J3384" s="3" t="s">
        <v>171</v>
      </c>
      <c r="K3384" s="3">
        <v>7</v>
      </c>
      <c r="L3384" s="3">
        <v>25.24</v>
      </c>
      <c r="M3384" s="3">
        <v>176.68</v>
      </c>
      <c r="N3384" s="3">
        <v>66.62</v>
      </c>
      <c r="O3384" s="3">
        <v>110.06</v>
      </c>
      <c r="P3384" s="3" t="s">
        <v>69</v>
      </c>
    </row>
    <row r="3385" spans="1:16" x14ac:dyDescent="0.35">
      <c r="A3385" s="3" t="s">
        <v>4806</v>
      </c>
      <c r="B3385" s="3" t="s">
        <v>1159</v>
      </c>
      <c r="C3385" s="3" t="s">
        <v>29</v>
      </c>
      <c r="D3385" s="3" t="s">
        <v>19</v>
      </c>
      <c r="E3385" s="3" t="s">
        <v>199</v>
      </c>
      <c r="F3385" s="3" t="s">
        <v>200</v>
      </c>
      <c r="G3385" s="3" t="s">
        <v>30</v>
      </c>
      <c r="H3385" s="3" t="s">
        <v>67</v>
      </c>
      <c r="I3385" s="3" t="s">
        <v>1868</v>
      </c>
      <c r="J3385" s="3" t="s">
        <v>54</v>
      </c>
      <c r="K3385" s="3">
        <v>2</v>
      </c>
      <c r="L3385" s="3">
        <v>8997.2800000000007</v>
      </c>
      <c r="M3385" s="3">
        <v>17994.560000000001</v>
      </c>
      <c r="N3385" s="3">
        <v>14573.3</v>
      </c>
      <c r="O3385" s="3">
        <v>3421.26</v>
      </c>
      <c r="P3385" s="3" t="s">
        <v>26</v>
      </c>
    </row>
    <row r="3386" spans="1:16" x14ac:dyDescent="0.35">
      <c r="A3386" s="3" t="s">
        <v>4807</v>
      </c>
      <c r="B3386" s="3" t="s">
        <v>102</v>
      </c>
      <c r="C3386" s="3" t="s">
        <v>103</v>
      </c>
      <c r="D3386" s="3" t="s">
        <v>38</v>
      </c>
      <c r="E3386" s="3" t="s">
        <v>109</v>
      </c>
      <c r="F3386" s="3" t="s">
        <v>110</v>
      </c>
      <c r="G3386" s="3" t="s">
        <v>41</v>
      </c>
      <c r="H3386" s="3" t="s">
        <v>61</v>
      </c>
      <c r="I3386" s="3" t="s">
        <v>1796</v>
      </c>
      <c r="J3386" s="3" t="s">
        <v>85</v>
      </c>
      <c r="K3386" s="3">
        <v>7</v>
      </c>
      <c r="L3386" s="3">
        <v>2610.16</v>
      </c>
      <c r="M3386" s="3">
        <v>18271.12</v>
      </c>
      <c r="N3386" s="3">
        <v>11075.61</v>
      </c>
      <c r="O3386" s="3">
        <v>7195.51</v>
      </c>
      <c r="P3386" s="3" t="s">
        <v>86</v>
      </c>
    </row>
    <row r="3387" spans="1:16" x14ac:dyDescent="0.35">
      <c r="A3387" s="3" t="s">
        <v>4808</v>
      </c>
      <c r="B3387" s="3" t="s">
        <v>999</v>
      </c>
      <c r="C3387" s="3" t="s">
        <v>103</v>
      </c>
      <c r="D3387" s="3" t="s">
        <v>58</v>
      </c>
      <c r="E3387" s="3" t="s">
        <v>65</v>
      </c>
      <c r="F3387" s="3" t="s">
        <v>66</v>
      </c>
      <c r="G3387" s="3" t="s">
        <v>22</v>
      </c>
      <c r="H3387" s="3" t="s">
        <v>83</v>
      </c>
      <c r="I3387" s="3" t="s">
        <v>3096</v>
      </c>
      <c r="J3387" s="3" t="s">
        <v>188</v>
      </c>
      <c r="K3387" s="3">
        <v>1</v>
      </c>
      <c r="L3387" s="3">
        <v>24019.200000000001</v>
      </c>
      <c r="M3387" s="3">
        <v>24019.200000000001</v>
      </c>
      <c r="N3387" s="3">
        <v>16308.58</v>
      </c>
      <c r="O3387" s="3">
        <v>7710.62</v>
      </c>
      <c r="P3387" s="3" t="s">
        <v>86</v>
      </c>
    </row>
    <row r="3388" spans="1:16" x14ac:dyDescent="0.35">
      <c r="A3388" s="3" t="s">
        <v>4809</v>
      </c>
      <c r="B3388" s="3" t="s">
        <v>819</v>
      </c>
      <c r="C3388" s="3" t="s">
        <v>89</v>
      </c>
      <c r="D3388" s="3" t="s">
        <v>58</v>
      </c>
      <c r="E3388" s="3" t="s">
        <v>65</v>
      </c>
      <c r="F3388" s="3" t="s">
        <v>66</v>
      </c>
      <c r="G3388" s="3" t="s">
        <v>30</v>
      </c>
      <c r="H3388" s="3" t="s">
        <v>31</v>
      </c>
      <c r="I3388" s="3" t="s">
        <v>783</v>
      </c>
      <c r="J3388" s="3" t="s">
        <v>131</v>
      </c>
      <c r="K3388" s="3">
        <v>3</v>
      </c>
      <c r="L3388" s="3">
        <v>2828.56</v>
      </c>
      <c r="M3388" s="3">
        <v>8485.68</v>
      </c>
      <c r="N3388" s="3">
        <v>5883.57</v>
      </c>
      <c r="O3388" s="3">
        <v>2602.11</v>
      </c>
      <c r="P3388" s="3" t="s">
        <v>34</v>
      </c>
    </row>
    <row r="3389" spans="1:16" x14ac:dyDescent="0.35">
      <c r="A3389" s="3" t="s">
        <v>4810</v>
      </c>
      <c r="B3389" s="3" t="s">
        <v>2127</v>
      </c>
      <c r="C3389" s="3" t="s">
        <v>48</v>
      </c>
      <c r="D3389" s="3" t="s">
        <v>19</v>
      </c>
      <c r="E3389" s="3" t="s">
        <v>199</v>
      </c>
      <c r="F3389" s="3" t="s">
        <v>200</v>
      </c>
      <c r="G3389" s="3" t="s">
        <v>30</v>
      </c>
      <c r="H3389" s="3" t="s">
        <v>73</v>
      </c>
      <c r="I3389" s="3" t="s">
        <v>1637</v>
      </c>
      <c r="J3389" s="3" t="s">
        <v>217</v>
      </c>
      <c r="K3389" s="3">
        <v>3</v>
      </c>
      <c r="L3389" s="3">
        <v>3443.95</v>
      </c>
      <c r="M3389" s="3">
        <v>10331.85</v>
      </c>
      <c r="N3389" s="3">
        <v>7163.46</v>
      </c>
      <c r="O3389" s="3">
        <v>3168.39</v>
      </c>
      <c r="P3389" s="3" t="s">
        <v>69</v>
      </c>
    </row>
    <row r="3390" spans="1:16" x14ac:dyDescent="0.35">
      <c r="A3390" s="3" t="s">
        <v>4811</v>
      </c>
      <c r="B3390" s="3" t="s">
        <v>274</v>
      </c>
      <c r="C3390" s="3" t="s">
        <v>57</v>
      </c>
      <c r="D3390" s="3" t="s">
        <v>58</v>
      </c>
      <c r="E3390" s="3" t="s">
        <v>59</v>
      </c>
      <c r="F3390" s="3" t="s">
        <v>60</v>
      </c>
      <c r="G3390" s="3" t="s">
        <v>41</v>
      </c>
      <c r="H3390" s="3" t="s">
        <v>61</v>
      </c>
      <c r="I3390" s="3" t="s">
        <v>557</v>
      </c>
      <c r="J3390" s="3" t="s">
        <v>171</v>
      </c>
      <c r="K3390" s="3">
        <v>8</v>
      </c>
      <c r="L3390" s="3">
        <v>2604.1799999999998</v>
      </c>
      <c r="M3390" s="3">
        <v>20833.439999999999</v>
      </c>
      <c r="N3390" s="3">
        <v>12820.01</v>
      </c>
      <c r="O3390" s="3">
        <v>8013.43</v>
      </c>
      <c r="P3390" s="3" t="s">
        <v>34</v>
      </c>
    </row>
    <row r="3391" spans="1:16" x14ac:dyDescent="0.35">
      <c r="A3391" s="3" t="s">
        <v>4812</v>
      </c>
      <c r="B3391" s="3" t="s">
        <v>1695</v>
      </c>
      <c r="C3391" s="3" t="s">
        <v>89</v>
      </c>
      <c r="D3391" s="3" t="s">
        <v>19</v>
      </c>
      <c r="E3391" s="3" t="s">
        <v>20</v>
      </c>
      <c r="F3391" s="3" t="s">
        <v>21</v>
      </c>
      <c r="G3391" s="3" t="s">
        <v>22</v>
      </c>
      <c r="H3391" s="3" t="s">
        <v>83</v>
      </c>
      <c r="I3391" s="3" t="s">
        <v>2381</v>
      </c>
      <c r="J3391" s="3" t="s">
        <v>85</v>
      </c>
      <c r="K3391" s="3">
        <v>5</v>
      </c>
      <c r="L3391" s="3">
        <v>21686.45</v>
      </c>
      <c r="M3391" s="3">
        <v>108432.25</v>
      </c>
      <c r="N3391" s="3">
        <v>84698.36</v>
      </c>
      <c r="O3391" s="3">
        <v>23733.89</v>
      </c>
      <c r="P3391" s="3" t="s">
        <v>45</v>
      </c>
    </row>
    <row r="3392" spans="1:16" x14ac:dyDescent="0.35">
      <c r="A3392" s="3" t="s">
        <v>4813</v>
      </c>
      <c r="B3392" s="3" t="s">
        <v>152</v>
      </c>
      <c r="C3392" s="3" t="s">
        <v>57</v>
      </c>
      <c r="D3392" s="3" t="s">
        <v>58</v>
      </c>
      <c r="E3392" s="3" t="s">
        <v>59</v>
      </c>
      <c r="F3392" s="3" t="s">
        <v>60</v>
      </c>
      <c r="G3392" s="3" t="s">
        <v>30</v>
      </c>
      <c r="H3392" s="3" t="s">
        <v>73</v>
      </c>
      <c r="I3392" s="3" t="s">
        <v>667</v>
      </c>
      <c r="J3392" s="3" t="s">
        <v>154</v>
      </c>
      <c r="K3392" s="3">
        <v>6</v>
      </c>
      <c r="L3392" s="3">
        <v>3237.31</v>
      </c>
      <c r="M3392" s="3">
        <v>19423.86</v>
      </c>
      <c r="N3392" s="3">
        <v>14523.68</v>
      </c>
      <c r="O3392" s="3">
        <v>4900.18</v>
      </c>
      <c r="P3392" s="3" t="s">
        <v>26</v>
      </c>
    </row>
    <row r="3393" spans="1:16" x14ac:dyDescent="0.35">
      <c r="A3393" s="3" t="s">
        <v>4814</v>
      </c>
      <c r="B3393" s="3" t="s">
        <v>398</v>
      </c>
      <c r="C3393" s="3" t="s">
        <v>57</v>
      </c>
      <c r="D3393" s="3" t="s">
        <v>38</v>
      </c>
      <c r="E3393" s="3" t="s">
        <v>39</v>
      </c>
      <c r="F3393" s="3" t="s">
        <v>40</v>
      </c>
      <c r="G3393" s="3" t="s">
        <v>30</v>
      </c>
      <c r="H3393" s="3" t="s">
        <v>31</v>
      </c>
      <c r="I3393" s="3" t="s">
        <v>266</v>
      </c>
      <c r="J3393" s="3" t="s">
        <v>100</v>
      </c>
      <c r="K3393" s="3">
        <v>2</v>
      </c>
      <c r="L3393" s="3">
        <v>2854.75</v>
      </c>
      <c r="M3393" s="3">
        <v>5709.5</v>
      </c>
      <c r="N3393" s="3">
        <v>3743.6</v>
      </c>
      <c r="O3393" s="3">
        <v>1965.9</v>
      </c>
      <c r="P3393" s="3" t="s">
        <v>26</v>
      </c>
    </row>
    <row r="3394" spans="1:16" x14ac:dyDescent="0.35">
      <c r="A3394" s="3" t="s">
        <v>4815</v>
      </c>
      <c r="B3394" s="3" t="s">
        <v>236</v>
      </c>
      <c r="C3394" s="3" t="s">
        <v>18</v>
      </c>
      <c r="D3394" s="3" t="s">
        <v>19</v>
      </c>
      <c r="E3394" s="3" t="s">
        <v>20</v>
      </c>
      <c r="F3394" s="3" t="s">
        <v>21</v>
      </c>
      <c r="G3394" s="3" t="s">
        <v>22</v>
      </c>
      <c r="H3394" s="3" t="s">
        <v>83</v>
      </c>
      <c r="I3394" s="3" t="s">
        <v>2510</v>
      </c>
      <c r="J3394" s="3" t="s">
        <v>171</v>
      </c>
      <c r="K3394" s="3">
        <v>7</v>
      </c>
      <c r="L3394" s="3">
        <v>23397.919999999998</v>
      </c>
      <c r="M3394" s="3">
        <v>163785.44</v>
      </c>
      <c r="N3394" s="3">
        <v>122333.85</v>
      </c>
      <c r="O3394" s="3">
        <v>41451.589999999997</v>
      </c>
      <c r="P3394" s="3" t="s">
        <v>34</v>
      </c>
    </row>
    <row r="3395" spans="1:16" x14ac:dyDescent="0.35">
      <c r="A3395" s="3" t="s">
        <v>4816</v>
      </c>
      <c r="B3395" s="3" t="s">
        <v>415</v>
      </c>
      <c r="C3395" s="3" t="s">
        <v>18</v>
      </c>
      <c r="D3395" s="3" t="s">
        <v>19</v>
      </c>
      <c r="E3395" s="3" t="s">
        <v>49</v>
      </c>
      <c r="F3395" s="3" t="s">
        <v>50</v>
      </c>
      <c r="G3395" s="3" t="s">
        <v>51</v>
      </c>
      <c r="H3395" s="3" t="s">
        <v>145</v>
      </c>
      <c r="I3395" s="3" t="s">
        <v>1189</v>
      </c>
      <c r="J3395" s="3" t="s">
        <v>106</v>
      </c>
      <c r="K3395" s="3">
        <v>6</v>
      </c>
      <c r="L3395" s="3">
        <v>117.06</v>
      </c>
      <c r="M3395" s="3">
        <v>702.36</v>
      </c>
      <c r="N3395" s="3">
        <v>350.56</v>
      </c>
      <c r="O3395" s="3">
        <v>351.8</v>
      </c>
      <c r="P3395" s="3" t="s">
        <v>26</v>
      </c>
    </row>
    <row r="3396" spans="1:16" x14ac:dyDescent="0.35">
      <c r="A3396" s="3" t="s">
        <v>4817</v>
      </c>
      <c r="B3396" s="3" t="s">
        <v>163</v>
      </c>
      <c r="C3396" s="3" t="s">
        <v>137</v>
      </c>
      <c r="D3396" s="3" t="s">
        <v>58</v>
      </c>
      <c r="E3396" s="3" t="s">
        <v>65</v>
      </c>
      <c r="F3396" s="3" t="s">
        <v>66</v>
      </c>
      <c r="G3396" s="3" t="s">
        <v>30</v>
      </c>
      <c r="H3396" s="3" t="s">
        <v>31</v>
      </c>
      <c r="I3396" s="3" t="s">
        <v>4683</v>
      </c>
      <c r="J3396" s="3" t="s">
        <v>161</v>
      </c>
      <c r="K3396" s="3">
        <v>3</v>
      </c>
      <c r="L3396" s="3">
        <v>2539.2399999999998</v>
      </c>
      <c r="M3396" s="3">
        <v>7617.72</v>
      </c>
      <c r="N3396" s="3">
        <v>5454.65</v>
      </c>
      <c r="O3396" s="3">
        <v>2163.0700000000002</v>
      </c>
      <c r="P3396" s="3" t="s">
        <v>26</v>
      </c>
    </row>
    <row r="3397" spans="1:16" x14ac:dyDescent="0.35">
      <c r="A3397" s="3" t="s">
        <v>4818</v>
      </c>
      <c r="B3397" s="3" t="s">
        <v>1383</v>
      </c>
      <c r="C3397" s="3" t="s">
        <v>18</v>
      </c>
      <c r="D3397" s="3" t="s">
        <v>90</v>
      </c>
      <c r="E3397" s="3" t="s">
        <v>119</v>
      </c>
      <c r="F3397" s="3" t="s">
        <v>120</v>
      </c>
      <c r="G3397" s="3" t="s">
        <v>22</v>
      </c>
      <c r="H3397" s="3" t="s">
        <v>83</v>
      </c>
      <c r="I3397" s="3" t="s">
        <v>3002</v>
      </c>
      <c r="J3397" s="3" t="s">
        <v>25</v>
      </c>
      <c r="K3397" s="3">
        <v>1</v>
      </c>
      <c r="L3397" s="3">
        <v>22398.71</v>
      </c>
      <c r="M3397" s="3">
        <v>22398.71</v>
      </c>
      <c r="N3397" s="3">
        <v>16526.11</v>
      </c>
      <c r="O3397" s="3">
        <v>5872.6</v>
      </c>
      <c r="P3397" s="3" t="s">
        <v>86</v>
      </c>
    </row>
    <row r="3398" spans="1:16" x14ac:dyDescent="0.35">
      <c r="A3398" s="3" t="s">
        <v>4819</v>
      </c>
      <c r="B3398" s="3" t="s">
        <v>327</v>
      </c>
      <c r="C3398" s="3" t="s">
        <v>48</v>
      </c>
      <c r="D3398" s="3" t="s">
        <v>38</v>
      </c>
      <c r="E3398" s="3" t="s">
        <v>104</v>
      </c>
      <c r="F3398" s="3" t="s">
        <v>104</v>
      </c>
      <c r="G3398" s="3" t="s">
        <v>22</v>
      </c>
      <c r="H3398" s="3" t="s">
        <v>93</v>
      </c>
      <c r="I3398" s="3" t="s">
        <v>2557</v>
      </c>
      <c r="J3398" s="3" t="s">
        <v>154</v>
      </c>
      <c r="K3398" s="3">
        <v>2</v>
      </c>
      <c r="L3398" s="3">
        <v>7544.72</v>
      </c>
      <c r="M3398" s="3">
        <v>15089.44</v>
      </c>
      <c r="N3398" s="3">
        <v>10341.84</v>
      </c>
      <c r="O3398" s="3">
        <v>4747.6000000000004</v>
      </c>
      <c r="P3398" s="3" t="s">
        <v>26</v>
      </c>
    </row>
    <row r="3399" spans="1:16" x14ac:dyDescent="0.35">
      <c r="A3399" s="3" t="s">
        <v>4820</v>
      </c>
      <c r="B3399" s="3" t="s">
        <v>344</v>
      </c>
      <c r="C3399" s="3" t="s">
        <v>48</v>
      </c>
      <c r="D3399" s="3" t="s">
        <v>90</v>
      </c>
      <c r="E3399" s="3" t="s">
        <v>119</v>
      </c>
      <c r="F3399" s="3" t="s">
        <v>120</v>
      </c>
      <c r="G3399" s="3" t="s">
        <v>51</v>
      </c>
      <c r="H3399" s="3" t="s">
        <v>52</v>
      </c>
      <c r="I3399" s="3" t="s">
        <v>4334</v>
      </c>
      <c r="J3399" s="3" t="s">
        <v>100</v>
      </c>
      <c r="K3399" s="3">
        <v>5</v>
      </c>
      <c r="L3399" s="3">
        <v>24.81</v>
      </c>
      <c r="M3399" s="3">
        <v>124.05</v>
      </c>
      <c r="N3399" s="3">
        <v>50.35</v>
      </c>
      <c r="O3399" s="3">
        <v>73.7</v>
      </c>
      <c r="P3399" s="3" t="s">
        <v>26</v>
      </c>
    </row>
    <row r="3400" spans="1:16" x14ac:dyDescent="0.35">
      <c r="A3400" s="3" t="s">
        <v>4821</v>
      </c>
      <c r="B3400" s="3" t="s">
        <v>415</v>
      </c>
      <c r="C3400" s="3" t="s">
        <v>18</v>
      </c>
      <c r="D3400" s="3" t="s">
        <v>38</v>
      </c>
      <c r="E3400" s="3" t="s">
        <v>39</v>
      </c>
      <c r="F3400" s="3" t="s">
        <v>40</v>
      </c>
      <c r="G3400" s="3" t="s">
        <v>22</v>
      </c>
      <c r="H3400" s="3" t="s">
        <v>93</v>
      </c>
      <c r="I3400" s="3" t="s">
        <v>2567</v>
      </c>
      <c r="J3400" s="3" t="s">
        <v>171</v>
      </c>
      <c r="K3400" s="3">
        <v>5</v>
      </c>
      <c r="L3400" s="3">
        <v>7538.31</v>
      </c>
      <c r="M3400" s="3">
        <v>37691.550000000003</v>
      </c>
      <c r="N3400" s="3">
        <v>25211.54</v>
      </c>
      <c r="O3400" s="3">
        <v>12480.01</v>
      </c>
      <c r="P3400" s="3" t="s">
        <v>45</v>
      </c>
    </row>
    <row r="3401" spans="1:16" x14ac:dyDescent="0.35">
      <c r="A3401" s="3" t="s">
        <v>4822</v>
      </c>
      <c r="B3401" s="3" t="s">
        <v>502</v>
      </c>
      <c r="C3401" s="3" t="s">
        <v>48</v>
      </c>
      <c r="D3401" s="3" t="s">
        <v>19</v>
      </c>
      <c r="E3401" s="3" t="s">
        <v>49</v>
      </c>
      <c r="F3401" s="3" t="s">
        <v>50</v>
      </c>
      <c r="G3401" s="3" t="s">
        <v>51</v>
      </c>
      <c r="H3401" s="3" t="s">
        <v>145</v>
      </c>
      <c r="I3401" s="3" t="s">
        <v>4823</v>
      </c>
      <c r="J3401" s="3" t="s">
        <v>161</v>
      </c>
      <c r="K3401" s="3">
        <v>2</v>
      </c>
      <c r="L3401" s="3">
        <v>117.55</v>
      </c>
      <c r="M3401" s="3">
        <v>235.1</v>
      </c>
      <c r="N3401" s="3">
        <v>114.05</v>
      </c>
      <c r="O3401" s="3">
        <v>121.05</v>
      </c>
      <c r="P3401" s="3" t="s">
        <v>34</v>
      </c>
    </row>
    <row r="3402" spans="1:16" x14ac:dyDescent="0.35">
      <c r="A3402" s="3" t="s">
        <v>4824</v>
      </c>
      <c r="B3402" s="3" t="s">
        <v>468</v>
      </c>
      <c r="C3402" s="3" t="s">
        <v>82</v>
      </c>
      <c r="D3402" s="3" t="s">
        <v>19</v>
      </c>
      <c r="E3402" s="3" t="s">
        <v>20</v>
      </c>
      <c r="F3402" s="3" t="s">
        <v>21</v>
      </c>
      <c r="G3402" s="3" t="s">
        <v>22</v>
      </c>
      <c r="H3402" s="3" t="s">
        <v>23</v>
      </c>
      <c r="I3402" s="3" t="s">
        <v>3489</v>
      </c>
      <c r="J3402" s="3" t="s">
        <v>171</v>
      </c>
      <c r="K3402" s="3">
        <v>1</v>
      </c>
      <c r="L3402" s="3">
        <v>3198.45</v>
      </c>
      <c r="M3402" s="3">
        <v>3198.45</v>
      </c>
      <c r="N3402" s="3">
        <v>2170.1999999999998</v>
      </c>
      <c r="O3402" s="3">
        <v>1028.25</v>
      </c>
      <c r="P3402" s="3" t="s">
        <v>69</v>
      </c>
    </row>
    <row r="3403" spans="1:16" x14ac:dyDescent="0.35">
      <c r="A3403" s="3" t="s">
        <v>4825</v>
      </c>
      <c r="B3403" s="3" t="s">
        <v>2688</v>
      </c>
      <c r="C3403" s="3" t="s">
        <v>48</v>
      </c>
      <c r="D3403" s="3" t="s">
        <v>19</v>
      </c>
      <c r="E3403" s="3" t="s">
        <v>20</v>
      </c>
      <c r="F3403" s="3" t="s">
        <v>21</v>
      </c>
      <c r="G3403" s="3" t="s">
        <v>22</v>
      </c>
      <c r="H3403" s="3" t="s">
        <v>93</v>
      </c>
      <c r="I3403" s="3" t="s">
        <v>1123</v>
      </c>
      <c r="J3403" s="3" t="s">
        <v>131</v>
      </c>
      <c r="K3403" s="3">
        <v>4</v>
      </c>
      <c r="L3403" s="3">
        <v>6537.81</v>
      </c>
      <c r="M3403" s="3">
        <v>26151.24</v>
      </c>
      <c r="N3403" s="3">
        <v>20428.560000000001</v>
      </c>
      <c r="O3403" s="3">
        <v>5722.68</v>
      </c>
      <c r="P3403" s="3" t="s">
        <v>34</v>
      </c>
    </row>
    <row r="3404" spans="1:16" x14ac:dyDescent="0.35">
      <c r="A3404" s="3" t="s">
        <v>4826</v>
      </c>
      <c r="B3404" s="3" t="s">
        <v>195</v>
      </c>
      <c r="C3404" s="3" t="s">
        <v>18</v>
      </c>
      <c r="D3404" s="3" t="s">
        <v>90</v>
      </c>
      <c r="E3404" s="3" t="s">
        <v>119</v>
      </c>
      <c r="F3404" s="3" t="s">
        <v>120</v>
      </c>
      <c r="G3404" s="3" t="s">
        <v>22</v>
      </c>
      <c r="H3404" s="3" t="s">
        <v>83</v>
      </c>
      <c r="I3404" s="3" t="s">
        <v>1264</v>
      </c>
      <c r="J3404" s="3" t="s">
        <v>188</v>
      </c>
      <c r="K3404" s="3">
        <v>3</v>
      </c>
      <c r="L3404" s="3">
        <v>19969.87</v>
      </c>
      <c r="M3404" s="3">
        <v>59909.61</v>
      </c>
      <c r="N3404" s="3">
        <v>52185.87</v>
      </c>
      <c r="O3404" s="3">
        <v>7723.74</v>
      </c>
      <c r="P3404" s="3" t="s">
        <v>26</v>
      </c>
    </row>
    <row r="3405" spans="1:16" x14ac:dyDescent="0.35">
      <c r="A3405" s="3" t="s">
        <v>4827</v>
      </c>
      <c r="B3405" s="3" t="s">
        <v>225</v>
      </c>
      <c r="C3405" s="3" t="s">
        <v>89</v>
      </c>
      <c r="D3405" s="3" t="s">
        <v>90</v>
      </c>
      <c r="E3405" s="3" t="s">
        <v>119</v>
      </c>
      <c r="F3405" s="3" t="s">
        <v>120</v>
      </c>
      <c r="G3405" s="3" t="s">
        <v>30</v>
      </c>
      <c r="H3405" s="3" t="s">
        <v>73</v>
      </c>
      <c r="I3405" s="3" t="s">
        <v>1361</v>
      </c>
      <c r="J3405" s="3" t="s">
        <v>33</v>
      </c>
      <c r="K3405" s="3">
        <v>2</v>
      </c>
      <c r="L3405" s="3">
        <v>3421.72</v>
      </c>
      <c r="M3405" s="3">
        <v>6843.44</v>
      </c>
      <c r="N3405" s="3">
        <v>4702.8999999999996</v>
      </c>
      <c r="O3405" s="3">
        <v>2140.54</v>
      </c>
      <c r="P3405" s="3" t="s">
        <v>69</v>
      </c>
    </row>
    <row r="3406" spans="1:16" x14ac:dyDescent="0.35">
      <c r="A3406" s="3" t="s">
        <v>4828</v>
      </c>
      <c r="B3406" s="3" t="s">
        <v>518</v>
      </c>
      <c r="C3406" s="3" t="s">
        <v>89</v>
      </c>
      <c r="D3406" s="3" t="s">
        <v>90</v>
      </c>
      <c r="E3406" s="3" t="s">
        <v>97</v>
      </c>
      <c r="F3406" s="3" t="s">
        <v>98</v>
      </c>
      <c r="G3406" s="3" t="s">
        <v>51</v>
      </c>
      <c r="H3406" s="3" t="s">
        <v>77</v>
      </c>
      <c r="I3406" s="3" t="s">
        <v>1184</v>
      </c>
      <c r="J3406" s="3" t="s">
        <v>154</v>
      </c>
      <c r="K3406" s="3">
        <v>4</v>
      </c>
      <c r="L3406" s="3">
        <v>12667.85</v>
      </c>
      <c r="M3406" s="3">
        <v>50671.4</v>
      </c>
      <c r="N3406" s="3">
        <v>36076.19</v>
      </c>
      <c r="O3406" s="3">
        <v>14595.21</v>
      </c>
      <c r="P3406" s="3" t="s">
        <v>26</v>
      </c>
    </row>
    <row r="3407" spans="1:16" x14ac:dyDescent="0.35">
      <c r="A3407" s="3" t="s">
        <v>4829</v>
      </c>
      <c r="B3407" s="3" t="s">
        <v>336</v>
      </c>
      <c r="C3407" s="3" t="s">
        <v>29</v>
      </c>
      <c r="D3407" s="3" t="s">
        <v>58</v>
      </c>
      <c r="E3407" s="3" t="s">
        <v>176</v>
      </c>
      <c r="F3407" s="3" t="s">
        <v>177</v>
      </c>
      <c r="G3407" s="3" t="s">
        <v>41</v>
      </c>
      <c r="H3407" s="3" t="s">
        <v>42</v>
      </c>
      <c r="I3407" s="3" t="s">
        <v>853</v>
      </c>
      <c r="J3407" s="3" t="s">
        <v>25</v>
      </c>
      <c r="K3407" s="3">
        <v>8</v>
      </c>
      <c r="L3407" s="3">
        <v>45000.84</v>
      </c>
      <c r="M3407" s="3">
        <v>360006.72</v>
      </c>
      <c r="N3407" s="3">
        <v>291093.73</v>
      </c>
      <c r="O3407" s="3">
        <v>68912.990000000005</v>
      </c>
      <c r="P3407" s="3" t="s">
        <v>26</v>
      </c>
    </row>
    <row r="3408" spans="1:16" x14ac:dyDescent="0.35">
      <c r="A3408" s="3" t="s">
        <v>4830</v>
      </c>
      <c r="B3408" s="3" t="s">
        <v>209</v>
      </c>
      <c r="C3408" s="3" t="s">
        <v>118</v>
      </c>
      <c r="D3408" s="3" t="s">
        <v>19</v>
      </c>
      <c r="E3408" s="3" t="s">
        <v>49</v>
      </c>
      <c r="F3408" s="3" t="s">
        <v>50</v>
      </c>
      <c r="G3408" s="3" t="s">
        <v>51</v>
      </c>
      <c r="H3408" s="3" t="s">
        <v>52</v>
      </c>
      <c r="I3408" s="3" t="s">
        <v>1172</v>
      </c>
      <c r="J3408" s="3" t="s">
        <v>100</v>
      </c>
      <c r="K3408" s="3">
        <v>8</v>
      </c>
      <c r="L3408" s="3">
        <v>23.27</v>
      </c>
      <c r="M3408" s="3">
        <v>186.16</v>
      </c>
      <c r="N3408" s="3">
        <v>83.92</v>
      </c>
      <c r="O3408" s="3">
        <v>102.24</v>
      </c>
      <c r="P3408" s="3" t="s">
        <v>45</v>
      </c>
    </row>
    <row r="3409" spans="1:16" x14ac:dyDescent="0.35">
      <c r="A3409" s="3" t="s">
        <v>4831</v>
      </c>
      <c r="B3409" s="3" t="s">
        <v>417</v>
      </c>
      <c r="C3409" s="3" t="s">
        <v>37</v>
      </c>
      <c r="D3409" s="3" t="s">
        <v>58</v>
      </c>
      <c r="E3409" s="3" t="s">
        <v>176</v>
      </c>
      <c r="F3409" s="3" t="s">
        <v>177</v>
      </c>
      <c r="G3409" s="3" t="s">
        <v>51</v>
      </c>
      <c r="H3409" s="3" t="s">
        <v>77</v>
      </c>
      <c r="I3409" s="3" t="s">
        <v>771</v>
      </c>
      <c r="J3409" s="3" t="s">
        <v>100</v>
      </c>
      <c r="K3409" s="3">
        <v>1</v>
      </c>
      <c r="L3409" s="3">
        <v>12229.34</v>
      </c>
      <c r="M3409" s="3">
        <v>12229.34</v>
      </c>
      <c r="N3409" s="3">
        <v>8793.07</v>
      </c>
      <c r="O3409" s="3">
        <v>3436.27</v>
      </c>
      <c r="P3409" s="3" t="s">
        <v>26</v>
      </c>
    </row>
    <row r="3410" spans="1:16" x14ac:dyDescent="0.35">
      <c r="A3410" s="3" t="s">
        <v>4832</v>
      </c>
      <c r="B3410" s="3" t="s">
        <v>381</v>
      </c>
      <c r="C3410" s="3" t="s">
        <v>18</v>
      </c>
      <c r="D3410" s="3" t="s">
        <v>58</v>
      </c>
      <c r="E3410" s="3" t="s">
        <v>65</v>
      </c>
      <c r="F3410" s="3" t="s">
        <v>66</v>
      </c>
      <c r="G3410" s="3" t="s">
        <v>22</v>
      </c>
      <c r="H3410" s="3" t="s">
        <v>23</v>
      </c>
      <c r="I3410" s="3" t="s">
        <v>2181</v>
      </c>
      <c r="J3410" s="3" t="s">
        <v>161</v>
      </c>
      <c r="K3410" s="3">
        <v>1</v>
      </c>
      <c r="L3410" s="3">
        <v>3395.88</v>
      </c>
      <c r="M3410" s="3">
        <v>3395.88</v>
      </c>
      <c r="N3410" s="3">
        <v>2172.08</v>
      </c>
      <c r="O3410" s="3">
        <v>1223.8</v>
      </c>
      <c r="P3410" s="3" t="s">
        <v>45</v>
      </c>
    </row>
    <row r="3411" spans="1:16" x14ac:dyDescent="0.35">
      <c r="A3411" s="3" t="s">
        <v>4833</v>
      </c>
      <c r="B3411" s="3" t="s">
        <v>1406</v>
      </c>
      <c r="C3411" s="3" t="s">
        <v>137</v>
      </c>
      <c r="D3411" s="3" t="s">
        <v>90</v>
      </c>
      <c r="E3411" s="3" t="s">
        <v>119</v>
      </c>
      <c r="F3411" s="3" t="s">
        <v>120</v>
      </c>
      <c r="G3411" s="3" t="s">
        <v>51</v>
      </c>
      <c r="H3411" s="3" t="s">
        <v>77</v>
      </c>
      <c r="I3411" s="3" t="s">
        <v>1395</v>
      </c>
      <c r="J3411" s="3" t="s">
        <v>79</v>
      </c>
      <c r="K3411" s="3">
        <v>8</v>
      </c>
      <c r="L3411" s="3">
        <v>11083.37</v>
      </c>
      <c r="M3411" s="3">
        <v>88666.96</v>
      </c>
      <c r="N3411" s="3">
        <v>74101.97</v>
      </c>
      <c r="O3411" s="3">
        <v>14564.99</v>
      </c>
      <c r="P3411" s="3" t="s">
        <v>34</v>
      </c>
    </row>
    <row r="3412" spans="1:16" x14ac:dyDescent="0.35">
      <c r="A3412" s="3" t="s">
        <v>4834</v>
      </c>
      <c r="B3412" s="3" t="s">
        <v>2222</v>
      </c>
      <c r="C3412" s="3" t="s">
        <v>89</v>
      </c>
      <c r="D3412" s="3" t="s">
        <v>38</v>
      </c>
      <c r="E3412" s="3" t="s">
        <v>104</v>
      </c>
      <c r="F3412" s="3" t="s">
        <v>104</v>
      </c>
      <c r="G3412" s="3" t="s">
        <v>51</v>
      </c>
      <c r="H3412" s="3" t="s">
        <v>77</v>
      </c>
      <c r="I3412" s="3" t="s">
        <v>783</v>
      </c>
      <c r="J3412" s="3" t="s">
        <v>188</v>
      </c>
      <c r="K3412" s="3">
        <v>1</v>
      </c>
      <c r="L3412" s="3">
        <v>10868.32</v>
      </c>
      <c r="M3412" s="3">
        <v>10868.32</v>
      </c>
      <c r="N3412" s="3">
        <v>9315.44</v>
      </c>
      <c r="O3412" s="3">
        <v>1552.88</v>
      </c>
      <c r="P3412" s="3" t="s">
        <v>86</v>
      </c>
    </row>
    <row r="3413" spans="1:16" x14ac:dyDescent="0.35">
      <c r="A3413" s="3" t="s">
        <v>4835</v>
      </c>
      <c r="B3413" s="3" t="s">
        <v>36</v>
      </c>
      <c r="C3413" s="3" t="s">
        <v>37</v>
      </c>
      <c r="D3413" s="3" t="s">
        <v>58</v>
      </c>
      <c r="E3413" s="3" t="s">
        <v>59</v>
      </c>
      <c r="F3413" s="3" t="s">
        <v>60</v>
      </c>
      <c r="G3413" s="3" t="s">
        <v>51</v>
      </c>
      <c r="H3413" s="3" t="s">
        <v>77</v>
      </c>
      <c r="I3413" s="3" t="s">
        <v>891</v>
      </c>
      <c r="J3413" s="3" t="s">
        <v>33</v>
      </c>
      <c r="K3413" s="3">
        <v>6</v>
      </c>
      <c r="L3413" s="3">
        <v>12437.11</v>
      </c>
      <c r="M3413" s="3">
        <v>74622.66</v>
      </c>
      <c r="N3413" s="3">
        <v>54951.54</v>
      </c>
      <c r="O3413" s="3">
        <v>19671.12</v>
      </c>
      <c r="P3413" s="3" t="s">
        <v>69</v>
      </c>
    </row>
    <row r="3414" spans="1:16" x14ac:dyDescent="0.35">
      <c r="A3414" s="3" t="s">
        <v>4836</v>
      </c>
      <c r="B3414" s="3" t="s">
        <v>1527</v>
      </c>
      <c r="C3414" s="3" t="s">
        <v>114</v>
      </c>
      <c r="D3414" s="3" t="s">
        <v>38</v>
      </c>
      <c r="E3414" s="3" t="s">
        <v>39</v>
      </c>
      <c r="F3414" s="3" t="s">
        <v>40</v>
      </c>
      <c r="G3414" s="3" t="s">
        <v>41</v>
      </c>
      <c r="H3414" s="3" t="s">
        <v>61</v>
      </c>
      <c r="I3414" s="3" t="s">
        <v>3562</v>
      </c>
      <c r="J3414" s="3" t="s">
        <v>154</v>
      </c>
      <c r="K3414" s="3">
        <v>2</v>
      </c>
      <c r="L3414" s="3">
        <v>2746.71</v>
      </c>
      <c r="M3414" s="3">
        <v>5493.42</v>
      </c>
      <c r="N3414" s="3">
        <v>3258.19</v>
      </c>
      <c r="O3414" s="3">
        <v>2235.23</v>
      </c>
      <c r="P3414" s="3" t="s">
        <v>26</v>
      </c>
    </row>
    <row r="3415" spans="1:16" x14ac:dyDescent="0.35">
      <c r="A3415" s="3" t="s">
        <v>4837</v>
      </c>
      <c r="B3415" s="3" t="s">
        <v>904</v>
      </c>
      <c r="C3415" s="3" t="s">
        <v>118</v>
      </c>
      <c r="D3415" s="3" t="s">
        <v>90</v>
      </c>
      <c r="E3415" s="3" t="s">
        <v>119</v>
      </c>
      <c r="F3415" s="3" t="s">
        <v>120</v>
      </c>
      <c r="G3415" s="3" t="s">
        <v>41</v>
      </c>
      <c r="H3415" s="3" t="s">
        <v>138</v>
      </c>
      <c r="I3415" s="3" t="s">
        <v>1905</v>
      </c>
      <c r="J3415" s="3" t="s">
        <v>25</v>
      </c>
      <c r="K3415" s="3">
        <v>3</v>
      </c>
      <c r="L3415" s="3">
        <v>18913.490000000002</v>
      </c>
      <c r="M3415" s="3">
        <v>56740.47</v>
      </c>
      <c r="N3415" s="3">
        <v>43780.33</v>
      </c>
      <c r="O3415" s="3">
        <v>12960.14</v>
      </c>
      <c r="P3415" s="3" t="s">
        <v>45</v>
      </c>
    </row>
    <row r="3416" spans="1:16" x14ac:dyDescent="0.35">
      <c r="A3416" s="3" t="s">
        <v>4838</v>
      </c>
      <c r="B3416" s="3" t="s">
        <v>113</v>
      </c>
      <c r="C3416" s="3" t="s">
        <v>114</v>
      </c>
      <c r="D3416" s="3" t="s">
        <v>38</v>
      </c>
      <c r="E3416" s="3" t="s">
        <v>104</v>
      </c>
      <c r="F3416" s="3" t="s">
        <v>104</v>
      </c>
      <c r="G3416" s="3" t="s">
        <v>22</v>
      </c>
      <c r="H3416" s="3" t="s">
        <v>83</v>
      </c>
      <c r="I3416" s="3" t="s">
        <v>595</v>
      </c>
      <c r="J3416" s="3" t="s">
        <v>131</v>
      </c>
      <c r="K3416" s="3">
        <v>2</v>
      </c>
      <c r="L3416" s="3">
        <v>21274.83</v>
      </c>
      <c r="M3416" s="3">
        <v>42549.66</v>
      </c>
      <c r="N3416" s="3">
        <v>34639.919999999998</v>
      </c>
      <c r="O3416" s="3">
        <v>7909.74</v>
      </c>
      <c r="P3416" s="3" t="s">
        <v>26</v>
      </c>
    </row>
    <row r="3417" spans="1:16" x14ac:dyDescent="0.35">
      <c r="A3417" s="3" t="s">
        <v>4839</v>
      </c>
      <c r="B3417" s="3" t="s">
        <v>412</v>
      </c>
      <c r="C3417" s="3" t="s">
        <v>48</v>
      </c>
      <c r="D3417" s="3" t="s">
        <v>19</v>
      </c>
      <c r="E3417" s="3" t="s">
        <v>199</v>
      </c>
      <c r="F3417" s="3" t="s">
        <v>200</v>
      </c>
      <c r="G3417" s="3" t="s">
        <v>51</v>
      </c>
      <c r="H3417" s="3" t="s">
        <v>52</v>
      </c>
      <c r="I3417" s="3" t="s">
        <v>1006</v>
      </c>
      <c r="J3417" s="3" t="s">
        <v>171</v>
      </c>
      <c r="K3417" s="3">
        <v>1</v>
      </c>
      <c r="L3417" s="3">
        <v>26.36</v>
      </c>
      <c r="M3417" s="3">
        <v>26.36</v>
      </c>
      <c r="N3417" s="3">
        <v>10.210000000000001</v>
      </c>
      <c r="O3417" s="3">
        <v>16.149999999999999</v>
      </c>
      <c r="P3417" s="3" t="s">
        <v>26</v>
      </c>
    </row>
    <row r="3418" spans="1:16" x14ac:dyDescent="0.35">
      <c r="A3418" s="3" t="s">
        <v>4840</v>
      </c>
      <c r="B3418" s="3" t="s">
        <v>1698</v>
      </c>
      <c r="C3418" s="3" t="s">
        <v>18</v>
      </c>
      <c r="D3418" s="3" t="s">
        <v>58</v>
      </c>
      <c r="E3418" s="3" t="s">
        <v>59</v>
      </c>
      <c r="F3418" s="3" t="s">
        <v>60</v>
      </c>
      <c r="G3418" s="3" t="s">
        <v>41</v>
      </c>
      <c r="H3418" s="3" t="s">
        <v>138</v>
      </c>
      <c r="I3418" s="3" t="s">
        <v>2681</v>
      </c>
      <c r="J3418" s="3" t="s">
        <v>33</v>
      </c>
      <c r="K3418" s="3">
        <v>6</v>
      </c>
      <c r="L3418" s="3">
        <v>19044.36</v>
      </c>
      <c r="M3418" s="3">
        <v>114266.16</v>
      </c>
      <c r="N3418" s="3">
        <v>85286.9</v>
      </c>
      <c r="O3418" s="3">
        <v>28979.26</v>
      </c>
      <c r="P3418" s="3" t="s">
        <v>34</v>
      </c>
    </row>
    <row r="3419" spans="1:16" x14ac:dyDescent="0.35">
      <c r="A3419" s="3" t="s">
        <v>4841</v>
      </c>
      <c r="B3419" s="3" t="s">
        <v>1089</v>
      </c>
      <c r="C3419" s="3" t="s">
        <v>48</v>
      </c>
      <c r="D3419" s="3" t="s">
        <v>58</v>
      </c>
      <c r="E3419" s="3" t="s">
        <v>176</v>
      </c>
      <c r="F3419" s="3" t="s">
        <v>177</v>
      </c>
      <c r="G3419" s="3" t="s">
        <v>30</v>
      </c>
      <c r="H3419" s="3" t="s">
        <v>73</v>
      </c>
      <c r="I3419" s="3" t="s">
        <v>2449</v>
      </c>
      <c r="J3419" s="3" t="s">
        <v>188</v>
      </c>
      <c r="K3419" s="3">
        <v>5</v>
      </c>
      <c r="L3419" s="3">
        <v>3494.45</v>
      </c>
      <c r="M3419" s="3">
        <v>17472.25</v>
      </c>
      <c r="N3419" s="3">
        <v>11693.79</v>
      </c>
      <c r="O3419" s="3">
        <v>5778.46</v>
      </c>
      <c r="P3419" s="3" t="s">
        <v>69</v>
      </c>
    </row>
    <row r="3420" spans="1:16" x14ac:dyDescent="0.35">
      <c r="A3420" s="3" t="s">
        <v>4842</v>
      </c>
      <c r="B3420" s="3" t="s">
        <v>1360</v>
      </c>
      <c r="C3420" s="3" t="s">
        <v>72</v>
      </c>
      <c r="D3420" s="3" t="s">
        <v>58</v>
      </c>
      <c r="E3420" s="3" t="s">
        <v>65</v>
      </c>
      <c r="F3420" s="3" t="s">
        <v>66</v>
      </c>
      <c r="G3420" s="3" t="s">
        <v>22</v>
      </c>
      <c r="H3420" s="3" t="s">
        <v>83</v>
      </c>
      <c r="I3420" s="3" t="s">
        <v>2891</v>
      </c>
      <c r="J3420" s="3" t="s">
        <v>54</v>
      </c>
      <c r="K3420" s="3">
        <v>4</v>
      </c>
      <c r="L3420" s="3">
        <v>19852.5</v>
      </c>
      <c r="M3420" s="3">
        <v>79410</v>
      </c>
      <c r="N3420" s="3">
        <v>68029.14</v>
      </c>
      <c r="O3420" s="3">
        <v>11380.86</v>
      </c>
      <c r="P3420" s="3" t="s">
        <v>86</v>
      </c>
    </row>
    <row r="3421" spans="1:16" x14ac:dyDescent="0.35">
      <c r="A3421" s="3" t="s">
        <v>4843</v>
      </c>
      <c r="B3421" s="3" t="s">
        <v>1724</v>
      </c>
      <c r="C3421" s="3" t="s">
        <v>48</v>
      </c>
      <c r="D3421" s="3" t="s">
        <v>19</v>
      </c>
      <c r="E3421" s="3" t="s">
        <v>199</v>
      </c>
      <c r="F3421" s="3" t="s">
        <v>200</v>
      </c>
      <c r="G3421" s="3" t="s">
        <v>41</v>
      </c>
      <c r="H3421" s="3" t="s">
        <v>61</v>
      </c>
      <c r="I3421" s="3" t="s">
        <v>576</v>
      </c>
      <c r="J3421" s="3" t="s">
        <v>161</v>
      </c>
      <c r="K3421" s="3">
        <v>6</v>
      </c>
      <c r="L3421" s="3">
        <v>2683.38</v>
      </c>
      <c r="M3421" s="3">
        <v>16100.28</v>
      </c>
      <c r="N3421" s="3">
        <v>9270.31</v>
      </c>
      <c r="O3421" s="3">
        <v>6829.97</v>
      </c>
      <c r="P3421" s="3" t="s">
        <v>69</v>
      </c>
    </row>
    <row r="3422" spans="1:16" x14ac:dyDescent="0.35">
      <c r="A3422" s="3" t="s">
        <v>4844</v>
      </c>
      <c r="B3422" s="3" t="s">
        <v>392</v>
      </c>
      <c r="C3422" s="3" t="s">
        <v>103</v>
      </c>
      <c r="D3422" s="3" t="s">
        <v>19</v>
      </c>
      <c r="E3422" s="3" t="s">
        <v>199</v>
      </c>
      <c r="F3422" s="3" t="s">
        <v>200</v>
      </c>
      <c r="G3422" s="3" t="s">
        <v>51</v>
      </c>
      <c r="H3422" s="3" t="s">
        <v>52</v>
      </c>
      <c r="I3422" s="3" t="s">
        <v>931</v>
      </c>
      <c r="J3422" s="3" t="s">
        <v>44</v>
      </c>
      <c r="K3422" s="3">
        <v>5</v>
      </c>
      <c r="L3422" s="3">
        <v>22.77</v>
      </c>
      <c r="M3422" s="3">
        <v>113.85</v>
      </c>
      <c r="N3422" s="3">
        <v>49.21</v>
      </c>
      <c r="O3422" s="3">
        <v>64.64</v>
      </c>
      <c r="P3422" s="3" t="s">
        <v>69</v>
      </c>
    </row>
    <row r="3423" spans="1:16" x14ac:dyDescent="0.35">
      <c r="A3423" s="3" t="s">
        <v>4845</v>
      </c>
      <c r="B3423" s="3" t="s">
        <v>642</v>
      </c>
      <c r="C3423" s="3" t="s">
        <v>18</v>
      </c>
      <c r="D3423" s="3" t="s">
        <v>90</v>
      </c>
      <c r="E3423" s="3" t="s">
        <v>97</v>
      </c>
      <c r="F3423" s="3" t="s">
        <v>98</v>
      </c>
      <c r="G3423" s="3" t="s">
        <v>22</v>
      </c>
      <c r="H3423" s="3" t="s">
        <v>23</v>
      </c>
      <c r="I3423" s="3" t="s">
        <v>2163</v>
      </c>
      <c r="J3423" s="3" t="s">
        <v>25</v>
      </c>
      <c r="K3423" s="3">
        <v>4</v>
      </c>
      <c r="L3423" s="3">
        <v>3220.45</v>
      </c>
      <c r="M3423" s="3">
        <v>12881.8</v>
      </c>
      <c r="N3423" s="3">
        <v>8438.65</v>
      </c>
      <c r="O3423" s="3">
        <v>4443.1499999999996</v>
      </c>
      <c r="P3423" s="3" t="s">
        <v>69</v>
      </c>
    </row>
    <row r="3424" spans="1:16" x14ac:dyDescent="0.35">
      <c r="A3424" s="3" t="s">
        <v>4846</v>
      </c>
      <c r="B3424" s="3" t="s">
        <v>1667</v>
      </c>
      <c r="C3424" s="3" t="s">
        <v>48</v>
      </c>
      <c r="D3424" s="3" t="s">
        <v>38</v>
      </c>
      <c r="E3424" s="3" t="s">
        <v>39</v>
      </c>
      <c r="F3424" s="3" t="s">
        <v>40</v>
      </c>
      <c r="G3424" s="3" t="s">
        <v>22</v>
      </c>
      <c r="H3424" s="3" t="s">
        <v>93</v>
      </c>
      <c r="I3424" s="3" t="s">
        <v>2964</v>
      </c>
      <c r="J3424" s="3" t="s">
        <v>33</v>
      </c>
      <c r="K3424" s="3">
        <v>8</v>
      </c>
      <c r="L3424" s="3">
        <v>7395.84</v>
      </c>
      <c r="M3424" s="3">
        <v>59166.720000000001</v>
      </c>
      <c r="N3424" s="3">
        <v>39950.49</v>
      </c>
      <c r="O3424" s="3">
        <v>19216.23</v>
      </c>
      <c r="P3424" s="3" t="s">
        <v>45</v>
      </c>
    </row>
    <row r="3425" spans="1:16" x14ac:dyDescent="0.35">
      <c r="A3425" s="3" t="s">
        <v>4847</v>
      </c>
      <c r="B3425" s="3" t="s">
        <v>601</v>
      </c>
      <c r="C3425" s="3" t="s">
        <v>82</v>
      </c>
      <c r="D3425" s="3" t="s">
        <v>58</v>
      </c>
      <c r="E3425" s="3" t="s">
        <v>59</v>
      </c>
      <c r="F3425" s="3" t="s">
        <v>60</v>
      </c>
      <c r="G3425" s="3" t="s">
        <v>51</v>
      </c>
      <c r="H3425" s="3" t="s">
        <v>52</v>
      </c>
      <c r="I3425" s="3" t="s">
        <v>1965</v>
      </c>
      <c r="J3425" s="3" t="s">
        <v>33</v>
      </c>
      <c r="K3425" s="3">
        <v>2</v>
      </c>
      <c r="L3425" s="3">
        <v>22.58</v>
      </c>
      <c r="M3425" s="3">
        <v>45.16</v>
      </c>
      <c r="N3425" s="3">
        <v>19.95</v>
      </c>
      <c r="O3425" s="3">
        <v>25.21</v>
      </c>
      <c r="P3425" s="3" t="s">
        <v>86</v>
      </c>
    </row>
    <row r="3426" spans="1:16" x14ac:dyDescent="0.35">
      <c r="A3426" s="3" t="s">
        <v>4848</v>
      </c>
      <c r="B3426" s="3" t="s">
        <v>1337</v>
      </c>
      <c r="C3426" s="3" t="s">
        <v>48</v>
      </c>
      <c r="D3426" s="3" t="s">
        <v>58</v>
      </c>
      <c r="E3426" s="3" t="s">
        <v>59</v>
      </c>
      <c r="F3426" s="3" t="s">
        <v>60</v>
      </c>
      <c r="G3426" s="3" t="s">
        <v>30</v>
      </c>
      <c r="H3426" s="3" t="s">
        <v>31</v>
      </c>
      <c r="I3426" s="3" t="s">
        <v>2274</v>
      </c>
      <c r="J3426" s="3" t="s">
        <v>188</v>
      </c>
      <c r="K3426" s="3">
        <v>8</v>
      </c>
      <c r="L3426" s="3">
        <v>2809.8</v>
      </c>
      <c r="M3426" s="3">
        <v>22478.400000000001</v>
      </c>
      <c r="N3426" s="3">
        <v>15731.05</v>
      </c>
      <c r="O3426" s="3">
        <v>6747.35</v>
      </c>
      <c r="P3426" s="3" t="s">
        <v>45</v>
      </c>
    </row>
    <row r="3427" spans="1:16" x14ac:dyDescent="0.35">
      <c r="A3427" s="3" t="s">
        <v>4849</v>
      </c>
      <c r="B3427" s="3" t="s">
        <v>871</v>
      </c>
      <c r="C3427" s="3" t="s">
        <v>103</v>
      </c>
      <c r="D3427" s="3" t="s">
        <v>19</v>
      </c>
      <c r="E3427" s="3" t="s">
        <v>199</v>
      </c>
      <c r="F3427" s="3" t="s">
        <v>200</v>
      </c>
      <c r="G3427" s="3" t="s">
        <v>22</v>
      </c>
      <c r="H3427" s="3" t="s">
        <v>83</v>
      </c>
      <c r="I3427" s="3" t="s">
        <v>2782</v>
      </c>
      <c r="J3427" s="3" t="s">
        <v>188</v>
      </c>
      <c r="K3427" s="3">
        <v>1</v>
      </c>
      <c r="L3427" s="3">
        <v>20155.919999999998</v>
      </c>
      <c r="M3427" s="3">
        <v>20155.919999999998</v>
      </c>
      <c r="N3427" s="3">
        <v>17836.830000000002</v>
      </c>
      <c r="O3427" s="3">
        <v>2319.09</v>
      </c>
      <c r="P3427" s="3" t="s">
        <v>26</v>
      </c>
    </row>
    <row r="3428" spans="1:16" x14ac:dyDescent="0.35">
      <c r="A3428" s="3" t="s">
        <v>4850</v>
      </c>
      <c r="B3428" s="3" t="s">
        <v>136</v>
      </c>
      <c r="C3428" s="3" t="s">
        <v>137</v>
      </c>
      <c r="D3428" s="3" t="s">
        <v>38</v>
      </c>
      <c r="E3428" s="3" t="s">
        <v>39</v>
      </c>
      <c r="F3428" s="3" t="s">
        <v>40</v>
      </c>
      <c r="G3428" s="3" t="s">
        <v>22</v>
      </c>
      <c r="H3428" s="3" t="s">
        <v>83</v>
      </c>
      <c r="I3428" s="3" t="s">
        <v>503</v>
      </c>
      <c r="J3428" s="3" t="s">
        <v>85</v>
      </c>
      <c r="K3428" s="3">
        <v>3</v>
      </c>
      <c r="L3428" s="3">
        <v>20716.169999999998</v>
      </c>
      <c r="M3428" s="3">
        <v>62148.51</v>
      </c>
      <c r="N3428" s="3">
        <v>51083.11</v>
      </c>
      <c r="O3428" s="3">
        <v>11065.4</v>
      </c>
      <c r="P3428" s="3" t="s">
        <v>45</v>
      </c>
    </row>
    <row r="3429" spans="1:16" x14ac:dyDescent="0.35">
      <c r="A3429" s="3" t="s">
        <v>4851</v>
      </c>
      <c r="B3429" s="3" t="s">
        <v>712</v>
      </c>
      <c r="C3429" s="3" t="s">
        <v>37</v>
      </c>
      <c r="D3429" s="3" t="s">
        <v>58</v>
      </c>
      <c r="E3429" s="3" t="s">
        <v>176</v>
      </c>
      <c r="F3429" s="3" t="s">
        <v>177</v>
      </c>
      <c r="G3429" s="3" t="s">
        <v>51</v>
      </c>
      <c r="H3429" s="3" t="s">
        <v>145</v>
      </c>
      <c r="I3429" s="3" t="s">
        <v>1417</v>
      </c>
      <c r="J3429" s="3" t="s">
        <v>33</v>
      </c>
      <c r="K3429" s="3">
        <v>1</v>
      </c>
      <c r="L3429" s="3">
        <v>114.25</v>
      </c>
      <c r="M3429" s="3">
        <v>114.25</v>
      </c>
      <c r="N3429" s="3">
        <v>60.28</v>
      </c>
      <c r="O3429" s="3">
        <v>53.97</v>
      </c>
      <c r="P3429" s="3" t="s">
        <v>86</v>
      </c>
    </row>
    <row r="3430" spans="1:16" x14ac:dyDescent="0.35">
      <c r="A3430" s="3" t="s">
        <v>4852</v>
      </c>
      <c r="B3430" s="3" t="s">
        <v>446</v>
      </c>
      <c r="C3430" s="3" t="s">
        <v>29</v>
      </c>
      <c r="D3430" s="3" t="s">
        <v>90</v>
      </c>
      <c r="E3430" s="3" t="s">
        <v>97</v>
      </c>
      <c r="F3430" s="3" t="s">
        <v>98</v>
      </c>
      <c r="G3430" s="3" t="s">
        <v>30</v>
      </c>
      <c r="H3430" s="3" t="s">
        <v>73</v>
      </c>
      <c r="I3430" s="3" t="s">
        <v>99</v>
      </c>
      <c r="J3430" s="3" t="s">
        <v>79</v>
      </c>
      <c r="K3430" s="3">
        <v>4</v>
      </c>
      <c r="L3430" s="3">
        <v>3204.63</v>
      </c>
      <c r="M3430" s="3">
        <v>12818.52</v>
      </c>
      <c r="N3430" s="3">
        <v>9831.34</v>
      </c>
      <c r="O3430" s="3">
        <v>2987.18</v>
      </c>
      <c r="P3430" s="3" t="s">
        <v>45</v>
      </c>
    </row>
    <row r="3431" spans="1:16" x14ac:dyDescent="0.35">
      <c r="A3431" s="3" t="s">
        <v>4853</v>
      </c>
      <c r="B3431" s="3" t="s">
        <v>1724</v>
      </c>
      <c r="C3431" s="3" t="s">
        <v>48</v>
      </c>
      <c r="D3431" s="3" t="s">
        <v>38</v>
      </c>
      <c r="E3431" s="3" t="s">
        <v>109</v>
      </c>
      <c r="F3431" s="3" t="s">
        <v>110</v>
      </c>
      <c r="G3431" s="3" t="s">
        <v>22</v>
      </c>
      <c r="H3431" s="3" t="s">
        <v>83</v>
      </c>
      <c r="I3431" s="3" t="s">
        <v>24</v>
      </c>
      <c r="J3431" s="3" t="s">
        <v>131</v>
      </c>
      <c r="K3431" s="3">
        <v>1</v>
      </c>
      <c r="L3431" s="3">
        <v>23701.97</v>
      </c>
      <c r="M3431" s="3">
        <v>23701.97</v>
      </c>
      <c r="N3431" s="3">
        <v>17244.62</v>
      </c>
      <c r="O3431" s="3">
        <v>6457.35</v>
      </c>
      <c r="P3431" s="3" t="s">
        <v>86</v>
      </c>
    </row>
    <row r="3432" spans="1:16" x14ac:dyDescent="0.35">
      <c r="A3432" s="3" t="s">
        <v>4854</v>
      </c>
      <c r="B3432" s="3" t="s">
        <v>310</v>
      </c>
      <c r="C3432" s="3" t="s">
        <v>37</v>
      </c>
      <c r="D3432" s="3" t="s">
        <v>19</v>
      </c>
      <c r="E3432" s="3" t="s">
        <v>49</v>
      </c>
      <c r="F3432" s="3" t="s">
        <v>50</v>
      </c>
      <c r="G3432" s="3" t="s">
        <v>30</v>
      </c>
      <c r="H3432" s="3" t="s">
        <v>67</v>
      </c>
      <c r="I3432" s="3" t="s">
        <v>950</v>
      </c>
      <c r="J3432" s="3" t="s">
        <v>33</v>
      </c>
      <c r="K3432" s="3">
        <v>7</v>
      </c>
      <c r="L3432" s="3">
        <v>9477.09</v>
      </c>
      <c r="M3432" s="3">
        <v>66339.63</v>
      </c>
      <c r="N3432" s="3">
        <v>52262.61</v>
      </c>
      <c r="O3432" s="3">
        <v>14077.02</v>
      </c>
      <c r="P3432" s="3" t="s">
        <v>45</v>
      </c>
    </row>
    <row r="3433" spans="1:16" x14ac:dyDescent="0.35">
      <c r="A3433" s="3" t="s">
        <v>4855</v>
      </c>
      <c r="B3433" s="3" t="s">
        <v>960</v>
      </c>
      <c r="C3433" s="3" t="s">
        <v>114</v>
      </c>
      <c r="D3433" s="3" t="s">
        <v>90</v>
      </c>
      <c r="E3433" s="3" t="s">
        <v>97</v>
      </c>
      <c r="F3433" s="3" t="s">
        <v>98</v>
      </c>
      <c r="G3433" s="3" t="s">
        <v>30</v>
      </c>
      <c r="H3433" s="3" t="s">
        <v>73</v>
      </c>
      <c r="I3433" s="3" t="s">
        <v>1495</v>
      </c>
      <c r="J3433" s="3" t="s">
        <v>161</v>
      </c>
      <c r="K3433" s="3">
        <v>7</v>
      </c>
      <c r="L3433" s="3">
        <v>3265.06</v>
      </c>
      <c r="M3433" s="3">
        <v>22855.42</v>
      </c>
      <c r="N3433" s="3">
        <v>16283.66</v>
      </c>
      <c r="O3433" s="3">
        <v>6571.76</v>
      </c>
      <c r="P3433" s="3" t="s">
        <v>26</v>
      </c>
    </row>
    <row r="3434" spans="1:16" x14ac:dyDescent="0.35">
      <c r="A3434" s="3" t="s">
        <v>4856</v>
      </c>
      <c r="B3434" s="3" t="s">
        <v>351</v>
      </c>
      <c r="C3434" s="3" t="s">
        <v>114</v>
      </c>
      <c r="D3434" s="3" t="s">
        <v>19</v>
      </c>
      <c r="E3434" s="3" t="s">
        <v>199</v>
      </c>
      <c r="F3434" s="3" t="s">
        <v>200</v>
      </c>
      <c r="G3434" s="3" t="s">
        <v>22</v>
      </c>
      <c r="H3434" s="3" t="s">
        <v>23</v>
      </c>
      <c r="I3434" s="3" t="s">
        <v>3061</v>
      </c>
      <c r="J3434" s="3" t="s">
        <v>188</v>
      </c>
      <c r="K3434" s="3">
        <v>2</v>
      </c>
      <c r="L3434" s="3">
        <v>3627.58</v>
      </c>
      <c r="M3434" s="3">
        <v>7255.16</v>
      </c>
      <c r="N3434" s="3">
        <v>4528.91</v>
      </c>
      <c r="O3434" s="3">
        <v>2726.25</v>
      </c>
      <c r="P3434" s="3" t="s">
        <v>26</v>
      </c>
    </row>
    <row r="3435" spans="1:16" x14ac:dyDescent="0.35">
      <c r="A3435" s="3" t="s">
        <v>4857</v>
      </c>
      <c r="B3435" s="3" t="s">
        <v>1504</v>
      </c>
      <c r="C3435" s="3" t="s">
        <v>48</v>
      </c>
      <c r="D3435" s="3" t="s">
        <v>58</v>
      </c>
      <c r="E3435" s="3" t="s">
        <v>65</v>
      </c>
      <c r="F3435" s="3" t="s">
        <v>66</v>
      </c>
      <c r="G3435" s="3" t="s">
        <v>30</v>
      </c>
      <c r="H3435" s="3" t="s">
        <v>31</v>
      </c>
      <c r="I3435" s="3" t="s">
        <v>1619</v>
      </c>
      <c r="J3435" s="3" t="s">
        <v>79</v>
      </c>
      <c r="K3435" s="3">
        <v>7</v>
      </c>
      <c r="L3435" s="3">
        <v>2633.15</v>
      </c>
      <c r="M3435" s="3">
        <v>18432.05</v>
      </c>
      <c r="N3435" s="3">
        <v>13117.03</v>
      </c>
      <c r="O3435" s="3">
        <v>5315.02</v>
      </c>
      <c r="P3435" s="3" t="s">
        <v>45</v>
      </c>
    </row>
    <row r="3436" spans="1:16" x14ac:dyDescent="0.35">
      <c r="A3436" s="3" t="s">
        <v>4858</v>
      </c>
      <c r="B3436" s="3" t="s">
        <v>215</v>
      </c>
      <c r="C3436" s="3" t="s">
        <v>37</v>
      </c>
      <c r="D3436" s="3" t="s">
        <v>58</v>
      </c>
      <c r="E3436" s="3" t="s">
        <v>65</v>
      </c>
      <c r="F3436" s="3" t="s">
        <v>66</v>
      </c>
      <c r="G3436" s="3" t="s">
        <v>22</v>
      </c>
      <c r="H3436" s="3" t="s">
        <v>93</v>
      </c>
      <c r="I3436" s="3" t="s">
        <v>1493</v>
      </c>
      <c r="J3436" s="3" t="s">
        <v>100</v>
      </c>
      <c r="K3436" s="3">
        <v>4</v>
      </c>
      <c r="L3436" s="3">
        <v>6910.19</v>
      </c>
      <c r="M3436" s="3">
        <v>27640.76</v>
      </c>
      <c r="N3436" s="3">
        <v>20385.080000000002</v>
      </c>
      <c r="O3436" s="3">
        <v>7255.68</v>
      </c>
      <c r="P3436" s="3" t="s">
        <v>26</v>
      </c>
    </row>
    <row r="3437" spans="1:16" x14ac:dyDescent="0.35">
      <c r="A3437" s="3" t="s">
        <v>4859</v>
      </c>
      <c r="B3437" s="3" t="s">
        <v>126</v>
      </c>
      <c r="C3437" s="3" t="s">
        <v>103</v>
      </c>
      <c r="D3437" s="3" t="s">
        <v>38</v>
      </c>
      <c r="E3437" s="3" t="s">
        <v>104</v>
      </c>
      <c r="F3437" s="3" t="s">
        <v>104</v>
      </c>
      <c r="G3437" s="3" t="s">
        <v>22</v>
      </c>
      <c r="H3437" s="3" t="s">
        <v>23</v>
      </c>
      <c r="I3437" s="3" t="s">
        <v>1354</v>
      </c>
      <c r="J3437" s="3" t="s">
        <v>33</v>
      </c>
      <c r="K3437" s="3">
        <v>6</v>
      </c>
      <c r="L3437" s="3">
        <v>3166.43</v>
      </c>
      <c r="M3437" s="3">
        <v>18998.580000000002</v>
      </c>
      <c r="N3437" s="3">
        <v>12891.41</v>
      </c>
      <c r="O3437" s="3">
        <v>6107.17</v>
      </c>
      <c r="P3437" s="3" t="s">
        <v>34</v>
      </c>
    </row>
    <row r="3438" spans="1:16" x14ac:dyDescent="0.35">
      <c r="A3438" s="3" t="s">
        <v>4860</v>
      </c>
      <c r="B3438" s="3" t="s">
        <v>521</v>
      </c>
      <c r="C3438" s="3" t="s">
        <v>18</v>
      </c>
      <c r="D3438" s="3" t="s">
        <v>90</v>
      </c>
      <c r="E3438" s="3" t="s">
        <v>91</v>
      </c>
      <c r="F3438" s="3" t="s">
        <v>92</v>
      </c>
      <c r="G3438" s="3" t="s">
        <v>30</v>
      </c>
      <c r="H3438" s="3" t="s">
        <v>31</v>
      </c>
      <c r="I3438" s="3" t="s">
        <v>3526</v>
      </c>
      <c r="J3438" s="3" t="s">
        <v>85</v>
      </c>
      <c r="K3438" s="3">
        <v>8</v>
      </c>
      <c r="L3438" s="3">
        <v>3032.4</v>
      </c>
      <c r="M3438" s="3">
        <v>24259.200000000001</v>
      </c>
      <c r="N3438" s="3">
        <v>14823.5</v>
      </c>
      <c r="O3438" s="3">
        <v>9435.7000000000007</v>
      </c>
      <c r="P3438" s="3" t="s">
        <v>34</v>
      </c>
    </row>
    <row r="3439" spans="1:16" x14ac:dyDescent="0.35">
      <c r="A3439" s="3" t="s">
        <v>4861</v>
      </c>
      <c r="B3439" s="3" t="s">
        <v>1383</v>
      </c>
      <c r="C3439" s="3" t="s">
        <v>18</v>
      </c>
      <c r="D3439" s="3" t="s">
        <v>90</v>
      </c>
      <c r="E3439" s="3" t="s">
        <v>91</v>
      </c>
      <c r="F3439" s="3" t="s">
        <v>92</v>
      </c>
      <c r="G3439" s="3" t="s">
        <v>51</v>
      </c>
      <c r="H3439" s="3" t="s">
        <v>145</v>
      </c>
      <c r="I3439" s="3" t="s">
        <v>1059</v>
      </c>
      <c r="J3439" s="3" t="s">
        <v>54</v>
      </c>
      <c r="K3439" s="3">
        <v>6</v>
      </c>
      <c r="L3439" s="3">
        <v>123.5</v>
      </c>
      <c r="M3439" s="3">
        <v>741</v>
      </c>
      <c r="N3439" s="3">
        <v>362.45</v>
      </c>
      <c r="O3439" s="3">
        <v>378.55</v>
      </c>
      <c r="P3439" s="3" t="s">
        <v>69</v>
      </c>
    </row>
    <row r="3440" spans="1:16" x14ac:dyDescent="0.35">
      <c r="A3440" s="3" t="s">
        <v>4862</v>
      </c>
      <c r="B3440" s="3" t="s">
        <v>636</v>
      </c>
      <c r="C3440" s="3" t="s">
        <v>57</v>
      </c>
      <c r="D3440" s="3" t="s">
        <v>19</v>
      </c>
      <c r="E3440" s="3" t="s">
        <v>20</v>
      </c>
      <c r="F3440" s="3" t="s">
        <v>21</v>
      </c>
      <c r="G3440" s="3" t="s">
        <v>51</v>
      </c>
      <c r="H3440" s="3" t="s">
        <v>52</v>
      </c>
      <c r="I3440" s="3" t="s">
        <v>4517</v>
      </c>
      <c r="J3440" s="3" t="s">
        <v>106</v>
      </c>
      <c r="K3440" s="3">
        <v>7</v>
      </c>
      <c r="L3440" s="3">
        <v>23.48</v>
      </c>
      <c r="M3440" s="3">
        <v>164.36</v>
      </c>
      <c r="N3440" s="3">
        <v>72.47</v>
      </c>
      <c r="O3440" s="3">
        <v>91.89</v>
      </c>
      <c r="P3440" s="3" t="s">
        <v>34</v>
      </c>
    </row>
    <row r="3441" spans="1:16" x14ac:dyDescent="0.35">
      <c r="A3441" s="3" t="s">
        <v>4863</v>
      </c>
      <c r="B3441" s="3" t="s">
        <v>682</v>
      </c>
      <c r="C3441" s="3" t="s">
        <v>114</v>
      </c>
      <c r="D3441" s="3" t="s">
        <v>19</v>
      </c>
      <c r="E3441" s="3" t="s">
        <v>20</v>
      </c>
      <c r="F3441" s="3" t="s">
        <v>21</v>
      </c>
      <c r="G3441" s="3" t="s">
        <v>41</v>
      </c>
      <c r="H3441" s="3" t="s">
        <v>61</v>
      </c>
      <c r="I3441" s="3" t="s">
        <v>1080</v>
      </c>
      <c r="J3441" s="3" t="s">
        <v>25</v>
      </c>
      <c r="K3441" s="3">
        <v>2</v>
      </c>
      <c r="L3441" s="3">
        <v>2421.8200000000002</v>
      </c>
      <c r="M3441" s="3">
        <v>4843.6400000000003</v>
      </c>
      <c r="N3441" s="3">
        <v>3314.59</v>
      </c>
      <c r="O3441" s="3">
        <v>1529.05</v>
      </c>
      <c r="P3441" s="3" t="s">
        <v>45</v>
      </c>
    </row>
    <row r="3442" spans="1:16" x14ac:dyDescent="0.35">
      <c r="A3442" s="3" t="s">
        <v>4864</v>
      </c>
      <c r="B3442" s="3" t="s">
        <v>230</v>
      </c>
      <c r="C3442" s="3" t="s">
        <v>118</v>
      </c>
      <c r="D3442" s="3" t="s">
        <v>58</v>
      </c>
      <c r="E3442" s="3" t="s">
        <v>65</v>
      </c>
      <c r="F3442" s="3" t="s">
        <v>66</v>
      </c>
      <c r="G3442" s="3" t="s">
        <v>30</v>
      </c>
      <c r="H3442" s="3" t="s">
        <v>31</v>
      </c>
      <c r="I3442" s="3" t="s">
        <v>2398</v>
      </c>
      <c r="J3442" s="3" t="s">
        <v>25</v>
      </c>
      <c r="K3442" s="3">
        <v>4</v>
      </c>
      <c r="L3442" s="3">
        <v>2640.71</v>
      </c>
      <c r="M3442" s="3">
        <v>10562.84</v>
      </c>
      <c r="N3442" s="3">
        <v>7724.31</v>
      </c>
      <c r="O3442" s="3">
        <v>2838.53</v>
      </c>
      <c r="P3442" s="3" t="s">
        <v>34</v>
      </c>
    </row>
    <row r="3443" spans="1:16" x14ac:dyDescent="0.35">
      <c r="A3443" s="3" t="s">
        <v>4865</v>
      </c>
      <c r="B3443" s="3" t="s">
        <v>866</v>
      </c>
      <c r="C3443" s="3" t="s">
        <v>72</v>
      </c>
      <c r="D3443" s="3" t="s">
        <v>58</v>
      </c>
      <c r="E3443" s="3" t="s">
        <v>59</v>
      </c>
      <c r="F3443" s="3" t="s">
        <v>60</v>
      </c>
      <c r="G3443" s="3" t="s">
        <v>22</v>
      </c>
      <c r="H3443" s="3" t="s">
        <v>93</v>
      </c>
      <c r="I3443" s="3" t="s">
        <v>3163</v>
      </c>
      <c r="J3443" s="3" t="s">
        <v>161</v>
      </c>
      <c r="K3443" s="3">
        <v>1</v>
      </c>
      <c r="L3443" s="3">
        <v>7067.77</v>
      </c>
      <c r="M3443" s="3">
        <v>7067.77</v>
      </c>
      <c r="N3443" s="3">
        <v>5088.05</v>
      </c>
      <c r="O3443" s="3">
        <v>1979.72</v>
      </c>
      <c r="P3443" s="3" t="s">
        <v>45</v>
      </c>
    </row>
    <row r="3444" spans="1:16" x14ac:dyDescent="0.35">
      <c r="A3444" s="3" t="s">
        <v>4866</v>
      </c>
      <c r="B3444" s="3" t="s">
        <v>136</v>
      </c>
      <c r="C3444" s="3" t="s">
        <v>137</v>
      </c>
      <c r="D3444" s="3" t="s">
        <v>58</v>
      </c>
      <c r="E3444" s="3" t="s">
        <v>176</v>
      </c>
      <c r="F3444" s="3" t="s">
        <v>177</v>
      </c>
      <c r="G3444" s="3" t="s">
        <v>30</v>
      </c>
      <c r="H3444" s="3" t="s">
        <v>31</v>
      </c>
      <c r="I3444" s="3" t="s">
        <v>283</v>
      </c>
      <c r="J3444" s="3" t="s">
        <v>131</v>
      </c>
      <c r="K3444" s="3">
        <v>4</v>
      </c>
      <c r="L3444" s="3">
        <v>3008.08</v>
      </c>
      <c r="M3444" s="3">
        <v>12032.32</v>
      </c>
      <c r="N3444" s="3">
        <v>7832.53</v>
      </c>
      <c r="O3444" s="3">
        <v>4199.79</v>
      </c>
      <c r="P3444" s="3" t="s">
        <v>26</v>
      </c>
    </row>
    <row r="3445" spans="1:16" x14ac:dyDescent="0.35">
      <c r="A3445" s="3" t="s">
        <v>4867</v>
      </c>
      <c r="B3445" s="3" t="s">
        <v>570</v>
      </c>
      <c r="C3445" s="3" t="s">
        <v>18</v>
      </c>
      <c r="D3445" s="3" t="s">
        <v>58</v>
      </c>
      <c r="E3445" s="3" t="s">
        <v>59</v>
      </c>
      <c r="F3445" s="3" t="s">
        <v>60</v>
      </c>
      <c r="G3445" s="3" t="s">
        <v>22</v>
      </c>
      <c r="H3445" s="3" t="s">
        <v>83</v>
      </c>
      <c r="I3445" s="3" t="s">
        <v>2990</v>
      </c>
      <c r="J3445" s="3" t="s">
        <v>33</v>
      </c>
      <c r="K3445" s="3">
        <v>4</v>
      </c>
      <c r="L3445" s="3">
        <v>22281.18</v>
      </c>
      <c r="M3445" s="3">
        <v>89124.72</v>
      </c>
      <c r="N3445" s="3">
        <v>65498.51</v>
      </c>
      <c r="O3445" s="3">
        <v>23626.21</v>
      </c>
      <c r="P3445" s="3" t="s">
        <v>34</v>
      </c>
    </row>
    <row r="3446" spans="1:16" x14ac:dyDescent="0.35">
      <c r="A3446" s="3" t="s">
        <v>4868</v>
      </c>
      <c r="B3446" s="3" t="s">
        <v>1320</v>
      </c>
      <c r="C3446" s="3" t="s">
        <v>37</v>
      </c>
      <c r="D3446" s="3" t="s">
        <v>58</v>
      </c>
      <c r="E3446" s="3" t="s">
        <v>65</v>
      </c>
      <c r="F3446" s="3" t="s">
        <v>66</v>
      </c>
      <c r="G3446" s="3" t="s">
        <v>22</v>
      </c>
      <c r="H3446" s="3" t="s">
        <v>83</v>
      </c>
      <c r="I3446" s="3" t="s">
        <v>2038</v>
      </c>
      <c r="J3446" s="3" t="s">
        <v>85</v>
      </c>
      <c r="K3446" s="3">
        <v>8</v>
      </c>
      <c r="L3446" s="3">
        <v>22740.09</v>
      </c>
      <c r="M3446" s="3">
        <v>181920.72</v>
      </c>
      <c r="N3446" s="3">
        <v>130848.22</v>
      </c>
      <c r="O3446" s="3">
        <v>51072.5</v>
      </c>
      <c r="P3446" s="3" t="s">
        <v>69</v>
      </c>
    </row>
    <row r="3447" spans="1:16" x14ac:dyDescent="0.35">
      <c r="A3447" s="3" t="s">
        <v>4869</v>
      </c>
      <c r="B3447" s="3" t="s">
        <v>195</v>
      </c>
      <c r="C3447" s="3" t="s">
        <v>18</v>
      </c>
      <c r="D3447" s="3" t="s">
        <v>19</v>
      </c>
      <c r="E3447" s="3" t="s">
        <v>49</v>
      </c>
      <c r="F3447" s="3" t="s">
        <v>50</v>
      </c>
      <c r="G3447" s="3" t="s">
        <v>51</v>
      </c>
      <c r="H3447" s="3" t="s">
        <v>77</v>
      </c>
      <c r="I3447" s="3" t="s">
        <v>413</v>
      </c>
      <c r="J3447" s="3" t="s">
        <v>54</v>
      </c>
      <c r="K3447" s="3">
        <v>5</v>
      </c>
      <c r="L3447" s="3">
        <v>11550.67</v>
      </c>
      <c r="M3447" s="3">
        <v>57753.35</v>
      </c>
      <c r="N3447" s="3">
        <v>46763.33</v>
      </c>
      <c r="O3447" s="3">
        <v>10990.02</v>
      </c>
      <c r="P3447" s="3" t="s">
        <v>45</v>
      </c>
    </row>
    <row r="3448" spans="1:16" x14ac:dyDescent="0.35">
      <c r="A3448" s="3" t="s">
        <v>4870</v>
      </c>
      <c r="B3448" s="3" t="s">
        <v>206</v>
      </c>
      <c r="C3448" s="3" t="s">
        <v>137</v>
      </c>
      <c r="D3448" s="3" t="s">
        <v>58</v>
      </c>
      <c r="E3448" s="3" t="s">
        <v>65</v>
      </c>
      <c r="F3448" s="3" t="s">
        <v>66</v>
      </c>
      <c r="G3448" s="3" t="s">
        <v>41</v>
      </c>
      <c r="H3448" s="3" t="s">
        <v>61</v>
      </c>
      <c r="I3448" s="3" t="s">
        <v>625</v>
      </c>
      <c r="J3448" s="3" t="s">
        <v>33</v>
      </c>
      <c r="K3448" s="3">
        <v>5</v>
      </c>
      <c r="L3448" s="3">
        <v>2547.96</v>
      </c>
      <c r="M3448" s="3">
        <v>12739.8</v>
      </c>
      <c r="N3448" s="3">
        <v>8025.84</v>
      </c>
      <c r="O3448" s="3">
        <v>4713.96</v>
      </c>
      <c r="P3448" s="3" t="s">
        <v>34</v>
      </c>
    </row>
    <row r="3449" spans="1:16" x14ac:dyDescent="0.35">
      <c r="A3449" s="3" t="s">
        <v>4871</v>
      </c>
      <c r="B3449" s="3" t="s">
        <v>1435</v>
      </c>
      <c r="C3449" s="3" t="s">
        <v>137</v>
      </c>
      <c r="D3449" s="3" t="s">
        <v>19</v>
      </c>
      <c r="E3449" s="3" t="s">
        <v>199</v>
      </c>
      <c r="F3449" s="3" t="s">
        <v>200</v>
      </c>
      <c r="G3449" s="3" t="s">
        <v>51</v>
      </c>
      <c r="H3449" s="3" t="s">
        <v>145</v>
      </c>
      <c r="I3449" s="3" t="s">
        <v>1006</v>
      </c>
      <c r="J3449" s="3" t="s">
        <v>54</v>
      </c>
      <c r="K3449" s="3">
        <v>6</v>
      </c>
      <c r="L3449" s="3">
        <v>125.18</v>
      </c>
      <c r="M3449" s="3">
        <v>751.08</v>
      </c>
      <c r="N3449" s="3">
        <v>344.15</v>
      </c>
      <c r="O3449" s="3">
        <v>406.93</v>
      </c>
      <c r="P3449" s="3" t="s">
        <v>34</v>
      </c>
    </row>
    <row r="3450" spans="1:16" x14ac:dyDescent="0.35">
      <c r="A3450" s="3" t="s">
        <v>4872</v>
      </c>
      <c r="B3450" s="3" t="s">
        <v>1018</v>
      </c>
      <c r="C3450" s="3" t="s">
        <v>37</v>
      </c>
      <c r="D3450" s="3" t="s">
        <v>38</v>
      </c>
      <c r="E3450" s="3" t="s">
        <v>109</v>
      </c>
      <c r="F3450" s="3" t="s">
        <v>110</v>
      </c>
      <c r="G3450" s="3" t="s">
        <v>30</v>
      </c>
      <c r="H3450" s="3" t="s">
        <v>67</v>
      </c>
      <c r="I3450" s="3" t="s">
        <v>4873</v>
      </c>
      <c r="J3450" s="3" t="s">
        <v>79</v>
      </c>
      <c r="K3450" s="3">
        <v>1</v>
      </c>
      <c r="L3450" s="3">
        <v>9278.52</v>
      </c>
      <c r="M3450" s="3">
        <v>9278.52</v>
      </c>
      <c r="N3450" s="3">
        <v>7389.02</v>
      </c>
      <c r="O3450" s="3">
        <v>1889.5</v>
      </c>
      <c r="P3450" s="3" t="s">
        <v>86</v>
      </c>
    </row>
    <row r="3451" spans="1:16" x14ac:dyDescent="0.35">
      <c r="A3451" s="3" t="s">
        <v>4874</v>
      </c>
      <c r="B3451" s="3" t="s">
        <v>2041</v>
      </c>
      <c r="C3451" s="3" t="s">
        <v>89</v>
      </c>
      <c r="D3451" s="3" t="s">
        <v>38</v>
      </c>
      <c r="E3451" s="3" t="s">
        <v>109</v>
      </c>
      <c r="F3451" s="3" t="s">
        <v>110</v>
      </c>
      <c r="G3451" s="3" t="s">
        <v>22</v>
      </c>
      <c r="H3451" s="3" t="s">
        <v>93</v>
      </c>
      <c r="I3451" s="3" t="s">
        <v>390</v>
      </c>
      <c r="J3451" s="3" t="s">
        <v>33</v>
      </c>
      <c r="K3451" s="3">
        <v>4</v>
      </c>
      <c r="L3451" s="3">
        <v>6840.47</v>
      </c>
      <c r="M3451" s="3">
        <v>27361.88</v>
      </c>
      <c r="N3451" s="3">
        <v>19361.78</v>
      </c>
      <c r="O3451" s="3">
        <v>8000.1</v>
      </c>
      <c r="P3451" s="3" t="s">
        <v>69</v>
      </c>
    </row>
    <row r="3452" spans="1:16" x14ac:dyDescent="0.35">
      <c r="A3452" s="3" t="s">
        <v>4875</v>
      </c>
      <c r="B3452" s="3" t="s">
        <v>599</v>
      </c>
      <c r="C3452" s="3" t="s">
        <v>82</v>
      </c>
      <c r="D3452" s="3" t="s">
        <v>58</v>
      </c>
      <c r="E3452" s="3" t="s">
        <v>65</v>
      </c>
      <c r="F3452" s="3" t="s">
        <v>66</v>
      </c>
      <c r="G3452" s="3" t="s">
        <v>30</v>
      </c>
      <c r="H3452" s="3" t="s">
        <v>31</v>
      </c>
      <c r="I3452" s="3" t="s">
        <v>240</v>
      </c>
      <c r="J3452" s="3" t="s">
        <v>106</v>
      </c>
      <c r="K3452" s="3">
        <v>2</v>
      </c>
      <c r="L3452" s="3">
        <v>2522.48</v>
      </c>
      <c r="M3452" s="3">
        <v>5044.96</v>
      </c>
      <c r="N3452" s="3">
        <v>3694.45</v>
      </c>
      <c r="O3452" s="3">
        <v>1350.51</v>
      </c>
      <c r="P3452" s="3" t="s">
        <v>69</v>
      </c>
    </row>
    <row r="3453" spans="1:16" x14ac:dyDescent="0.35">
      <c r="A3453" s="3" t="s">
        <v>4876</v>
      </c>
      <c r="B3453" s="3" t="s">
        <v>612</v>
      </c>
      <c r="C3453" s="3" t="s">
        <v>57</v>
      </c>
      <c r="D3453" s="3" t="s">
        <v>19</v>
      </c>
      <c r="E3453" s="3" t="s">
        <v>20</v>
      </c>
      <c r="F3453" s="3" t="s">
        <v>21</v>
      </c>
      <c r="G3453" s="3" t="s">
        <v>41</v>
      </c>
      <c r="H3453" s="3" t="s">
        <v>42</v>
      </c>
      <c r="I3453" s="3" t="s">
        <v>1739</v>
      </c>
      <c r="J3453" s="3" t="s">
        <v>44</v>
      </c>
      <c r="K3453" s="3">
        <v>2</v>
      </c>
      <c r="L3453" s="3">
        <v>42820.54</v>
      </c>
      <c r="M3453" s="3">
        <v>85641.08</v>
      </c>
      <c r="N3453" s="3">
        <v>66932.25</v>
      </c>
      <c r="O3453" s="3">
        <v>18708.830000000002</v>
      </c>
      <c r="P3453" s="3" t="s">
        <v>26</v>
      </c>
    </row>
    <row r="3454" spans="1:16" x14ac:dyDescent="0.35">
      <c r="A3454" s="3" t="s">
        <v>4877</v>
      </c>
      <c r="B3454" s="3" t="s">
        <v>814</v>
      </c>
      <c r="C3454" s="3" t="s">
        <v>103</v>
      </c>
      <c r="D3454" s="3" t="s">
        <v>58</v>
      </c>
      <c r="E3454" s="3" t="s">
        <v>59</v>
      </c>
      <c r="F3454" s="3" t="s">
        <v>60</v>
      </c>
      <c r="G3454" s="3" t="s">
        <v>41</v>
      </c>
      <c r="H3454" s="3" t="s">
        <v>138</v>
      </c>
      <c r="I3454" s="3" t="s">
        <v>2002</v>
      </c>
      <c r="J3454" s="3" t="s">
        <v>100</v>
      </c>
      <c r="K3454" s="3">
        <v>5</v>
      </c>
      <c r="L3454" s="3">
        <v>18458.84</v>
      </c>
      <c r="M3454" s="3">
        <v>92294.2</v>
      </c>
      <c r="N3454" s="3">
        <v>72761.490000000005</v>
      </c>
      <c r="O3454" s="3">
        <v>19532.71</v>
      </c>
      <c r="P3454" s="3" t="s">
        <v>69</v>
      </c>
    </row>
    <row r="3455" spans="1:16" x14ac:dyDescent="0.35">
      <c r="A3455" s="3" t="s">
        <v>4878</v>
      </c>
      <c r="B3455" s="3" t="s">
        <v>233</v>
      </c>
      <c r="C3455" s="3" t="s">
        <v>103</v>
      </c>
      <c r="D3455" s="3" t="s">
        <v>38</v>
      </c>
      <c r="E3455" s="3" t="s">
        <v>39</v>
      </c>
      <c r="F3455" s="3" t="s">
        <v>40</v>
      </c>
      <c r="G3455" s="3" t="s">
        <v>41</v>
      </c>
      <c r="H3455" s="3" t="s">
        <v>42</v>
      </c>
      <c r="I3455" s="3" t="s">
        <v>2178</v>
      </c>
      <c r="J3455" s="3" t="s">
        <v>106</v>
      </c>
      <c r="K3455" s="3">
        <v>4</v>
      </c>
      <c r="L3455" s="3">
        <v>43905.18</v>
      </c>
      <c r="M3455" s="3">
        <v>175620.72</v>
      </c>
      <c r="N3455" s="3">
        <v>134178.57</v>
      </c>
      <c r="O3455" s="3">
        <v>41442.15</v>
      </c>
      <c r="P3455" s="3" t="s">
        <v>34</v>
      </c>
    </row>
    <row r="3456" spans="1:16" x14ac:dyDescent="0.35">
      <c r="A3456" s="3" t="s">
        <v>4879</v>
      </c>
      <c r="B3456" s="3" t="s">
        <v>1018</v>
      </c>
      <c r="C3456" s="3" t="s">
        <v>37</v>
      </c>
      <c r="D3456" s="3" t="s">
        <v>19</v>
      </c>
      <c r="E3456" s="3" t="s">
        <v>20</v>
      </c>
      <c r="F3456" s="3" t="s">
        <v>21</v>
      </c>
      <c r="G3456" s="3" t="s">
        <v>51</v>
      </c>
      <c r="H3456" s="3" t="s">
        <v>77</v>
      </c>
      <c r="I3456" s="3" t="s">
        <v>1655</v>
      </c>
      <c r="J3456" s="3" t="s">
        <v>85</v>
      </c>
      <c r="K3456" s="3">
        <v>1</v>
      </c>
      <c r="L3456" s="3">
        <v>11874.73</v>
      </c>
      <c r="M3456" s="3">
        <v>11874.73</v>
      </c>
      <c r="N3456" s="3">
        <v>8928.73</v>
      </c>
      <c r="O3456" s="3">
        <v>2946</v>
      </c>
      <c r="P3456" s="3" t="s">
        <v>69</v>
      </c>
    </row>
    <row r="3457" spans="1:16" x14ac:dyDescent="0.35">
      <c r="A3457" s="3" t="s">
        <v>4880</v>
      </c>
      <c r="B3457" s="3" t="s">
        <v>762</v>
      </c>
      <c r="C3457" s="3" t="s">
        <v>137</v>
      </c>
      <c r="D3457" s="3" t="s">
        <v>19</v>
      </c>
      <c r="E3457" s="3" t="s">
        <v>20</v>
      </c>
      <c r="F3457" s="3" t="s">
        <v>21</v>
      </c>
      <c r="G3457" s="3" t="s">
        <v>51</v>
      </c>
      <c r="H3457" s="3" t="s">
        <v>52</v>
      </c>
      <c r="I3457" s="3" t="s">
        <v>1080</v>
      </c>
      <c r="J3457" s="3" t="s">
        <v>79</v>
      </c>
      <c r="K3457" s="3">
        <v>1</v>
      </c>
      <c r="L3457" s="3">
        <v>27.22</v>
      </c>
      <c r="M3457" s="3">
        <v>27.22</v>
      </c>
      <c r="N3457" s="3">
        <v>10.18</v>
      </c>
      <c r="O3457" s="3">
        <v>17.04</v>
      </c>
      <c r="P3457" s="3" t="s">
        <v>86</v>
      </c>
    </row>
    <row r="3458" spans="1:16" x14ac:dyDescent="0.35">
      <c r="A3458" s="3" t="s">
        <v>4881</v>
      </c>
      <c r="B3458" s="3" t="s">
        <v>254</v>
      </c>
      <c r="C3458" s="3" t="s">
        <v>82</v>
      </c>
      <c r="D3458" s="3" t="s">
        <v>38</v>
      </c>
      <c r="E3458" s="3" t="s">
        <v>39</v>
      </c>
      <c r="F3458" s="3" t="s">
        <v>40</v>
      </c>
      <c r="G3458" s="3" t="s">
        <v>51</v>
      </c>
      <c r="H3458" s="3" t="s">
        <v>145</v>
      </c>
      <c r="I3458" s="3" t="s">
        <v>2045</v>
      </c>
      <c r="J3458" s="3" t="s">
        <v>188</v>
      </c>
      <c r="K3458" s="3">
        <v>1</v>
      </c>
      <c r="L3458" s="3">
        <v>112.83</v>
      </c>
      <c r="M3458" s="3">
        <v>112.83</v>
      </c>
      <c r="N3458" s="3">
        <v>59.91</v>
      </c>
      <c r="O3458" s="3">
        <v>52.92</v>
      </c>
      <c r="P3458" s="3" t="s">
        <v>26</v>
      </c>
    </row>
    <row r="3459" spans="1:16" x14ac:dyDescent="0.35">
      <c r="A3459" s="3" t="s">
        <v>4882</v>
      </c>
      <c r="B3459" s="3" t="s">
        <v>586</v>
      </c>
      <c r="C3459" s="3" t="s">
        <v>57</v>
      </c>
      <c r="D3459" s="3" t="s">
        <v>19</v>
      </c>
      <c r="E3459" s="3" t="s">
        <v>49</v>
      </c>
      <c r="F3459" s="3" t="s">
        <v>50</v>
      </c>
      <c r="G3459" s="3" t="s">
        <v>41</v>
      </c>
      <c r="H3459" s="3" t="s">
        <v>61</v>
      </c>
      <c r="I3459" s="3" t="s">
        <v>1634</v>
      </c>
      <c r="J3459" s="3" t="s">
        <v>131</v>
      </c>
      <c r="K3459" s="3">
        <v>5</v>
      </c>
      <c r="L3459" s="3">
        <v>2679.58</v>
      </c>
      <c r="M3459" s="3">
        <v>13397.9</v>
      </c>
      <c r="N3459" s="3">
        <v>7892.93</v>
      </c>
      <c r="O3459" s="3">
        <v>5504.97</v>
      </c>
      <c r="P3459" s="3" t="s">
        <v>26</v>
      </c>
    </row>
    <row r="3460" spans="1:16" x14ac:dyDescent="0.35">
      <c r="A3460" s="3" t="s">
        <v>4883</v>
      </c>
      <c r="B3460" s="3" t="s">
        <v>685</v>
      </c>
      <c r="C3460" s="3" t="s">
        <v>137</v>
      </c>
      <c r="D3460" s="3" t="s">
        <v>58</v>
      </c>
      <c r="E3460" s="3" t="s">
        <v>59</v>
      </c>
      <c r="F3460" s="3" t="s">
        <v>60</v>
      </c>
      <c r="G3460" s="3" t="s">
        <v>30</v>
      </c>
      <c r="H3460" s="3" t="s">
        <v>67</v>
      </c>
      <c r="I3460" s="3" t="s">
        <v>838</v>
      </c>
      <c r="J3460" s="3" t="s">
        <v>161</v>
      </c>
      <c r="K3460" s="3">
        <v>4</v>
      </c>
      <c r="L3460" s="3">
        <v>10065.24</v>
      </c>
      <c r="M3460" s="3">
        <v>40260.959999999999</v>
      </c>
      <c r="N3460" s="3">
        <v>29147.5</v>
      </c>
      <c r="O3460" s="3">
        <v>11113.46</v>
      </c>
      <c r="P3460" s="3" t="s">
        <v>45</v>
      </c>
    </row>
    <row r="3461" spans="1:16" x14ac:dyDescent="0.35">
      <c r="A3461" s="3" t="s">
        <v>4884</v>
      </c>
      <c r="B3461" s="3" t="s">
        <v>117</v>
      </c>
      <c r="C3461" s="3" t="s">
        <v>118</v>
      </c>
      <c r="D3461" s="3" t="s">
        <v>19</v>
      </c>
      <c r="E3461" s="3" t="s">
        <v>49</v>
      </c>
      <c r="F3461" s="3" t="s">
        <v>50</v>
      </c>
      <c r="G3461" s="3" t="s">
        <v>41</v>
      </c>
      <c r="H3461" s="3" t="s">
        <v>138</v>
      </c>
      <c r="I3461" s="3" t="s">
        <v>627</v>
      </c>
      <c r="J3461" s="3" t="s">
        <v>54</v>
      </c>
      <c r="K3461" s="3">
        <v>6</v>
      </c>
      <c r="L3461" s="3">
        <v>17742.97</v>
      </c>
      <c r="M3461" s="3">
        <v>106457.82</v>
      </c>
      <c r="N3461" s="3">
        <v>81587.09</v>
      </c>
      <c r="O3461" s="3">
        <v>24870.73</v>
      </c>
      <c r="P3461" s="3" t="s">
        <v>34</v>
      </c>
    </row>
    <row r="3462" spans="1:16" x14ac:dyDescent="0.35">
      <c r="A3462" s="3" t="s">
        <v>4885</v>
      </c>
      <c r="B3462" s="3" t="s">
        <v>102</v>
      </c>
      <c r="C3462" s="3" t="s">
        <v>103</v>
      </c>
      <c r="D3462" s="3" t="s">
        <v>38</v>
      </c>
      <c r="E3462" s="3" t="s">
        <v>109</v>
      </c>
      <c r="F3462" s="3" t="s">
        <v>110</v>
      </c>
      <c r="G3462" s="3" t="s">
        <v>22</v>
      </c>
      <c r="H3462" s="3" t="s">
        <v>23</v>
      </c>
      <c r="I3462" s="3" t="s">
        <v>1096</v>
      </c>
      <c r="J3462" s="3" t="s">
        <v>217</v>
      </c>
      <c r="K3462" s="3">
        <v>3</v>
      </c>
      <c r="L3462" s="3">
        <v>3165.72</v>
      </c>
      <c r="M3462" s="3">
        <v>9497.16</v>
      </c>
      <c r="N3462" s="3">
        <v>6593.05</v>
      </c>
      <c r="O3462" s="3">
        <v>2904.11</v>
      </c>
      <c r="P3462" s="3" t="s">
        <v>69</v>
      </c>
    </row>
    <row r="3463" spans="1:16" x14ac:dyDescent="0.35">
      <c r="A3463" s="3" t="s">
        <v>4886</v>
      </c>
      <c r="B3463" s="3" t="s">
        <v>358</v>
      </c>
      <c r="C3463" s="3" t="s">
        <v>72</v>
      </c>
      <c r="D3463" s="3" t="s">
        <v>90</v>
      </c>
      <c r="E3463" s="3" t="s">
        <v>91</v>
      </c>
      <c r="F3463" s="3" t="s">
        <v>92</v>
      </c>
      <c r="G3463" s="3" t="s">
        <v>30</v>
      </c>
      <c r="H3463" s="3" t="s">
        <v>31</v>
      </c>
      <c r="I3463" s="3" t="s">
        <v>2169</v>
      </c>
      <c r="J3463" s="3" t="s">
        <v>188</v>
      </c>
      <c r="K3463" s="3">
        <v>3</v>
      </c>
      <c r="L3463" s="3">
        <v>2789.9</v>
      </c>
      <c r="M3463" s="3">
        <v>8369.7000000000007</v>
      </c>
      <c r="N3463" s="3">
        <v>5815.26</v>
      </c>
      <c r="O3463" s="3">
        <v>2554.44</v>
      </c>
      <c r="P3463" s="3" t="s">
        <v>69</v>
      </c>
    </row>
    <row r="3464" spans="1:16" x14ac:dyDescent="0.35">
      <c r="A3464" s="3" t="s">
        <v>4887</v>
      </c>
      <c r="B3464" s="3" t="s">
        <v>1392</v>
      </c>
      <c r="C3464" s="3" t="s">
        <v>103</v>
      </c>
      <c r="D3464" s="3" t="s">
        <v>38</v>
      </c>
      <c r="E3464" s="3" t="s">
        <v>109</v>
      </c>
      <c r="F3464" s="3" t="s">
        <v>110</v>
      </c>
      <c r="G3464" s="3" t="s">
        <v>30</v>
      </c>
      <c r="H3464" s="3" t="s">
        <v>67</v>
      </c>
      <c r="I3464" s="3" t="s">
        <v>2387</v>
      </c>
      <c r="J3464" s="3" t="s">
        <v>44</v>
      </c>
      <c r="K3464" s="3">
        <v>8</v>
      </c>
      <c r="L3464" s="3">
        <v>9743.4699999999993</v>
      </c>
      <c r="M3464" s="3">
        <v>77947.759999999995</v>
      </c>
      <c r="N3464" s="3">
        <v>59180.639999999999</v>
      </c>
      <c r="O3464" s="3">
        <v>18767.12</v>
      </c>
      <c r="P3464" s="3" t="s">
        <v>86</v>
      </c>
    </row>
    <row r="3465" spans="1:16" x14ac:dyDescent="0.35">
      <c r="A3465" s="3" t="s">
        <v>4888</v>
      </c>
      <c r="B3465" s="3" t="s">
        <v>1238</v>
      </c>
      <c r="C3465" s="3" t="s">
        <v>82</v>
      </c>
      <c r="D3465" s="3" t="s">
        <v>90</v>
      </c>
      <c r="E3465" s="3" t="s">
        <v>91</v>
      </c>
      <c r="F3465" s="3" t="s">
        <v>92</v>
      </c>
      <c r="G3465" s="3" t="s">
        <v>51</v>
      </c>
      <c r="H3465" s="3" t="s">
        <v>77</v>
      </c>
      <c r="I3465" s="3" t="s">
        <v>2378</v>
      </c>
      <c r="J3465" s="3" t="s">
        <v>44</v>
      </c>
      <c r="K3465" s="3">
        <v>6</v>
      </c>
      <c r="L3465" s="3">
        <v>11743.42</v>
      </c>
      <c r="M3465" s="3">
        <v>70460.52</v>
      </c>
      <c r="N3465" s="3">
        <v>55812.35</v>
      </c>
      <c r="O3465" s="3">
        <v>14648.17</v>
      </c>
      <c r="P3465" s="3" t="s">
        <v>86</v>
      </c>
    </row>
    <row r="3466" spans="1:16" x14ac:dyDescent="0.35">
      <c r="A3466" s="3" t="s">
        <v>4889</v>
      </c>
      <c r="B3466" s="3" t="s">
        <v>257</v>
      </c>
      <c r="C3466" s="3" t="s">
        <v>72</v>
      </c>
      <c r="D3466" s="3" t="s">
        <v>58</v>
      </c>
      <c r="E3466" s="3" t="s">
        <v>176</v>
      </c>
      <c r="F3466" s="3" t="s">
        <v>177</v>
      </c>
      <c r="G3466" s="3" t="s">
        <v>22</v>
      </c>
      <c r="H3466" s="3" t="s">
        <v>23</v>
      </c>
      <c r="I3466" s="3" t="s">
        <v>388</v>
      </c>
      <c r="J3466" s="3" t="s">
        <v>106</v>
      </c>
      <c r="K3466" s="3">
        <v>8</v>
      </c>
      <c r="L3466" s="3">
        <v>3222.24</v>
      </c>
      <c r="M3466" s="3">
        <v>25777.919999999998</v>
      </c>
      <c r="N3466" s="3">
        <v>17600.88</v>
      </c>
      <c r="O3466" s="3">
        <v>8177.04</v>
      </c>
      <c r="P3466" s="3" t="s">
        <v>69</v>
      </c>
    </row>
    <row r="3467" spans="1:16" x14ac:dyDescent="0.35">
      <c r="A3467" s="3" t="s">
        <v>4890</v>
      </c>
      <c r="B3467" s="3" t="s">
        <v>1072</v>
      </c>
      <c r="C3467" s="3" t="s">
        <v>18</v>
      </c>
      <c r="D3467" s="3" t="s">
        <v>38</v>
      </c>
      <c r="E3467" s="3" t="s">
        <v>109</v>
      </c>
      <c r="F3467" s="3" t="s">
        <v>110</v>
      </c>
      <c r="G3467" s="3" t="s">
        <v>30</v>
      </c>
      <c r="H3467" s="3" t="s">
        <v>67</v>
      </c>
      <c r="I3467" s="3" t="s">
        <v>1417</v>
      </c>
      <c r="J3467" s="3" t="s">
        <v>44</v>
      </c>
      <c r="K3467" s="3">
        <v>4</v>
      </c>
      <c r="L3467" s="3">
        <v>9661.81</v>
      </c>
      <c r="M3467" s="3">
        <v>38647.24</v>
      </c>
      <c r="N3467" s="3">
        <v>28908.15</v>
      </c>
      <c r="O3467" s="3">
        <v>9739.09</v>
      </c>
      <c r="P3467" s="3" t="s">
        <v>69</v>
      </c>
    </row>
    <row r="3468" spans="1:16" x14ac:dyDescent="0.35">
      <c r="A3468" s="3" t="s">
        <v>4891</v>
      </c>
      <c r="B3468" s="3" t="s">
        <v>180</v>
      </c>
      <c r="C3468" s="3" t="s">
        <v>48</v>
      </c>
      <c r="D3468" s="3" t="s">
        <v>58</v>
      </c>
      <c r="E3468" s="3" t="s">
        <v>59</v>
      </c>
      <c r="F3468" s="3" t="s">
        <v>60</v>
      </c>
      <c r="G3468" s="3" t="s">
        <v>22</v>
      </c>
      <c r="H3468" s="3" t="s">
        <v>93</v>
      </c>
      <c r="I3468" s="3" t="s">
        <v>2392</v>
      </c>
      <c r="J3468" s="3" t="s">
        <v>79</v>
      </c>
      <c r="K3468" s="3">
        <v>7</v>
      </c>
      <c r="L3468" s="3">
        <v>7214.66</v>
      </c>
      <c r="M3468" s="3">
        <v>50502.62</v>
      </c>
      <c r="N3468" s="3">
        <v>35670.19</v>
      </c>
      <c r="O3468" s="3">
        <v>14832.43</v>
      </c>
      <c r="P3468" s="3" t="s">
        <v>26</v>
      </c>
    </row>
    <row r="3469" spans="1:16" x14ac:dyDescent="0.35">
      <c r="A3469" s="3" t="s">
        <v>4892</v>
      </c>
      <c r="B3469" s="3" t="s">
        <v>449</v>
      </c>
      <c r="C3469" s="3" t="s">
        <v>37</v>
      </c>
      <c r="D3469" s="3" t="s">
        <v>38</v>
      </c>
      <c r="E3469" s="3" t="s">
        <v>109</v>
      </c>
      <c r="F3469" s="3" t="s">
        <v>110</v>
      </c>
      <c r="G3469" s="3" t="s">
        <v>22</v>
      </c>
      <c r="H3469" s="3" t="s">
        <v>83</v>
      </c>
      <c r="I3469" s="3" t="s">
        <v>917</v>
      </c>
      <c r="J3469" s="3" t="s">
        <v>188</v>
      </c>
      <c r="K3469" s="3">
        <v>1</v>
      </c>
      <c r="L3469" s="3">
        <v>22967.360000000001</v>
      </c>
      <c r="M3469" s="3">
        <v>22967.360000000001</v>
      </c>
      <c r="N3469" s="3">
        <v>16616.03</v>
      </c>
      <c r="O3469" s="3">
        <v>6351.33</v>
      </c>
      <c r="P3469" s="3" t="s">
        <v>26</v>
      </c>
    </row>
    <row r="3470" spans="1:16" x14ac:dyDescent="0.35">
      <c r="A3470" s="3" t="s">
        <v>4893</v>
      </c>
      <c r="B3470" s="3" t="s">
        <v>242</v>
      </c>
      <c r="C3470" s="3" t="s">
        <v>137</v>
      </c>
      <c r="D3470" s="3" t="s">
        <v>90</v>
      </c>
      <c r="E3470" s="3" t="s">
        <v>91</v>
      </c>
      <c r="F3470" s="3" t="s">
        <v>92</v>
      </c>
      <c r="G3470" s="3" t="s">
        <v>22</v>
      </c>
      <c r="H3470" s="3" t="s">
        <v>93</v>
      </c>
      <c r="I3470" s="3" t="s">
        <v>187</v>
      </c>
      <c r="J3470" s="3" t="s">
        <v>54</v>
      </c>
      <c r="K3470" s="3">
        <v>6</v>
      </c>
      <c r="L3470" s="3">
        <v>7281.74</v>
      </c>
      <c r="M3470" s="3">
        <v>43690.44</v>
      </c>
      <c r="N3470" s="3">
        <v>29090.15</v>
      </c>
      <c r="O3470" s="3">
        <v>14600.29</v>
      </c>
      <c r="P3470" s="3" t="s">
        <v>86</v>
      </c>
    </row>
    <row r="3471" spans="1:16" x14ac:dyDescent="0.35">
      <c r="A3471" s="3" t="s">
        <v>4894</v>
      </c>
      <c r="B3471" s="3" t="s">
        <v>834</v>
      </c>
      <c r="C3471" s="3" t="s">
        <v>114</v>
      </c>
      <c r="D3471" s="3" t="s">
        <v>90</v>
      </c>
      <c r="E3471" s="3" t="s">
        <v>97</v>
      </c>
      <c r="F3471" s="3" t="s">
        <v>98</v>
      </c>
      <c r="G3471" s="3" t="s">
        <v>51</v>
      </c>
      <c r="H3471" s="3" t="s">
        <v>52</v>
      </c>
      <c r="I3471" s="3" t="s">
        <v>2758</v>
      </c>
      <c r="J3471" s="3" t="s">
        <v>100</v>
      </c>
      <c r="K3471" s="3">
        <v>5</v>
      </c>
      <c r="L3471" s="3">
        <v>23.9</v>
      </c>
      <c r="M3471" s="3">
        <v>119.5</v>
      </c>
      <c r="N3471" s="3">
        <v>49.63</v>
      </c>
      <c r="O3471" s="3">
        <v>69.87</v>
      </c>
      <c r="P3471" s="3" t="s">
        <v>26</v>
      </c>
    </row>
    <row r="3472" spans="1:16" x14ac:dyDescent="0.35">
      <c r="A3472" s="3" t="s">
        <v>4895</v>
      </c>
      <c r="B3472" s="3" t="s">
        <v>349</v>
      </c>
      <c r="C3472" s="3" t="s">
        <v>72</v>
      </c>
      <c r="D3472" s="3" t="s">
        <v>19</v>
      </c>
      <c r="E3472" s="3" t="s">
        <v>49</v>
      </c>
      <c r="F3472" s="3" t="s">
        <v>50</v>
      </c>
      <c r="G3472" s="3" t="s">
        <v>22</v>
      </c>
      <c r="H3472" s="3" t="s">
        <v>23</v>
      </c>
      <c r="I3472" s="3" t="s">
        <v>295</v>
      </c>
      <c r="J3472" s="3" t="s">
        <v>100</v>
      </c>
      <c r="K3472" s="3">
        <v>1</v>
      </c>
      <c r="L3472" s="3">
        <v>3178.7</v>
      </c>
      <c r="M3472" s="3">
        <v>3178.7</v>
      </c>
      <c r="N3472" s="3">
        <v>2161.04</v>
      </c>
      <c r="O3472" s="3">
        <v>1017.66</v>
      </c>
      <c r="P3472" s="3" t="s">
        <v>45</v>
      </c>
    </row>
    <row r="3473" spans="1:16" x14ac:dyDescent="0.35">
      <c r="A3473" s="3" t="s">
        <v>4896</v>
      </c>
      <c r="B3473" s="3" t="s">
        <v>113</v>
      </c>
      <c r="C3473" s="3" t="s">
        <v>114</v>
      </c>
      <c r="D3473" s="3" t="s">
        <v>58</v>
      </c>
      <c r="E3473" s="3" t="s">
        <v>59</v>
      </c>
      <c r="F3473" s="3" t="s">
        <v>60</v>
      </c>
      <c r="G3473" s="3" t="s">
        <v>22</v>
      </c>
      <c r="H3473" s="3" t="s">
        <v>23</v>
      </c>
      <c r="I3473" s="3" t="s">
        <v>261</v>
      </c>
      <c r="J3473" s="3" t="s">
        <v>25</v>
      </c>
      <c r="K3473" s="3">
        <v>6</v>
      </c>
      <c r="L3473" s="3">
        <v>3336.79</v>
      </c>
      <c r="M3473" s="3">
        <v>20020.740000000002</v>
      </c>
      <c r="N3473" s="3">
        <v>13399.17</v>
      </c>
      <c r="O3473" s="3">
        <v>6621.57</v>
      </c>
      <c r="P3473" s="3" t="s">
        <v>45</v>
      </c>
    </row>
    <row r="3474" spans="1:16" x14ac:dyDescent="0.35">
      <c r="A3474" s="3" t="s">
        <v>4897</v>
      </c>
      <c r="B3474" s="3" t="s">
        <v>1155</v>
      </c>
      <c r="C3474" s="3" t="s">
        <v>89</v>
      </c>
      <c r="D3474" s="3" t="s">
        <v>38</v>
      </c>
      <c r="E3474" s="3" t="s">
        <v>39</v>
      </c>
      <c r="F3474" s="3" t="s">
        <v>40</v>
      </c>
      <c r="G3474" s="3" t="s">
        <v>30</v>
      </c>
      <c r="H3474" s="3" t="s">
        <v>67</v>
      </c>
      <c r="I3474" s="3" t="s">
        <v>2169</v>
      </c>
      <c r="J3474" s="3" t="s">
        <v>100</v>
      </c>
      <c r="K3474" s="3">
        <v>2</v>
      </c>
      <c r="L3474" s="3">
        <v>10314.36</v>
      </c>
      <c r="M3474" s="3">
        <v>20628.72</v>
      </c>
      <c r="N3474" s="3">
        <v>15934.33</v>
      </c>
      <c r="O3474" s="3">
        <v>4694.3900000000003</v>
      </c>
      <c r="P3474" s="3" t="s">
        <v>86</v>
      </c>
    </row>
    <row r="3475" spans="1:16" x14ac:dyDescent="0.35">
      <c r="A3475" s="3" t="s">
        <v>4898</v>
      </c>
      <c r="B3475" s="3" t="s">
        <v>1997</v>
      </c>
      <c r="C3475" s="3" t="s">
        <v>114</v>
      </c>
      <c r="D3475" s="3" t="s">
        <v>58</v>
      </c>
      <c r="E3475" s="3" t="s">
        <v>176</v>
      </c>
      <c r="F3475" s="3" t="s">
        <v>177</v>
      </c>
      <c r="G3475" s="3" t="s">
        <v>41</v>
      </c>
      <c r="H3475" s="3" t="s">
        <v>42</v>
      </c>
      <c r="I3475" s="3" t="s">
        <v>4683</v>
      </c>
      <c r="J3475" s="3" t="s">
        <v>106</v>
      </c>
      <c r="K3475" s="3">
        <v>6</v>
      </c>
      <c r="L3475" s="3">
        <v>48373.69</v>
      </c>
      <c r="M3475" s="3">
        <v>290242.14</v>
      </c>
      <c r="N3475" s="3">
        <v>202786.3</v>
      </c>
      <c r="O3475" s="3">
        <v>87455.84</v>
      </c>
      <c r="P3475" s="3" t="s">
        <v>69</v>
      </c>
    </row>
    <row r="3476" spans="1:16" x14ac:dyDescent="0.35">
      <c r="A3476" s="3" t="s">
        <v>4899</v>
      </c>
      <c r="B3476" s="3" t="s">
        <v>1159</v>
      </c>
      <c r="C3476" s="3" t="s">
        <v>29</v>
      </c>
      <c r="D3476" s="3" t="s">
        <v>19</v>
      </c>
      <c r="E3476" s="3" t="s">
        <v>199</v>
      </c>
      <c r="F3476" s="3" t="s">
        <v>200</v>
      </c>
      <c r="G3476" s="3" t="s">
        <v>51</v>
      </c>
      <c r="H3476" s="3" t="s">
        <v>77</v>
      </c>
      <c r="I3476" s="3" t="s">
        <v>3863</v>
      </c>
      <c r="J3476" s="3" t="s">
        <v>188</v>
      </c>
      <c r="K3476" s="3">
        <v>6</v>
      </c>
      <c r="L3476" s="3">
        <v>13101.12</v>
      </c>
      <c r="M3476" s="3">
        <v>78606.720000000001</v>
      </c>
      <c r="N3476" s="3">
        <v>55025.91</v>
      </c>
      <c r="O3476" s="3">
        <v>23580.81</v>
      </c>
      <c r="P3476" s="3" t="s">
        <v>69</v>
      </c>
    </row>
    <row r="3477" spans="1:16" x14ac:dyDescent="0.35">
      <c r="A3477" s="3" t="s">
        <v>4900</v>
      </c>
      <c r="B3477" s="3" t="s">
        <v>285</v>
      </c>
      <c r="C3477" s="3" t="s">
        <v>18</v>
      </c>
      <c r="D3477" s="3" t="s">
        <v>90</v>
      </c>
      <c r="E3477" s="3" t="s">
        <v>91</v>
      </c>
      <c r="F3477" s="3" t="s">
        <v>92</v>
      </c>
      <c r="G3477" s="3" t="s">
        <v>22</v>
      </c>
      <c r="H3477" s="3" t="s">
        <v>93</v>
      </c>
      <c r="I3477" s="3" t="s">
        <v>337</v>
      </c>
      <c r="J3477" s="3" t="s">
        <v>44</v>
      </c>
      <c r="K3477" s="3">
        <v>6</v>
      </c>
      <c r="L3477" s="3">
        <v>7450.93</v>
      </c>
      <c r="M3477" s="3">
        <v>44705.58</v>
      </c>
      <c r="N3477" s="3">
        <v>28600.62</v>
      </c>
      <c r="O3477" s="3">
        <v>16104.96</v>
      </c>
      <c r="P3477" s="3" t="s">
        <v>86</v>
      </c>
    </row>
    <row r="3478" spans="1:16" x14ac:dyDescent="0.35">
      <c r="A3478" s="3" t="s">
        <v>4901</v>
      </c>
      <c r="B3478" s="3" t="s">
        <v>886</v>
      </c>
      <c r="C3478" s="3" t="s">
        <v>48</v>
      </c>
      <c r="D3478" s="3" t="s">
        <v>58</v>
      </c>
      <c r="E3478" s="3" t="s">
        <v>176</v>
      </c>
      <c r="F3478" s="3" t="s">
        <v>177</v>
      </c>
      <c r="G3478" s="3" t="s">
        <v>30</v>
      </c>
      <c r="H3478" s="3" t="s">
        <v>73</v>
      </c>
      <c r="I3478" s="3" t="s">
        <v>2467</v>
      </c>
      <c r="J3478" s="3" t="s">
        <v>100</v>
      </c>
      <c r="K3478" s="3">
        <v>8</v>
      </c>
      <c r="L3478" s="3">
        <v>3239.79</v>
      </c>
      <c r="M3478" s="3">
        <v>25918.32</v>
      </c>
      <c r="N3478" s="3">
        <v>19864.75</v>
      </c>
      <c r="O3478" s="3">
        <v>6053.57</v>
      </c>
      <c r="P3478" s="3" t="s">
        <v>69</v>
      </c>
    </row>
    <row r="3479" spans="1:16" x14ac:dyDescent="0.35">
      <c r="A3479" s="3" t="s">
        <v>4902</v>
      </c>
      <c r="B3479" s="3" t="s">
        <v>1464</v>
      </c>
      <c r="C3479" s="3" t="s">
        <v>137</v>
      </c>
      <c r="D3479" s="3" t="s">
        <v>58</v>
      </c>
      <c r="E3479" s="3" t="s">
        <v>176</v>
      </c>
      <c r="F3479" s="3" t="s">
        <v>177</v>
      </c>
      <c r="G3479" s="3" t="s">
        <v>30</v>
      </c>
      <c r="H3479" s="3" t="s">
        <v>73</v>
      </c>
      <c r="I3479" s="3" t="s">
        <v>1438</v>
      </c>
      <c r="J3479" s="3" t="s">
        <v>147</v>
      </c>
      <c r="K3479" s="3">
        <v>8</v>
      </c>
      <c r="L3479" s="3">
        <v>2920.69</v>
      </c>
      <c r="M3479" s="3">
        <v>23365.52</v>
      </c>
      <c r="N3479" s="3">
        <v>18553.96</v>
      </c>
      <c r="O3479" s="3">
        <v>4811.5600000000004</v>
      </c>
      <c r="P3479" s="3" t="s">
        <v>45</v>
      </c>
    </row>
    <row r="3480" spans="1:16" x14ac:dyDescent="0.35">
      <c r="A3480" s="3" t="s">
        <v>4903</v>
      </c>
      <c r="B3480" s="3" t="s">
        <v>123</v>
      </c>
      <c r="C3480" s="3" t="s">
        <v>18</v>
      </c>
      <c r="D3480" s="3" t="s">
        <v>58</v>
      </c>
      <c r="E3480" s="3" t="s">
        <v>65</v>
      </c>
      <c r="F3480" s="3" t="s">
        <v>66</v>
      </c>
      <c r="G3480" s="3" t="s">
        <v>22</v>
      </c>
      <c r="H3480" s="3" t="s">
        <v>93</v>
      </c>
      <c r="I3480" s="3" t="s">
        <v>1736</v>
      </c>
      <c r="J3480" s="3" t="s">
        <v>25</v>
      </c>
      <c r="K3480" s="3">
        <v>3</v>
      </c>
      <c r="L3480" s="3">
        <v>7012.98</v>
      </c>
      <c r="M3480" s="3">
        <v>21038.94</v>
      </c>
      <c r="N3480" s="3">
        <v>15059.84</v>
      </c>
      <c r="O3480" s="3">
        <v>5979.1</v>
      </c>
      <c r="P3480" s="3" t="s">
        <v>45</v>
      </c>
    </row>
    <row r="3481" spans="1:16" x14ac:dyDescent="0.35">
      <c r="A3481" s="3" t="s">
        <v>4904</v>
      </c>
      <c r="B3481" s="3" t="s">
        <v>792</v>
      </c>
      <c r="C3481" s="3" t="s">
        <v>72</v>
      </c>
      <c r="D3481" s="3" t="s">
        <v>58</v>
      </c>
      <c r="E3481" s="3" t="s">
        <v>65</v>
      </c>
      <c r="F3481" s="3" t="s">
        <v>66</v>
      </c>
      <c r="G3481" s="3" t="s">
        <v>51</v>
      </c>
      <c r="H3481" s="3" t="s">
        <v>145</v>
      </c>
      <c r="I3481" s="3" t="s">
        <v>74</v>
      </c>
      <c r="J3481" s="3" t="s">
        <v>44</v>
      </c>
      <c r="K3481" s="3">
        <v>6</v>
      </c>
      <c r="L3481" s="3">
        <v>124.45</v>
      </c>
      <c r="M3481" s="3">
        <v>746.7</v>
      </c>
      <c r="N3481" s="3">
        <v>354.37</v>
      </c>
      <c r="O3481" s="3">
        <v>392.33</v>
      </c>
      <c r="P3481" s="3" t="s">
        <v>86</v>
      </c>
    </row>
    <row r="3482" spans="1:16" x14ac:dyDescent="0.35">
      <c r="A3482" s="3" t="s">
        <v>4905</v>
      </c>
      <c r="B3482" s="3" t="s">
        <v>180</v>
      </c>
      <c r="C3482" s="3" t="s">
        <v>48</v>
      </c>
      <c r="D3482" s="3" t="s">
        <v>38</v>
      </c>
      <c r="E3482" s="3" t="s">
        <v>104</v>
      </c>
      <c r="F3482" s="3" t="s">
        <v>104</v>
      </c>
      <c r="G3482" s="3" t="s">
        <v>30</v>
      </c>
      <c r="H3482" s="3" t="s">
        <v>31</v>
      </c>
      <c r="I3482" s="3" t="s">
        <v>1736</v>
      </c>
      <c r="J3482" s="3" t="s">
        <v>131</v>
      </c>
      <c r="K3482" s="3">
        <v>4</v>
      </c>
      <c r="L3482" s="3">
        <v>2592.5300000000002</v>
      </c>
      <c r="M3482" s="3">
        <v>10370.120000000001</v>
      </c>
      <c r="N3482" s="3">
        <v>7380.39</v>
      </c>
      <c r="O3482" s="3">
        <v>2989.73</v>
      </c>
      <c r="P3482" s="3" t="s">
        <v>69</v>
      </c>
    </row>
    <row r="3483" spans="1:16" x14ac:dyDescent="0.35">
      <c r="A3483" s="3" t="s">
        <v>4906</v>
      </c>
      <c r="B3483" s="3" t="s">
        <v>583</v>
      </c>
      <c r="C3483" s="3" t="s">
        <v>89</v>
      </c>
      <c r="D3483" s="3" t="s">
        <v>58</v>
      </c>
      <c r="E3483" s="3" t="s">
        <v>65</v>
      </c>
      <c r="F3483" s="3" t="s">
        <v>66</v>
      </c>
      <c r="G3483" s="3" t="s">
        <v>51</v>
      </c>
      <c r="H3483" s="3" t="s">
        <v>52</v>
      </c>
      <c r="I3483" s="3" t="s">
        <v>1571</v>
      </c>
      <c r="J3483" s="3" t="s">
        <v>25</v>
      </c>
      <c r="K3483" s="3">
        <v>4</v>
      </c>
      <c r="L3483" s="3">
        <v>24.21</v>
      </c>
      <c r="M3483" s="3">
        <v>96.84</v>
      </c>
      <c r="N3483" s="3">
        <v>41.52</v>
      </c>
      <c r="O3483" s="3">
        <v>55.32</v>
      </c>
      <c r="P3483" s="3" t="s">
        <v>69</v>
      </c>
    </row>
    <row r="3484" spans="1:16" x14ac:dyDescent="0.35">
      <c r="A3484" s="3" t="s">
        <v>4907</v>
      </c>
      <c r="B3484" s="3" t="s">
        <v>1752</v>
      </c>
      <c r="C3484" s="3" t="s">
        <v>114</v>
      </c>
      <c r="D3484" s="3" t="s">
        <v>58</v>
      </c>
      <c r="E3484" s="3" t="s">
        <v>65</v>
      </c>
      <c r="F3484" s="3" t="s">
        <v>66</v>
      </c>
      <c r="G3484" s="3" t="s">
        <v>22</v>
      </c>
      <c r="H3484" s="3" t="s">
        <v>23</v>
      </c>
      <c r="I3484" s="3" t="s">
        <v>4044</v>
      </c>
      <c r="J3484" s="3" t="s">
        <v>25</v>
      </c>
      <c r="K3484" s="3">
        <v>7</v>
      </c>
      <c r="L3484" s="3">
        <v>3397.45</v>
      </c>
      <c r="M3484" s="3">
        <v>23782.15</v>
      </c>
      <c r="N3484" s="3">
        <v>15589.88</v>
      </c>
      <c r="O3484" s="3">
        <v>8192.27</v>
      </c>
      <c r="P3484" s="3" t="s">
        <v>69</v>
      </c>
    </row>
    <row r="3485" spans="1:16" x14ac:dyDescent="0.35">
      <c r="A3485" s="3" t="s">
        <v>4908</v>
      </c>
      <c r="B3485" s="3" t="s">
        <v>358</v>
      </c>
      <c r="C3485" s="3" t="s">
        <v>72</v>
      </c>
      <c r="D3485" s="3" t="s">
        <v>58</v>
      </c>
      <c r="E3485" s="3" t="s">
        <v>65</v>
      </c>
      <c r="F3485" s="3" t="s">
        <v>66</v>
      </c>
      <c r="G3485" s="3" t="s">
        <v>41</v>
      </c>
      <c r="H3485" s="3" t="s">
        <v>42</v>
      </c>
      <c r="I3485" s="3" t="s">
        <v>1114</v>
      </c>
      <c r="J3485" s="3" t="s">
        <v>100</v>
      </c>
      <c r="K3485" s="3">
        <v>3</v>
      </c>
      <c r="L3485" s="3">
        <v>45478.5</v>
      </c>
      <c r="M3485" s="3">
        <v>136435.5</v>
      </c>
      <c r="N3485" s="3">
        <v>105732.22</v>
      </c>
      <c r="O3485" s="3">
        <v>30703.279999999999</v>
      </c>
      <c r="P3485" s="3" t="s">
        <v>34</v>
      </c>
    </row>
    <row r="3486" spans="1:16" x14ac:dyDescent="0.35">
      <c r="A3486" s="3" t="s">
        <v>4909</v>
      </c>
      <c r="B3486" s="3" t="s">
        <v>242</v>
      </c>
      <c r="C3486" s="3" t="s">
        <v>137</v>
      </c>
      <c r="D3486" s="3" t="s">
        <v>58</v>
      </c>
      <c r="E3486" s="3" t="s">
        <v>176</v>
      </c>
      <c r="F3486" s="3" t="s">
        <v>177</v>
      </c>
      <c r="G3486" s="3" t="s">
        <v>41</v>
      </c>
      <c r="H3486" s="3" t="s">
        <v>61</v>
      </c>
      <c r="I3486" s="3" t="s">
        <v>963</v>
      </c>
      <c r="J3486" s="3" t="s">
        <v>106</v>
      </c>
      <c r="K3486" s="3">
        <v>1</v>
      </c>
      <c r="L3486" s="3">
        <v>2400.38</v>
      </c>
      <c r="M3486" s="3">
        <v>2400.38</v>
      </c>
      <c r="N3486" s="3">
        <v>1655.91</v>
      </c>
      <c r="O3486" s="3">
        <v>744.47</v>
      </c>
      <c r="P3486" s="3" t="s">
        <v>34</v>
      </c>
    </row>
    <row r="3487" spans="1:16" x14ac:dyDescent="0.35">
      <c r="A3487" s="3" t="s">
        <v>4910</v>
      </c>
      <c r="B3487" s="3" t="s">
        <v>288</v>
      </c>
      <c r="C3487" s="3" t="s">
        <v>118</v>
      </c>
      <c r="D3487" s="3" t="s">
        <v>90</v>
      </c>
      <c r="E3487" s="3" t="s">
        <v>91</v>
      </c>
      <c r="F3487" s="3" t="s">
        <v>92</v>
      </c>
      <c r="G3487" s="3" t="s">
        <v>30</v>
      </c>
      <c r="H3487" s="3" t="s">
        <v>73</v>
      </c>
      <c r="I3487" s="3" t="s">
        <v>2295</v>
      </c>
      <c r="J3487" s="3" t="s">
        <v>79</v>
      </c>
      <c r="K3487" s="3">
        <v>5</v>
      </c>
      <c r="L3487" s="3">
        <v>3377.03</v>
      </c>
      <c r="M3487" s="3">
        <v>16885.150000000001</v>
      </c>
      <c r="N3487" s="3">
        <v>12549.87</v>
      </c>
      <c r="O3487" s="3">
        <v>4335.28</v>
      </c>
      <c r="P3487" s="3" t="s">
        <v>69</v>
      </c>
    </row>
    <row r="3488" spans="1:16" x14ac:dyDescent="0.35">
      <c r="A3488" s="3" t="s">
        <v>4911</v>
      </c>
      <c r="B3488" s="3" t="s">
        <v>1053</v>
      </c>
      <c r="C3488" s="3" t="s">
        <v>82</v>
      </c>
      <c r="D3488" s="3" t="s">
        <v>38</v>
      </c>
      <c r="E3488" s="3" t="s">
        <v>39</v>
      </c>
      <c r="F3488" s="3" t="s">
        <v>40</v>
      </c>
      <c r="G3488" s="3" t="s">
        <v>51</v>
      </c>
      <c r="H3488" s="3" t="s">
        <v>145</v>
      </c>
      <c r="I3488" s="3" t="s">
        <v>2964</v>
      </c>
      <c r="J3488" s="3" t="s">
        <v>154</v>
      </c>
      <c r="K3488" s="3">
        <v>1</v>
      </c>
      <c r="L3488" s="3">
        <v>112.2</v>
      </c>
      <c r="M3488" s="3">
        <v>112.2</v>
      </c>
      <c r="N3488" s="3">
        <v>61.89</v>
      </c>
      <c r="O3488" s="3">
        <v>50.31</v>
      </c>
      <c r="P3488" s="3" t="s">
        <v>45</v>
      </c>
    </row>
    <row r="3489" spans="1:16" x14ac:dyDescent="0.35">
      <c r="A3489" s="3" t="s">
        <v>4912</v>
      </c>
      <c r="B3489" s="3" t="s">
        <v>802</v>
      </c>
      <c r="C3489" s="3" t="s">
        <v>118</v>
      </c>
      <c r="D3489" s="3" t="s">
        <v>58</v>
      </c>
      <c r="E3489" s="3" t="s">
        <v>176</v>
      </c>
      <c r="F3489" s="3" t="s">
        <v>177</v>
      </c>
      <c r="G3489" s="3" t="s">
        <v>51</v>
      </c>
      <c r="H3489" s="3" t="s">
        <v>77</v>
      </c>
      <c r="I3489" s="3" t="s">
        <v>708</v>
      </c>
      <c r="J3489" s="3" t="s">
        <v>106</v>
      </c>
      <c r="K3489" s="3">
        <v>1</v>
      </c>
      <c r="L3489" s="3">
        <v>12680.3</v>
      </c>
      <c r="M3489" s="3">
        <v>12680.3</v>
      </c>
      <c r="N3489" s="3">
        <v>9184.89</v>
      </c>
      <c r="O3489" s="3">
        <v>3495.41</v>
      </c>
      <c r="P3489" s="3" t="s">
        <v>69</v>
      </c>
    </row>
    <row r="3490" spans="1:16" x14ac:dyDescent="0.35">
      <c r="A3490" s="3" t="s">
        <v>4913</v>
      </c>
      <c r="B3490" s="3" t="s">
        <v>583</v>
      </c>
      <c r="C3490" s="3" t="s">
        <v>89</v>
      </c>
      <c r="D3490" s="3" t="s">
        <v>19</v>
      </c>
      <c r="E3490" s="3" t="s">
        <v>49</v>
      </c>
      <c r="F3490" s="3" t="s">
        <v>50</v>
      </c>
      <c r="G3490" s="3" t="s">
        <v>41</v>
      </c>
      <c r="H3490" s="3" t="s">
        <v>61</v>
      </c>
      <c r="I3490" s="3" t="s">
        <v>1607</v>
      </c>
      <c r="J3490" s="3" t="s">
        <v>217</v>
      </c>
      <c r="K3490" s="3">
        <v>1</v>
      </c>
      <c r="L3490" s="3">
        <v>2619.6799999999998</v>
      </c>
      <c r="M3490" s="3">
        <v>2619.6799999999998</v>
      </c>
      <c r="N3490" s="3">
        <v>1622.81</v>
      </c>
      <c r="O3490" s="3">
        <v>996.87</v>
      </c>
      <c r="P3490" s="3" t="s">
        <v>86</v>
      </c>
    </row>
    <row r="3491" spans="1:16" x14ac:dyDescent="0.35">
      <c r="A3491" s="3" t="s">
        <v>4914</v>
      </c>
      <c r="B3491" s="3" t="s">
        <v>367</v>
      </c>
      <c r="C3491" s="3" t="s">
        <v>29</v>
      </c>
      <c r="D3491" s="3" t="s">
        <v>38</v>
      </c>
      <c r="E3491" s="3" t="s">
        <v>104</v>
      </c>
      <c r="F3491" s="3" t="s">
        <v>104</v>
      </c>
      <c r="G3491" s="3" t="s">
        <v>51</v>
      </c>
      <c r="H3491" s="3" t="s">
        <v>52</v>
      </c>
      <c r="I3491" s="3" t="s">
        <v>1523</v>
      </c>
      <c r="J3491" s="3" t="s">
        <v>100</v>
      </c>
      <c r="K3491" s="3">
        <v>3</v>
      </c>
      <c r="L3491" s="3">
        <v>26.17</v>
      </c>
      <c r="M3491" s="3">
        <v>78.510000000000005</v>
      </c>
      <c r="N3491" s="3">
        <v>29.83</v>
      </c>
      <c r="O3491" s="3">
        <v>48.68</v>
      </c>
      <c r="P3491" s="3" t="s">
        <v>86</v>
      </c>
    </row>
    <row r="3492" spans="1:16" x14ac:dyDescent="0.35">
      <c r="A3492" s="3" t="s">
        <v>4915</v>
      </c>
      <c r="B3492" s="3" t="s">
        <v>1142</v>
      </c>
      <c r="C3492" s="3" t="s">
        <v>37</v>
      </c>
      <c r="D3492" s="3" t="s">
        <v>58</v>
      </c>
      <c r="E3492" s="3" t="s">
        <v>65</v>
      </c>
      <c r="F3492" s="3" t="s">
        <v>66</v>
      </c>
      <c r="G3492" s="3" t="s">
        <v>51</v>
      </c>
      <c r="H3492" s="3" t="s">
        <v>145</v>
      </c>
      <c r="I3492" s="3" t="s">
        <v>578</v>
      </c>
      <c r="J3492" s="3" t="s">
        <v>100</v>
      </c>
      <c r="K3492" s="3">
        <v>7</v>
      </c>
      <c r="L3492" s="3">
        <v>116.08</v>
      </c>
      <c r="M3492" s="3">
        <v>812.56</v>
      </c>
      <c r="N3492" s="3">
        <v>435.45</v>
      </c>
      <c r="O3492" s="3">
        <v>377.11</v>
      </c>
      <c r="P3492" s="3" t="s">
        <v>69</v>
      </c>
    </row>
    <row r="3493" spans="1:16" x14ac:dyDescent="0.35">
      <c r="A3493" s="3" t="s">
        <v>4916</v>
      </c>
      <c r="B3493" s="3" t="s">
        <v>2127</v>
      </c>
      <c r="C3493" s="3" t="s">
        <v>48</v>
      </c>
      <c r="D3493" s="3" t="s">
        <v>58</v>
      </c>
      <c r="E3493" s="3" t="s">
        <v>176</v>
      </c>
      <c r="F3493" s="3" t="s">
        <v>177</v>
      </c>
      <c r="G3493" s="3" t="s">
        <v>30</v>
      </c>
      <c r="H3493" s="3" t="s">
        <v>67</v>
      </c>
      <c r="I3493" s="3" t="s">
        <v>2891</v>
      </c>
      <c r="J3493" s="3" t="s">
        <v>161</v>
      </c>
      <c r="K3493" s="3">
        <v>1</v>
      </c>
      <c r="L3493" s="3">
        <v>9848.7099999999991</v>
      </c>
      <c r="M3493" s="3">
        <v>9848.7099999999991</v>
      </c>
      <c r="N3493" s="3">
        <v>7601.18</v>
      </c>
      <c r="O3493" s="3">
        <v>2247.5300000000002</v>
      </c>
      <c r="P3493" s="3" t="s">
        <v>69</v>
      </c>
    </row>
    <row r="3494" spans="1:16" x14ac:dyDescent="0.35">
      <c r="A3494" s="3" t="s">
        <v>4917</v>
      </c>
      <c r="B3494" s="3" t="s">
        <v>705</v>
      </c>
      <c r="C3494" s="3" t="s">
        <v>82</v>
      </c>
      <c r="D3494" s="3" t="s">
        <v>38</v>
      </c>
      <c r="E3494" s="3" t="s">
        <v>104</v>
      </c>
      <c r="F3494" s="3" t="s">
        <v>104</v>
      </c>
      <c r="G3494" s="3" t="s">
        <v>30</v>
      </c>
      <c r="H3494" s="3" t="s">
        <v>73</v>
      </c>
      <c r="I3494" s="3" t="s">
        <v>1093</v>
      </c>
      <c r="J3494" s="3" t="s">
        <v>79</v>
      </c>
      <c r="K3494" s="3">
        <v>8</v>
      </c>
      <c r="L3494" s="3">
        <v>3012.01</v>
      </c>
      <c r="M3494" s="3">
        <v>24096.080000000002</v>
      </c>
      <c r="N3494" s="3">
        <v>19739.189999999999</v>
      </c>
      <c r="O3494" s="3">
        <v>4356.8900000000003</v>
      </c>
      <c r="P3494" s="3" t="s">
        <v>34</v>
      </c>
    </row>
    <row r="3495" spans="1:16" x14ac:dyDescent="0.35">
      <c r="A3495" s="3" t="s">
        <v>4918</v>
      </c>
      <c r="B3495" s="3" t="s">
        <v>666</v>
      </c>
      <c r="C3495" s="3" t="s">
        <v>37</v>
      </c>
      <c r="D3495" s="3" t="s">
        <v>38</v>
      </c>
      <c r="E3495" s="3" t="s">
        <v>109</v>
      </c>
      <c r="F3495" s="3" t="s">
        <v>110</v>
      </c>
      <c r="G3495" s="3" t="s">
        <v>41</v>
      </c>
      <c r="H3495" s="3" t="s">
        <v>61</v>
      </c>
      <c r="I3495" s="3" t="s">
        <v>736</v>
      </c>
      <c r="J3495" s="3" t="s">
        <v>54</v>
      </c>
      <c r="K3495" s="3">
        <v>2</v>
      </c>
      <c r="L3495" s="3">
        <v>2365.7800000000002</v>
      </c>
      <c r="M3495" s="3">
        <v>4731.5600000000004</v>
      </c>
      <c r="N3495" s="3">
        <v>3134.17</v>
      </c>
      <c r="O3495" s="3">
        <v>1597.39</v>
      </c>
      <c r="P3495" s="3" t="s">
        <v>26</v>
      </c>
    </row>
    <row r="3496" spans="1:16" x14ac:dyDescent="0.35">
      <c r="A3496" s="3" t="s">
        <v>4919</v>
      </c>
      <c r="B3496" s="3" t="s">
        <v>452</v>
      </c>
      <c r="C3496" s="3" t="s">
        <v>114</v>
      </c>
      <c r="D3496" s="3" t="s">
        <v>90</v>
      </c>
      <c r="E3496" s="3" t="s">
        <v>91</v>
      </c>
      <c r="F3496" s="3" t="s">
        <v>92</v>
      </c>
      <c r="G3496" s="3" t="s">
        <v>30</v>
      </c>
      <c r="H3496" s="3" t="s">
        <v>67</v>
      </c>
      <c r="I3496" s="3" t="s">
        <v>4920</v>
      </c>
      <c r="J3496" s="3" t="s">
        <v>100</v>
      </c>
      <c r="K3496" s="3">
        <v>4</v>
      </c>
      <c r="L3496" s="3">
        <v>10114.98</v>
      </c>
      <c r="M3496" s="3">
        <v>40459.919999999998</v>
      </c>
      <c r="N3496" s="3">
        <v>30064.67</v>
      </c>
      <c r="O3496" s="3">
        <v>10395.25</v>
      </c>
      <c r="P3496" s="3" t="s">
        <v>26</v>
      </c>
    </row>
    <row r="3497" spans="1:16" x14ac:dyDescent="0.35">
      <c r="A3497" s="3" t="s">
        <v>4921</v>
      </c>
      <c r="B3497" s="3" t="s">
        <v>705</v>
      </c>
      <c r="C3497" s="3" t="s">
        <v>82</v>
      </c>
      <c r="D3497" s="3" t="s">
        <v>38</v>
      </c>
      <c r="E3497" s="3" t="s">
        <v>104</v>
      </c>
      <c r="F3497" s="3" t="s">
        <v>104</v>
      </c>
      <c r="G3497" s="3" t="s">
        <v>22</v>
      </c>
      <c r="H3497" s="3" t="s">
        <v>23</v>
      </c>
      <c r="I3497" s="3" t="s">
        <v>1395</v>
      </c>
      <c r="J3497" s="3" t="s">
        <v>33</v>
      </c>
      <c r="K3497" s="3">
        <v>5</v>
      </c>
      <c r="L3497" s="3">
        <v>3493.6</v>
      </c>
      <c r="M3497" s="3">
        <v>17468</v>
      </c>
      <c r="N3497" s="3">
        <v>10806.58</v>
      </c>
      <c r="O3497" s="3">
        <v>6661.42</v>
      </c>
      <c r="P3497" s="3" t="s">
        <v>86</v>
      </c>
    </row>
    <row r="3498" spans="1:16" x14ac:dyDescent="0.35">
      <c r="A3498" s="3" t="s">
        <v>4922</v>
      </c>
      <c r="B3498" s="3" t="s">
        <v>336</v>
      </c>
      <c r="C3498" s="3" t="s">
        <v>29</v>
      </c>
      <c r="D3498" s="3" t="s">
        <v>19</v>
      </c>
      <c r="E3498" s="3" t="s">
        <v>49</v>
      </c>
      <c r="F3498" s="3" t="s">
        <v>50</v>
      </c>
      <c r="G3498" s="3" t="s">
        <v>30</v>
      </c>
      <c r="H3498" s="3" t="s">
        <v>67</v>
      </c>
      <c r="I3498" s="3" t="s">
        <v>2595</v>
      </c>
      <c r="J3498" s="3" t="s">
        <v>54</v>
      </c>
      <c r="K3498" s="3">
        <v>1</v>
      </c>
      <c r="L3498" s="3">
        <v>8653.41</v>
      </c>
      <c r="M3498" s="3">
        <v>8653.41</v>
      </c>
      <c r="N3498" s="3">
        <v>7413.08</v>
      </c>
      <c r="O3498" s="3">
        <v>1240.33</v>
      </c>
      <c r="P3498" s="3" t="s">
        <v>86</v>
      </c>
    </row>
    <row r="3499" spans="1:16" x14ac:dyDescent="0.35">
      <c r="A3499" s="3" t="s">
        <v>4923</v>
      </c>
      <c r="B3499" s="3" t="s">
        <v>592</v>
      </c>
      <c r="C3499" s="3" t="s">
        <v>103</v>
      </c>
      <c r="D3499" s="3" t="s">
        <v>58</v>
      </c>
      <c r="E3499" s="3" t="s">
        <v>65</v>
      </c>
      <c r="F3499" s="3" t="s">
        <v>66</v>
      </c>
      <c r="G3499" s="3" t="s">
        <v>51</v>
      </c>
      <c r="H3499" s="3" t="s">
        <v>145</v>
      </c>
      <c r="I3499" s="3" t="s">
        <v>1537</v>
      </c>
      <c r="J3499" s="3" t="s">
        <v>154</v>
      </c>
      <c r="K3499" s="3">
        <v>8</v>
      </c>
      <c r="L3499" s="3">
        <v>120.95</v>
      </c>
      <c r="M3499" s="3">
        <v>967.6</v>
      </c>
      <c r="N3499" s="3">
        <v>484.34</v>
      </c>
      <c r="O3499" s="3">
        <v>483.26</v>
      </c>
      <c r="P3499" s="3" t="s">
        <v>34</v>
      </c>
    </row>
    <row r="3500" spans="1:16" x14ac:dyDescent="0.35">
      <c r="A3500" s="3" t="s">
        <v>4924</v>
      </c>
      <c r="B3500" s="3" t="s">
        <v>1142</v>
      </c>
      <c r="C3500" s="3" t="s">
        <v>37</v>
      </c>
      <c r="D3500" s="3" t="s">
        <v>19</v>
      </c>
      <c r="E3500" s="3" t="s">
        <v>49</v>
      </c>
      <c r="F3500" s="3" t="s">
        <v>50</v>
      </c>
      <c r="G3500" s="3" t="s">
        <v>41</v>
      </c>
      <c r="H3500" s="3" t="s">
        <v>42</v>
      </c>
      <c r="I3500" s="3" t="s">
        <v>1372</v>
      </c>
      <c r="J3500" s="3" t="s">
        <v>171</v>
      </c>
      <c r="K3500" s="3">
        <v>8</v>
      </c>
      <c r="L3500" s="3">
        <v>48965.8</v>
      </c>
      <c r="M3500" s="3">
        <v>391726.4</v>
      </c>
      <c r="N3500" s="3">
        <v>287362.59000000003</v>
      </c>
      <c r="O3500" s="3">
        <v>104363.81</v>
      </c>
      <c r="P3500" s="3" t="s">
        <v>45</v>
      </c>
    </row>
    <row r="3501" spans="1:16" x14ac:dyDescent="0.35">
      <c r="A3501" s="3" t="s">
        <v>4925</v>
      </c>
      <c r="B3501" s="3" t="s">
        <v>1072</v>
      </c>
      <c r="C3501" s="3" t="s">
        <v>18</v>
      </c>
      <c r="D3501" s="3" t="s">
        <v>38</v>
      </c>
      <c r="E3501" s="3" t="s">
        <v>39</v>
      </c>
      <c r="F3501" s="3" t="s">
        <v>40</v>
      </c>
      <c r="G3501" s="3" t="s">
        <v>30</v>
      </c>
      <c r="H3501" s="3" t="s">
        <v>67</v>
      </c>
      <c r="I3501" s="3" t="s">
        <v>2824</v>
      </c>
      <c r="J3501" s="3" t="s">
        <v>106</v>
      </c>
      <c r="K3501" s="3">
        <v>7</v>
      </c>
      <c r="L3501" s="3">
        <v>9526.14</v>
      </c>
      <c r="M3501" s="3">
        <v>66682.98</v>
      </c>
      <c r="N3501" s="3">
        <v>51585.71</v>
      </c>
      <c r="O3501" s="3">
        <v>15097.27</v>
      </c>
      <c r="P3501" s="3" t="s">
        <v>26</v>
      </c>
    </row>
    <row r="3502" spans="1:16" x14ac:dyDescent="0.35">
      <c r="A3502" s="3" t="s">
        <v>4926</v>
      </c>
      <c r="B3502" s="3" t="s">
        <v>1724</v>
      </c>
      <c r="C3502" s="3" t="s">
        <v>48</v>
      </c>
      <c r="D3502" s="3" t="s">
        <v>90</v>
      </c>
      <c r="E3502" s="3" t="s">
        <v>119</v>
      </c>
      <c r="F3502" s="3" t="s">
        <v>120</v>
      </c>
      <c r="G3502" s="3" t="s">
        <v>51</v>
      </c>
      <c r="H3502" s="3" t="s">
        <v>77</v>
      </c>
      <c r="I3502" s="3" t="s">
        <v>614</v>
      </c>
      <c r="J3502" s="3" t="s">
        <v>154</v>
      </c>
      <c r="K3502" s="3">
        <v>4</v>
      </c>
      <c r="L3502" s="3">
        <v>13170.62</v>
      </c>
      <c r="M3502" s="3">
        <v>52682.48</v>
      </c>
      <c r="N3502" s="3">
        <v>36299.629999999997</v>
      </c>
      <c r="O3502" s="3">
        <v>16382.85</v>
      </c>
      <c r="P3502" s="3" t="s">
        <v>26</v>
      </c>
    </row>
    <row r="3503" spans="1:16" x14ac:dyDescent="0.35">
      <c r="A3503" s="3" t="s">
        <v>4927</v>
      </c>
      <c r="B3503" s="3" t="s">
        <v>1140</v>
      </c>
      <c r="C3503" s="3" t="s">
        <v>48</v>
      </c>
      <c r="D3503" s="3" t="s">
        <v>38</v>
      </c>
      <c r="E3503" s="3" t="s">
        <v>104</v>
      </c>
      <c r="F3503" s="3" t="s">
        <v>104</v>
      </c>
      <c r="G3503" s="3" t="s">
        <v>30</v>
      </c>
      <c r="H3503" s="3" t="s">
        <v>31</v>
      </c>
      <c r="I3503" s="3" t="s">
        <v>2201</v>
      </c>
      <c r="J3503" s="3" t="s">
        <v>147</v>
      </c>
      <c r="K3503" s="3">
        <v>1</v>
      </c>
      <c r="L3503" s="3">
        <v>2597.88</v>
      </c>
      <c r="M3503" s="3">
        <v>2597.88</v>
      </c>
      <c r="N3503" s="3">
        <v>1953.28</v>
      </c>
      <c r="O3503" s="3">
        <v>644.6</v>
      </c>
      <c r="P3503" s="3" t="s">
        <v>69</v>
      </c>
    </row>
    <row r="3504" spans="1:16" x14ac:dyDescent="0.35">
      <c r="A3504" s="3" t="s">
        <v>4928</v>
      </c>
      <c r="B3504" s="3" t="s">
        <v>3482</v>
      </c>
      <c r="C3504" s="3" t="s">
        <v>57</v>
      </c>
      <c r="D3504" s="3" t="s">
        <v>58</v>
      </c>
      <c r="E3504" s="3" t="s">
        <v>176</v>
      </c>
      <c r="F3504" s="3" t="s">
        <v>177</v>
      </c>
      <c r="G3504" s="3" t="s">
        <v>30</v>
      </c>
      <c r="H3504" s="3" t="s">
        <v>31</v>
      </c>
      <c r="I3504" s="3" t="s">
        <v>1127</v>
      </c>
      <c r="J3504" s="3" t="s">
        <v>44</v>
      </c>
      <c r="K3504" s="3">
        <v>2</v>
      </c>
      <c r="L3504" s="3">
        <v>2806.12</v>
      </c>
      <c r="M3504" s="3">
        <v>5612.24</v>
      </c>
      <c r="N3504" s="3">
        <v>3970.45</v>
      </c>
      <c r="O3504" s="3">
        <v>1641.79</v>
      </c>
      <c r="P3504" s="3" t="s">
        <v>69</v>
      </c>
    </row>
    <row r="3505" spans="1:16" x14ac:dyDescent="0.35">
      <c r="A3505" s="3" t="s">
        <v>4929</v>
      </c>
      <c r="B3505" s="3" t="s">
        <v>358</v>
      </c>
      <c r="C3505" s="3" t="s">
        <v>72</v>
      </c>
      <c r="D3505" s="3" t="s">
        <v>90</v>
      </c>
      <c r="E3505" s="3" t="s">
        <v>97</v>
      </c>
      <c r="F3505" s="3" t="s">
        <v>98</v>
      </c>
      <c r="G3505" s="3" t="s">
        <v>51</v>
      </c>
      <c r="H3505" s="3" t="s">
        <v>145</v>
      </c>
      <c r="I3505" s="3" t="s">
        <v>2402</v>
      </c>
      <c r="J3505" s="3" t="s">
        <v>147</v>
      </c>
      <c r="K3505" s="3">
        <v>5</v>
      </c>
      <c r="L3505" s="3">
        <v>128.26</v>
      </c>
      <c r="M3505" s="3">
        <v>641.29999999999995</v>
      </c>
      <c r="N3505" s="3">
        <v>288.97000000000003</v>
      </c>
      <c r="O3505" s="3">
        <v>352.33</v>
      </c>
      <c r="P3505" s="3" t="s">
        <v>86</v>
      </c>
    </row>
    <row r="3506" spans="1:16" x14ac:dyDescent="0.35">
      <c r="A3506" s="3" t="s">
        <v>4930</v>
      </c>
      <c r="B3506" s="3" t="s">
        <v>315</v>
      </c>
      <c r="C3506" s="3" t="s">
        <v>118</v>
      </c>
      <c r="D3506" s="3" t="s">
        <v>19</v>
      </c>
      <c r="E3506" s="3" t="s">
        <v>20</v>
      </c>
      <c r="F3506" s="3" t="s">
        <v>21</v>
      </c>
      <c r="G3506" s="3" t="s">
        <v>41</v>
      </c>
      <c r="H3506" s="3" t="s">
        <v>61</v>
      </c>
      <c r="I3506" s="3" t="s">
        <v>1605</v>
      </c>
      <c r="J3506" s="3" t="s">
        <v>25</v>
      </c>
      <c r="K3506" s="3">
        <v>4</v>
      </c>
      <c r="L3506" s="3">
        <v>2527.6999999999998</v>
      </c>
      <c r="M3506" s="3">
        <v>10110.799999999999</v>
      </c>
      <c r="N3506" s="3">
        <v>6119.08</v>
      </c>
      <c r="O3506" s="3">
        <v>3991.72</v>
      </c>
      <c r="P3506" s="3" t="s">
        <v>26</v>
      </c>
    </row>
    <row r="3507" spans="1:16" x14ac:dyDescent="0.35">
      <c r="A3507" s="3" t="s">
        <v>4931</v>
      </c>
      <c r="B3507" s="3" t="s">
        <v>1086</v>
      </c>
      <c r="C3507" s="3" t="s">
        <v>37</v>
      </c>
      <c r="D3507" s="3" t="s">
        <v>38</v>
      </c>
      <c r="E3507" s="3" t="s">
        <v>39</v>
      </c>
      <c r="F3507" s="3" t="s">
        <v>40</v>
      </c>
      <c r="G3507" s="3" t="s">
        <v>51</v>
      </c>
      <c r="H3507" s="3" t="s">
        <v>145</v>
      </c>
      <c r="I3507" s="3" t="s">
        <v>2304</v>
      </c>
      <c r="J3507" s="3" t="s">
        <v>85</v>
      </c>
      <c r="K3507" s="3">
        <v>6</v>
      </c>
      <c r="L3507" s="3">
        <v>125.35</v>
      </c>
      <c r="M3507" s="3">
        <v>752.1</v>
      </c>
      <c r="N3507" s="3">
        <v>348.32</v>
      </c>
      <c r="O3507" s="3">
        <v>403.78</v>
      </c>
      <c r="P3507" s="3" t="s">
        <v>34</v>
      </c>
    </row>
    <row r="3508" spans="1:16" x14ac:dyDescent="0.35">
      <c r="A3508" s="3" t="s">
        <v>4932</v>
      </c>
      <c r="B3508" s="3" t="s">
        <v>1423</v>
      </c>
      <c r="C3508" s="3" t="s">
        <v>37</v>
      </c>
      <c r="D3508" s="3" t="s">
        <v>58</v>
      </c>
      <c r="E3508" s="3" t="s">
        <v>59</v>
      </c>
      <c r="F3508" s="3" t="s">
        <v>60</v>
      </c>
      <c r="G3508" s="3" t="s">
        <v>22</v>
      </c>
      <c r="H3508" s="3" t="s">
        <v>83</v>
      </c>
      <c r="I3508" s="3" t="s">
        <v>581</v>
      </c>
      <c r="J3508" s="3" t="s">
        <v>217</v>
      </c>
      <c r="K3508" s="3">
        <v>5</v>
      </c>
      <c r="L3508" s="3">
        <v>20977.94</v>
      </c>
      <c r="M3508" s="3">
        <v>104889.7</v>
      </c>
      <c r="N3508" s="3">
        <v>86338.75</v>
      </c>
      <c r="O3508" s="3">
        <v>18550.95</v>
      </c>
      <c r="P3508" s="3" t="s">
        <v>45</v>
      </c>
    </row>
    <row r="3509" spans="1:16" x14ac:dyDescent="0.35">
      <c r="A3509" s="3" t="s">
        <v>4933</v>
      </c>
      <c r="B3509" s="3" t="s">
        <v>415</v>
      </c>
      <c r="C3509" s="3" t="s">
        <v>18</v>
      </c>
      <c r="D3509" s="3" t="s">
        <v>38</v>
      </c>
      <c r="E3509" s="3" t="s">
        <v>109</v>
      </c>
      <c r="F3509" s="3" t="s">
        <v>110</v>
      </c>
      <c r="G3509" s="3" t="s">
        <v>41</v>
      </c>
      <c r="H3509" s="3" t="s">
        <v>138</v>
      </c>
      <c r="I3509" s="3" t="s">
        <v>537</v>
      </c>
      <c r="J3509" s="3" t="s">
        <v>25</v>
      </c>
      <c r="K3509" s="3">
        <v>6</v>
      </c>
      <c r="L3509" s="3">
        <v>17760.93</v>
      </c>
      <c r="M3509" s="3">
        <v>106565.58</v>
      </c>
      <c r="N3509" s="3">
        <v>83703.759999999995</v>
      </c>
      <c r="O3509" s="3">
        <v>22861.82</v>
      </c>
      <c r="P3509" s="3" t="s">
        <v>69</v>
      </c>
    </row>
    <row r="3510" spans="1:16" x14ac:dyDescent="0.35">
      <c r="A3510" s="3" t="s">
        <v>4934</v>
      </c>
      <c r="B3510" s="3" t="s">
        <v>108</v>
      </c>
      <c r="C3510" s="3" t="s">
        <v>72</v>
      </c>
      <c r="D3510" s="3" t="s">
        <v>19</v>
      </c>
      <c r="E3510" s="3" t="s">
        <v>199</v>
      </c>
      <c r="F3510" s="3" t="s">
        <v>200</v>
      </c>
      <c r="G3510" s="3" t="s">
        <v>30</v>
      </c>
      <c r="H3510" s="3" t="s">
        <v>73</v>
      </c>
      <c r="I3510" s="3" t="s">
        <v>388</v>
      </c>
      <c r="J3510" s="3" t="s">
        <v>147</v>
      </c>
      <c r="K3510" s="3">
        <v>4</v>
      </c>
      <c r="L3510" s="3">
        <v>3343.96</v>
      </c>
      <c r="M3510" s="3">
        <v>13375.84</v>
      </c>
      <c r="N3510" s="3">
        <v>9619.68</v>
      </c>
      <c r="O3510" s="3">
        <v>3756.16</v>
      </c>
      <c r="P3510" s="3" t="s">
        <v>45</v>
      </c>
    </row>
    <row r="3511" spans="1:16" x14ac:dyDescent="0.35">
      <c r="A3511" s="3" t="s">
        <v>4935</v>
      </c>
      <c r="B3511" s="3" t="s">
        <v>1166</v>
      </c>
      <c r="C3511" s="3" t="s">
        <v>118</v>
      </c>
      <c r="D3511" s="3" t="s">
        <v>38</v>
      </c>
      <c r="E3511" s="3" t="s">
        <v>104</v>
      </c>
      <c r="F3511" s="3" t="s">
        <v>104</v>
      </c>
      <c r="G3511" s="3" t="s">
        <v>51</v>
      </c>
      <c r="H3511" s="3" t="s">
        <v>77</v>
      </c>
      <c r="I3511" s="3" t="s">
        <v>1891</v>
      </c>
      <c r="J3511" s="3" t="s">
        <v>25</v>
      </c>
      <c r="K3511" s="3">
        <v>7</v>
      </c>
      <c r="L3511" s="3">
        <v>12277.49</v>
      </c>
      <c r="M3511" s="3">
        <v>85942.43</v>
      </c>
      <c r="N3511" s="3">
        <v>61522.22</v>
      </c>
      <c r="O3511" s="3">
        <v>24420.21</v>
      </c>
      <c r="P3511" s="3" t="s">
        <v>69</v>
      </c>
    </row>
    <row r="3512" spans="1:16" x14ac:dyDescent="0.35">
      <c r="A3512" s="3" t="s">
        <v>4936</v>
      </c>
      <c r="B3512" s="3" t="s">
        <v>276</v>
      </c>
      <c r="C3512" s="3" t="s">
        <v>114</v>
      </c>
      <c r="D3512" s="3" t="s">
        <v>58</v>
      </c>
      <c r="E3512" s="3" t="s">
        <v>176</v>
      </c>
      <c r="F3512" s="3" t="s">
        <v>177</v>
      </c>
      <c r="G3512" s="3" t="s">
        <v>30</v>
      </c>
      <c r="H3512" s="3" t="s">
        <v>73</v>
      </c>
      <c r="I3512" s="3" t="s">
        <v>985</v>
      </c>
      <c r="J3512" s="3" t="s">
        <v>147</v>
      </c>
      <c r="K3512" s="3">
        <v>6</v>
      </c>
      <c r="L3512" s="3">
        <v>3459.8</v>
      </c>
      <c r="M3512" s="3">
        <v>20758.8</v>
      </c>
      <c r="N3512" s="3">
        <v>14543.64</v>
      </c>
      <c r="O3512" s="3">
        <v>6215.16</v>
      </c>
      <c r="P3512" s="3" t="s">
        <v>45</v>
      </c>
    </row>
    <row r="3513" spans="1:16" x14ac:dyDescent="0.35">
      <c r="A3513" s="3" t="s">
        <v>4937</v>
      </c>
      <c r="B3513" s="3" t="s">
        <v>1021</v>
      </c>
      <c r="C3513" s="3" t="s">
        <v>82</v>
      </c>
      <c r="D3513" s="3" t="s">
        <v>38</v>
      </c>
      <c r="E3513" s="3" t="s">
        <v>109</v>
      </c>
      <c r="F3513" s="3" t="s">
        <v>110</v>
      </c>
      <c r="G3513" s="3" t="s">
        <v>51</v>
      </c>
      <c r="H3513" s="3" t="s">
        <v>52</v>
      </c>
      <c r="I3513" s="3" t="s">
        <v>1214</v>
      </c>
      <c r="J3513" s="3" t="s">
        <v>106</v>
      </c>
      <c r="K3513" s="3">
        <v>7</v>
      </c>
      <c r="L3513" s="3">
        <v>22.62</v>
      </c>
      <c r="M3513" s="3">
        <v>158.34</v>
      </c>
      <c r="N3513" s="3">
        <v>72.349999999999994</v>
      </c>
      <c r="O3513" s="3">
        <v>85.99</v>
      </c>
      <c r="P3513" s="3" t="s">
        <v>86</v>
      </c>
    </row>
    <row r="3514" spans="1:16" x14ac:dyDescent="0.35">
      <c r="A3514" s="3" t="s">
        <v>4938</v>
      </c>
      <c r="B3514" s="3" t="s">
        <v>2580</v>
      </c>
      <c r="C3514" s="3" t="s">
        <v>37</v>
      </c>
      <c r="D3514" s="3" t="s">
        <v>19</v>
      </c>
      <c r="E3514" s="3" t="s">
        <v>49</v>
      </c>
      <c r="F3514" s="3" t="s">
        <v>50</v>
      </c>
      <c r="G3514" s="3" t="s">
        <v>41</v>
      </c>
      <c r="H3514" s="3" t="s">
        <v>42</v>
      </c>
      <c r="I3514" s="3" t="s">
        <v>925</v>
      </c>
      <c r="J3514" s="3" t="s">
        <v>106</v>
      </c>
      <c r="K3514" s="3">
        <v>6</v>
      </c>
      <c r="L3514" s="3">
        <v>41833.4</v>
      </c>
      <c r="M3514" s="3">
        <v>251000.4</v>
      </c>
      <c r="N3514" s="3">
        <v>202915.46</v>
      </c>
      <c r="O3514" s="3">
        <v>48084.94</v>
      </c>
      <c r="P3514" s="3" t="s">
        <v>69</v>
      </c>
    </row>
    <row r="3515" spans="1:16" x14ac:dyDescent="0.35">
      <c r="A3515" s="3" t="s">
        <v>4939</v>
      </c>
      <c r="B3515" s="3" t="s">
        <v>324</v>
      </c>
      <c r="C3515" s="3" t="s">
        <v>29</v>
      </c>
      <c r="D3515" s="3" t="s">
        <v>90</v>
      </c>
      <c r="E3515" s="3" t="s">
        <v>119</v>
      </c>
      <c r="F3515" s="3" t="s">
        <v>120</v>
      </c>
      <c r="G3515" s="3" t="s">
        <v>41</v>
      </c>
      <c r="H3515" s="3" t="s">
        <v>61</v>
      </c>
      <c r="I3515" s="3" t="s">
        <v>3195</v>
      </c>
      <c r="J3515" s="3" t="s">
        <v>79</v>
      </c>
      <c r="K3515" s="3">
        <v>2</v>
      </c>
      <c r="L3515" s="3">
        <v>2668.02</v>
      </c>
      <c r="M3515" s="3">
        <v>5336.04</v>
      </c>
      <c r="N3515" s="3">
        <v>3115.93</v>
      </c>
      <c r="O3515" s="3">
        <v>2220.11</v>
      </c>
      <c r="P3515" s="3" t="s">
        <v>34</v>
      </c>
    </row>
    <row r="3516" spans="1:16" x14ac:dyDescent="0.35">
      <c r="A3516" s="3" t="s">
        <v>4940</v>
      </c>
      <c r="B3516" s="3" t="s">
        <v>2222</v>
      </c>
      <c r="C3516" s="3" t="s">
        <v>89</v>
      </c>
      <c r="D3516" s="3" t="s">
        <v>90</v>
      </c>
      <c r="E3516" s="3" t="s">
        <v>119</v>
      </c>
      <c r="F3516" s="3" t="s">
        <v>120</v>
      </c>
      <c r="G3516" s="3" t="s">
        <v>22</v>
      </c>
      <c r="H3516" s="3" t="s">
        <v>93</v>
      </c>
      <c r="I3516" s="3" t="s">
        <v>584</v>
      </c>
      <c r="J3516" s="3" t="s">
        <v>188</v>
      </c>
      <c r="K3516" s="3">
        <v>8</v>
      </c>
      <c r="L3516" s="3">
        <v>6499.63</v>
      </c>
      <c r="M3516" s="3">
        <v>51997.04</v>
      </c>
      <c r="N3516" s="3">
        <v>38386.67</v>
      </c>
      <c r="O3516" s="3">
        <v>13610.37</v>
      </c>
      <c r="P3516" s="3" t="s">
        <v>34</v>
      </c>
    </row>
    <row r="3517" spans="1:16" x14ac:dyDescent="0.35">
      <c r="A3517" s="3" t="s">
        <v>4941</v>
      </c>
      <c r="B3517" s="3" t="s">
        <v>265</v>
      </c>
      <c r="C3517" s="3" t="s">
        <v>37</v>
      </c>
      <c r="D3517" s="3" t="s">
        <v>90</v>
      </c>
      <c r="E3517" s="3" t="s">
        <v>97</v>
      </c>
      <c r="F3517" s="3" t="s">
        <v>98</v>
      </c>
      <c r="G3517" s="3" t="s">
        <v>41</v>
      </c>
      <c r="H3517" s="3" t="s">
        <v>138</v>
      </c>
      <c r="I3517" s="3" t="s">
        <v>1260</v>
      </c>
      <c r="J3517" s="3" t="s">
        <v>171</v>
      </c>
      <c r="K3517" s="3">
        <v>8</v>
      </c>
      <c r="L3517" s="3">
        <v>17271.36</v>
      </c>
      <c r="M3517" s="3">
        <v>138170.88</v>
      </c>
      <c r="N3517" s="3">
        <v>113055.58</v>
      </c>
      <c r="O3517" s="3">
        <v>25115.3</v>
      </c>
      <c r="P3517" s="3" t="s">
        <v>26</v>
      </c>
    </row>
    <row r="3518" spans="1:16" x14ac:dyDescent="0.35">
      <c r="A3518" s="3" t="s">
        <v>4942</v>
      </c>
      <c r="B3518" s="3" t="s">
        <v>327</v>
      </c>
      <c r="C3518" s="3" t="s">
        <v>48</v>
      </c>
      <c r="D3518" s="3" t="s">
        <v>19</v>
      </c>
      <c r="E3518" s="3" t="s">
        <v>199</v>
      </c>
      <c r="F3518" s="3" t="s">
        <v>200</v>
      </c>
      <c r="G3518" s="3" t="s">
        <v>30</v>
      </c>
      <c r="H3518" s="3" t="s">
        <v>31</v>
      </c>
      <c r="I3518" s="3" t="s">
        <v>99</v>
      </c>
      <c r="J3518" s="3" t="s">
        <v>106</v>
      </c>
      <c r="K3518" s="3">
        <v>2</v>
      </c>
      <c r="L3518" s="3">
        <v>2530.98</v>
      </c>
      <c r="M3518" s="3">
        <v>5061.96</v>
      </c>
      <c r="N3518" s="3">
        <v>3725.28</v>
      </c>
      <c r="O3518" s="3">
        <v>1336.68</v>
      </c>
      <c r="P3518" s="3" t="s">
        <v>26</v>
      </c>
    </row>
    <row r="3519" spans="1:16" x14ac:dyDescent="0.35">
      <c r="A3519" s="3" t="s">
        <v>4943</v>
      </c>
      <c r="B3519" s="3" t="s">
        <v>840</v>
      </c>
      <c r="C3519" s="3" t="s">
        <v>57</v>
      </c>
      <c r="D3519" s="3" t="s">
        <v>19</v>
      </c>
      <c r="E3519" s="3" t="s">
        <v>199</v>
      </c>
      <c r="F3519" s="3" t="s">
        <v>200</v>
      </c>
      <c r="G3519" s="3" t="s">
        <v>22</v>
      </c>
      <c r="H3519" s="3" t="s">
        <v>23</v>
      </c>
      <c r="I3519" s="3" t="s">
        <v>1137</v>
      </c>
      <c r="J3519" s="3" t="s">
        <v>188</v>
      </c>
      <c r="K3519" s="3">
        <v>4</v>
      </c>
      <c r="L3519" s="3">
        <v>3276.78</v>
      </c>
      <c r="M3519" s="3">
        <v>13107.12</v>
      </c>
      <c r="N3519" s="3">
        <v>9094.82</v>
      </c>
      <c r="O3519" s="3">
        <v>4012.3</v>
      </c>
      <c r="P3519" s="3" t="s">
        <v>45</v>
      </c>
    </row>
    <row r="3520" spans="1:16" x14ac:dyDescent="0.35">
      <c r="A3520" s="3" t="s">
        <v>4944</v>
      </c>
      <c r="B3520" s="3" t="s">
        <v>230</v>
      </c>
      <c r="C3520" s="3" t="s">
        <v>118</v>
      </c>
      <c r="D3520" s="3" t="s">
        <v>90</v>
      </c>
      <c r="E3520" s="3" t="s">
        <v>91</v>
      </c>
      <c r="F3520" s="3" t="s">
        <v>92</v>
      </c>
      <c r="G3520" s="3" t="s">
        <v>41</v>
      </c>
      <c r="H3520" s="3" t="s">
        <v>138</v>
      </c>
      <c r="I3520" s="3" t="s">
        <v>3096</v>
      </c>
      <c r="J3520" s="3" t="s">
        <v>147</v>
      </c>
      <c r="K3520" s="3">
        <v>6</v>
      </c>
      <c r="L3520" s="3">
        <v>17355.740000000002</v>
      </c>
      <c r="M3520" s="3">
        <v>104134.44</v>
      </c>
      <c r="N3520" s="3">
        <v>86231.14</v>
      </c>
      <c r="O3520" s="3">
        <v>17903.3</v>
      </c>
      <c r="P3520" s="3" t="s">
        <v>69</v>
      </c>
    </row>
    <row r="3521" spans="1:16" x14ac:dyDescent="0.35">
      <c r="A3521" s="3" t="s">
        <v>4945</v>
      </c>
      <c r="B3521" s="3" t="s">
        <v>468</v>
      </c>
      <c r="C3521" s="3" t="s">
        <v>82</v>
      </c>
      <c r="D3521" s="3" t="s">
        <v>19</v>
      </c>
      <c r="E3521" s="3" t="s">
        <v>20</v>
      </c>
      <c r="F3521" s="3" t="s">
        <v>21</v>
      </c>
      <c r="G3521" s="3" t="s">
        <v>30</v>
      </c>
      <c r="H3521" s="3" t="s">
        <v>67</v>
      </c>
      <c r="I3521" s="3" t="s">
        <v>481</v>
      </c>
      <c r="J3521" s="3" t="s">
        <v>147</v>
      </c>
      <c r="K3521" s="3">
        <v>4</v>
      </c>
      <c r="L3521" s="3">
        <v>9754.2999999999993</v>
      </c>
      <c r="M3521" s="3">
        <v>39017.199999999997</v>
      </c>
      <c r="N3521" s="3">
        <v>29396.63</v>
      </c>
      <c r="O3521" s="3">
        <v>9620.57</v>
      </c>
      <c r="P3521" s="3" t="s">
        <v>34</v>
      </c>
    </row>
    <row r="3522" spans="1:16" x14ac:dyDescent="0.35">
      <c r="A3522" s="3" t="s">
        <v>4946</v>
      </c>
      <c r="B3522" s="3" t="s">
        <v>908</v>
      </c>
      <c r="C3522" s="3" t="s">
        <v>72</v>
      </c>
      <c r="D3522" s="3" t="s">
        <v>19</v>
      </c>
      <c r="E3522" s="3" t="s">
        <v>49</v>
      </c>
      <c r="F3522" s="3" t="s">
        <v>50</v>
      </c>
      <c r="G3522" s="3" t="s">
        <v>22</v>
      </c>
      <c r="H3522" s="3" t="s">
        <v>93</v>
      </c>
      <c r="I3522" s="3" t="s">
        <v>4947</v>
      </c>
      <c r="J3522" s="3" t="s">
        <v>161</v>
      </c>
      <c r="K3522" s="3">
        <v>8</v>
      </c>
      <c r="L3522" s="3">
        <v>6974.72</v>
      </c>
      <c r="M3522" s="3">
        <v>55797.760000000002</v>
      </c>
      <c r="N3522" s="3">
        <v>40220.870000000003</v>
      </c>
      <c r="O3522" s="3">
        <v>15576.89</v>
      </c>
      <c r="P3522" s="3" t="s">
        <v>86</v>
      </c>
    </row>
    <row r="3523" spans="1:16" x14ac:dyDescent="0.35">
      <c r="A3523" s="3" t="s">
        <v>4948</v>
      </c>
      <c r="B3523" s="3" t="s">
        <v>219</v>
      </c>
      <c r="C3523" s="3" t="s">
        <v>72</v>
      </c>
      <c r="D3523" s="3" t="s">
        <v>90</v>
      </c>
      <c r="E3523" s="3" t="s">
        <v>97</v>
      </c>
      <c r="F3523" s="3" t="s">
        <v>98</v>
      </c>
      <c r="G3523" s="3" t="s">
        <v>22</v>
      </c>
      <c r="H3523" s="3" t="s">
        <v>23</v>
      </c>
      <c r="I3523" s="3" t="s">
        <v>4949</v>
      </c>
      <c r="J3523" s="3" t="s">
        <v>85</v>
      </c>
      <c r="K3523" s="3">
        <v>1</v>
      </c>
      <c r="L3523" s="3">
        <v>3478.49</v>
      </c>
      <c r="M3523" s="3">
        <v>3478.49</v>
      </c>
      <c r="N3523" s="3">
        <v>2186.31</v>
      </c>
      <c r="O3523" s="3">
        <v>1292.18</v>
      </c>
      <c r="P3523" s="3" t="s">
        <v>86</v>
      </c>
    </row>
    <row r="3524" spans="1:16" x14ac:dyDescent="0.35">
      <c r="A3524" s="3" t="s">
        <v>4950</v>
      </c>
      <c r="B3524" s="3" t="s">
        <v>276</v>
      </c>
      <c r="C3524" s="3" t="s">
        <v>114</v>
      </c>
      <c r="D3524" s="3" t="s">
        <v>58</v>
      </c>
      <c r="E3524" s="3" t="s">
        <v>59</v>
      </c>
      <c r="F3524" s="3" t="s">
        <v>60</v>
      </c>
      <c r="G3524" s="3" t="s">
        <v>41</v>
      </c>
      <c r="H3524" s="3" t="s">
        <v>42</v>
      </c>
      <c r="I3524" s="3" t="s">
        <v>1981</v>
      </c>
      <c r="J3524" s="3" t="s">
        <v>33</v>
      </c>
      <c r="K3524" s="3">
        <v>4</v>
      </c>
      <c r="L3524" s="3">
        <v>48707.59</v>
      </c>
      <c r="M3524" s="3">
        <v>194830.36</v>
      </c>
      <c r="N3524" s="3">
        <v>136980.88</v>
      </c>
      <c r="O3524" s="3">
        <v>57849.48</v>
      </c>
      <c r="P3524" s="3" t="s">
        <v>34</v>
      </c>
    </row>
    <row r="3525" spans="1:16" x14ac:dyDescent="0.35">
      <c r="A3525" s="3" t="s">
        <v>4951</v>
      </c>
      <c r="B3525" s="3" t="s">
        <v>2227</v>
      </c>
      <c r="C3525" s="3" t="s">
        <v>72</v>
      </c>
      <c r="D3525" s="3" t="s">
        <v>58</v>
      </c>
      <c r="E3525" s="3" t="s">
        <v>59</v>
      </c>
      <c r="F3525" s="3" t="s">
        <v>60</v>
      </c>
      <c r="G3525" s="3" t="s">
        <v>41</v>
      </c>
      <c r="H3525" s="3" t="s">
        <v>138</v>
      </c>
      <c r="I3525" s="3" t="s">
        <v>614</v>
      </c>
      <c r="J3525" s="3" t="s">
        <v>106</v>
      </c>
      <c r="K3525" s="3">
        <v>5</v>
      </c>
      <c r="L3525" s="3">
        <v>16857.25</v>
      </c>
      <c r="M3525" s="3">
        <v>84286.25</v>
      </c>
      <c r="N3525" s="3">
        <v>66594.91</v>
      </c>
      <c r="O3525" s="3">
        <v>17691.34</v>
      </c>
      <c r="P3525" s="3" t="s">
        <v>69</v>
      </c>
    </row>
    <row r="3526" spans="1:16" x14ac:dyDescent="0.35">
      <c r="A3526" s="3" t="s">
        <v>4952</v>
      </c>
      <c r="B3526" s="3" t="s">
        <v>347</v>
      </c>
      <c r="C3526" s="3" t="s">
        <v>57</v>
      </c>
      <c r="D3526" s="3" t="s">
        <v>90</v>
      </c>
      <c r="E3526" s="3" t="s">
        <v>91</v>
      </c>
      <c r="F3526" s="3" t="s">
        <v>92</v>
      </c>
      <c r="G3526" s="3" t="s">
        <v>30</v>
      </c>
      <c r="H3526" s="3" t="s">
        <v>31</v>
      </c>
      <c r="I3526" s="3" t="s">
        <v>1628</v>
      </c>
      <c r="J3526" s="3" t="s">
        <v>25</v>
      </c>
      <c r="K3526" s="3">
        <v>4</v>
      </c>
      <c r="L3526" s="3">
        <v>2537.1799999999998</v>
      </c>
      <c r="M3526" s="3">
        <v>10148.719999999999</v>
      </c>
      <c r="N3526" s="3">
        <v>7448.99</v>
      </c>
      <c r="O3526" s="3">
        <v>2699.73</v>
      </c>
      <c r="P3526" s="3" t="s">
        <v>26</v>
      </c>
    </row>
    <row r="3527" spans="1:16" x14ac:dyDescent="0.35">
      <c r="A3527" s="3" t="s">
        <v>4953</v>
      </c>
      <c r="B3527" s="3" t="s">
        <v>3156</v>
      </c>
      <c r="C3527" s="3" t="s">
        <v>89</v>
      </c>
      <c r="D3527" s="3" t="s">
        <v>38</v>
      </c>
      <c r="E3527" s="3" t="s">
        <v>109</v>
      </c>
      <c r="F3527" s="3" t="s">
        <v>110</v>
      </c>
      <c r="G3527" s="3" t="s">
        <v>30</v>
      </c>
      <c r="H3527" s="3" t="s">
        <v>73</v>
      </c>
      <c r="I3527" s="3" t="s">
        <v>1368</v>
      </c>
      <c r="J3527" s="3" t="s">
        <v>25</v>
      </c>
      <c r="K3527" s="3">
        <v>5</v>
      </c>
      <c r="L3527" s="3">
        <v>3295.78</v>
      </c>
      <c r="M3527" s="3">
        <v>16478.900000000001</v>
      </c>
      <c r="N3527" s="3">
        <v>11470.07</v>
      </c>
      <c r="O3527" s="3">
        <v>5008.83</v>
      </c>
      <c r="P3527" s="3" t="s">
        <v>69</v>
      </c>
    </row>
    <row r="3528" spans="1:16" x14ac:dyDescent="0.35">
      <c r="A3528" s="3" t="s">
        <v>4954</v>
      </c>
      <c r="B3528" s="3" t="s">
        <v>666</v>
      </c>
      <c r="C3528" s="3" t="s">
        <v>37</v>
      </c>
      <c r="D3528" s="3" t="s">
        <v>19</v>
      </c>
      <c r="E3528" s="3" t="s">
        <v>20</v>
      </c>
      <c r="F3528" s="3" t="s">
        <v>21</v>
      </c>
      <c r="G3528" s="3" t="s">
        <v>51</v>
      </c>
      <c r="H3528" s="3" t="s">
        <v>77</v>
      </c>
      <c r="I3528" s="3" t="s">
        <v>4955</v>
      </c>
      <c r="J3528" s="3" t="s">
        <v>25</v>
      </c>
      <c r="K3528" s="3">
        <v>4</v>
      </c>
      <c r="L3528" s="3">
        <v>11504.38</v>
      </c>
      <c r="M3528" s="3">
        <v>46017.52</v>
      </c>
      <c r="N3528" s="3">
        <v>34362.910000000003</v>
      </c>
      <c r="O3528" s="3">
        <v>11654.61</v>
      </c>
      <c r="P3528" s="3" t="s">
        <v>69</v>
      </c>
    </row>
    <row r="3529" spans="1:16" x14ac:dyDescent="0.35">
      <c r="A3529" s="3" t="s">
        <v>4956</v>
      </c>
      <c r="B3529" s="3" t="s">
        <v>1910</v>
      </c>
      <c r="C3529" s="3" t="s">
        <v>29</v>
      </c>
      <c r="D3529" s="3" t="s">
        <v>38</v>
      </c>
      <c r="E3529" s="3" t="s">
        <v>109</v>
      </c>
      <c r="F3529" s="3" t="s">
        <v>110</v>
      </c>
      <c r="G3529" s="3" t="s">
        <v>22</v>
      </c>
      <c r="H3529" s="3" t="s">
        <v>93</v>
      </c>
      <c r="I3529" s="3" t="s">
        <v>2477</v>
      </c>
      <c r="J3529" s="3" t="s">
        <v>188</v>
      </c>
      <c r="K3529" s="3">
        <v>5</v>
      </c>
      <c r="L3529" s="3">
        <v>7227.47</v>
      </c>
      <c r="M3529" s="3">
        <v>36137.35</v>
      </c>
      <c r="N3529" s="3">
        <v>25096.27</v>
      </c>
      <c r="O3529" s="3">
        <v>11041.08</v>
      </c>
      <c r="P3529" s="3" t="s">
        <v>26</v>
      </c>
    </row>
    <row r="3530" spans="1:16" x14ac:dyDescent="0.35">
      <c r="A3530" s="3" t="s">
        <v>4957</v>
      </c>
      <c r="B3530" s="3" t="s">
        <v>837</v>
      </c>
      <c r="C3530" s="3" t="s">
        <v>72</v>
      </c>
      <c r="D3530" s="3" t="s">
        <v>38</v>
      </c>
      <c r="E3530" s="3" t="s">
        <v>109</v>
      </c>
      <c r="F3530" s="3" t="s">
        <v>110</v>
      </c>
      <c r="G3530" s="3" t="s">
        <v>22</v>
      </c>
      <c r="H3530" s="3" t="s">
        <v>23</v>
      </c>
      <c r="I3530" s="3" t="s">
        <v>1101</v>
      </c>
      <c r="J3530" s="3" t="s">
        <v>161</v>
      </c>
      <c r="K3530" s="3">
        <v>8</v>
      </c>
      <c r="L3530" s="3">
        <v>3580.24</v>
      </c>
      <c r="M3530" s="3">
        <v>28641.919999999998</v>
      </c>
      <c r="N3530" s="3">
        <v>18146.599999999999</v>
      </c>
      <c r="O3530" s="3">
        <v>10495.32</v>
      </c>
      <c r="P3530" s="3" t="s">
        <v>45</v>
      </c>
    </row>
    <row r="3531" spans="1:16" x14ac:dyDescent="0.35">
      <c r="A3531" s="3" t="s">
        <v>4958</v>
      </c>
      <c r="B3531" s="3" t="s">
        <v>1724</v>
      </c>
      <c r="C3531" s="3" t="s">
        <v>48</v>
      </c>
      <c r="D3531" s="3" t="s">
        <v>19</v>
      </c>
      <c r="E3531" s="3" t="s">
        <v>49</v>
      </c>
      <c r="F3531" s="3" t="s">
        <v>50</v>
      </c>
      <c r="G3531" s="3" t="s">
        <v>51</v>
      </c>
      <c r="H3531" s="3" t="s">
        <v>145</v>
      </c>
      <c r="I3531" s="3" t="s">
        <v>1800</v>
      </c>
      <c r="J3531" s="3" t="s">
        <v>85</v>
      </c>
      <c r="K3531" s="3">
        <v>7</v>
      </c>
      <c r="L3531" s="3">
        <v>131.58000000000001</v>
      </c>
      <c r="M3531" s="3">
        <v>921.06</v>
      </c>
      <c r="N3531" s="3">
        <v>406.15</v>
      </c>
      <c r="O3531" s="3">
        <v>514.91</v>
      </c>
      <c r="P3531" s="3" t="s">
        <v>26</v>
      </c>
    </row>
    <row r="3532" spans="1:16" x14ac:dyDescent="0.35">
      <c r="A3532" s="3" t="s">
        <v>4959</v>
      </c>
      <c r="B3532" s="3" t="s">
        <v>239</v>
      </c>
      <c r="C3532" s="3" t="s">
        <v>72</v>
      </c>
      <c r="D3532" s="3" t="s">
        <v>19</v>
      </c>
      <c r="E3532" s="3" t="s">
        <v>20</v>
      </c>
      <c r="F3532" s="3" t="s">
        <v>21</v>
      </c>
      <c r="G3532" s="3" t="s">
        <v>51</v>
      </c>
      <c r="H3532" s="3" t="s">
        <v>52</v>
      </c>
      <c r="I3532" s="3" t="s">
        <v>2679</v>
      </c>
      <c r="J3532" s="3" t="s">
        <v>44</v>
      </c>
      <c r="K3532" s="3">
        <v>3</v>
      </c>
      <c r="L3532" s="3">
        <v>23.95</v>
      </c>
      <c r="M3532" s="3">
        <v>71.849999999999994</v>
      </c>
      <c r="N3532" s="3">
        <v>31.2</v>
      </c>
      <c r="O3532" s="3">
        <v>40.65</v>
      </c>
      <c r="P3532" s="3" t="s">
        <v>34</v>
      </c>
    </row>
    <row r="3533" spans="1:16" x14ac:dyDescent="0.35">
      <c r="A3533" s="3" t="s">
        <v>4960</v>
      </c>
      <c r="B3533" s="3" t="s">
        <v>1766</v>
      </c>
      <c r="C3533" s="3" t="s">
        <v>48</v>
      </c>
      <c r="D3533" s="3" t="s">
        <v>38</v>
      </c>
      <c r="E3533" s="3" t="s">
        <v>109</v>
      </c>
      <c r="F3533" s="3" t="s">
        <v>110</v>
      </c>
      <c r="G3533" s="3" t="s">
        <v>51</v>
      </c>
      <c r="H3533" s="3" t="s">
        <v>52</v>
      </c>
      <c r="I3533" s="3" t="s">
        <v>1210</v>
      </c>
      <c r="J3533" s="3" t="s">
        <v>147</v>
      </c>
      <c r="K3533" s="3">
        <v>1</v>
      </c>
      <c r="L3533" s="3">
        <v>23.78</v>
      </c>
      <c r="M3533" s="3">
        <v>23.78</v>
      </c>
      <c r="N3533" s="3">
        <v>9.91</v>
      </c>
      <c r="O3533" s="3">
        <v>13.87</v>
      </c>
      <c r="P3533" s="3" t="s">
        <v>69</v>
      </c>
    </row>
    <row r="3534" spans="1:16" x14ac:dyDescent="0.35">
      <c r="A3534" s="3" t="s">
        <v>4961</v>
      </c>
      <c r="B3534" s="3" t="s">
        <v>71</v>
      </c>
      <c r="C3534" s="3" t="s">
        <v>72</v>
      </c>
      <c r="D3534" s="3" t="s">
        <v>58</v>
      </c>
      <c r="E3534" s="3" t="s">
        <v>176</v>
      </c>
      <c r="F3534" s="3" t="s">
        <v>177</v>
      </c>
      <c r="G3534" s="3" t="s">
        <v>22</v>
      </c>
      <c r="H3534" s="3" t="s">
        <v>23</v>
      </c>
      <c r="I3534" s="3" t="s">
        <v>2833</v>
      </c>
      <c r="J3534" s="3" t="s">
        <v>44</v>
      </c>
      <c r="K3534" s="3">
        <v>4</v>
      </c>
      <c r="L3534" s="3">
        <v>3764.51</v>
      </c>
      <c r="M3534" s="3">
        <v>15058.04</v>
      </c>
      <c r="N3534" s="3">
        <v>9008.57</v>
      </c>
      <c r="O3534" s="3">
        <v>6049.47</v>
      </c>
      <c r="P3534" s="3" t="s">
        <v>86</v>
      </c>
    </row>
    <row r="3535" spans="1:16" x14ac:dyDescent="0.35">
      <c r="A3535" s="3" t="s">
        <v>4962</v>
      </c>
      <c r="B3535" s="3" t="s">
        <v>612</v>
      </c>
      <c r="C3535" s="3" t="s">
        <v>57</v>
      </c>
      <c r="D3535" s="3" t="s">
        <v>90</v>
      </c>
      <c r="E3535" s="3" t="s">
        <v>91</v>
      </c>
      <c r="F3535" s="3" t="s">
        <v>92</v>
      </c>
      <c r="G3535" s="3" t="s">
        <v>22</v>
      </c>
      <c r="H3535" s="3" t="s">
        <v>23</v>
      </c>
      <c r="I3535" s="3" t="s">
        <v>1137</v>
      </c>
      <c r="J3535" s="3" t="s">
        <v>85</v>
      </c>
      <c r="K3535" s="3">
        <v>4</v>
      </c>
      <c r="L3535" s="3">
        <v>3732.92</v>
      </c>
      <c r="M3535" s="3">
        <v>14931.68</v>
      </c>
      <c r="N3535" s="3">
        <v>9063.34</v>
      </c>
      <c r="O3535" s="3">
        <v>5868.34</v>
      </c>
      <c r="P3535" s="3" t="s">
        <v>69</v>
      </c>
    </row>
    <row r="3536" spans="1:16" x14ac:dyDescent="0.35">
      <c r="A3536" s="3" t="s">
        <v>4963</v>
      </c>
      <c r="B3536" s="3" t="s">
        <v>136</v>
      </c>
      <c r="C3536" s="3" t="s">
        <v>137</v>
      </c>
      <c r="D3536" s="3" t="s">
        <v>58</v>
      </c>
      <c r="E3536" s="3" t="s">
        <v>59</v>
      </c>
      <c r="F3536" s="3" t="s">
        <v>60</v>
      </c>
      <c r="G3536" s="3" t="s">
        <v>22</v>
      </c>
      <c r="H3536" s="3" t="s">
        <v>23</v>
      </c>
      <c r="I3536" s="3" t="s">
        <v>2601</v>
      </c>
      <c r="J3536" s="3" t="s">
        <v>100</v>
      </c>
      <c r="K3536" s="3">
        <v>6</v>
      </c>
      <c r="L3536" s="3">
        <v>3494.54</v>
      </c>
      <c r="M3536" s="3">
        <v>20967.240000000002</v>
      </c>
      <c r="N3536" s="3">
        <v>13364.21</v>
      </c>
      <c r="O3536" s="3">
        <v>7603.03</v>
      </c>
      <c r="P3536" s="3" t="s">
        <v>26</v>
      </c>
    </row>
    <row r="3537" spans="1:16" x14ac:dyDescent="0.35">
      <c r="A3537" s="3" t="s">
        <v>4964</v>
      </c>
      <c r="B3537" s="3" t="s">
        <v>1155</v>
      </c>
      <c r="C3537" s="3" t="s">
        <v>89</v>
      </c>
      <c r="D3537" s="3" t="s">
        <v>19</v>
      </c>
      <c r="E3537" s="3" t="s">
        <v>20</v>
      </c>
      <c r="F3537" s="3" t="s">
        <v>21</v>
      </c>
      <c r="G3537" s="3" t="s">
        <v>30</v>
      </c>
      <c r="H3537" s="3" t="s">
        <v>73</v>
      </c>
      <c r="I3537" s="3" t="s">
        <v>388</v>
      </c>
      <c r="J3537" s="3" t="s">
        <v>161</v>
      </c>
      <c r="K3537" s="3">
        <v>2</v>
      </c>
      <c r="L3537" s="3">
        <v>2884.55</v>
      </c>
      <c r="M3537" s="3">
        <v>5769.1</v>
      </c>
      <c r="N3537" s="3">
        <v>4613.3100000000004</v>
      </c>
      <c r="O3537" s="3">
        <v>1155.79</v>
      </c>
      <c r="P3537" s="3" t="s">
        <v>69</v>
      </c>
    </row>
    <row r="3538" spans="1:16" x14ac:dyDescent="0.35">
      <c r="A3538" s="3" t="s">
        <v>4965</v>
      </c>
      <c r="B3538" s="3" t="s">
        <v>443</v>
      </c>
      <c r="C3538" s="3" t="s">
        <v>57</v>
      </c>
      <c r="D3538" s="3" t="s">
        <v>58</v>
      </c>
      <c r="E3538" s="3" t="s">
        <v>65</v>
      </c>
      <c r="F3538" s="3" t="s">
        <v>66</v>
      </c>
      <c r="G3538" s="3" t="s">
        <v>22</v>
      </c>
      <c r="H3538" s="3" t="s">
        <v>93</v>
      </c>
      <c r="I3538" s="3" t="s">
        <v>1605</v>
      </c>
      <c r="J3538" s="3" t="s">
        <v>147</v>
      </c>
      <c r="K3538" s="3">
        <v>3</v>
      </c>
      <c r="L3538" s="3">
        <v>7626.63</v>
      </c>
      <c r="M3538" s="3">
        <v>22879.89</v>
      </c>
      <c r="N3538" s="3">
        <v>15130.74</v>
      </c>
      <c r="O3538" s="3">
        <v>7749.15</v>
      </c>
      <c r="P3538" s="3" t="s">
        <v>45</v>
      </c>
    </row>
    <row r="3539" spans="1:16" x14ac:dyDescent="0.35">
      <c r="A3539" s="3" t="s">
        <v>4966</v>
      </c>
      <c r="B3539" s="3" t="s">
        <v>215</v>
      </c>
      <c r="C3539" s="3" t="s">
        <v>37</v>
      </c>
      <c r="D3539" s="3" t="s">
        <v>19</v>
      </c>
      <c r="E3539" s="3" t="s">
        <v>49</v>
      </c>
      <c r="F3539" s="3" t="s">
        <v>50</v>
      </c>
      <c r="G3539" s="3" t="s">
        <v>22</v>
      </c>
      <c r="H3539" s="3" t="s">
        <v>83</v>
      </c>
      <c r="I3539" s="3" t="s">
        <v>1514</v>
      </c>
      <c r="J3539" s="3" t="s">
        <v>33</v>
      </c>
      <c r="K3539" s="3">
        <v>7</v>
      </c>
      <c r="L3539" s="3">
        <v>21325.7</v>
      </c>
      <c r="M3539" s="3">
        <v>149279.9</v>
      </c>
      <c r="N3539" s="3">
        <v>115099.96</v>
      </c>
      <c r="O3539" s="3">
        <v>34179.94</v>
      </c>
      <c r="P3539" s="3" t="s">
        <v>26</v>
      </c>
    </row>
    <row r="3540" spans="1:16" x14ac:dyDescent="0.35">
      <c r="A3540" s="3" t="s">
        <v>4967</v>
      </c>
      <c r="B3540" s="3" t="s">
        <v>654</v>
      </c>
      <c r="C3540" s="3" t="s">
        <v>103</v>
      </c>
      <c r="D3540" s="3" t="s">
        <v>38</v>
      </c>
      <c r="E3540" s="3" t="s">
        <v>39</v>
      </c>
      <c r="F3540" s="3" t="s">
        <v>40</v>
      </c>
      <c r="G3540" s="3" t="s">
        <v>30</v>
      </c>
      <c r="H3540" s="3" t="s">
        <v>67</v>
      </c>
      <c r="I3540" s="3" t="s">
        <v>2583</v>
      </c>
      <c r="J3540" s="3" t="s">
        <v>147</v>
      </c>
      <c r="K3540" s="3">
        <v>2</v>
      </c>
      <c r="L3540" s="3">
        <v>9822.26</v>
      </c>
      <c r="M3540" s="3">
        <v>19644.52</v>
      </c>
      <c r="N3540" s="3">
        <v>15089.91</v>
      </c>
      <c r="O3540" s="3">
        <v>4554.6099999999997</v>
      </c>
      <c r="P3540" s="3" t="s">
        <v>45</v>
      </c>
    </row>
    <row r="3541" spans="1:16" x14ac:dyDescent="0.35">
      <c r="A3541" s="3" t="s">
        <v>4968</v>
      </c>
      <c r="B3541" s="3" t="s">
        <v>690</v>
      </c>
      <c r="C3541" s="3" t="s">
        <v>82</v>
      </c>
      <c r="D3541" s="3" t="s">
        <v>19</v>
      </c>
      <c r="E3541" s="3" t="s">
        <v>199</v>
      </c>
      <c r="F3541" s="3" t="s">
        <v>200</v>
      </c>
      <c r="G3541" s="3" t="s">
        <v>22</v>
      </c>
      <c r="H3541" s="3" t="s">
        <v>23</v>
      </c>
      <c r="I3541" s="3" t="s">
        <v>1896</v>
      </c>
      <c r="J3541" s="3" t="s">
        <v>154</v>
      </c>
      <c r="K3541" s="3">
        <v>8</v>
      </c>
      <c r="L3541" s="3">
        <v>3360.46</v>
      </c>
      <c r="M3541" s="3">
        <v>26883.68</v>
      </c>
      <c r="N3541" s="3">
        <v>17856.11</v>
      </c>
      <c r="O3541" s="3">
        <v>9027.57</v>
      </c>
      <c r="P3541" s="3" t="s">
        <v>34</v>
      </c>
    </row>
    <row r="3542" spans="1:16" x14ac:dyDescent="0.35">
      <c r="A3542" s="3" t="s">
        <v>4969</v>
      </c>
      <c r="B3542" s="3" t="s">
        <v>1504</v>
      </c>
      <c r="C3542" s="3" t="s">
        <v>48</v>
      </c>
      <c r="D3542" s="3" t="s">
        <v>90</v>
      </c>
      <c r="E3542" s="3" t="s">
        <v>119</v>
      </c>
      <c r="F3542" s="3" t="s">
        <v>120</v>
      </c>
      <c r="G3542" s="3" t="s">
        <v>30</v>
      </c>
      <c r="H3542" s="3" t="s">
        <v>31</v>
      </c>
      <c r="I3542" s="3" t="s">
        <v>872</v>
      </c>
      <c r="J3542" s="3" t="s">
        <v>154</v>
      </c>
      <c r="K3542" s="3">
        <v>7</v>
      </c>
      <c r="L3542" s="3">
        <v>2874.3</v>
      </c>
      <c r="M3542" s="3">
        <v>20120.099999999999</v>
      </c>
      <c r="N3542" s="3">
        <v>13615.27</v>
      </c>
      <c r="O3542" s="3">
        <v>6504.83</v>
      </c>
      <c r="P3542" s="3" t="s">
        <v>69</v>
      </c>
    </row>
    <row r="3543" spans="1:16" x14ac:dyDescent="0.35">
      <c r="A3543" s="3" t="s">
        <v>4970</v>
      </c>
      <c r="B3543" s="3" t="s">
        <v>1623</v>
      </c>
      <c r="C3543" s="3" t="s">
        <v>29</v>
      </c>
      <c r="D3543" s="3" t="s">
        <v>58</v>
      </c>
      <c r="E3543" s="3" t="s">
        <v>176</v>
      </c>
      <c r="F3543" s="3" t="s">
        <v>177</v>
      </c>
      <c r="G3543" s="3" t="s">
        <v>22</v>
      </c>
      <c r="H3543" s="3" t="s">
        <v>23</v>
      </c>
      <c r="I3543" s="3" t="s">
        <v>3783</v>
      </c>
      <c r="J3543" s="3" t="s">
        <v>33</v>
      </c>
      <c r="K3543" s="3">
        <v>4</v>
      </c>
      <c r="L3543" s="3">
        <v>3381.27</v>
      </c>
      <c r="M3543" s="3">
        <v>13525.08</v>
      </c>
      <c r="N3543" s="3">
        <v>9124.61</v>
      </c>
      <c r="O3543" s="3">
        <v>4400.47</v>
      </c>
      <c r="P3543" s="3" t="s">
        <v>26</v>
      </c>
    </row>
    <row r="3544" spans="1:16" x14ac:dyDescent="0.35">
      <c r="A3544" s="3" t="s">
        <v>4971</v>
      </c>
      <c r="B3544" s="3" t="s">
        <v>310</v>
      </c>
      <c r="C3544" s="3" t="s">
        <v>37</v>
      </c>
      <c r="D3544" s="3" t="s">
        <v>19</v>
      </c>
      <c r="E3544" s="3" t="s">
        <v>49</v>
      </c>
      <c r="F3544" s="3" t="s">
        <v>50</v>
      </c>
      <c r="G3544" s="3" t="s">
        <v>22</v>
      </c>
      <c r="H3544" s="3" t="s">
        <v>83</v>
      </c>
      <c r="I3544" s="3" t="s">
        <v>1518</v>
      </c>
      <c r="J3544" s="3" t="s">
        <v>147</v>
      </c>
      <c r="K3544" s="3">
        <v>2</v>
      </c>
      <c r="L3544" s="3">
        <v>20085.599999999999</v>
      </c>
      <c r="M3544" s="3">
        <v>40171.199999999997</v>
      </c>
      <c r="N3544" s="3">
        <v>35424.69</v>
      </c>
      <c r="O3544" s="3">
        <v>4746.51</v>
      </c>
      <c r="P3544" s="3" t="s">
        <v>45</v>
      </c>
    </row>
    <row r="3545" spans="1:16" x14ac:dyDescent="0.35">
      <c r="A3545" s="3" t="s">
        <v>4972</v>
      </c>
      <c r="B3545" s="3" t="s">
        <v>1240</v>
      </c>
      <c r="C3545" s="3" t="s">
        <v>118</v>
      </c>
      <c r="D3545" s="3" t="s">
        <v>38</v>
      </c>
      <c r="E3545" s="3" t="s">
        <v>104</v>
      </c>
      <c r="F3545" s="3" t="s">
        <v>104</v>
      </c>
      <c r="G3545" s="3" t="s">
        <v>22</v>
      </c>
      <c r="H3545" s="3" t="s">
        <v>93</v>
      </c>
      <c r="I3545" s="3" t="s">
        <v>444</v>
      </c>
      <c r="J3545" s="3" t="s">
        <v>171</v>
      </c>
      <c r="K3545" s="3">
        <v>7</v>
      </c>
      <c r="L3545" s="3">
        <v>6840.69</v>
      </c>
      <c r="M3545" s="3">
        <v>47884.83</v>
      </c>
      <c r="N3545" s="3">
        <v>35072.82</v>
      </c>
      <c r="O3545" s="3">
        <v>12812.01</v>
      </c>
      <c r="P3545" s="3" t="s">
        <v>26</v>
      </c>
    </row>
    <row r="3546" spans="1:16" x14ac:dyDescent="0.35">
      <c r="A3546" s="3" t="s">
        <v>4973</v>
      </c>
      <c r="B3546" s="3" t="s">
        <v>285</v>
      </c>
      <c r="C3546" s="3" t="s">
        <v>18</v>
      </c>
      <c r="D3546" s="3" t="s">
        <v>58</v>
      </c>
      <c r="E3546" s="3" t="s">
        <v>59</v>
      </c>
      <c r="F3546" s="3" t="s">
        <v>60</v>
      </c>
      <c r="G3546" s="3" t="s">
        <v>22</v>
      </c>
      <c r="H3546" s="3" t="s">
        <v>83</v>
      </c>
      <c r="I3546" s="3" t="s">
        <v>356</v>
      </c>
      <c r="J3546" s="3" t="s">
        <v>33</v>
      </c>
      <c r="K3546" s="3">
        <v>5</v>
      </c>
      <c r="L3546" s="3">
        <v>20416.64</v>
      </c>
      <c r="M3546" s="3">
        <v>102083.2</v>
      </c>
      <c r="N3546" s="3">
        <v>81833.47</v>
      </c>
      <c r="O3546" s="3">
        <v>20249.73</v>
      </c>
      <c r="P3546" s="3" t="s">
        <v>26</v>
      </c>
    </row>
    <row r="3547" spans="1:16" x14ac:dyDescent="0.35">
      <c r="A3547" s="3" t="s">
        <v>4974</v>
      </c>
      <c r="B3547" s="3" t="s">
        <v>1687</v>
      </c>
      <c r="C3547" s="3" t="s">
        <v>18</v>
      </c>
      <c r="D3547" s="3" t="s">
        <v>90</v>
      </c>
      <c r="E3547" s="3" t="s">
        <v>91</v>
      </c>
      <c r="F3547" s="3" t="s">
        <v>92</v>
      </c>
      <c r="G3547" s="3" t="s">
        <v>30</v>
      </c>
      <c r="H3547" s="3" t="s">
        <v>31</v>
      </c>
      <c r="I3547" s="3" t="s">
        <v>2973</v>
      </c>
      <c r="J3547" s="3" t="s">
        <v>131</v>
      </c>
      <c r="K3547" s="3">
        <v>6</v>
      </c>
      <c r="L3547" s="3">
        <v>2856.79</v>
      </c>
      <c r="M3547" s="3">
        <v>17140.740000000002</v>
      </c>
      <c r="N3547" s="3">
        <v>11439.65</v>
      </c>
      <c r="O3547" s="3">
        <v>5701.09</v>
      </c>
      <c r="P3547" s="3" t="s">
        <v>26</v>
      </c>
    </row>
    <row r="3548" spans="1:16" x14ac:dyDescent="0.35">
      <c r="A3548" s="3" t="s">
        <v>4975</v>
      </c>
      <c r="B3548" s="3" t="s">
        <v>927</v>
      </c>
      <c r="C3548" s="3" t="s">
        <v>57</v>
      </c>
      <c r="D3548" s="3" t="s">
        <v>90</v>
      </c>
      <c r="E3548" s="3" t="s">
        <v>119</v>
      </c>
      <c r="F3548" s="3" t="s">
        <v>120</v>
      </c>
      <c r="G3548" s="3" t="s">
        <v>30</v>
      </c>
      <c r="H3548" s="3" t="s">
        <v>67</v>
      </c>
      <c r="I3548" s="3" t="s">
        <v>1191</v>
      </c>
      <c r="J3548" s="3" t="s">
        <v>154</v>
      </c>
      <c r="K3548" s="3">
        <v>6</v>
      </c>
      <c r="L3548" s="3">
        <v>8672.92</v>
      </c>
      <c r="M3548" s="3">
        <v>52037.52</v>
      </c>
      <c r="N3548" s="3">
        <v>43416.480000000003</v>
      </c>
      <c r="O3548" s="3">
        <v>8621.0400000000009</v>
      </c>
      <c r="P3548" s="3" t="s">
        <v>69</v>
      </c>
    </row>
    <row r="3549" spans="1:16" x14ac:dyDescent="0.35">
      <c r="A3549" s="3" t="s">
        <v>4976</v>
      </c>
      <c r="B3549" s="3" t="s">
        <v>690</v>
      </c>
      <c r="C3549" s="3" t="s">
        <v>82</v>
      </c>
      <c r="D3549" s="3" t="s">
        <v>38</v>
      </c>
      <c r="E3549" s="3" t="s">
        <v>39</v>
      </c>
      <c r="F3549" s="3" t="s">
        <v>40</v>
      </c>
      <c r="G3549" s="3" t="s">
        <v>51</v>
      </c>
      <c r="H3549" s="3" t="s">
        <v>145</v>
      </c>
      <c r="I3549" s="3" t="s">
        <v>190</v>
      </c>
      <c r="J3549" s="3" t="s">
        <v>25</v>
      </c>
      <c r="K3549" s="3">
        <v>8</v>
      </c>
      <c r="L3549" s="3">
        <v>112.81</v>
      </c>
      <c r="M3549" s="3">
        <v>902.48</v>
      </c>
      <c r="N3549" s="3">
        <v>458.56</v>
      </c>
      <c r="O3549" s="3">
        <v>443.92</v>
      </c>
      <c r="P3549" s="3" t="s">
        <v>86</v>
      </c>
    </row>
    <row r="3550" spans="1:16" x14ac:dyDescent="0.35">
      <c r="A3550" s="3" t="s">
        <v>4977</v>
      </c>
      <c r="B3550" s="3" t="s">
        <v>685</v>
      </c>
      <c r="C3550" s="3" t="s">
        <v>137</v>
      </c>
      <c r="D3550" s="3" t="s">
        <v>58</v>
      </c>
      <c r="E3550" s="3" t="s">
        <v>176</v>
      </c>
      <c r="F3550" s="3" t="s">
        <v>177</v>
      </c>
      <c r="G3550" s="3" t="s">
        <v>51</v>
      </c>
      <c r="H3550" s="3" t="s">
        <v>52</v>
      </c>
      <c r="I3550" s="3" t="s">
        <v>2595</v>
      </c>
      <c r="J3550" s="3" t="s">
        <v>131</v>
      </c>
      <c r="K3550" s="3">
        <v>4</v>
      </c>
      <c r="L3550" s="3">
        <v>26.37</v>
      </c>
      <c r="M3550" s="3">
        <v>105.48</v>
      </c>
      <c r="N3550" s="3">
        <v>41.68</v>
      </c>
      <c r="O3550" s="3">
        <v>63.8</v>
      </c>
      <c r="P3550" s="3" t="s">
        <v>86</v>
      </c>
    </row>
    <row r="3551" spans="1:16" x14ac:dyDescent="0.35">
      <c r="A3551" s="3" t="s">
        <v>4978</v>
      </c>
      <c r="B3551" s="3" t="s">
        <v>228</v>
      </c>
      <c r="C3551" s="3" t="s">
        <v>114</v>
      </c>
      <c r="D3551" s="3" t="s">
        <v>58</v>
      </c>
      <c r="E3551" s="3" t="s">
        <v>59</v>
      </c>
      <c r="F3551" s="3" t="s">
        <v>60</v>
      </c>
      <c r="G3551" s="3" t="s">
        <v>22</v>
      </c>
      <c r="H3551" s="3" t="s">
        <v>23</v>
      </c>
      <c r="I3551" s="3" t="s">
        <v>2002</v>
      </c>
      <c r="J3551" s="3" t="s">
        <v>85</v>
      </c>
      <c r="K3551" s="3">
        <v>2</v>
      </c>
      <c r="L3551" s="3">
        <v>3623.01</v>
      </c>
      <c r="M3551" s="3">
        <v>7246.02</v>
      </c>
      <c r="N3551" s="3">
        <v>4336.67</v>
      </c>
      <c r="O3551" s="3">
        <v>2909.35</v>
      </c>
      <c r="P3551" s="3" t="s">
        <v>34</v>
      </c>
    </row>
    <row r="3552" spans="1:16" x14ac:dyDescent="0.35">
      <c r="A3552" s="3" t="s">
        <v>4979</v>
      </c>
      <c r="B3552" s="3" t="s">
        <v>1301</v>
      </c>
      <c r="C3552" s="3" t="s">
        <v>18</v>
      </c>
      <c r="D3552" s="3" t="s">
        <v>90</v>
      </c>
      <c r="E3552" s="3" t="s">
        <v>119</v>
      </c>
      <c r="F3552" s="3" t="s">
        <v>120</v>
      </c>
      <c r="G3552" s="3" t="s">
        <v>22</v>
      </c>
      <c r="H3552" s="3" t="s">
        <v>23</v>
      </c>
      <c r="I3552" s="3" t="s">
        <v>43</v>
      </c>
      <c r="J3552" s="3" t="s">
        <v>161</v>
      </c>
      <c r="K3552" s="3">
        <v>7</v>
      </c>
      <c r="L3552" s="3">
        <v>3449.72</v>
      </c>
      <c r="M3552" s="3">
        <v>24148.04</v>
      </c>
      <c r="N3552" s="3">
        <v>15080.7</v>
      </c>
      <c r="O3552" s="3">
        <v>9067.34</v>
      </c>
      <c r="P3552" s="3" t="s">
        <v>45</v>
      </c>
    </row>
    <row r="3553" spans="1:16" x14ac:dyDescent="0.35">
      <c r="A3553" s="3" t="s">
        <v>4980</v>
      </c>
      <c r="B3553" s="3" t="s">
        <v>859</v>
      </c>
      <c r="C3553" s="3" t="s">
        <v>48</v>
      </c>
      <c r="D3553" s="3" t="s">
        <v>19</v>
      </c>
      <c r="E3553" s="3" t="s">
        <v>49</v>
      </c>
      <c r="F3553" s="3" t="s">
        <v>50</v>
      </c>
      <c r="G3553" s="3" t="s">
        <v>22</v>
      </c>
      <c r="H3553" s="3" t="s">
        <v>23</v>
      </c>
      <c r="I3553" s="3" t="s">
        <v>560</v>
      </c>
      <c r="J3553" s="3" t="s">
        <v>171</v>
      </c>
      <c r="K3553" s="3">
        <v>5</v>
      </c>
      <c r="L3553" s="3">
        <v>3711.15</v>
      </c>
      <c r="M3553" s="3">
        <v>18555.75</v>
      </c>
      <c r="N3553" s="3">
        <v>10989.17</v>
      </c>
      <c r="O3553" s="3">
        <v>7566.58</v>
      </c>
      <c r="P3553" s="3" t="s">
        <v>86</v>
      </c>
    </row>
    <row r="3554" spans="1:16" x14ac:dyDescent="0.35">
      <c r="A3554" s="3" t="s">
        <v>4981</v>
      </c>
      <c r="B3554" s="3" t="s">
        <v>636</v>
      </c>
      <c r="C3554" s="3" t="s">
        <v>57</v>
      </c>
      <c r="D3554" s="3" t="s">
        <v>38</v>
      </c>
      <c r="E3554" s="3" t="s">
        <v>104</v>
      </c>
      <c r="F3554" s="3" t="s">
        <v>104</v>
      </c>
      <c r="G3554" s="3" t="s">
        <v>30</v>
      </c>
      <c r="H3554" s="3" t="s">
        <v>67</v>
      </c>
      <c r="I3554" s="3" t="s">
        <v>1640</v>
      </c>
      <c r="J3554" s="3" t="s">
        <v>25</v>
      </c>
      <c r="K3554" s="3">
        <v>6</v>
      </c>
      <c r="L3554" s="3">
        <v>9207.76</v>
      </c>
      <c r="M3554" s="3">
        <v>55246.559999999998</v>
      </c>
      <c r="N3554" s="3">
        <v>44677.05</v>
      </c>
      <c r="O3554" s="3">
        <v>10569.51</v>
      </c>
      <c r="P3554" s="3" t="s">
        <v>86</v>
      </c>
    </row>
    <row r="3555" spans="1:16" x14ac:dyDescent="0.35">
      <c r="A3555" s="3" t="s">
        <v>4982</v>
      </c>
      <c r="B3555" s="3" t="s">
        <v>239</v>
      </c>
      <c r="C3555" s="3" t="s">
        <v>72</v>
      </c>
      <c r="D3555" s="3" t="s">
        <v>19</v>
      </c>
      <c r="E3555" s="3" t="s">
        <v>20</v>
      </c>
      <c r="F3555" s="3" t="s">
        <v>21</v>
      </c>
      <c r="G3555" s="3" t="s">
        <v>51</v>
      </c>
      <c r="H3555" s="3" t="s">
        <v>77</v>
      </c>
      <c r="I3555" s="3" t="s">
        <v>2495</v>
      </c>
      <c r="J3555" s="3" t="s">
        <v>161</v>
      </c>
      <c r="K3555" s="3">
        <v>8</v>
      </c>
      <c r="L3555" s="3">
        <v>12374.21</v>
      </c>
      <c r="M3555" s="3">
        <v>98993.68</v>
      </c>
      <c r="N3555" s="3">
        <v>72205.97</v>
      </c>
      <c r="O3555" s="3">
        <v>26787.71</v>
      </c>
      <c r="P3555" s="3" t="s">
        <v>45</v>
      </c>
    </row>
    <row r="3556" spans="1:16" x14ac:dyDescent="0.35">
      <c r="A3556" s="3" t="s">
        <v>4983</v>
      </c>
      <c r="B3556" s="3" t="s">
        <v>1031</v>
      </c>
      <c r="C3556" s="3" t="s">
        <v>82</v>
      </c>
      <c r="D3556" s="3" t="s">
        <v>38</v>
      </c>
      <c r="E3556" s="3" t="s">
        <v>39</v>
      </c>
      <c r="F3556" s="3" t="s">
        <v>40</v>
      </c>
      <c r="G3556" s="3" t="s">
        <v>41</v>
      </c>
      <c r="H3556" s="3" t="s">
        <v>138</v>
      </c>
      <c r="I3556" s="3" t="s">
        <v>808</v>
      </c>
      <c r="J3556" s="3" t="s">
        <v>188</v>
      </c>
      <c r="K3556" s="3">
        <v>5</v>
      </c>
      <c r="L3556" s="3">
        <v>19598.16</v>
      </c>
      <c r="M3556" s="3">
        <v>97990.8</v>
      </c>
      <c r="N3556" s="3">
        <v>69865.56</v>
      </c>
      <c r="O3556" s="3">
        <v>28125.24</v>
      </c>
      <c r="P3556" s="3" t="s">
        <v>34</v>
      </c>
    </row>
    <row r="3557" spans="1:16" x14ac:dyDescent="0.35">
      <c r="A3557" s="3" t="s">
        <v>4984</v>
      </c>
      <c r="B3557" s="3" t="s">
        <v>71</v>
      </c>
      <c r="C3557" s="3" t="s">
        <v>72</v>
      </c>
      <c r="D3557" s="3" t="s">
        <v>90</v>
      </c>
      <c r="E3557" s="3" t="s">
        <v>97</v>
      </c>
      <c r="F3557" s="3" t="s">
        <v>98</v>
      </c>
      <c r="G3557" s="3" t="s">
        <v>22</v>
      </c>
      <c r="H3557" s="3" t="s">
        <v>83</v>
      </c>
      <c r="I3557" s="3" t="s">
        <v>2591</v>
      </c>
      <c r="J3557" s="3" t="s">
        <v>188</v>
      </c>
      <c r="K3557" s="3">
        <v>1</v>
      </c>
      <c r="L3557" s="3">
        <v>23176.34</v>
      </c>
      <c r="M3557" s="3">
        <v>23176.34</v>
      </c>
      <c r="N3557" s="3">
        <v>16823.45</v>
      </c>
      <c r="O3557" s="3">
        <v>6352.89</v>
      </c>
      <c r="P3557" s="3" t="s">
        <v>26</v>
      </c>
    </row>
    <row r="3558" spans="1:16" x14ac:dyDescent="0.35">
      <c r="A3558" s="3" t="s">
        <v>4985</v>
      </c>
      <c r="B3558" s="3" t="s">
        <v>524</v>
      </c>
      <c r="C3558" s="3" t="s">
        <v>89</v>
      </c>
      <c r="D3558" s="3" t="s">
        <v>38</v>
      </c>
      <c r="E3558" s="3" t="s">
        <v>109</v>
      </c>
      <c r="F3558" s="3" t="s">
        <v>110</v>
      </c>
      <c r="G3558" s="3" t="s">
        <v>51</v>
      </c>
      <c r="H3558" s="3" t="s">
        <v>52</v>
      </c>
      <c r="I3558" s="3" t="s">
        <v>4986</v>
      </c>
      <c r="J3558" s="3" t="s">
        <v>154</v>
      </c>
      <c r="K3558" s="3">
        <v>5</v>
      </c>
      <c r="L3558" s="3">
        <v>25.09</v>
      </c>
      <c r="M3558" s="3">
        <v>125.45</v>
      </c>
      <c r="N3558" s="3">
        <v>47.66</v>
      </c>
      <c r="O3558" s="3">
        <v>77.790000000000006</v>
      </c>
      <c r="P3558" s="3" t="s">
        <v>69</v>
      </c>
    </row>
    <row r="3559" spans="1:16" x14ac:dyDescent="0.35">
      <c r="A3559" s="3" t="s">
        <v>4987</v>
      </c>
      <c r="B3559" s="3" t="s">
        <v>351</v>
      </c>
      <c r="C3559" s="3" t="s">
        <v>114</v>
      </c>
      <c r="D3559" s="3" t="s">
        <v>58</v>
      </c>
      <c r="E3559" s="3" t="s">
        <v>176</v>
      </c>
      <c r="F3559" s="3" t="s">
        <v>177</v>
      </c>
      <c r="G3559" s="3" t="s">
        <v>30</v>
      </c>
      <c r="H3559" s="3" t="s">
        <v>73</v>
      </c>
      <c r="I3559" s="3" t="s">
        <v>2239</v>
      </c>
      <c r="J3559" s="3" t="s">
        <v>217</v>
      </c>
      <c r="K3559" s="3">
        <v>7</v>
      </c>
      <c r="L3559" s="3">
        <v>2949.76</v>
      </c>
      <c r="M3559" s="3">
        <v>20648.32</v>
      </c>
      <c r="N3559" s="3">
        <v>17348.240000000002</v>
      </c>
      <c r="O3559" s="3">
        <v>3300.08</v>
      </c>
      <c r="P3559" s="3" t="s">
        <v>45</v>
      </c>
    </row>
    <row r="3560" spans="1:16" x14ac:dyDescent="0.35">
      <c r="A3560" s="3" t="s">
        <v>4988</v>
      </c>
      <c r="B3560" s="3" t="s">
        <v>1238</v>
      </c>
      <c r="C3560" s="3" t="s">
        <v>82</v>
      </c>
      <c r="D3560" s="3" t="s">
        <v>19</v>
      </c>
      <c r="E3560" s="3" t="s">
        <v>199</v>
      </c>
      <c r="F3560" s="3" t="s">
        <v>200</v>
      </c>
      <c r="G3560" s="3" t="s">
        <v>22</v>
      </c>
      <c r="H3560" s="3" t="s">
        <v>93</v>
      </c>
      <c r="I3560" s="3" t="s">
        <v>1728</v>
      </c>
      <c r="J3560" s="3" t="s">
        <v>85</v>
      </c>
      <c r="K3560" s="3">
        <v>8</v>
      </c>
      <c r="L3560" s="3">
        <v>7507.37</v>
      </c>
      <c r="M3560" s="3">
        <v>60058.96</v>
      </c>
      <c r="N3560" s="3">
        <v>40310.959999999999</v>
      </c>
      <c r="O3560" s="3">
        <v>19748</v>
      </c>
      <c r="P3560" s="3" t="s">
        <v>34</v>
      </c>
    </row>
    <row r="3561" spans="1:16" x14ac:dyDescent="0.35">
      <c r="A3561" s="3" t="s">
        <v>4989</v>
      </c>
      <c r="B3561" s="3" t="s">
        <v>1216</v>
      </c>
      <c r="C3561" s="3" t="s">
        <v>114</v>
      </c>
      <c r="D3561" s="3" t="s">
        <v>19</v>
      </c>
      <c r="E3561" s="3" t="s">
        <v>20</v>
      </c>
      <c r="F3561" s="3" t="s">
        <v>21</v>
      </c>
      <c r="G3561" s="3" t="s">
        <v>51</v>
      </c>
      <c r="H3561" s="3" t="s">
        <v>52</v>
      </c>
      <c r="I3561" s="3" t="s">
        <v>965</v>
      </c>
      <c r="J3561" s="3" t="s">
        <v>171</v>
      </c>
      <c r="K3561" s="3">
        <v>8</v>
      </c>
      <c r="L3561" s="3">
        <v>23.75</v>
      </c>
      <c r="M3561" s="3">
        <v>190</v>
      </c>
      <c r="N3561" s="3">
        <v>77.97</v>
      </c>
      <c r="O3561" s="3">
        <v>112.03</v>
      </c>
      <c r="P3561" s="3" t="s">
        <v>86</v>
      </c>
    </row>
    <row r="3562" spans="1:16" x14ac:dyDescent="0.35">
      <c r="A3562" s="3" t="s">
        <v>4990</v>
      </c>
      <c r="B3562" s="3" t="s">
        <v>883</v>
      </c>
      <c r="C3562" s="3" t="s">
        <v>37</v>
      </c>
      <c r="D3562" s="3" t="s">
        <v>58</v>
      </c>
      <c r="E3562" s="3" t="s">
        <v>59</v>
      </c>
      <c r="F3562" s="3" t="s">
        <v>60</v>
      </c>
      <c r="G3562" s="3" t="s">
        <v>22</v>
      </c>
      <c r="H3562" s="3" t="s">
        <v>83</v>
      </c>
      <c r="I3562" s="3" t="s">
        <v>3685</v>
      </c>
      <c r="J3562" s="3" t="s">
        <v>131</v>
      </c>
      <c r="K3562" s="3">
        <v>2</v>
      </c>
      <c r="L3562" s="3">
        <v>22652.95</v>
      </c>
      <c r="M3562" s="3">
        <v>45305.9</v>
      </c>
      <c r="N3562" s="3">
        <v>34807.449999999997</v>
      </c>
      <c r="O3562" s="3">
        <v>10498.45</v>
      </c>
      <c r="P3562" s="3" t="s">
        <v>86</v>
      </c>
    </row>
    <row r="3563" spans="1:16" x14ac:dyDescent="0.35">
      <c r="A3563" s="3" t="s">
        <v>4991</v>
      </c>
      <c r="B3563" s="3" t="s">
        <v>960</v>
      </c>
      <c r="C3563" s="3" t="s">
        <v>114</v>
      </c>
      <c r="D3563" s="3" t="s">
        <v>90</v>
      </c>
      <c r="E3563" s="3" t="s">
        <v>91</v>
      </c>
      <c r="F3563" s="3" t="s">
        <v>92</v>
      </c>
      <c r="G3563" s="3" t="s">
        <v>30</v>
      </c>
      <c r="H3563" s="3" t="s">
        <v>67</v>
      </c>
      <c r="I3563" s="3" t="s">
        <v>2947</v>
      </c>
      <c r="J3563" s="3" t="s">
        <v>188</v>
      </c>
      <c r="K3563" s="3">
        <v>2</v>
      </c>
      <c r="L3563" s="3">
        <v>9025.65</v>
      </c>
      <c r="M3563" s="3">
        <v>18051.3</v>
      </c>
      <c r="N3563" s="3">
        <v>14651.55</v>
      </c>
      <c r="O3563" s="3">
        <v>3399.75</v>
      </c>
      <c r="P3563" s="3" t="s">
        <v>69</v>
      </c>
    </row>
    <row r="3564" spans="1:16" x14ac:dyDescent="0.35">
      <c r="A3564" s="3" t="s">
        <v>4992</v>
      </c>
      <c r="B3564" s="3" t="s">
        <v>1187</v>
      </c>
      <c r="C3564" s="3" t="s">
        <v>18</v>
      </c>
      <c r="D3564" s="3" t="s">
        <v>19</v>
      </c>
      <c r="E3564" s="3" t="s">
        <v>20</v>
      </c>
      <c r="F3564" s="3" t="s">
        <v>21</v>
      </c>
      <c r="G3564" s="3" t="s">
        <v>51</v>
      </c>
      <c r="H3564" s="3" t="s">
        <v>145</v>
      </c>
      <c r="I3564" s="3" t="s">
        <v>2635</v>
      </c>
      <c r="J3564" s="3" t="s">
        <v>188</v>
      </c>
      <c r="K3564" s="3">
        <v>6</v>
      </c>
      <c r="L3564" s="3">
        <v>130.44</v>
      </c>
      <c r="M3564" s="3">
        <v>782.64</v>
      </c>
      <c r="N3564" s="3">
        <v>352.78</v>
      </c>
      <c r="O3564" s="3">
        <v>429.86</v>
      </c>
      <c r="P3564" s="3" t="s">
        <v>26</v>
      </c>
    </row>
    <row r="3565" spans="1:16" x14ac:dyDescent="0.35">
      <c r="A3565" s="3" t="s">
        <v>4993</v>
      </c>
      <c r="B3565" s="3" t="s">
        <v>1053</v>
      </c>
      <c r="C3565" s="3" t="s">
        <v>82</v>
      </c>
      <c r="D3565" s="3" t="s">
        <v>19</v>
      </c>
      <c r="E3565" s="3" t="s">
        <v>49</v>
      </c>
      <c r="F3565" s="3" t="s">
        <v>50</v>
      </c>
      <c r="G3565" s="3" t="s">
        <v>22</v>
      </c>
      <c r="H3565" s="3" t="s">
        <v>93</v>
      </c>
      <c r="I3565" s="3" t="s">
        <v>1500</v>
      </c>
      <c r="J3565" s="3" t="s">
        <v>188</v>
      </c>
      <c r="K3565" s="3">
        <v>3</v>
      </c>
      <c r="L3565" s="3">
        <v>7214.43</v>
      </c>
      <c r="M3565" s="3">
        <v>21643.29</v>
      </c>
      <c r="N3565" s="3">
        <v>14885.83</v>
      </c>
      <c r="O3565" s="3">
        <v>6757.46</v>
      </c>
      <c r="P3565" s="3" t="s">
        <v>45</v>
      </c>
    </row>
    <row r="3566" spans="1:16" x14ac:dyDescent="0.35">
      <c r="A3566" s="3" t="s">
        <v>4994</v>
      </c>
      <c r="B3566" s="3" t="s">
        <v>607</v>
      </c>
      <c r="C3566" s="3" t="s">
        <v>114</v>
      </c>
      <c r="D3566" s="3" t="s">
        <v>90</v>
      </c>
      <c r="E3566" s="3" t="s">
        <v>119</v>
      </c>
      <c r="F3566" s="3" t="s">
        <v>120</v>
      </c>
      <c r="G3566" s="3" t="s">
        <v>51</v>
      </c>
      <c r="H3566" s="3" t="s">
        <v>145</v>
      </c>
      <c r="I3566" s="3" t="s">
        <v>2198</v>
      </c>
      <c r="J3566" s="3" t="s">
        <v>147</v>
      </c>
      <c r="K3566" s="3">
        <v>4</v>
      </c>
      <c r="L3566" s="3">
        <v>114.61</v>
      </c>
      <c r="M3566" s="3">
        <v>458.44</v>
      </c>
      <c r="N3566" s="3">
        <v>234.05</v>
      </c>
      <c r="O3566" s="3">
        <v>224.39</v>
      </c>
      <c r="P3566" s="3" t="s">
        <v>45</v>
      </c>
    </row>
    <row r="3567" spans="1:16" x14ac:dyDescent="0.35">
      <c r="A3567" s="3" t="s">
        <v>4995</v>
      </c>
      <c r="B3567" s="3" t="s">
        <v>656</v>
      </c>
      <c r="C3567" s="3" t="s">
        <v>89</v>
      </c>
      <c r="D3567" s="3" t="s">
        <v>58</v>
      </c>
      <c r="E3567" s="3" t="s">
        <v>59</v>
      </c>
      <c r="F3567" s="3" t="s">
        <v>60</v>
      </c>
      <c r="G3567" s="3" t="s">
        <v>41</v>
      </c>
      <c r="H3567" s="3" t="s">
        <v>138</v>
      </c>
      <c r="I3567" s="3" t="s">
        <v>469</v>
      </c>
      <c r="J3567" s="3" t="s">
        <v>44</v>
      </c>
      <c r="K3567" s="3">
        <v>4</v>
      </c>
      <c r="L3567" s="3">
        <v>16755.46</v>
      </c>
      <c r="M3567" s="3">
        <v>67021.84</v>
      </c>
      <c r="N3567" s="3">
        <v>56729.48</v>
      </c>
      <c r="O3567" s="3">
        <v>10292.36</v>
      </c>
      <c r="P3567" s="3" t="s">
        <v>45</v>
      </c>
    </row>
    <row r="3568" spans="1:16" x14ac:dyDescent="0.35">
      <c r="A3568" s="3" t="s">
        <v>4996</v>
      </c>
      <c r="B3568" s="3" t="s">
        <v>387</v>
      </c>
      <c r="C3568" s="3" t="s">
        <v>82</v>
      </c>
      <c r="D3568" s="3" t="s">
        <v>90</v>
      </c>
      <c r="E3568" s="3" t="s">
        <v>91</v>
      </c>
      <c r="F3568" s="3" t="s">
        <v>92</v>
      </c>
      <c r="G3568" s="3" t="s">
        <v>41</v>
      </c>
      <c r="H3568" s="3" t="s">
        <v>138</v>
      </c>
      <c r="I3568" s="3" t="s">
        <v>3904</v>
      </c>
      <c r="J3568" s="3" t="s">
        <v>100</v>
      </c>
      <c r="K3568" s="3">
        <v>8</v>
      </c>
      <c r="L3568" s="3">
        <v>18089.150000000001</v>
      </c>
      <c r="M3568" s="3">
        <v>144713.20000000001</v>
      </c>
      <c r="N3568" s="3">
        <v>111428.85</v>
      </c>
      <c r="O3568" s="3">
        <v>33284.35</v>
      </c>
      <c r="P3568" s="3" t="s">
        <v>45</v>
      </c>
    </row>
    <row r="3569" spans="1:16" x14ac:dyDescent="0.35">
      <c r="A3569" s="3" t="s">
        <v>4997</v>
      </c>
      <c r="B3569" s="3" t="s">
        <v>2969</v>
      </c>
      <c r="C3569" s="3" t="s">
        <v>137</v>
      </c>
      <c r="D3569" s="3" t="s">
        <v>38</v>
      </c>
      <c r="E3569" s="3" t="s">
        <v>39</v>
      </c>
      <c r="F3569" s="3" t="s">
        <v>40</v>
      </c>
      <c r="G3569" s="3" t="s">
        <v>22</v>
      </c>
      <c r="H3569" s="3" t="s">
        <v>83</v>
      </c>
      <c r="I3569" s="3" t="s">
        <v>2777</v>
      </c>
      <c r="J3569" s="3" t="s">
        <v>188</v>
      </c>
      <c r="K3569" s="3">
        <v>3</v>
      </c>
      <c r="L3569" s="3">
        <v>23763.759999999998</v>
      </c>
      <c r="M3569" s="3">
        <v>71291.28</v>
      </c>
      <c r="N3569" s="3">
        <v>51222.559999999998</v>
      </c>
      <c r="O3569" s="3">
        <v>20068.72</v>
      </c>
      <c r="P3569" s="3" t="s">
        <v>34</v>
      </c>
    </row>
    <row r="3570" spans="1:16" x14ac:dyDescent="0.35">
      <c r="A3570" s="3" t="s">
        <v>4998</v>
      </c>
      <c r="B3570" s="3" t="s">
        <v>752</v>
      </c>
      <c r="C3570" s="3" t="s">
        <v>29</v>
      </c>
      <c r="D3570" s="3" t="s">
        <v>58</v>
      </c>
      <c r="E3570" s="3" t="s">
        <v>176</v>
      </c>
      <c r="F3570" s="3" t="s">
        <v>177</v>
      </c>
      <c r="G3570" s="3" t="s">
        <v>41</v>
      </c>
      <c r="H3570" s="3" t="s">
        <v>138</v>
      </c>
      <c r="I3570" s="3" t="s">
        <v>1354</v>
      </c>
      <c r="J3570" s="3" t="s">
        <v>54</v>
      </c>
      <c r="K3570" s="3">
        <v>3</v>
      </c>
      <c r="L3570" s="3">
        <v>16441.75</v>
      </c>
      <c r="M3570" s="3">
        <v>49325.25</v>
      </c>
      <c r="N3570" s="3">
        <v>41370.720000000001</v>
      </c>
      <c r="O3570" s="3">
        <v>7954.53</v>
      </c>
      <c r="P3570" s="3" t="s">
        <v>34</v>
      </c>
    </row>
    <row r="3571" spans="1:16" x14ac:dyDescent="0.35">
      <c r="A3571" s="3" t="s">
        <v>4999</v>
      </c>
      <c r="B3571" s="3" t="s">
        <v>814</v>
      </c>
      <c r="C3571" s="3" t="s">
        <v>103</v>
      </c>
      <c r="D3571" s="3" t="s">
        <v>38</v>
      </c>
      <c r="E3571" s="3" t="s">
        <v>109</v>
      </c>
      <c r="F3571" s="3" t="s">
        <v>110</v>
      </c>
      <c r="G3571" s="3" t="s">
        <v>41</v>
      </c>
      <c r="H3571" s="3" t="s">
        <v>61</v>
      </c>
      <c r="I3571" s="3" t="s">
        <v>1356</v>
      </c>
      <c r="J3571" s="3" t="s">
        <v>54</v>
      </c>
      <c r="K3571" s="3">
        <v>4</v>
      </c>
      <c r="L3571" s="3">
        <v>2486.29</v>
      </c>
      <c r="M3571" s="3">
        <v>9945.16</v>
      </c>
      <c r="N3571" s="3">
        <v>6106.36</v>
      </c>
      <c r="O3571" s="3">
        <v>3838.8</v>
      </c>
      <c r="P3571" s="3" t="s">
        <v>26</v>
      </c>
    </row>
    <row r="3572" spans="1:16" x14ac:dyDescent="0.35">
      <c r="A3572" s="3" t="s">
        <v>5000</v>
      </c>
      <c r="B3572" s="3" t="s">
        <v>117</v>
      </c>
      <c r="C3572" s="3" t="s">
        <v>118</v>
      </c>
      <c r="D3572" s="3" t="s">
        <v>38</v>
      </c>
      <c r="E3572" s="3" t="s">
        <v>104</v>
      </c>
      <c r="F3572" s="3" t="s">
        <v>104</v>
      </c>
      <c r="G3572" s="3" t="s">
        <v>51</v>
      </c>
      <c r="H3572" s="3" t="s">
        <v>77</v>
      </c>
      <c r="I3572" s="3" t="s">
        <v>2209</v>
      </c>
      <c r="J3572" s="3" t="s">
        <v>79</v>
      </c>
      <c r="K3572" s="3">
        <v>3</v>
      </c>
      <c r="L3572" s="3">
        <v>12078.73</v>
      </c>
      <c r="M3572" s="3">
        <v>36236.19</v>
      </c>
      <c r="N3572" s="3">
        <v>27469.87</v>
      </c>
      <c r="O3572" s="3">
        <v>8766.32</v>
      </c>
      <c r="P3572" s="3" t="s">
        <v>26</v>
      </c>
    </row>
    <row r="3573" spans="1:16" x14ac:dyDescent="0.35">
      <c r="A3573" s="3" t="s">
        <v>5001</v>
      </c>
      <c r="B3573" s="3" t="s">
        <v>798</v>
      </c>
      <c r="C3573" s="3" t="s">
        <v>18</v>
      </c>
      <c r="D3573" s="3" t="s">
        <v>90</v>
      </c>
      <c r="E3573" s="3" t="s">
        <v>97</v>
      </c>
      <c r="F3573" s="3" t="s">
        <v>98</v>
      </c>
      <c r="G3573" s="3" t="s">
        <v>51</v>
      </c>
      <c r="H3573" s="3" t="s">
        <v>77</v>
      </c>
      <c r="I3573" s="3" t="s">
        <v>3915</v>
      </c>
      <c r="J3573" s="3" t="s">
        <v>154</v>
      </c>
      <c r="K3573" s="3">
        <v>4</v>
      </c>
      <c r="L3573" s="3">
        <v>11953.08</v>
      </c>
      <c r="M3573" s="3">
        <v>47812.32</v>
      </c>
      <c r="N3573" s="3">
        <v>35134.769999999997</v>
      </c>
      <c r="O3573" s="3">
        <v>12677.55</v>
      </c>
      <c r="P3573" s="3" t="s">
        <v>34</v>
      </c>
    </row>
    <row r="3574" spans="1:16" x14ac:dyDescent="0.35">
      <c r="A3574" s="3" t="s">
        <v>5002</v>
      </c>
      <c r="B3574" s="3" t="s">
        <v>212</v>
      </c>
      <c r="C3574" s="3" t="s">
        <v>37</v>
      </c>
      <c r="D3574" s="3" t="s">
        <v>90</v>
      </c>
      <c r="E3574" s="3" t="s">
        <v>97</v>
      </c>
      <c r="F3574" s="3" t="s">
        <v>98</v>
      </c>
      <c r="G3574" s="3" t="s">
        <v>30</v>
      </c>
      <c r="H3574" s="3" t="s">
        <v>31</v>
      </c>
      <c r="I3574" s="3" t="s">
        <v>4083</v>
      </c>
      <c r="J3574" s="3" t="s">
        <v>85</v>
      </c>
      <c r="K3574" s="3">
        <v>8</v>
      </c>
      <c r="L3574" s="3">
        <v>2891.37</v>
      </c>
      <c r="M3574" s="3">
        <v>23130.959999999999</v>
      </c>
      <c r="N3574" s="3">
        <v>14926.96</v>
      </c>
      <c r="O3574" s="3">
        <v>8204</v>
      </c>
      <c r="P3574" s="3" t="s">
        <v>86</v>
      </c>
    </row>
    <row r="3575" spans="1:16" x14ac:dyDescent="0.35">
      <c r="A3575" s="3" t="s">
        <v>5003</v>
      </c>
      <c r="B3575" s="3" t="s">
        <v>395</v>
      </c>
      <c r="C3575" s="3" t="s">
        <v>29</v>
      </c>
      <c r="D3575" s="3" t="s">
        <v>58</v>
      </c>
      <c r="E3575" s="3" t="s">
        <v>65</v>
      </c>
      <c r="F3575" s="3" t="s">
        <v>66</v>
      </c>
      <c r="G3575" s="3" t="s">
        <v>51</v>
      </c>
      <c r="H3575" s="3" t="s">
        <v>52</v>
      </c>
      <c r="I3575" s="3" t="s">
        <v>2402</v>
      </c>
      <c r="J3575" s="3" t="s">
        <v>33</v>
      </c>
      <c r="K3575" s="3">
        <v>1</v>
      </c>
      <c r="L3575" s="3">
        <v>24.52</v>
      </c>
      <c r="M3575" s="3">
        <v>24.52</v>
      </c>
      <c r="N3575" s="3">
        <v>9.52</v>
      </c>
      <c r="O3575" s="3">
        <v>15</v>
      </c>
      <c r="P3575" s="3" t="s">
        <v>45</v>
      </c>
    </row>
    <row r="3576" spans="1:16" x14ac:dyDescent="0.35">
      <c r="A3576" s="3" t="s">
        <v>5004</v>
      </c>
      <c r="B3576" s="3" t="s">
        <v>2197</v>
      </c>
      <c r="C3576" s="3" t="s">
        <v>18</v>
      </c>
      <c r="D3576" s="3" t="s">
        <v>90</v>
      </c>
      <c r="E3576" s="3" t="s">
        <v>119</v>
      </c>
      <c r="F3576" s="3" t="s">
        <v>120</v>
      </c>
      <c r="G3576" s="3" t="s">
        <v>41</v>
      </c>
      <c r="H3576" s="3" t="s">
        <v>42</v>
      </c>
      <c r="I3576" s="3" t="s">
        <v>2331</v>
      </c>
      <c r="J3576" s="3" t="s">
        <v>161</v>
      </c>
      <c r="K3576" s="3">
        <v>2</v>
      </c>
      <c r="L3576" s="3">
        <v>43263.63</v>
      </c>
      <c r="M3576" s="3">
        <v>86527.26</v>
      </c>
      <c r="N3576" s="3">
        <v>70225.8</v>
      </c>
      <c r="O3576" s="3">
        <v>16301.46</v>
      </c>
      <c r="P3576" s="3" t="s">
        <v>34</v>
      </c>
    </row>
    <row r="3577" spans="1:16" x14ac:dyDescent="0.35">
      <c r="A3577" s="3" t="s">
        <v>5005</v>
      </c>
      <c r="B3577" s="3" t="s">
        <v>1320</v>
      </c>
      <c r="C3577" s="3" t="s">
        <v>37</v>
      </c>
      <c r="D3577" s="3" t="s">
        <v>38</v>
      </c>
      <c r="E3577" s="3" t="s">
        <v>104</v>
      </c>
      <c r="F3577" s="3" t="s">
        <v>104</v>
      </c>
      <c r="G3577" s="3" t="s">
        <v>41</v>
      </c>
      <c r="H3577" s="3" t="s">
        <v>61</v>
      </c>
      <c r="I3577" s="3" t="s">
        <v>2002</v>
      </c>
      <c r="J3577" s="3" t="s">
        <v>131</v>
      </c>
      <c r="K3577" s="3">
        <v>7</v>
      </c>
      <c r="L3577" s="3">
        <v>2643.32</v>
      </c>
      <c r="M3577" s="3">
        <v>18503.240000000002</v>
      </c>
      <c r="N3577" s="3">
        <v>11333.05</v>
      </c>
      <c r="O3577" s="3">
        <v>7170.19</v>
      </c>
      <c r="P3577" s="3" t="s">
        <v>69</v>
      </c>
    </row>
    <row r="3578" spans="1:16" x14ac:dyDescent="0.35">
      <c r="A3578" s="3" t="s">
        <v>5006</v>
      </c>
      <c r="B3578" s="3" t="s">
        <v>779</v>
      </c>
      <c r="C3578" s="3" t="s">
        <v>114</v>
      </c>
      <c r="D3578" s="3" t="s">
        <v>19</v>
      </c>
      <c r="E3578" s="3" t="s">
        <v>199</v>
      </c>
      <c r="F3578" s="3" t="s">
        <v>200</v>
      </c>
      <c r="G3578" s="3" t="s">
        <v>22</v>
      </c>
      <c r="H3578" s="3" t="s">
        <v>93</v>
      </c>
      <c r="I3578" s="3" t="s">
        <v>3444</v>
      </c>
      <c r="J3578" s="3" t="s">
        <v>217</v>
      </c>
      <c r="K3578" s="3">
        <v>8</v>
      </c>
      <c r="L3578" s="3">
        <v>7622.63</v>
      </c>
      <c r="M3578" s="3">
        <v>60981.04</v>
      </c>
      <c r="N3578" s="3">
        <v>41747.06</v>
      </c>
      <c r="O3578" s="3">
        <v>19233.98</v>
      </c>
      <c r="P3578" s="3" t="s">
        <v>69</v>
      </c>
    </row>
    <row r="3579" spans="1:16" x14ac:dyDescent="0.35">
      <c r="A3579" s="3" t="s">
        <v>5007</v>
      </c>
      <c r="B3579" s="3" t="s">
        <v>787</v>
      </c>
      <c r="C3579" s="3" t="s">
        <v>37</v>
      </c>
      <c r="D3579" s="3" t="s">
        <v>90</v>
      </c>
      <c r="E3579" s="3" t="s">
        <v>97</v>
      </c>
      <c r="F3579" s="3" t="s">
        <v>98</v>
      </c>
      <c r="G3579" s="3" t="s">
        <v>30</v>
      </c>
      <c r="H3579" s="3" t="s">
        <v>73</v>
      </c>
      <c r="I3579" s="3" t="s">
        <v>1038</v>
      </c>
      <c r="J3579" s="3" t="s">
        <v>147</v>
      </c>
      <c r="K3579" s="3">
        <v>1</v>
      </c>
      <c r="L3579" s="3">
        <v>3493.72</v>
      </c>
      <c r="M3579" s="3">
        <v>3493.72</v>
      </c>
      <c r="N3579" s="3">
        <v>2344.34</v>
      </c>
      <c r="O3579" s="3">
        <v>1149.3800000000001</v>
      </c>
      <c r="P3579" s="3" t="s">
        <v>69</v>
      </c>
    </row>
    <row r="3580" spans="1:16" x14ac:dyDescent="0.35">
      <c r="A3580" s="3" t="s">
        <v>5008</v>
      </c>
      <c r="B3580" s="3" t="s">
        <v>64</v>
      </c>
      <c r="C3580" s="3" t="s">
        <v>57</v>
      </c>
      <c r="D3580" s="3" t="s">
        <v>19</v>
      </c>
      <c r="E3580" s="3" t="s">
        <v>199</v>
      </c>
      <c r="F3580" s="3" t="s">
        <v>200</v>
      </c>
      <c r="G3580" s="3" t="s">
        <v>51</v>
      </c>
      <c r="H3580" s="3" t="s">
        <v>52</v>
      </c>
      <c r="I3580" s="3" t="s">
        <v>1837</v>
      </c>
      <c r="J3580" s="3" t="s">
        <v>25</v>
      </c>
      <c r="K3580" s="3">
        <v>4</v>
      </c>
      <c r="L3580" s="3">
        <v>23.15</v>
      </c>
      <c r="M3580" s="3">
        <v>92.6</v>
      </c>
      <c r="N3580" s="3">
        <v>41.44</v>
      </c>
      <c r="O3580" s="3">
        <v>51.16</v>
      </c>
      <c r="P3580" s="3" t="s">
        <v>34</v>
      </c>
    </row>
    <row r="3581" spans="1:16" x14ac:dyDescent="0.35">
      <c r="A3581" s="3" t="s">
        <v>5009</v>
      </c>
      <c r="B3581" s="3" t="s">
        <v>1182</v>
      </c>
      <c r="C3581" s="3" t="s">
        <v>48</v>
      </c>
      <c r="D3581" s="3" t="s">
        <v>19</v>
      </c>
      <c r="E3581" s="3" t="s">
        <v>49</v>
      </c>
      <c r="F3581" s="3" t="s">
        <v>50</v>
      </c>
      <c r="G3581" s="3" t="s">
        <v>51</v>
      </c>
      <c r="H3581" s="3" t="s">
        <v>52</v>
      </c>
      <c r="I3581" s="3" t="s">
        <v>5010</v>
      </c>
      <c r="J3581" s="3" t="s">
        <v>79</v>
      </c>
      <c r="K3581" s="3">
        <v>1</v>
      </c>
      <c r="L3581" s="3">
        <v>25.58</v>
      </c>
      <c r="M3581" s="3">
        <v>25.58</v>
      </c>
      <c r="N3581" s="3">
        <v>10.15</v>
      </c>
      <c r="O3581" s="3">
        <v>15.43</v>
      </c>
      <c r="P3581" s="3" t="s">
        <v>34</v>
      </c>
    </row>
    <row r="3582" spans="1:16" x14ac:dyDescent="0.35">
      <c r="A3582" s="3" t="s">
        <v>5011</v>
      </c>
      <c r="B3582" s="3" t="s">
        <v>1772</v>
      </c>
      <c r="C3582" s="3" t="s">
        <v>114</v>
      </c>
      <c r="D3582" s="3" t="s">
        <v>58</v>
      </c>
      <c r="E3582" s="3" t="s">
        <v>65</v>
      </c>
      <c r="F3582" s="3" t="s">
        <v>66</v>
      </c>
      <c r="G3582" s="3" t="s">
        <v>30</v>
      </c>
      <c r="H3582" s="3" t="s">
        <v>31</v>
      </c>
      <c r="I3582" s="3" t="s">
        <v>1111</v>
      </c>
      <c r="J3582" s="3" t="s">
        <v>161</v>
      </c>
      <c r="K3582" s="3">
        <v>6</v>
      </c>
      <c r="L3582" s="3">
        <v>2529.39</v>
      </c>
      <c r="M3582" s="3">
        <v>15176.34</v>
      </c>
      <c r="N3582" s="3">
        <v>11462.35</v>
      </c>
      <c r="O3582" s="3">
        <v>3713.99</v>
      </c>
      <c r="P3582" s="3" t="s">
        <v>86</v>
      </c>
    </row>
    <row r="3583" spans="1:16" x14ac:dyDescent="0.35">
      <c r="A3583" s="3" t="s">
        <v>5012</v>
      </c>
      <c r="B3583" s="3" t="s">
        <v>1337</v>
      </c>
      <c r="C3583" s="3" t="s">
        <v>48</v>
      </c>
      <c r="D3583" s="3" t="s">
        <v>90</v>
      </c>
      <c r="E3583" s="3" t="s">
        <v>97</v>
      </c>
      <c r="F3583" s="3" t="s">
        <v>98</v>
      </c>
      <c r="G3583" s="3" t="s">
        <v>41</v>
      </c>
      <c r="H3583" s="3" t="s">
        <v>42</v>
      </c>
      <c r="I3583" s="3" t="s">
        <v>385</v>
      </c>
      <c r="J3583" s="3" t="s">
        <v>171</v>
      </c>
      <c r="K3583" s="3">
        <v>3</v>
      </c>
      <c r="L3583" s="3">
        <v>40544.769999999997</v>
      </c>
      <c r="M3583" s="3">
        <v>121634.31</v>
      </c>
      <c r="N3583" s="3">
        <v>109301.31</v>
      </c>
      <c r="O3583" s="3">
        <v>12333</v>
      </c>
      <c r="P3583" s="3" t="s">
        <v>26</v>
      </c>
    </row>
    <row r="3584" spans="1:16" x14ac:dyDescent="0.35">
      <c r="A3584" s="3" t="s">
        <v>5013</v>
      </c>
      <c r="B3584" s="3" t="s">
        <v>1406</v>
      </c>
      <c r="C3584" s="3" t="s">
        <v>137</v>
      </c>
      <c r="D3584" s="3" t="s">
        <v>58</v>
      </c>
      <c r="E3584" s="3" t="s">
        <v>59</v>
      </c>
      <c r="F3584" s="3" t="s">
        <v>60</v>
      </c>
      <c r="G3584" s="3" t="s">
        <v>30</v>
      </c>
      <c r="H3584" s="3" t="s">
        <v>73</v>
      </c>
      <c r="I3584" s="3" t="s">
        <v>2988</v>
      </c>
      <c r="J3584" s="3" t="s">
        <v>44</v>
      </c>
      <c r="K3584" s="3">
        <v>1</v>
      </c>
      <c r="L3584" s="3">
        <v>3351.83</v>
      </c>
      <c r="M3584" s="3">
        <v>3351.83</v>
      </c>
      <c r="N3584" s="3">
        <v>2435.92</v>
      </c>
      <c r="O3584" s="3">
        <v>915.91</v>
      </c>
      <c r="P3584" s="3" t="s">
        <v>45</v>
      </c>
    </row>
    <row r="3585" spans="1:16" x14ac:dyDescent="0.35">
      <c r="A3585" s="3" t="s">
        <v>5014</v>
      </c>
      <c r="B3585" s="3" t="s">
        <v>117</v>
      </c>
      <c r="C3585" s="3" t="s">
        <v>118</v>
      </c>
      <c r="D3585" s="3" t="s">
        <v>19</v>
      </c>
      <c r="E3585" s="3" t="s">
        <v>199</v>
      </c>
      <c r="F3585" s="3" t="s">
        <v>200</v>
      </c>
      <c r="G3585" s="3" t="s">
        <v>22</v>
      </c>
      <c r="H3585" s="3" t="s">
        <v>23</v>
      </c>
      <c r="I3585" s="3" t="s">
        <v>2882</v>
      </c>
      <c r="J3585" s="3" t="s">
        <v>33</v>
      </c>
      <c r="K3585" s="3">
        <v>2</v>
      </c>
      <c r="L3585" s="3">
        <v>3558.16</v>
      </c>
      <c r="M3585" s="3">
        <v>7116.32</v>
      </c>
      <c r="N3585" s="3">
        <v>4300.1899999999996</v>
      </c>
      <c r="O3585" s="3">
        <v>2816.13</v>
      </c>
      <c r="P3585" s="3" t="s">
        <v>26</v>
      </c>
    </row>
    <row r="3586" spans="1:16" x14ac:dyDescent="0.35">
      <c r="A3586" s="3" t="s">
        <v>5015</v>
      </c>
      <c r="B3586" s="3" t="s">
        <v>507</v>
      </c>
      <c r="C3586" s="3" t="s">
        <v>118</v>
      </c>
      <c r="D3586" s="3" t="s">
        <v>19</v>
      </c>
      <c r="E3586" s="3" t="s">
        <v>49</v>
      </c>
      <c r="F3586" s="3" t="s">
        <v>50</v>
      </c>
      <c r="G3586" s="3" t="s">
        <v>41</v>
      </c>
      <c r="H3586" s="3" t="s">
        <v>138</v>
      </c>
      <c r="I3586" s="3" t="s">
        <v>3863</v>
      </c>
      <c r="J3586" s="3" t="s">
        <v>131</v>
      </c>
      <c r="K3586" s="3">
        <v>5</v>
      </c>
      <c r="L3586" s="3">
        <v>17826.23</v>
      </c>
      <c r="M3586" s="3">
        <v>89131.15</v>
      </c>
      <c r="N3586" s="3">
        <v>73441.47</v>
      </c>
      <c r="O3586" s="3">
        <v>15689.68</v>
      </c>
      <c r="P3586" s="3" t="s">
        <v>45</v>
      </c>
    </row>
    <row r="3587" spans="1:16" x14ac:dyDescent="0.35">
      <c r="A3587" s="3" t="s">
        <v>5016</v>
      </c>
      <c r="B3587" s="3" t="s">
        <v>1823</v>
      </c>
      <c r="C3587" s="3" t="s">
        <v>118</v>
      </c>
      <c r="D3587" s="3" t="s">
        <v>58</v>
      </c>
      <c r="E3587" s="3" t="s">
        <v>59</v>
      </c>
      <c r="F3587" s="3" t="s">
        <v>60</v>
      </c>
      <c r="G3587" s="3" t="s">
        <v>41</v>
      </c>
      <c r="H3587" s="3" t="s">
        <v>138</v>
      </c>
      <c r="I3587" s="3" t="s">
        <v>377</v>
      </c>
      <c r="J3587" s="3" t="s">
        <v>33</v>
      </c>
      <c r="K3587" s="3">
        <v>3</v>
      </c>
      <c r="L3587" s="3">
        <v>16551.189999999999</v>
      </c>
      <c r="M3587" s="3">
        <v>49653.57</v>
      </c>
      <c r="N3587" s="3">
        <v>43647.24</v>
      </c>
      <c r="O3587" s="3">
        <v>6006.33</v>
      </c>
      <c r="P3587" s="3" t="s">
        <v>69</v>
      </c>
    </row>
    <row r="3588" spans="1:16" x14ac:dyDescent="0.35">
      <c r="A3588" s="3" t="s">
        <v>5017</v>
      </c>
      <c r="B3588" s="3" t="s">
        <v>291</v>
      </c>
      <c r="C3588" s="3" t="s">
        <v>48</v>
      </c>
      <c r="D3588" s="3" t="s">
        <v>19</v>
      </c>
      <c r="E3588" s="3" t="s">
        <v>199</v>
      </c>
      <c r="F3588" s="3" t="s">
        <v>200</v>
      </c>
      <c r="G3588" s="3" t="s">
        <v>30</v>
      </c>
      <c r="H3588" s="3" t="s">
        <v>73</v>
      </c>
      <c r="I3588" s="3" t="s">
        <v>692</v>
      </c>
      <c r="J3588" s="3" t="s">
        <v>147</v>
      </c>
      <c r="K3588" s="3">
        <v>3</v>
      </c>
      <c r="L3588" s="3">
        <v>3482.79</v>
      </c>
      <c r="M3588" s="3">
        <v>10448.370000000001</v>
      </c>
      <c r="N3588" s="3">
        <v>7347.11</v>
      </c>
      <c r="O3588" s="3">
        <v>3101.26</v>
      </c>
      <c r="P3588" s="3" t="s">
        <v>69</v>
      </c>
    </row>
    <row r="3589" spans="1:16" x14ac:dyDescent="0.35">
      <c r="A3589" s="3" t="s">
        <v>5018</v>
      </c>
      <c r="B3589" s="3" t="s">
        <v>1872</v>
      </c>
      <c r="C3589" s="3" t="s">
        <v>82</v>
      </c>
      <c r="D3589" s="3" t="s">
        <v>19</v>
      </c>
      <c r="E3589" s="3" t="s">
        <v>199</v>
      </c>
      <c r="F3589" s="3" t="s">
        <v>200</v>
      </c>
      <c r="G3589" s="3" t="s">
        <v>22</v>
      </c>
      <c r="H3589" s="3" t="s">
        <v>93</v>
      </c>
      <c r="I3589" s="3" t="s">
        <v>2445</v>
      </c>
      <c r="J3589" s="3" t="s">
        <v>161</v>
      </c>
      <c r="K3589" s="3">
        <v>5</v>
      </c>
      <c r="L3589" s="3">
        <v>6879.7</v>
      </c>
      <c r="M3589" s="3">
        <v>34398.5</v>
      </c>
      <c r="N3589" s="3">
        <v>25545.33</v>
      </c>
      <c r="O3589" s="3">
        <v>8853.17</v>
      </c>
      <c r="P3589" s="3" t="s">
        <v>86</v>
      </c>
    </row>
    <row r="3590" spans="1:16" x14ac:dyDescent="0.35">
      <c r="A3590" s="3" t="s">
        <v>5019</v>
      </c>
      <c r="B3590" s="3" t="s">
        <v>787</v>
      </c>
      <c r="C3590" s="3" t="s">
        <v>37</v>
      </c>
      <c r="D3590" s="3" t="s">
        <v>58</v>
      </c>
      <c r="E3590" s="3" t="s">
        <v>65</v>
      </c>
      <c r="F3590" s="3" t="s">
        <v>66</v>
      </c>
      <c r="G3590" s="3" t="s">
        <v>51</v>
      </c>
      <c r="H3590" s="3" t="s">
        <v>77</v>
      </c>
      <c r="I3590" s="3" t="s">
        <v>4947</v>
      </c>
      <c r="J3590" s="3" t="s">
        <v>171</v>
      </c>
      <c r="K3590" s="3">
        <v>1</v>
      </c>
      <c r="L3590" s="3">
        <v>13052.15</v>
      </c>
      <c r="M3590" s="3">
        <v>13052.15</v>
      </c>
      <c r="N3590" s="3">
        <v>9070.17</v>
      </c>
      <c r="O3590" s="3">
        <v>3981.98</v>
      </c>
      <c r="P3590" s="3" t="s">
        <v>34</v>
      </c>
    </row>
    <row r="3591" spans="1:16" x14ac:dyDescent="0.35">
      <c r="A3591" s="3" t="s">
        <v>5020</v>
      </c>
      <c r="B3591" s="3" t="s">
        <v>767</v>
      </c>
      <c r="C3591" s="3" t="s">
        <v>82</v>
      </c>
      <c r="D3591" s="3" t="s">
        <v>38</v>
      </c>
      <c r="E3591" s="3" t="s">
        <v>39</v>
      </c>
      <c r="F3591" s="3" t="s">
        <v>40</v>
      </c>
      <c r="G3591" s="3" t="s">
        <v>22</v>
      </c>
      <c r="H3591" s="3" t="s">
        <v>93</v>
      </c>
      <c r="I3591" s="3" t="s">
        <v>2472</v>
      </c>
      <c r="J3591" s="3" t="s">
        <v>54</v>
      </c>
      <c r="K3591" s="3">
        <v>2</v>
      </c>
      <c r="L3591" s="3">
        <v>6518.43</v>
      </c>
      <c r="M3591" s="3">
        <v>13036.86</v>
      </c>
      <c r="N3591" s="3">
        <v>10066.11</v>
      </c>
      <c r="O3591" s="3">
        <v>2970.75</v>
      </c>
      <c r="P3591" s="3" t="s">
        <v>86</v>
      </c>
    </row>
    <row r="3592" spans="1:16" x14ac:dyDescent="0.35">
      <c r="A3592" s="3" t="s">
        <v>5021</v>
      </c>
      <c r="B3592" s="3" t="s">
        <v>384</v>
      </c>
      <c r="C3592" s="3" t="s">
        <v>57</v>
      </c>
      <c r="D3592" s="3" t="s">
        <v>19</v>
      </c>
      <c r="E3592" s="3" t="s">
        <v>20</v>
      </c>
      <c r="F3592" s="3" t="s">
        <v>21</v>
      </c>
      <c r="G3592" s="3" t="s">
        <v>22</v>
      </c>
      <c r="H3592" s="3" t="s">
        <v>83</v>
      </c>
      <c r="I3592" s="3" t="s">
        <v>1582</v>
      </c>
      <c r="J3592" s="3" t="s">
        <v>188</v>
      </c>
      <c r="K3592" s="3">
        <v>8</v>
      </c>
      <c r="L3592" s="3">
        <v>20513.86</v>
      </c>
      <c r="M3592" s="3">
        <v>164110.88</v>
      </c>
      <c r="N3592" s="3">
        <v>133967.28</v>
      </c>
      <c r="O3592" s="3">
        <v>30143.599999999999</v>
      </c>
      <c r="P3592" s="3" t="s">
        <v>34</v>
      </c>
    </row>
    <row r="3593" spans="1:16" x14ac:dyDescent="0.35">
      <c r="A3593" s="3" t="s">
        <v>5022</v>
      </c>
      <c r="B3593" s="3" t="s">
        <v>2365</v>
      </c>
      <c r="C3593" s="3" t="s">
        <v>57</v>
      </c>
      <c r="D3593" s="3" t="s">
        <v>19</v>
      </c>
      <c r="E3593" s="3" t="s">
        <v>199</v>
      </c>
      <c r="F3593" s="3" t="s">
        <v>200</v>
      </c>
      <c r="G3593" s="3" t="s">
        <v>51</v>
      </c>
      <c r="H3593" s="3" t="s">
        <v>77</v>
      </c>
      <c r="I3593" s="3" t="s">
        <v>2103</v>
      </c>
      <c r="J3593" s="3" t="s">
        <v>54</v>
      </c>
      <c r="K3593" s="3">
        <v>7</v>
      </c>
      <c r="L3593" s="3">
        <v>12725.95</v>
      </c>
      <c r="M3593" s="3">
        <v>89081.65</v>
      </c>
      <c r="N3593" s="3">
        <v>61686.879999999997</v>
      </c>
      <c r="O3593" s="3">
        <v>27394.77</v>
      </c>
      <c r="P3593" s="3" t="s">
        <v>34</v>
      </c>
    </row>
    <row r="3594" spans="1:16" x14ac:dyDescent="0.35">
      <c r="A3594" s="3" t="s">
        <v>5023</v>
      </c>
      <c r="B3594" s="3" t="s">
        <v>1567</v>
      </c>
      <c r="C3594" s="3" t="s">
        <v>82</v>
      </c>
      <c r="D3594" s="3" t="s">
        <v>19</v>
      </c>
      <c r="E3594" s="3" t="s">
        <v>20</v>
      </c>
      <c r="F3594" s="3" t="s">
        <v>21</v>
      </c>
      <c r="G3594" s="3" t="s">
        <v>22</v>
      </c>
      <c r="H3594" s="3" t="s">
        <v>93</v>
      </c>
      <c r="I3594" s="3" t="s">
        <v>3472</v>
      </c>
      <c r="J3594" s="3" t="s">
        <v>147</v>
      </c>
      <c r="K3594" s="3">
        <v>7</v>
      </c>
      <c r="L3594" s="3">
        <v>6787.1</v>
      </c>
      <c r="M3594" s="3">
        <v>47509.7</v>
      </c>
      <c r="N3594" s="3">
        <v>35922.21</v>
      </c>
      <c r="O3594" s="3">
        <v>11587.49</v>
      </c>
      <c r="P3594" s="3" t="s">
        <v>34</v>
      </c>
    </row>
    <row r="3595" spans="1:16" x14ac:dyDescent="0.35">
      <c r="A3595" s="3" t="s">
        <v>5024</v>
      </c>
      <c r="B3595" s="3" t="s">
        <v>1780</v>
      </c>
      <c r="C3595" s="3" t="s">
        <v>137</v>
      </c>
      <c r="D3595" s="3" t="s">
        <v>90</v>
      </c>
      <c r="E3595" s="3" t="s">
        <v>97</v>
      </c>
      <c r="F3595" s="3" t="s">
        <v>98</v>
      </c>
      <c r="G3595" s="3" t="s">
        <v>30</v>
      </c>
      <c r="H3595" s="3" t="s">
        <v>73</v>
      </c>
      <c r="I3595" s="3" t="s">
        <v>1883</v>
      </c>
      <c r="J3595" s="3" t="s">
        <v>79</v>
      </c>
      <c r="K3595" s="3">
        <v>5</v>
      </c>
      <c r="L3595" s="3">
        <v>3259.27</v>
      </c>
      <c r="M3595" s="3">
        <v>16296.35</v>
      </c>
      <c r="N3595" s="3">
        <v>11647.03</v>
      </c>
      <c r="O3595" s="3">
        <v>4649.32</v>
      </c>
      <c r="P3595" s="3" t="s">
        <v>26</v>
      </c>
    </row>
    <row r="3596" spans="1:16" x14ac:dyDescent="0.35">
      <c r="A3596" s="3" t="s">
        <v>5025</v>
      </c>
      <c r="B3596" s="3" t="s">
        <v>339</v>
      </c>
      <c r="C3596" s="3" t="s">
        <v>29</v>
      </c>
      <c r="D3596" s="3" t="s">
        <v>90</v>
      </c>
      <c r="E3596" s="3" t="s">
        <v>97</v>
      </c>
      <c r="F3596" s="3" t="s">
        <v>98</v>
      </c>
      <c r="G3596" s="3" t="s">
        <v>30</v>
      </c>
      <c r="H3596" s="3" t="s">
        <v>31</v>
      </c>
      <c r="I3596" s="3" t="s">
        <v>1950</v>
      </c>
      <c r="J3596" s="3" t="s">
        <v>147</v>
      </c>
      <c r="K3596" s="3">
        <v>6</v>
      </c>
      <c r="L3596" s="3">
        <v>2578.4499999999998</v>
      </c>
      <c r="M3596" s="3">
        <v>15470.7</v>
      </c>
      <c r="N3596" s="3">
        <v>11844.94</v>
      </c>
      <c r="O3596" s="3">
        <v>3625.76</v>
      </c>
      <c r="P3596" s="3" t="s">
        <v>34</v>
      </c>
    </row>
    <row r="3597" spans="1:16" x14ac:dyDescent="0.35">
      <c r="A3597" s="3" t="s">
        <v>5026</v>
      </c>
      <c r="B3597" s="3" t="s">
        <v>1216</v>
      </c>
      <c r="C3597" s="3" t="s">
        <v>114</v>
      </c>
      <c r="D3597" s="3" t="s">
        <v>38</v>
      </c>
      <c r="E3597" s="3" t="s">
        <v>39</v>
      </c>
      <c r="F3597" s="3" t="s">
        <v>40</v>
      </c>
      <c r="G3597" s="3" t="s">
        <v>30</v>
      </c>
      <c r="H3597" s="3" t="s">
        <v>67</v>
      </c>
      <c r="I3597" s="3" t="s">
        <v>2475</v>
      </c>
      <c r="J3597" s="3" t="s">
        <v>171</v>
      </c>
      <c r="K3597" s="3">
        <v>7</v>
      </c>
      <c r="L3597" s="3">
        <v>9547.18</v>
      </c>
      <c r="M3597" s="3">
        <v>66830.259999999995</v>
      </c>
      <c r="N3597" s="3">
        <v>54757.93</v>
      </c>
      <c r="O3597" s="3">
        <v>12072.33</v>
      </c>
      <c r="P3597" s="3" t="s">
        <v>45</v>
      </c>
    </row>
    <row r="3598" spans="1:16" x14ac:dyDescent="0.35">
      <c r="A3598" s="3" t="s">
        <v>5027</v>
      </c>
      <c r="B3598" s="3" t="s">
        <v>941</v>
      </c>
      <c r="C3598" s="3" t="s">
        <v>118</v>
      </c>
      <c r="D3598" s="3" t="s">
        <v>38</v>
      </c>
      <c r="E3598" s="3" t="s">
        <v>109</v>
      </c>
      <c r="F3598" s="3" t="s">
        <v>110</v>
      </c>
      <c r="G3598" s="3" t="s">
        <v>51</v>
      </c>
      <c r="H3598" s="3" t="s">
        <v>52</v>
      </c>
      <c r="I3598" s="3" t="s">
        <v>4175</v>
      </c>
      <c r="J3598" s="3" t="s">
        <v>100</v>
      </c>
      <c r="K3598" s="3">
        <v>2</v>
      </c>
      <c r="L3598" s="3">
        <v>23.97</v>
      </c>
      <c r="M3598" s="3">
        <v>47.94</v>
      </c>
      <c r="N3598" s="3">
        <v>20.83</v>
      </c>
      <c r="O3598" s="3">
        <v>27.11</v>
      </c>
      <c r="P3598" s="3" t="s">
        <v>69</v>
      </c>
    </row>
    <row r="3599" spans="1:16" x14ac:dyDescent="0.35">
      <c r="A3599" s="3" t="s">
        <v>5028</v>
      </c>
      <c r="B3599" s="3" t="s">
        <v>1964</v>
      </c>
      <c r="C3599" s="3" t="s">
        <v>57</v>
      </c>
      <c r="D3599" s="3" t="s">
        <v>58</v>
      </c>
      <c r="E3599" s="3" t="s">
        <v>176</v>
      </c>
      <c r="F3599" s="3" t="s">
        <v>177</v>
      </c>
      <c r="G3599" s="3" t="s">
        <v>30</v>
      </c>
      <c r="H3599" s="3" t="s">
        <v>67</v>
      </c>
      <c r="I3599" s="3" t="s">
        <v>2679</v>
      </c>
      <c r="J3599" s="3" t="s">
        <v>171</v>
      </c>
      <c r="K3599" s="3">
        <v>8</v>
      </c>
      <c r="L3599" s="3">
        <v>8678.5300000000007</v>
      </c>
      <c r="M3599" s="3">
        <v>69428.240000000005</v>
      </c>
      <c r="N3599" s="3">
        <v>60812.72</v>
      </c>
      <c r="O3599" s="3">
        <v>8615.52</v>
      </c>
      <c r="P3599" s="3" t="s">
        <v>45</v>
      </c>
    </row>
    <row r="3600" spans="1:16" x14ac:dyDescent="0.35">
      <c r="A3600" s="3" t="s">
        <v>5029</v>
      </c>
      <c r="B3600" s="3" t="s">
        <v>333</v>
      </c>
      <c r="C3600" s="3" t="s">
        <v>118</v>
      </c>
      <c r="D3600" s="3" t="s">
        <v>58</v>
      </c>
      <c r="E3600" s="3" t="s">
        <v>59</v>
      </c>
      <c r="F3600" s="3" t="s">
        <v>60</v>
      </c>
      <c r="G3600" s="3" t="s">
        <v>41</v>
      </c>
      <c r="H3600" s="3" t="s">
        <v>42</v>
      </c>
      <c r="I3600" s="3" t="s">
        <v>1063</v>
      </c>
      <c r="J3600" s="3" t="s">
        <v>131</v>
      </c>
      <c r="K3600" s="3">
        <v>2</v>
      </c>
      <c r="L3600" s="3">
        <v>42146.9</v>
      </c>
      <c r="M3600" s="3">
        <v>84293.8</v>
      </c>
      <c r="N3600" s="3">
        <v>70707.929999999993</v>
      </c>
      <c r="O3600" s="3">
        <v>13585.87</v>
      </c>
      <c r="P3600" s="3" t="s">
        <v>34</v>
      </c>
    </row>
    <row r="3601" spans="1:16" x14ac:dyDescent="0.35">
      <c r="A3601" s="3" t="s">
        <v>5030</v>
      </c>
      <c r="B3601" s="3" t="s">
        <v>852</v>
      </c>
      <c r="C3601" s="3" t="s">
        <v>118</v>
      </c>
      <c r="D3601" s="3" t="s">
        <v>90</v>
      </c>
      <c r="E3601" s="3" t="s">
        <v>91</v>
      </c>
      <c r="F3601" s="3" t="s">
        <v>92</v>
      </c>
      <c r="G3601" s="3" t="s">
        <v>41</v>
      </c>
      <c r="H3601" s="3" t="s">
        <v>138</v>
      </c>
      <c r="I3601" s="3" t="s">
        <v>139</v>
      </c>
      <c r="J3601" s="3" t="s">
        <v>54</v>
      </c>
      <c r="K3601" s="3">
        <v>3</v>
      </c>
      <c r="L3601" s="3">
        <v>18042.34</v>
      </c>
      <c r="M3601" s="3">
        <v>54127.02</v>
      </c>
      <c r="N3601" s="3">
        <v>42162.25</v>
      </c>
      <c r="O3601" s="3">
        <v>11964.77</v>
      </c>
      <c r="P3601" s="3" t="s">
        <v>45</v>
      </c>
    </row>
    <row r="3602" spans="1:16" x14ac:dyDescent="0.35">
      <c r="A3602" s="3" t="s">
        <v>5031</v>
      </c>
      <c r="B3602" s="3" t="s">
        <v>225</v>
      </c>
      <c r="C3602" s="3" t="s">
        <v>89</v>
      </c>
      <c r="D3602" s="3" t="s">
        <v>19</v>
      </c>
      <c r="E3602" s="3" t="s">
        <v>199</v>
      </c>
      <c r="F3602" s="3" t="s">
        <v>200</v>
      </c>
      <c r="G3602" s="3" t="s">
        <v>22</v>
      </c>
      <c r="H3602" s="3" t="s">
        <v>83</v>
      </c>
      <c r="I3602" s="3" t="s">
        <v>2629</v>
      </c>
      <c r="J3602" s="3" t="s">
        <v>217</v>
      </c>
      <c r="K3602" s="3">
        <v>8</v>
      </c>
      <c r="L3602" s="3">
        <v>20343.05</v>
      </c>
      <c r="M3602" s="3">
        <v>162744.4</v>
      </c>
      <c r="N3602" s="3">
        <v>133111.04999999999</v>
      </c>
      <c r="O3602" s="3">
        <v>29633.35</v>
      </c>
      <c r="P3602" s="3" t="s">
        <v>26</v>
      </c>
    </row>
    <row r="3603" spans="1:16" x14ac:dyDescent="0.35">
      <c r="A3603" s="3" t="s">
        <v>5032</v>
      </c>
      <c r="B3603" s="3" t="s">
        <v>1337</v>
      </c>
      <c r="C3603" s="3" t="s">
        <v>48</v>
      </c>
      <c r="D3603" s="3" t="s">
        <v>19</v>
      </c>
      <c r="E3603" s="3" t="s">
        <v>49</v>
      </c>
      <c r="F3603" s="3" t="s">
        <v>50</v>
      </c>
      <c r="G3603" s="3" t="s">
        <v>41</v>
      </c>
      <c r="H3603" s="3" t="s">
        <v>42</v>
      </c>
      <c r="I3603" s="3" t="s">
        <v>1878</v>
      </c>
      <c r="J3603" s="3" t="s">
        <v>54</v>
      </c>
      <c r="K3603" s="3">
        <v>8</v>
      </c>
      <c r="L3603" s="3">
        <v>42938.42</v>
      </c>
      <c r="M3603" s="3">
        <v>343507.36</v>
      </c>
      <c r="N3603" s="3">
        <v>279293.44</v>
      </c>
      <c r="O3603" s="3">
        <v>64213.919999999998</v>
      </c>
      <c r="P3603" s="3" t="s">
        <v>86</v>
      </c>
    </row>
    <row r="3604" spans="1:16" x14ac:dyDescent="0.35">
      <c r="A3604" s="3" t="s">
        <v>5033</v>
      </c>
      <c r="B3604" s="3" t="s">
        <v>654</v>
      </c>
      <c r="C3604" s="3" t="s">
        <v>103</v>
      </c>
      <c r="D3604" s="3" t="s">
        <v>90</v>
      </c>
      <c r="E3604" s="3" t="s">
        <v>119</v>
      </c>
      <c r="F3604" s="3" t="s">
        <v>120</v>
      </c>
      <c r="G3604" s="3" t="s">
        <v>30</v>
      </c>
      <c r="H3604" s="3" t="s">
        <v>67</v>
      </c>
      <c r="I3604" s="3" t="s">
        <v>864</v>
      </c>
      <c r="J3604" s="3" t="s">
        <v>100</v>
      </c>
      <c r="K3604" s="3">
        <v>5</v>
      </c>
      <c r="L3604" s="3">
        <v>10393.14</v>
      </c>
      <c r="M3604" s="3">
        <v>51965.7</v>
      </c>
      <c r="N3604" s="3">
        <v>38272.239999999998</v>
      </c>
      <c r="O3604" s="3">
        <v>13693.46</v>
      </c>
      <c r="P3604" s="3" t="s">
        <v>69</v>
      </c>
    </row>
    <row r="3605" spans="1:16" x14ac:dyDescent="0.35">
      <c r="A3605" s="3" t="s">
        <v>5034</v>
      </c>
      <c r="B3605" s="3" t="s">
        <v>889</v>
      </c>
      <c r="C3605" s="3" t="s">
        <v>82</v>
      </c>
      <c r="D3605" s="3" t="s">
        <v>19</v>
      </c>
      <c r="E3605" s="3" t="s">
        <v>49</v>
      </c>
      <c r="F3605" s="3" t="s">
        <v>50</v>
      </c>
      <c r="G3605" s="3" t="s">
        <v>41</v>
      </c>
      <c r="H3605" s="3" t="s">
        <v>61</v>
      </c>
      <c r="I3605" s="3" t="s">
        <v>2366</v>
      </c>
      <c r="J3605" s="3" t="s">
        <v>188</v>
      </c>
      <c r="K3605" s="3">
        <v>4</v>
      </c>
      <c r="L3605" s="3">
        <v>2524.6999999999998</v>
      </c>
      <c r="M3605" s="3">
        <v>10098.799999999999</v>
      </c>
      <c r="N3605" s="3">
        <v>6191.4</v>
      </c>
      <c r="O3605" s="3">
        <v>3907.4</v>
      </c>
      <c r="P3605" s="3" t="s">
        <v>45</v>
      </c>
    </row>
    <row r="3606" spans="1:16" x14ac:dyDescent="0.35">
      <c r="A3606" s="3" t="s">
        <v>5035</v>
      </c>
      <c r="B3606" s="3" t="s">
        <v>302</v>
      </c>
      <c r="C3606" s="3" t="s">
        <v>103</v>
      </c>
      <c r="D3606" s="3" t="s">
        <v>90</v>
      </c>
      <c r="E3606" s="3" t="s">
        <v>97</v>
      </c>
      <c r="F3606" s="3" t="s">
        <v>98</v>
      </c>
      <c r="G3606" s="3" t="s">
        <v>51</v>
      </c>
      <c r="H3606" s="3" t="s">
        <v>145</v>
      </c>
      <c r="I3606" s="3" t="s">
        <v>1447</v>
      </c>
      <c r="J3606" s="3" t="s">
        <v>171</v>
      </c>
      <c r="K3606" s="3">
        <v>2</v>
      </c>
      <c r="L3606" s="3">
        <v>123.95</v>
      </c>
      <c r="M3606" s="3">
        <v>247.9</v>
      </c>
      <c r="N3606" s="3">
        <v>117.98</v>
      </c>
      <c r="O3606" s="3">
        <v>129.91999999999999</v>
      </c>
      <c r="P3606" s="3" t="s">
        <v>69</v>
      </c>
    </row>
    <row r="3607" spans="1:16" x14ac:dyDescent="0.35">
      <c r="A3607" s="3" t="s">
        <v>5036</v>
      </c>
      <c r="B3607" s="3" t="s">
        <v>1910</v>
      </c>
      <c r="C3607" s="3" t="s">
        <v>29</v>
      </c>
      <c r="D3607" s="3" t="s">
        <v>58</v>
      </c>
      <c r="E3607" s="3" t="s">
        <v>176</v>
      </c>
      <c r="F3607" s="3" t="s">
        <v>177</v>
      </c>
      <c r="G3607" s="3" t="s">
        <v>41</v>
      </c>
      <c r="H3607" s="3" t="s">
        <v>138</v>
      </c>
      <c r="I3607" s="3" t="s">
        <v>2485</v>
      </c>
      <c r="J3607" s="3" t="s">
        <v>79</v>
      </c>
      <c r="K3607" s="3">
        <v>7</v>
      </c>
      <c r="L3607" s="3">
        <v>18399.8</v>
      </c>
      <c r="M3607" s="3">
        <v>128798.6</v>
      </c>
      <c r="N3607" s="3">
        <v>102525.34</v>
      </c>
      <c r="O3607" s="3">
        <v>26273.26</v>
      </c>
      <c r="P3607" s="3" t="s">
        <v>69</v>
      </c>
    </row>
    <row r="3608" spans="1:16" x14ac:dyDescent="0.35">
      <c r="A3608" s="3" t="s">
        <v>5037</v>
      </c>
      <c r="B3608" s="3" t="s">
        <v>1761</v>
      </c>
      <c r="C3608" s="3" t="s">
        <v>72</v>
      </c>
      <c r="D3608" s="3" t="s">
        <v>38</v>
      </c>
      <c r="E3608" s="3" t="s">
        <v>109</v>
      </c>
      <c r="F3608" s="3" t="s">
        <v>110</v>
      </c>
      <c r="G3608" s="3" t="s">
        <v>51</v>
      </c>
      <c r="H3608" s="3" t="s">
        <v>52</v>
      </c>
      <c r="I3608" s="3" t="s">
        <v>2209</v>
      </c>
      <c r="J3608" s="3" t="s">
        <v>188</v>
      </c>
      <c r="K3608" s="3">
        <v>8</v>
      </c>
      <c r="L3608" s="3">
        <v>25.95</v>
      </c>
      <c r="M3608" s="3">
        <v>207.6</v>
      </c>
      <c r="N3608" s="3">
        <v>79.2</v>
      </c>
      <c r="O3608" s="3">
        <v>128.4</v>
      </c>
      <c r="P3608" s="3" t="s">
        <v>69</v>
      </c>
    </row>
    <row r="3609" spans="1:16" x14ac:dyDescent="0.35">
      <c r="A3609" s="3" t="s">
        <v>5038</v>
      </c>
      <c r="B3609" s="3" t="s">
        <v>607</v>
      </c>
      <c r="C3609" s="3" t="s">
        <v>114</v>
      </c>
      <c r="D3609" s="3" t="s">
        <v>90</v>
      </c>
      <c r="E3609" s="3" t="s">
        <v>91</v>
      </c>
      <c r="F3609" s="3" t="s">
        <v>92</v>
      </c>
      <c r="G3609" s="3" t="s">
        <v>41</v>
      </c>
      <c r="H3609" s="3" t="s">
        <v>42</v>
      </c>
      <c r="I3609" s="3" t="s">
        <v>5039</v>
      </c>
      <c r="J3609" s="3" t="s">
        <v>188</v>
      </c>
      <c r="K3609" s="3">
        <v>1</v>
      </c>
      <c r="L3609" s="3">
        <v>47048.92</v>
      </c>
      <c r="M3609" s="3">
        <v>47048.92</v>
      </c>
      <c r="N3609" s="3">
        <v>34344.78</v>
      </c>
      <c r="O3609" s="3">
        <v>12704.14</v>
      </c>
      <c r="P3609" s="3" t="s">
        <v>86</v>
      </c>
    </row>
    <row r="3610" spans="1:16" x14ac:dyDescent="0.35">
      <c r="A3610" s="3" t="s">
        <v>5040</v>
      </c>
      <c r="B3610" s="3" t="s">
        <v>740</v>
      </c>
      <c r="C3610" s="3" t="s">
        <v>29</v>
      </c>
      <c r="D3610" s="3" t="s">
        <v>58</v>
      </c>
      <c r="E3610" s="3" t="s">
        <v>176</v>
      </c>
      <c r="F3610" s="3" t="s">
        <v>177</v>
      </c>
      <c r="G3610" s="3" t="s">
        <v>41</v>
      </c>
      <c r="H3610" s="3" t="s">
        <v>138</v>
      </c>
      <c r="I3610" s="3" t="s">
        <v>313</v>
      </c>
      <c r="J3610" s="3" t="s">
        <v>25</v>
      </c>
      <c r="K3610" s="3">
        <v>7</v>
      </c>
      <c r="L3610" s="3">
        <v>18281.88</v>
      </c>
      <c r="M3610" s="3">
        <v>127973.16</v>
      </c>
      <c r="N3610" s="3">
        <v>102751.94</v>
      </c>
      <c r="O3610" s="3">
        <v>25221.22</v>
      </c>
      <c r="P3610" s="3" t="s">
        <v>26</v>
      </c>
    </row>
    <row r="3611" spans="1:16" x14ac:dyDescent="0.35">
      <c r="A3611" s="3" t="s">
        <v>5041</v>
      </c>
      <c r="B3611" s="3" t="s">
        <v>215</v>
      </c>
      <c r="C3611" s="3" t="s">
        <v>37</v>
      </c>
      <c r="D3611" s="3" t="s">
        <v>38</v>
      </c>
      <c r="E3611" s="3" t="s">
        <v>109</v>
      </c>
      <c r="F3611" s="3" t="s">
        <v>110</v>
      </c>
      <c r="G3611" s="3" t="s">
        <v>41</v>
      </c>
      <c r="H3611" s="3" t="s">
        <v>138</v>
      </c>
      <c r="I3611" s="3" t="s">
        <v>505</v>
      </c>
      <c r="J3611" s="3" t="s">
        <v>217</v>
      </c>
      <c r="K3611" s="3">
        <v>6</v>
      </c>
      <c r="L3611" s="3">
        <v>16244.71</v>
      </c>
      <c r="M3611" s="3">
        <v>97468.26</v>
      </c>
      <c r="N3611" s="3">
        <v>84963.199999999997</v>
      </c>
      <c r="O3611" s="3">
        <v>12505.06</v>
      </c>
      <c r="P3611" s="3" t="s">
        <v>45</v>
      </c>
    </row>
    <row r="3612" spans="1:16" x14ac:dyDescent="0.35">
      <c r="A3612" s="3" t="s">
        <v>5042</v>
      </c>
      <c r="B3612" s="3" t="s">
        <v>2480</v>
      </c>
      <c r="C3612" s="3" t="s">
        <v>37</v>
      </c>
      <c r="D3612" s="3" t="s">
        <v>90</v>
      </c>
      <c r="E3612" s="3" t="s">
        <v>119</v>
      </c>
      <c r="F3612" s="3" t="s">
        <v>120</v>
      </c>
      <c r="G3612" s="3" t="s">
        <v>22</v>
      </c>
      <c r="H3612" s="3" t="s">
        <v>93</v>
      </c>
      <c r="I3612" s="3" t="s">
        <v>2523</v>
      </c>
      <c r="J3612" s="3" t="s">
        <v>54</v>
      </c>
      <c r="K3612" s="3">
        <v>7</v>
      </c>
      <c r="L3612" s="3">
        <v>6485.54</v>
      </c>
      <c r="M3612" s="3">
        <v>45398.78</v>
      </c>
      <c r="N3612" s="3">
        <v>35085.129999999997</v>
      </c>
      <c r="O3612" s="3">
        <v>10313.65</v>
      </c>
      <c r="P3612" s="3" t="s">
        <v>34</v>
      </c>
    </row>
    <row r="3613" spans="1:16" x14ac:dyDescent="0.35">
      <c r="A3613" s="3" t="s">
        <v>5043</v>
      </c>
      <c r="B3613" s="3" t="s">
        <v>1299</v>
      </c>
      <c r="C3613" s="3" t="s">
        <v>82</v>
      </c>
      <c r="D3613" s="3" t="s">
        <v>38</v>
      </c>
      <c r="E3613" s="3" t="s">
        <v>109</v>
      </c>
      <c r="F3613" s="3" t="s">
        <v>110</v>
      </c>
      <c r="G3613" s="3" t="s">
        <v>41</v>
      </c>
      <c r="H3613" s="3" t="s">
        <v>138</v>
      </c>
      <c r="I3613" s="3" t="s">
        <v>2059</v>
      </c>
      <c r="J3613" s="3" t="s">
        <v>44</v>
      </c>
      <c r="K3613" s="3">
        <v>5</v>
      </c>
      <c r="L3613" s="3">
        <v>18380.77</v>
      </c>
      <c r="M3613" s="3">
        <v>91903.85</v>
      </c>
      <c r="N3613" s="3">
        <v>71496.89</v>
      </c>
      <c r="O3613" s="3">
        <v>20406.96</v>
      </c>
      <c r="P3613" s="3" t="s">
        <v>86</v>
      </c>
    </row>
    <row r="3614" spans="1:16" x14ac:dyDescent="0.35">
      <c r="A3614" s="3" t="s">
        <v>5044</v>
      </c>
      <c r="B3614" s="3" t="s">
        <v>629</v>
      </c>
      <c r="C3614" s="3" t="s">
        <v>29</v>
      </c>
      <c r="D3614" s="3" t="s">
        <v>90</v>
      </c>
      <c r="E3614" s="3" t="s">
        <v>91</v>
      </c>
      <c r="F3614" s="3" t="s">
        <v>92</v>
      </c>
      <c r="G3614" s="3" t="s">
        <v>22</v>
      </c>
      <c r="H3614" s="3" t="s">
        <v>23</v>
      </c>
      <c r="I3614" s="3" t="s">
        <v>2260</v>
      </c>
      <c r="J3614" s="3" t="s">
        <v>131</v>
      </c>
      <c r="K3614" s="3">
        <v>2</v>
      </c>
      <c r="L3614" s="3">
        <v>3734.31</v>
      </c>
      <c r="M3614" s="3">
        <v>7468.62</v>
      </c>
      <c r="N3614" s="3">
        <v>4442.26</v>
      </c>
      <c r="O3614" s="3">
        <v>3026.36</v>
      </c>
      <c r="P3614" s="3" t="s">
        <v>86</v>
      </c>
    </row>
    <row r="3615" spans="1:16" x14ac:dyDescent="0.35">
      <c r="A3615" s="3" t="s">
        <v>5045</v>
      </c>
      <c r="B3615" s="3" t="s">
        <v>1912</v>
      </c>
      <c r="C3615" s="3" t="s">
        <v>137</v>
      </c>
      <c r="D3615" s="3" t="s">
        <v>38</v>
      </c>
      <c r="E3615" s="3" t="s">
        <v>39</v>
      </c>
      <c r="F3615" s="3" t="s">
        <v>40</v>
      </c>
      <c r="G3615" s="3" t="s">
        <v>30</v>
      </c>
      <c r="H3615" s="3" t="s">
        <v>67</v>
      </c>
      <c r="I3615" s="3" t="s">
        <v>1351</v>
      </c>
      <c r="J3615" s="3" t="s">
        <v>131</v>
      </c>
      <c r="K3615" s="3">
        <v>7</v>
      </c>
      <c r="L3615" s="3">
        <v>9484.99</v>
      </c>
      <c r="M3615" s="3">
        <v>66394.929999999993</v>
      </c>
      <c r="N3615" s="3">
        <v>54357.47</v>
      </c>
      <c r="O3615" s="3">
        <v>12037.46</v>
      </c>
      <c r="P3615" s="3" t="s">
        <v>26</v>
      </c>
    </row>
    <row r="3616" spans="1:16" x14ac:dyDescent="0.35">
      <c r="A3616" s="3" t="s">
        <v>5046</v>
      </c>
      <c r="B3616" s="3" t="s">
        <v>1151</v>
      </c>
      <c r="C3616" s="3" t="s">
        <v>103</v>
      </c>
      <c r="D3616" s="3" t="s">
        <v>38</v>
      </c>
      <c r="E3616" s="3" t="s">
        <v>104</v>
      </c>
      <c r="F3616" s="3" t="s">
        <v>104</v>
      </c>
      <c r="G3616" s="3" t="s">
        <v>22</v>
      </c>
      <c r="H3616" s="3" t="s">
        <v>83</v>
      </c>
      <c r="I3616" s="3" t="s">
        <v>1421</v>
      </c>
      <c r="J3616" s="3" t="s">
        <v>79</v>
      </c>
      <c r="K3616" s="3">
        <v>6</v>
      </c>
      <c r="L3616" s="3">
        <v>24060.94</v>
      </c>
      <c r="M3616" s="3">
        <v>144365.64000000001</v>
      </c>
      <c r="N3616" s="3">
        <v>100645.25</v>
      </c>
      <c r="O3616" s="3">
        <v>43720.39</v>
      </c>
      <c r="P3616" s="3" t="s">
        <v>26</v>
      </c>
    </row>
    <row r="3617" spans="1:16" x14ac:dyDescent="0.35">
      <c r="A3617" s="3" t="s">
        <v>5047</v>
      </c>
      <c r="B3617" s="3" t="s">
        <v>376</v>
      </c>
      <c r="C3617" s="3" t="s">
        <v>37</v>
      </c>
      <c r="D3617" s="3" t="s">
        <v>38</v>
      </c>
      <c r="E3617" s="3" t="s">
        <v>104</v>
      </c>
      <c r="F3617" s="3" t="s">
        <v>104</v>
      </c>
      <c r="G3617" s="3" t="s">
        <v>41</v>
      </c>
      <c r="H3617" s="3" t="s">
        <v>61</v>
      </c>
      <c r="I3617" s="3" t="s">
        <v>647</v>
      </c>
      <c r="J3617" s="3" t="s">
        <v>85</v>
      </c>
      <c r="K3617" s="3">
        <v>5</v>
      </c>
      <c r="L3617" s="3">
        <v>2347.9899999999998</v>
      </c>
      <c r="M3617" s="3">
        <v>11739.95</v>
      </c>
      <c r="N3617" s="3">
        <v>7642.99</v>
      </c>
      <c r="O3617" s="3">
        <v>4096.96</v>
      </c>
      <c r="P3617" s="3" t="s">
        <v>45</v>
      </c>
    </row>
    <row r="3618" spans="1:16" x14ac:dyDescent="0.35">
      <c r="A3618" s="3" t="s">
        <v>5048</v>
      </c>
      <c r="B3618" s="3" t="s">
        <v>1727</v>
      </c>
      <c r="C3618" s="3" t="s">
        <v>89</v>
      </c>
      <c r="D3618" s="3" t="s">
        <v>38</v>
      </c>
      <c r="E3618" s="3" t="s">
        <v>109</v>
      </c>
      <c r="F3618" s="3" t="s">
        <v>110</v>
      </c>
      <c r="G3618" s="3" t="s">
        <v>51</v>
      </c>
      <c r="H3618" s="3" t="s">
        <v>145</v>
      </c>
      <c r="I3618" s="3" t="s">
        <v>234</v>
      </c>
      <c r="J3618" s="3" t="s">
        <v>217</v>
      </c>
      <c r="K3618" s="3">
        <v>5</v>
      </c>
      <c r="L3618" s="3">
        <v>130.97</v>
      </c>
      <c r="M3618" s="3">
        <v>654.85</v>
      </c>
      <c r="N3618" s="3">
        <v>302.72000000000003</v>
      </c>
      <c r="O3618" s="3">
        <v>352.13</v>
      </c>
      <c r="P3618" s="3" t="s">
        <v>45</v>
      </c>
    </row>
    <row r="3619" spans="1:16" x14ac:dyDescent="0.35">
      <c r="A3619" s="3" t="s">
        <v>5049</v>
      </c>
      <c r="B3619" s="3" t="s">
        <v>376</v>
      </c>
      <c r="C3619" s="3" t="s">
        <v>37</v>
      </c>
      <c r="D3619" s="3" t="s">
        <v>90</v>
      </c>
      <c r="E3619" s="3" t="s">
        <v>119</v>
      </c>
      <c r="F3619" s="3" t="s">
        <v>120</v>
      </c>
      <c r="G3619" s="3" t="s">
        <v>30</v>
      </c>
      <c r="H3619" s="3" t="s">
        <v>67</v>
      </c>
      <c r="I3619" s="3" t="s">
        <v>522</v>
      </c>
      <c r="J3619" s="3" t="s">
        <v>131</v>
      </c>
      <c r="K3619" s="3">
        <v>1</v>
      </c>
      <c r="L3619" s="3">
        <v>10127.030000000001</v>
      </c>
      <c r="M3619" s="3">
        <v>10127.030000000001</v>
      </c>
      <c r="N3619" s="3">
        <v>7499.84</v>
      </c>
      <c r="O3619" s="3">
        <v>2627.19</v>
      </c>
      <c r="P3619" s="3" t="s">
        <v>26</v>
      </c>
    </row>
    <row r="3620" spans="1:16" x14ac:dyDescent="0.35">
      <c r="A3620" s="3" t="s">
        <v>5050</v>
      </c>
      <c r="B3620" s="3" t="s">
        <v>1600</v>
      </c>
      <c r="C3620" s="3" t="s">
        <v>103</v>
      </c>
      <c r="D3620" s="3" t="s">
        <v>90</v>
      </c>
      <c r="E3620" s="3" t="s">
        <v>97</v>
      </c>
      <c r="F3620" s="3" t="s">
        <v>98</v>
      </c>
      <c r="G3620" s="3" t="s">
        <v>41</v>
      </c>
      <c r="H3620" s="3" t="s">
        <v>138</v>
      </c>
      <c r="I3620" s="3" t="s">
        <v>4102</v>
      </c>
      <c r="J3620" s="3" t="s">
        <v>85</v>
      </c>
      <c r="K3620" s="3">
        <v>7</v>
      </c>
      <c r="L3620" s="3">
        <v>16977.48</v>
      </c>
      <c r="M3620" s="3">
        <v>118842.36</v>
      </c>
      <c r="N3620" s="3">
        <v>99184</v>
      </c>
      <c r="O3620" s="3">
        <v>19658.36</v>
      </c>
      <c r="P3620" s="3" t="s">
        <v>69</v>
      </c>
    </row>
    <row r="3621" spans="1:16" x14ac:dyDescent="0.35">
      <c r="A3621" s="3" t="s">
        <v>5051</v>
      </c>
      <c r="B3621" s="3" t="s">
        <v>1089</v>
      </c>
      <c r="C3621" s="3" t="s">
        <v>48</v>
      </c>
      <c r="D3621" s="3" t="s">
        <v>19</v>
      </c>
      <c r="E3621" s="3" t="s">
        <v>20</v>
      </c>
      <c r="F3621" s="3" t="s">
        <v>21</v>
      </c>
      <c r="G3621" s="3" t="s">
        <v>22</v>
      </c>
      <c r="H3621" s="3" t="s">
        <v>23</v>
      </c>
      <c r="I3621" s="3" t="s">
        <v>1083</v>
      </c>
      <c r="J3621" s="3" t="s">
        <v>54</v>
      </c>
      <c r="K3621" s="3">
        <v>8</v>
      </c>
      <c r="L3621" s="3">
        <v>3155.68</v>
      </c>
      <c r="M3621" s="3">
        <v>25245.439999999999</v>
      </c>
      <c r="N3621" s="3">
        <v>18279.240000000002</v>
      </c>
      <c r="O3621" s="3">
        <v>6966.2</v>
      </c>
      <c r="P3621" s="3" t="s">
        <v>86</v>
      </c>
    </row>
    <row r="3622" spans="1:16" x14ac:dyDescent="0.35">
      <c r="A3622" s="3" t="s">
        <v>5052</v>
      </c>
      <c r="B3622" s="3" t="s">
        <v>324</v>
      </c>
      <c r="C3622" s="3" t="s">
        <v>29</v>
      </c>
      <c r="D3622" s="3" t="s">
        <v>58</v>
      </c>
      <c r="E3622" s="3" t="s">
        <v>59</v>
      </c>
      <c r="F3622" s="3" t="s">
        <v>60</v>
      </c>
      <c r="G3622" s="3" t="s">
        <v>51</v>
      </c>
      <c r="H3622" s="3" t="s">
        <v>52</v>
      </c>
      <c r="I3622" s="3" t="s">
        <v>2306</v>
      </c>
      <c r="J3622" s="3" t="s">
        <v>106</v>
      </c>
      <c r="K3622" s="3">
        <v>7</v>
      </c>
      <c r="L3622" s="3">
        <v>24.7</v>
      </c>
      <c r="M3622" s="3">
        <v>172.9</v>
      </c>
      <c r="N3622" s="3">
        <v>68.36</v>
      </c>
      <c r="O3622" s="3">
        <v>104.54</v>
      </c>
      <c r="P3622" s="3" t="s">
        <v>26</v>
      </c>
    </row>
    <row r="3623" spans="1:16" x14ac:dyDescent="0.35">
      <c r="A3623" s="3" t="s">
        <v>5053</v>
      </c>
      <c r="B3623" s="3" t="s">
        <v>524</v>
      </c>
      <c r="C3623" s="3" t="s">
        <v>89</v>
      </c>
      <c r="D3623" s="3" t="s">
        <v>38</v>
      </c>
      <c r="E3623" s="3" t="s">
        <v>39</v>
      </c>
      <c r="F3623" s="3" t="s">
        <v>40</v>
      </c>
      <c r="G3623" s="3" t="s">
        <v>41</v>
      </c>
      <c r="H3623" s="3" t="s">
        <v>61</v>
      </c>
      <c r="I3623" s="3" t="s">
        <v>2543</v>
      </c>
      <c r="J3623" s="3" t="s">
        <v>79</v>
      </c>
      <c r="K3623" s="3">
        <v>3</v>
      </c>
      <c r="L3623" s="3">
        <v>2483.41</v>
      </c>
      <c r="M3623" s="3">
        <v>7450.23</v>
      </c>
      <c r="N3623" s="3">
        <v>4641.57</v>
      </c>
      <c r="O3623" s="3">
        <v>2808.66</v>
      </c>
      <c r="P3623" s="3" t="s">
        <v>69</v>
      </c>
    </row>
    <row r="3624" spans="1:16" x14ac:dyDescent="0.35">
      <c r="A3624" s="3" t="s">
        <v>5054</v>
      </c>
      <c r="B3624" s="3" t="s">
        <v>1306</v>
      </c>
      <c r="C3624" s="3" t="s">
        <v>57</v>
      </c>
      <c r="D3624" s="3" t="s">
        <v>58</v>
      </c>
      <c r="E3624" s="3" t="s">
        <v>59</v>
      </c>
      <c r="F3624" s="3" t="s">
        <v>60</v>
      </c>
      <c r="G3624" s="3" t="s">
        <v>22</v>
      </c>
      <c r="H3624" s="3" t="s">
        <v>23</v>
      </c>
      <c r="I3624" s="3" t="s">
        <v>160</v>
      </c>
      <c r="J3624" s="3" t="s">
        <v>33</v>
      </c>
      <c r="K3624" s="3">
        <v>3</v>
      </c>
      <c r="L3624" s="3">
        <v>3269.2</v>
      </c>
      <c r="M3624" s="3">
        <v>9807.6</v>
      </c>
      <c r="N3624" s="3">
        <v>6784.68</v>
      </c>
      <c r="O3624" s="3">
        <v>3022.92</v>
      </c>
      <c r="P3624" s="3" t="s">
        <v>69</v>
      </c>
    </row>
    <row r="3625" spans="1:16" x14ac:dyDescent="0.35">
      <c r="A3625" s="3" t="s">
        <v>5055</v>
      </c>
      <c r="B3625" s="3" t="s">
        <v>186</v>
      </c>
      <c r="C3625" s="3" t="s">
        <v>89</v>
      </c>
      <c r="D3625" s="3" t="s">
        <v>58</v>
      </c>
      <c r="E3625" s="3" t="s">
        <v>65</v>
      </c>
      <c r="F3625" s="3" t="s">
        <v>66</v>
      </c>
      <c r="G3625" s="3" t="s">
        <v>51</v>
      </c>
      <c r="H3625" s="3" t="s">
        <v>77</v>
      </c>
      <c r="I3625" s="3" t="s">
        <v>3642</v>
      </c>
      <c r="J3625" s="3" t="s">
        <v>147</v>
      </c>
      <c r="K3625" s="3">
        <v>2</v>
      </c>
      <c r="L3625" s="3">
        <v>12345.79</v>
      </c>
      <c r="M3625" s="3">
        <v>24691.58</v>
      </c>
      <c r="N3625" s="3">
        <v>17742.75</v>
      </c>
      <c r="O3625" s="3">
        <v>6948.83</v>
      </c>
      <c r="P3625" s="3" t="s">
        <v>69</v>
      </c>
    </row>
    <row r="3626" spans="1:16" x14ac:dyDescent="0.35">
      <c r="A3626" s="3" t="s">
        <v>5056</v>
      </c>
      <c r="B3626" s="3" t="s">
        <v>3482</v>
      </c>
      <c r="C3626" s="3" t="s">
        <v>57</v>
      </c>
      <c r="D3626" s="3" t="s">
        <v>19</v>
      </c>
      <c r="E3626" s="3" t="s">
        <v>199</v>
      </c>
      <c r="F3626" s="3" t="s">
        <v>200</v>
      </c>
      <c r="G3626" s="3" t="s">
        <v>41</v>
      </c>
      <c r="H3626" s="3" t="s">
        <v>42</v>
      </c>
      <c r="I3626" s="3" t="s">
        <v>5057</v>
      </c>
      <c r="J3626" s="3" t="s">
        <v>154</v>
      </c>
      <c r="K3626" s="3">
        <v>8</v>
      </c>
      <c r="L3626" s="3">
        <v>40796.67</v>
      </c>
      <c r="M3626" s="3">
        <v>326373.36</v>
      </c>
      <c r="N3626" s="3">
        <v>272604.69</v>
      </c>
      <c r="O3626" s="3">
        <v>53768.67</v>
      </c>
      <c r="P3626" s="3" t="s">
        <v>86</v>
      </c>
    </row>
    <row r="3627" spans="1:16" x14ac:dyDescent="0.35">
      <c r="A3627" s="3" t="s">
        <v>5058</v>
      </c>
      <c r="B3627" s="3" t="s">
        <v>225</v>
      </c>
      <c r="C3627" s="3" t="s">
        <v>89</v>
      </c>
      <c r="D3627" s="3" t="s">
        <v>90</v>
      </c>
      <c r="E3627" s="3" t="s">
        <v>91</v>
      </c>
      <c r="F3627" s="3" t="s">
        <v>92</v>
      </c>
      <c r="G3627" s="3" t="s">
        <v>41</v>
      </c>
      <c r="H3627" s="3" t="s">
        <v>61</v>
      </c>
      <c r="I3627" s="3" t="s">
        <v>1573</v>
      </c>
      <c r="J3627" s="3" t="s">
        <v>161</v>
      </c>
      <c r="K3627" s="3">
        <v>3</v>
      </c>
      <c r="L3627" s="3">
        <v>2539.15</v>
      </c>
      <c r="M3627" s="3">
        <v>7617.45</v>
      </c>
      <c r="N3627" s="3">
        <v>4909.17</v>
      </c>
      <c r="O3627" s="3">
        <v>2708.28</v>
      </c>
      <c r="P3627" s="3" t="s">
        <v>34</v>
      </c>
    </row>
    <row r="3628" spans="1:16" x14ac:dyDescent="0.35">
      <c r="A3628" s="3" t="s">
        <v>5059</v>
      </c>
      <c r="B3628" s="3" t="s">
        <v>893</v>
      </c>
      <c r="C3628" s="3" t="s">
        <v>89</v>
      </c>
      <c r="D3628" s="3" t="s">
        <v>38</v>
      </c>
      <c r="E3628" s="3" t="s">
        <v>109</v>
      </c>
      <c r="F3628" s="3" t="s">
        <v>110</v>
      </c>
      <c r="G3628" s="3" t="s">
        <v>51</v>
      </c>
      <c r="H3628" s="3" t="s">
        <v>77</v>
      </c>
      <c r="I3628" s="3" t="s">
        <v>3532</v>
      </c>
      <c r="J3628" s="3" t="s">
        <v>54</v>
      </c>
      <c r="K3628" s="3">
        <v>7</v>
      </c>
      <c r="L3628" s="3">
        <v>11997.49</v>
      </c>
      <c r="M3628" s="3">
        <v>83982.43</v>
      </c>
      <c r="N3628" s="3">
        <v>61971.93</v>
      </c>
      <c r="O3628" s="3">
        <v>22010.5</v>
      </c>
      <c r="P3628" s="3" t="s">
        <v>34</v>
      </c>
    </row>
    <row r="3629" spans="1:16" x14ac:dyDescent="0.35">
      <c r="A3629" s="3" t="s">
        <v>5060</v>
      </c>
      <c r="B3629" s="3" t="s">
        <v>521</v>
      </c>
      <c r="C3629" s="3" t="s">
        <v>18</v>
      </c>
      <c r="D3629" s="3" t="s">
        <v>90</v>
      </c>
      <c r="E3629" s="3" t="s">
        <v>97</v>
      </c>
      <c r="F3629" s="3" t="s">
        <v>98</v>
      </c>
      <c r="G3629" s="3" t="s">
        <v>22</v>
      </c>
      <c r="H3629" s="3" t="s">
        <v>23</v>
      </c>
      <c r="I3629" s="3" t="s">
        <v>1402</v>
      </c>
      <c r="J3629" s="3" t="s">
        <v>131</v>
      </c>
      <c r="K3629" s="3">
        <v>3</v>
      </c>
      <c r="L3629" s="3">
        <v>3490.41</v>
      </c>
      <c r="M3629" s="3">
        <v>10471.23</v>
      </c>
      <c r="N3629" s="3">
        <v>6662.8</v>
      </c>
      <c r="O3629" s="3">
        <v>3808.43</v>
      </c>
      <c r="P3629" s="3" t="s">
        <v>86</v>
      </c>
    </row>
    <row r="3630" spans="1:16" x14ac:dyDescent="0.35">
      <c r="A3630" s="3" t="s">
        <v>5061</v>
      </c>
      <c r="B3630" s="3" t="s">
        <v>1125</v>
      </c>
      <c r="C3630" s="3" t="s">
        <v>57</v>
      </c>
      <c r="D3630" s="3" t="s">
        <v>58</v>
      </c>
      <c r="E3630" s="3" t="s">
        <v>59</v>
      </c>
      <c r="F3630" s="3" t="s">
        <v>60</v>
      </c>
      <c r="G3630" s="3" t="s">
        <v>30</v>
      </c>
      <c r="H3630" s="3" t="s">
        <v>31</v>
      </c>
      <c r="I3630" s="3" t="s">
        <v>249</v>
      </c>
      <c r="J3630" s="3" t="s">
        <v>33</v>
      </c>
      <c r="K3630" s="3">
        <v>1</v>
      </c>
      <c r="L3630" s="3">
        <v>2842.25</v>
      </c>
      <c r="M3630" s="3">
        <v>2842.25</v>
      </c>
      <c r="N3630" s="3">
        <v>1836.03</v>
      </c>
      <c r="O3630" s="3">
        <v>1006.22</v>
      </c>
      <c r="P3630" s="3" t="s">
        <v>34</v>
      </c>
    </row>
    <row r="3631" spans="1:16" x14ac:dyDescent="0.35">
      <c r="A3631" s="3" t="s">
        <v>5062</v>
      </c>
      <c r="B3631" s="3" t="s">
        <v>321</v>
      </c>
      <c r="C3631" s="3" t="s">
        <v>137</v>
      </c>
      <c r="D3631" s="3" t="s">
        <v>58</v>
      </c>
      <c r="E3631" s="3" t="s">
        <v>59</v>
      </c>
      <c r="F3631" s="3" t="s">
        <v>60</v>
      </c>
      <c r="G3631" s="3" t="s">
        <v>30</v>
      </c>
      <c r="H3631" s="3" t="s">
        <v>73</v>
      </c>
      <c r="I3631" s="3" t="s">
        <v>1855</v>
      </c>
      <c r="J3631" s="3" t="s">
        <v>217</v>
      </c>
      <c r="K3631" s="3">
        <v>2</v>
      </c>
      <c r="L3631" s="3">
        <v>2976.65</v>
      </c>
      <c r="M3631" s="3">
        <v>5953.3</v>
      </c>
      <c r="N3631" s="3">
        <v>4959.04</v>
      </c>
      <c r="O3631" s="3">
        <v>994.26</v>
      </c>
      <c r="P3631" s="3" t="s">
        <v>86</v>
      </c>
    </row>
    <row r="3632" spans="1:16" x14ac:dyDescent="0.35">
      <c r="A3632" s="3" t="s">
        <v>5063</v>
      </c>
      <c r="B3632" s="3" t="s">
        <v>1670</v>
      </c>
      <c r="C3632" s="3" t="s">
        <v>114</v>
      </c>
      <c r="D3632" s="3" t="s">
        <v>58</v>
      </c>
      <c r="E3632" s="3" t="s">
        <v>59</v>
      </c>
      <c r="F3632" s="3" t="s">
        <v>60</v>
      </c>
      <c r="G3632" s="3" t="s">
        <v>41</v>
      </c>
      <c r="H3632" s="3" t="s">
        <v>42</v>
      </c>
      <c r="I3632" s="3" t="s">
        <v>115</v>
      </c>
      <c r="J3632" s="3" t="s">
        <v>171</v>
      </c>
      <c r="K3632" s="3">
        <v>1</v>
      </c>
      <c r="L3632" s="3">
        <v>40905.870000000003</v>
      </c>
      <c r="M3632" s="3">
        <v>40905.870000000003</v>
      </c>
      <c r="N3632" s="3">
        <v>35563.82</v>
      </c>
      <c r="O3632" s="3">
        <v>5342.05</v>
      </c>
      <c r="P3632" s="3" t="s">
        <v>34</v>
      </c>
    </row>
    <row r="3633" spans="1:16" x14ac:dyDescent="0.35">
      <c r="A3633" s="3" t="s">
        <v>5064</v>
      </c>
      <c r="B3633" s="3" t="s">
        <v>2688</v>
      </c>
      <c r="C3633" s="3" t="s">
        <v>48</v>
      </c>
      <c r="D3633" s="3" t="s">
        <v>58</v>
      </c>
      <c r="E3633" s="3" t="s">
        <v>65</v>
      </c>
      <c r="F3633" s="3" t="s">
        <v>66</v>
      </c>
      <c r="G3633" s="3" t="s">
        <v>30</v>
      </c>
      <c r="H3633" s="3" t="s">
        <v>67</v>
      </c>
      <c r="I3633" s="3" t="s">
        <v>1118</v>
      </c>
      <c r="J3633" s="3" t="s">
        <v>147</v>
      </c>
      <c r="K3633" s="3">
        <v>7</v>
      </c>
      <c r="L3633" s="3">
        <v>9653.74</v>
      </c>
      <c r="M3633" s="3">
        <v>67576.179999999993</v>
      </c>
      <c r="N3633" s="3">
        <v>51907.94</v>
      </c>
      <c r="O3633" s="3">
        <v>15668.24</v>
      </c>
      <c r="P3633" s="3" t="s">
        <v>26</v>
      </c>
    </row>
    <row r="3634" spans="1:16" x14ac:dyDescent="0.35">
      <c r="A3634" s="3" t="s">
        <v>5065</v>
      </c>
      <c r="B3634" s="3" t="s">
        <v>324</v>
      </c>
      <c r="C3634" s="3" t="s">
        <v>29</v>
      </c>
      <c r="D3634" s="3" t="s">
        <v>19</v>
      </c>
      <c r="E3634" s="3" t="s">
        <v>20</v>
      </c>
      <c r="F3634" s="3" t="s">
        <v>21</v>
      </c>
      <c r="G3634" s="3" t="s">
        <v>41</v>
      </c>
      <c r="H3634" s="3" t="s">
        <v>42</v>
      </c>
      <c r="I3634" s="3" t="s">
        <v>1521</v>
      </c>
      <c r="J3634" s="3" t="s">
        <v>217</v>
      </c>
      <c r="K3634" s="3">
        <v>3</v>
      </c>
      <c r="L3634" s="3">
        <v>42815.18</v>
      </c>
      <c r="M3634" s="3">
        <v>128445.54</v>
      </c>
      <c r="N3634" s="3">
        <v>109583.08</v>
      </c>
      <c r="O3634" s="3">
        <v>18862.46</v>
      </c>
      <c r="P3634" s="3" t="s">
        <v>45</v>
      </c>
    </row>
    <row r="3635" spans="1:16" x14ac:dyDescent="0.35">
      <c r="A3635" s="3" t="s">
        <v>5066</v>
      </c>
      <c r="B3635" s="3" t="s">
        <v>198</v>
      </c>
      <c r="C3635" s="3" t="s">
        <v>29</v>
      </c>
      <c r="D3635" s="3" t="s">
        <v>90</v>
      </c>
      <c r="E3635" s="3" t="s">
        <v>97</v>
      </c>
      <c r="F3635" s="3" t="s">
        <v>98</v>
      </c>
      <c r="G3635" s="3" t="s">
        <v>22</v>
      </c>
      <c r="H3635" s="3" t="s">
        <v>23</v>
      </c>
      <c r="I3635" s="3" t="s">
        <v>808</v>
      </c>
      <c r="J3635" s="3" t="s">
        <v>161</v>
      </c>
      <c r="K3635" s="3">
        <v>7</v>
      </c>
      <c r="L3635" s="3">
        <v>3577.2</v>
      </c>
      <c r="M3635" s="3">
        <v>25040.400000000001</v>
      </c>
      <c r="N3635" s="3">
        <v>15891.04</v>
      </c>
      <c r="O3635" s="3">
        <v>9149.36</v>
      </c>
      <c r="P3635" s="3" t="s">
        <v>69</v>
      </c>
    </row>
    <row r="3636" spans="1:16" x14ac:dyDescent="0.35">
      <c r="A3636" s="3" t="s">
        <v>5067</v>
      </c>
      <c r="B3636" s="3" t="s">
        <v>1159</v>
      </c>
      <c r="C3636" s="3" t="s">
        <v>29</v>
      </c>
      <c r="D3636" s="3" t="s">
        <v>58</v>
      </c>
      <c r="E3636" s="3" t="s">
        <v>59</v>
      </c>
      <c r="F3636" s="3" t="s">
        <v>60</v>
      </c>
      <c r="G3636" s="3" t="s">
        <v>41</v>
      </c>
      <c r="H3636" s="3" t="s">
        <v>42</v>
      </c>
      <c r="I3636" s="3" t="s">
        <v>1024</v>
      </c>
      <c r="J3636" s="3" t="s">
        <v>154</v>
      </c>
      <c r="K3636" s="3">
        <v>8</v>
      </c>
      <c r="L3636" s="3">
        <v>42646.78</v>
      </c>
      <c r="M3636" s="3">
        <v>341174.24</v>
      </c>
      <c r="N3636" s="3">
        <v>288886.34999999998</v>
      </c>
      <c r="O3636" s="3">
        <v>52287.89</v>
      </c>
      <c r="P3636" s="3" t="s">
        <v>45</v>
      </c>
    </row>
    <row r="3637" spans="1:16" x14ac:dyDescent="0.35">
      <c r="A3637" s="3" t="s">
        <v>5068</v>
      </c>
      <c r="B3637" s="3" t="s">
        <v>351</v>
      </c>
      <c r="C3637" s="3" t="s">
        <v>114</v>
      </c>
      <c r="D3637" s="3" t="s">
        <v>38</v>
      </c>
      <c r="E3637" s="3" t="s">
        <v>109</v>
      </c>
      <c r="F3637" s="3" t="s">
        <v>110</v>
      </c>
      <c r="G3637" s="3" t="s">
        <v>22</v>
      </c>
      <c r="H3637" s="3" t="s">
        <v>83</v>
      </c>
      <c r="I3637" s="3" t="s">
        <v>785</v>
      </c>
      <c r="J3637" s="3" t="s">
        <v>44</v>
      </c>
      <c r="K3637" s="3">
        <v>5</v>
      </c>
      <c r="L3637" s="3">
        <v>20298.28</v>
      </c>
      <c r="M3637" s="3">
        <v>101491.4</v>
      </c>
      <c r="N3637" s="3">
        <v>86218.72</v>
      </c>
      <c r="O3637" s="3">
        <v>15272.68</v>
      </c>
      <c r="P3637" s="3" t="s">
        <v>34</v>
      </c>
    </row>
    <row r="3638" spans="1:16" x14ac:dyDescent="0.35">
      <c r="A3638" s="3" t="s">
        <v>5069</v>
      </c>
      <c r="B3638" s="3" t="s">
        <v>446</v>
      </c>
      <c r="C3638" s="3" t="s">
        <v>29</v>
      </c>
      <c r="D3638" s="3" t="s">
        <v>38</v>
      </c>
      <c r="E3638" s="3" t="s">
        <v>104</v>
      </c>
      <c r="F3638" s="3" t="s">
        <v>104</v>
      </c>
      <c r="G3638" s="3" t="s">
        <v>30</v>
      </c>
      <c r="H3638" s="3" t="s">
        <v>31</v>
      </c>
      <c r="I3638" s="3" t="s">
        <v>226</v>
      </c>
      <c r="J3638" s="3" t="s">
        <v>188</v>
      </c>
      <c r="K3638" s="3">
        <v>4</v>
      </c>
      <c r="L3638" s="3">
        <v>2555.31</v>
      </c>
      <c r="M3638" s="3">
        <v>10221.24</v>
      </c>
      <c r="N3638" s="3">
        <v>7978.84</v>
      </c>
      <c r="O3638" s="3">
        <v>2242.4</v>
      </c>
      <c r="P3638" s="3" t="s">
        <v>26</v>
      </c>
    </row>
    <row r="3639" spans="1:16" x14ac:dyDescent="0.35">
      <c r="A3639" s="3" t="s">
        <v>5070</v>
      </c>
      <c r="B3639" s="3" t="s">
        <v>524</v>
      </c>
      <c r="C3639" s="3" t="s">
        <v>89</v>
      </c>
      <c r="D3639" s="3" t="s">
        <v>38</v>
      </c>
      <c r="E3639" s="3" t="s">
        <v>39</v>
      </c>
      <c r="F3639" s="3" t="s">
        <v>40</v>
      </c>
      <c r="G3639" s="3" t="s">
        <v>30</v>
      </c>
      <c r="H3639" s="3" t="s">
        <v>73</v>
      </c>
      <c r="I3639" s="3" t="s">
        <v>1500</v>
      </c>
      <c r="J3639" s="3" t="s">
        <v>147</v>
      </c>
      <c r="K3639" s="3">
        <v>3</v>
      </c>
      <c r="L3639" s="3">
        <v>3407.63</v>
      </c>
      <c r="M3639" s="3">
        <v>10222.89</v>
      </c>
      <c r="N3639" s="3">
        <v>6891.26</v>
      </c>
      <c r="O3639" s="3">
        <v>3331.63</v>
      </c>
      <c r="P3639" s="3" t="s">
        <v>69</v>
      </c>
    </row>
    <row r="3640" spans="1:16" x14ac:dyDescent="0.35">
      <c r="A3640" s="3" t="s">
        <v>5071</v>
      </c>
      <c r="B3640" s="3" t="s">
        <v>96</v>
      </c>
      <c r="C3640" s="3" t="s">
        <v>48</v>
      </c>
      <c r="D3640" s="3" t="s">
        <v>19</v>
      </c>
      <c r="E3640" s="3" t="s">
        <v>199</v>
      </c>
      <c r="F3640" s="3" t="s">
        <v>200</v>
      </c>
      <c r="G3640" s="3" t="s">
        <v>51</v>
      </c>
      <c r="H3640" s="3" t="s">
        <v>52</v>
      </c>
      <c r="I3640" s="3" t="s">
        <v>1870</v>
      </c>
      <c r="J3640" s="3" t="s">
        <v>79</v>
      </c>
      <c r="K3640" s="3">
        <v>3</v>
      </c>
      <c r="L3640" s="3">
        <v>22.73</v>
      </c>
      <c r="M3640" s="3">
        <v>68.19</v>
      </c>
      <c r="N3640" s="3">
        <v>29.54</v>
      </c>
      <c r="O3640" s="3">
        <v>38.65</v>
      </c>
      <c r="P3640" s="3" t="s">
        <v>45</v>
      </c>
    </row>
    <row r="3641" spans="1:16" x14ac:dyDescent="0.35">
      <c r="A3641" s="3" t="s">
        <v>5072</v>
      </c>
      <c r="B3641" s="3" t="s">
        <v>1086</v>
      </c>
      <c r="C3641" s="3" t="s">
        <v>37</v>
      </c>
      <c r="D3641" s="3" t="s">
        <v>90</v>
      </c>
      <c r="E3641" s="3" t="s">
        <v>91</v>
      </c>
      <c r="F3641" s="3" t="s">
        <v>92</v>
      </c>
      <c r="G3641" s="3" t="s">
        <v>22</v>
      </c>
      <c r="H3641" s="3" t="s">
        <v>93</v>
      </c>
      <c r="I3641" s="3" t="s">
        <v>3298</v>
      </c>
      <c r="J3641" s="3" t="s">
        <v>79</v>
      </c>
      <c r="K3641" s="3">
        <v>5</v>
      </c>
      <c r="L3641" s="3">
        <v>7183.99</v>
      </c>
      <c r="M3641" s="3">
        <v>35919.949999999997</v>
      </c>
      <c r="N3641" s="3">
        <v>24409.66</v>
      </c>
      <c r="O3641" s="3">
        <v>11510.29</v>
      </c>
      <c r="P3641" s="3" t="s">
        <v>26</v>
      </c>
    </row>
    <row r="3642" spans="1:16" x14ac:dyDescent="0.35">
      <c r="A3642" s="3" t="s">
        <v>5073</v>
      </c>
      <c r="B3642" s="3" t="s">
        <v>733</v>
      </c>
      <c r="C3642" s="3" t="s">
        <v>89</v>
      </c>
      <c r="D3642" s="3" t="s">
        <v>90</v>
      </c>
      <c r="E3642" s="3" t="s">
        <v>91</v>
      </c>
      <c r="F3642" s="3" t="s">
        <v>92</v>
      </c>
      <c r="G3642" s="3" t="s">
        <v>22</v>
      </c>
      <c r="H3642" s="3" t="s">
        <v>23</v>
      </c>
      <c r="I3642" s="3" t="s">
        <v>456</v>
      </c>
      <c r="J3642" s="3" t="s">
        <v>85</v>
      </c>
      <c r="K3642" s="3">
        <v>4</v>
      </c>
      <c r="L3642" s="3">
        <v>3706.24</v>
      </c>
      <c r="M3642" s="3">
        <v>14824.96</v>
      </c>
      <c r="N3642" s="3">
        <v>8899.58</v>
      </c>
      <c r="O3642" s="3">
        <v>5925.38</v>
      </c>
      <c r="P3642" s="3" t="s">
        <v>26</v>
      </c>
    </row>
    <row r="3643" spans="1:16" x14ac:dyDescent="0.35">
      <c r="A3643" s="3" t="s">
        <v>5074</v>
      </c>
      <c r="B3643" s="3" t="s">
        <v>1053</v>
      </c>
      <c r="C3643" s="3" t="s">
        <v>82</v>
      </c>
      <c r="D3643" s="3" t="s">
        <v>38</v>
      </c>
      <c r="E3643" s="3" t="s">
        <v>109</v>
      </c>
      <c r="F3643" s="3" t="s">
        <v>110</v>
      </c>
      <c r="G3643" s="3" t="s">
        <v>30</v>
      </c>
      <c r="H3643" s="3" t="s">
        <v>73</v>
      </c>
      <c r="I3643" s="3" t="s">
        <v>1913</v>
      </c>
      <c r="J3643" s="3" t="s">
        <v>33</v>
      </c>
      <c r="K3643" s="3">
        <v>7</v>
      </c>
      <c r="L3643" s="3">
        <v>2906.2</v>
      </c>
      <c r="M3643" s="3">
        <v>20343.400000000001</v>
      </c>
      <c r="N3643" s="3">
        <v>16231.78</v>
      </c>
      <c r="O3643" s="3">
        <v>4111.62</v>
      </c>
      <c r="P3643" s="3" t="s">
        <v>34</v>
      </c>
    </row>
    <row r="3644" spans="1:16" x14ac:dyDescent="0.35">
      <c r="A3644" s="3" t="s">
        <v>5075</v>
      </c>
      <c r="B3644" s="3" t="s">
        <v>2197</v>
      </c>
      <c r="C3644" s="3" t="s">
        <v>18</v>
      </c>
      <c r="D3644" s="3" t="s">
        <v>58</v>
      </c>
      <c r="E3644" s="3" t="s">
        <v>176</v>
      </c>
      <c r="F3644" s="3" t="s">
        <v>177</v>
      </c>
      <c r="G3644" s="3" t="s">
        <v>22</v>
      </c>
      <c r="H3644" s="3" t="s">
        <v>93</v>
      </c>
      <c r="I3644" s="3" t="s">
        <v>710</v>
      </c>
      <c r="J3644" s="3" t="s">
        <v>100</v>
      </c>
      <c r="K3644" s="3">
        <v>1</v>
      </c>
      <c r="L3644" s="3">
        <v>7288.79</v>
      </c>
      <c r="M3644" s="3">
        <v>7288.79</v>
      </c>
      <c r="N3644" s="3">
        <v>5066.12</v>
      </c>
      <c r="O3644" s="3">
        <v>2222.67</v>
      </c>
      <c r="P3644" s="3" t="s">
        <v>86</v>
      </c>
    </row>
    <row r="3645" spans="1:16" x14ac:dyDescent="0.35">
      <c r="A3645" s="3" t="s">
        <v>5076</v>
      </c>
      <c r="B3645" s="3" t="s">
        <v>675</v>
      </c>
      <c r="C3645" s="3" t="s">
        <v>82</v>
      </c>
      <c r="D3645" s="3" t="s">
        <v>19</v>
      </c>
      <c r="E3645" s="3" t="s">
        <v>49</v>
      </c>
      <c r="F3645" s="3" t="s">
        <v>50</v>
      </c>
      <c r="G3645" s="3" t="s">
        <v>41</v>
      </c>
      <c r="H3645" s="3" t="s">
        <v>42</v>
      </c>
      <c r="I3645" s="3" t="s">
        <v>139</v>
      </c>
      <c r="J3645" s="3" t="s">
        <v>79</v>
      </c>
      <c r="K3645" s="3">
        <v>8</v>
      </c>
      <c r="L3645" s="3">
        <v>41178.6</v>
      </c>
      <c r="M3645" s="3">
        <v>329428.8</v>
      </c>
      <c r="N3645" s="3">
        <v>285139.05</v>
      </c>
      <c r="O3645" s="3">
        <v>44289.75</v>
      </c>
      <c r="P3645" s="3" t="s">
        <v>69</v>
      </c>
    </row>
    <row r="3646" spans="1:16" x14ac:dyDescent="0.35">
      <c r="A3646" s="3" t="s">
        <v>5077</v>
      </c>
      <c r="B3646" s="3" t="s">
        <v>562</v>
      </c>
      <c r="C3646" s="3" t="s">
        <v>82</v>
      </c>
      <c r="D3646" s="3" t="s">
        <v>90</v>
      </c>
      <c r="E3646" s="3" t="s">
        <v>97</v>
      </c>
      <c r="F3646" s="3" t="s">
        <v>98</v>
      </c>
      <c r="G3646" s="3" t="s">
        <v>22</v>
      </c>
      <c r="H3646" s="3" t="s">
        <v>93</v>
      </c>
      <c r="I3646" s="3" t="s">
        <v>939</v>
      </c>
      <c r="J3646" s="3" t="s">
        <v>33</v>
      </c>
      <c r="K3646" s="3">
        <v>1</v>
      </c>
      <c r="L3646" s="3">
        <v>6785.52</v>
      </c>
      <c r="M3646" s="3">
        <v>6785.52</v>
      </c>
      <c r="N3646" s="3">
        <v>5187.3500000000004</v>
      </c>
      <c r="O3646" s="3">
        <v>1598.17</v>
      </c>
      <c r="P3646" s="3" t="s">
        <v>86</v>
      </c>
    </row>
    <row r="3647" spans="1:16" x14ac:dyDescent="0.35">
      <c r="A3647" s="3" t="s">
        <v>5078</v>
      </c>
      <c r="B3647" s="3" t="s">
        <v>381</v>
      </c>
      <c r="C3647" s="3" t="s">
        <v>18</v>
      </c>
      <c r="D3647" s="3" t="s">
        <v>90</v>
      </c>
      <c r="E3647" s="3" t="s">
        <v>119</v>
      </c>
      <c r="F3647" s="3" t="s">
        <v>120</v>
      </c>
      <c r="G3647" s="3" t="s">
        <v>30</v>
      </c>
      <c r="H3647" s="3" t="s">
        <v>31</v>
      </c>
      <c r="I3647" s="3" t="s">
        <v>2936</v>
      </c>
      <c r="J3647" s="3" t="s">
        <v>188</v>
      </c>
      <c r="K3647" s="3">
        <v>6</v>
      </c>
      <c r="L3647" s="3">
        <v>3027.69</v>
      </c>
      <c r="M3647" s="3">
        <v>18166.14</v>
      </c>
      <c r="N3647" s="3">
        <v>11164.72</v>
      </c>
      <c r="O3647" s="3">
        <v>7001.42</v>
      </c>
      <c r="P3647" s="3" t="s">
        <v>26</v>
      </c>
    </row>
    <row r="3648" spans="1:16" x14ac:dyDescent="0.35">
      <c r="A3648" s="3" t="s">
        <v>5079</v>
      </c>
      <c r="B3648" s="3" t="s">
        <v>1755</v>
      </c>
      <c r="C3648" s="3" t="s">
        <v>57</v>
      </c>
      <c r="D3648" s="3" t="s">
        <v>58</v>
      </c>
      <c r="E3648" s="3" t="s">
        <v>59</v>
      </c>
      <c r="F3648" s="3" t="s">
        <v>60</v>
      </c>
      <c r="G3648" s="3" t="s">
        <v>30</v>
      </c>
      <c r="H3648" s="3" t="s">
        <v>31</v>
      </c>
      <c r="I3648" s="3" t="s">
        <v>2598</v>
      </c>
      <c r="J3648" s="3" t="s">
        <v>33</v>
      </c>
      <c r="K3648" s="3">
        <v>2</v>
      </c>
      <c r="L3648" s="3">
        <v>2588.13</v>
      </c>
      <c r="M3648" s="3">
        <v>5176.26</v>
      </c>
      <c r="N3648" s="3">
        <v>3629.5</v>
      </c>
      <c r="O3648" s="3">
        <v>1546.76</v>
      </c>
      <c r="P3648" s="3" t="s">
        <v>34</v>
      </c>
    </row>
    <row r="3649" spans="1:16" x14ac:dyDescent="0.35">
      <c r="A3649" s="3" t="s">
        <v>5080</v>
      </c>
      <c r="B3649" s="3" t="s">
        <v>1224</v>
      </c>
      <c r="C3649" s="3" t="s">
        <v>37</v>
      </c>
      <c r="D3649" s="3" t="s">
        <v>58</v>
      </c>
      <c r="E3649" s="3" t="s">
        <v>59</v>
      </c>
      <c r="F3649" s="3" t="s">
        <v>60</v>
      </c>
      <c r="G3649" s="3" t="s">
        <v>30</v>
      </c>
      <c r="H3649" s="3" t="s">
        <v>73</v>
      </c>
      <c r="I3649" s="3" t="s">
        <v>1012</v>
      </c>
      <c r="J3649" s="3" t="s">
        <v>147</v>
      </c>
      <c r="K3649" s="3">
        <v>1</v>
      </c>
      <c r="L3649" s="3">
        <v>3040.46</v>
      </c>
      <c r="M3649" s="3">
        <v>3040.46</v>
      </c>
      <c r="N3649" s="3">
        <v>2395.1</v>
      </c>
      <c r="O3649" s="3">
        <v>645.36</v>
      </c>
      <c r="P3649" s="3" t="s">
        <v>45</v>
      </c>
    </row>
    <row r="3650" spans="1:16" x14ac:dyDescent="0.35">
      <c r="A3650" s="3" t="s">
        <v>5081</v>
      </c>
      <c r="B3650" s="3" t="s">
        <v>723</v>
      </c>
      <c r="C3650" s="3" t="s">
        <v>137</v>
      </c>
      <c r="D3650" s="3" t="s">
        <v>19</v>
      </c>
      <c r="E3650" s="3" t="s">
        <v>20</v>
      </c>
      <c r="F3650" s="3" t="s">
        <v>21</v>
      </c>
      <c r="G3650" s="3" t="s">
        <v>51</v>
      </c>
      <c r="H3650" s="3" t="s">
        <v>77</v>
      </c>
      <c r="I3650" s="3" t="s">
        <v>1338</v>
      </c>
      <c r="J3650" s="3" t="s">
        <v>79</v>
      </c>
      <c r="K3650" s="3">
        <v>1</v>
      </c>
      <c r="L3650" s="3">
        <v>12410.42</v>
      </c>
      <c r="M3650" s="3">
        <v>12410.42</v>
      </c>
      <c r="N3650" s="3">
        <v>9263.2099999999991</v>
      </c>
      <c r="O3650" s="3">
        <v>3147.21</v>
      </c>
      <c r="P3650" s="3" t="s">
        <v>45</v>
      </c>
    </row>
    <row r="3651" spans="1:16" x14ac:dyDescent="0.35">
      <c r="A3651" s="3" t="s">
        <v>5082</v>
      </c>
      <c r="B3651" s="3" t="s">
        <v>1455</v>
      </c>
      <c r="C3651" s="3" t="s">
        <v>103</v>
      </c>
      <c r="D3651" s="3" t="s">
        <v>90</v>
      </c>
      <c r="E3651" s="3" t="s">
        <v>119</v>
      </c>
      <c r="F3651" s="3" t="s">
        <v>120</v>
      </c>
      <c r="G3651" s="3" t="s">
        <v>30</v>
      </c>
      <c r="H3651" s="3" t="s">
        <v>73</v>
      </c>
      <c r="I3651" s="3" t="s">
        <v>2290</v>
      </c>
      <c r="J3651" s="3" t="s">
        <v>44</v>
      </c>
      <c r="K3651" s="3">
        <v>4</v>
      </c>
      <c r="L3651" s="3">
        <v>3045.98</v>
      </c>
      <c r="M3651" s="3">
        <v>12183.92</v>
      </c>
      <c r="N3651" s="3">
        <v>9275.92</v>
      </c>
      <c r="O3651" s="3">
        <v>2908</v>
      </c>
      <c r="P3651" s="3" t="s">
        <v>86</v>
      </c>
    </row>
    <row r="3652" spans="1:16" x14ac:dyDescent="0.35">
      <c r="A3652" s="3" t="s">
        <v>5083</v>
      </c>
      <c r="B3652" s="3" t="s">
        <v>276</v>
      </c>
      <c r="C3652" s="3" t="s">
        <v>114</v>
      </c>
      <c r="D3652" s="3" t="s">
        <v>90</v>
      </c>
      <c r="E3652" s="3" t="s">
        <v>91</v>
      </c>
      <c r="F3652" s="3" t="s">
        <v>92</v>
      </c>
      <c r="G3652" s="3" t="s">
        <v>51</v>
      </c>
      <c r="H3652" s="3" t="s">
        <v>145</v>
      </c>
      <c r="I3652" s="3" t="s">
        <v>2415</v>
      </c>
      <c r="J3652" s="3" t="s">
        <v>171</v>
      </c>
      <c r="K3652" s="3">
        <v>2</v>
      </c>
      <c r="L3652" s="3">
        <v>130.19</v>
      </c>
      <c r="M3652" s="3">
        <v>260.38</v>
      </c>
      <c r="N3652" s="3">
        <v>116.74</v>
      </c>
      <c r="O3652" s="3">
        <v>143.63999999999999</v>
      </c>
      <c r="P3652" s="3" t="s">
        <v>45</v>
      </c>
    </row>
    <row r="3653" spans="1:16" x14ac:dyDescent="0.35">
      <c r="A3653" s="3" t="s">
        <v>5084</v>
      </c>
      <c r="B3653" s="3" t="s">
        <v>936</v>
      </c>
      <c r="C3653" s="3" t="s">
        <v>89</v>
      </c>
      <c r="D3653" s="3" t="s">
        <v>38</v>
      </c>
      <c r="E3653" s="3" t="s">
        <v>39</v>
      </c>
      <c r="F3653" s="3" t="s">
        <v>40</v>
      </c>
      <c r="G3653" s="3" t="s">
        <v>51</v>
      </c>
      <c r="H3653" s="3" t="s">
        <v>52</v>
      </c>
      <c r="I3653" s="3" t="s">
        <v>1798</v>
      </c>
      <c r="J3653" s="3" t="s">
        <v>85</v>
      </c>
      <c r="K3653" s="3">
        <v>2</v>
      </c>
      <c r="L3653" s="3">
        <v>26.22</v>
      </c>
      <c r="M3653" s="3">
        <v>52.44</v>
      </c>
      <c r="N3653" s="3">
        <v>19.43</v>
      </c>
      <c r="O3653" s="3">
        <v>33.01</v>
      </c>
      <c r="P3653" s="3" t="s">
        <v>86</v>
      </c>
    </row>
    <row r="3654" spans="1:16" x14ac:dyDescent="0.35">
      <c r="A3654" s="3" t="s">
        <v>5085</v>
      </c>
      <c r="B3654" s="3" t="s">
        <v>527</v>
      </c>
      <c r="C3654" s="3" t="s">
        <v>82</v>
      </c>
      <c r="D3654" s="3" t="s">
        <v>19</v>
      </c>
      <c r="E3654" s="3" t="s">
        <v>49</v>
      </c>
      <c r="F3654" s="3" t="s">
        <v>50</v>
      </c>
      <c r="G3654" s="3" t="s">
        <v>51</v>
      </c>
      <c r="H3654" s="3" t="s">
        <v>77</v>
      </c>
      <c r="I3654" s="3" t="s">
        <v>481</v>
      </c>
      <c r="J3654" s="3" t="s">
        <v>217</v>
      </c>
      <c r="K3654" s="3">
        <v>3</v>
      </c>
      <c r="L3654" s="3">
        <v>11719.48</v>
      </c>
      <c r="M3654" s="3">
        <v>35158.44</v>
      </c>
      <c r="N3654" s="3">
        <v>27897.25</v>
      </c>
      <c r="O3654" s="3">
        <v>7261.19</v>
      </c>
      <c r="P3654" s="3" t="s">
        <v>86</v>
      </c>
    </row>
    <row r="3655" spans="1:16" x14ac:dyDescent="0.35">
      <c r="A3655" s="3" t="s">
        <v>5086</v>
      </c>
      <c r="B3655" s="3" t="s">
        <v>364</v>
      </c>
      <c r="C3655" s="3" t="s">
        <v>137</v>
      </c>
      <c r="D3655" s="3" t="s">
        <v>58</v>
      </c>
      <c r="E3655" s="3" t="s">
        <v>65</v>
      </c>
      <c r="F3655" s="3" t="s">
        <v>66</v>
      </c>
      <c r="G3655" s="3" t="s">
        <v>51</v>
      </c>
      <c r="H3655" s="3" t="s">
        <v>77</v>
      </c>
      <c r="I3655" s="3" t="s">
        <v>1356</v>
      </c>
      <c r="J3655" s="3" t="s">
        <v>188</v>
      </c>
      <c r="K3655" s="3">
        <v>8</v>
      </c>
      <c r="L3655" s="3">
        <v>11008.97</v>
      </c>
      <c r="M3655" s="3">
        <v>88071.76</v>
      </c>
      <c r="N3655" s="3">
        <v>71010.41</v>
      </c>
      <c r="O3655" s="3">
        <v>17061.349999999999</v>
      </c>
      <c r="P3655" s="3" t="s">
        <v>26</v>
      </c>
    </row>
    <row r="3656" spans="1:16" x14ac:dyDescent="0.35">
      <c r="A3656" s="3" t="s">
        <v>5087</v>
      </c>
      <c r="B3656" s="3" t="s">
        <v>429</v>
      </c>
      <c r="C3656" s="3" t="s">
        <v>137</v>
      </c>
      <c r="D3656" s="3" t="s">
        <v>19</v>
      </c>
      <c r="E3656" s="3" t="s">
        <v>20</v>
      </c>
      <c r="F3656" s="3" t="s">
        <v>21</v>
      </c>
      <c r="G3656" s="3" t="s">
        <v>51</v>
      </c>
      <c r="H3656" s="3" t="s">
        <v>77</v>
      </c>
      <c r="I3656" s="3" t="s">
        <v>715</v>
      </c>
      <c r="J3656" s="3" t="s">
        <v>33</v>
      </c>
      <c r="K3656" s="3">
        <v>1</v>
      </c>
      <c r="L3656" s="3">
        <v>11765.61</v>
      </c>
      <c r="M3656" s="3">
        <v>11765.61</v>
      </c>
      <c r="N3656" s="3">
        <v>8567.2099999999991</v>
      </c>
      <c r="O3656" s="3">
        <v>3198.4</v>
      </c>
      <c r="P3656" s="3" t="s">
        <v>34</v>
      </c>
    </row>
    <row r="3657" spans="1:16" x14ac:dyDescent="0.35">
      <c r="A3657" s="3" t="s">
        <v>5088</v>
      </c>
      <c r="B3657" s="3" t="s">
        <v>392</v>
      </c>
      <c r="C3657" s="3" t="s">
        <v>103</v>
      </c>
      <c r="D3657" s="3" t="s">
        <v>90</v>
      </c>
      <c r="E3657" s="3" t="s">
        <v>97</v>
      </c>
      <c r="F3657" s="3" t="s">
        <v>98</v>
      </c>
      <c r="G3657" s="3" t="s">
        <v>30</v>
      </c>
      <c r="H3657" s="3" t="s">
        <v>31</v>
      </c>
      <c r="I3657" s="3" t="s">
        <v>4552</v>
      </c>
      <c r="J3657" s="3" t="s">
        <v>161</v>
      </c>
      <c r="K3657" s="3">
        <v>3</v>
      </c>
      <c r="L3657" s="3">
        <v>2830.31</v>
      </c>
      <c r="M3657" s="3">
        <v>8490.93</v>
      </c>
      <c r="N3657" s="3">
        <v>5580.04</v>
      </c>
      <c r="O3657" s="3">
        <v>2910.89</v>
      </c>
      <c r="P3657" s="3" t="s">
        <v>34</v>
      </c>
    </row>
    <row r="3658" spans="1:16" x14ac:dyDescent="0.35">
      <c r="A3658" s="3" t="s">
        <v>5089</v>
      </c>
      <c r="B3658" s="3" t="s">
        <v>96</v>
      </c>
      <c r="C3658" s="3" t="s">
        <v>48</v>
      </c>
      <c r="D3658" s="3" t="s">
        <v>58</v>
      </c>
      <c r="E3658" s="3" t="s">
        <v>65</v>
      </c>
      <c r="F3658" s="3" t="s">
        <v>66</v>
      </c>
      <c r="G3658" s="3" t="s">
        <v>51</v>
      </c>
      <c r="H3658" s="3" t="s">
        <v>52</v>
      </c>
      <c r="I3658" s="3" t="s">
        <v>713</v>
      </c>
      <c r="J3658" s="3" t="s">
        <v>44</v>
      </c>
      <c r="K3658" s="3">
        <v>6</v>
      </c>
      <c r="L3658" s="3">
        <v>25.73</v>
      </c>
      <c r="M3658" s="3">
        <v>154.38</v>
      </c>
      <c r="N3658" s="3">
        <v>58.9</v>
      </c>
      <c r="O3658" s="3">
        <v>95.48</v>
      </c>
      <c r="P3658" s="3" t="s">
        <v>26</v>
      </c>
    </row>
    <row r="3659" spans="1:16" x14ac:dyDescent="0.35">
      <c r="A3659" s="3" t="s">
        <v>5090</v>
      </c>
      <c r="B3659" s="3" t="s">
        <v>1092</v>
      </c>
      <c r="C3659" s="3" t="s">
        <v>103</v>
      </c>
      <c r="D3659" s="3" t="s">
        <v>38</v>
      </c>
      <c r="E3659" s="3" t="s">
        <v>109</v>
      </c>
      <c r="F3659" s="3" t="s">
        <v>110</v>
      </c>
      <c r="G3659" s="3" t="s">
        <v>41</v>
      </c>
      <c r="H3659" s="3" t="s">
        <v>138</v>
      </c>
      <c r="I3659" s="3" t="s">
        <v>597</v>
      </c>
      <c r="J3659" s="3" t="s">
        <v>154</v>
      </c>
      <c r="K3659" s="3">
        <v>7</v>
      </c>
      <c r="L3659" s="3">
        <v>19107.349999999999</v>
      </c>
      <c r="M3659" s="3">
        <v>133751.45000000001</v>
      </c>
      <c r="N3659" s="3">
        <v>97815.19</v>
      </c>
      <c r="O3659" s="3">
        <v>35936.26</v>
      </c>
      <c r="P3659" s="3" t="s">
        <v>26</v>
      </c>
    </row>
    <row r="3660" spans="1:16" x14ac:dyDescent="0.35">
      <c r="A3660" s="3" t="s">
        <v>5091</v>
      </c>
      <c r="B3660" s="3" t="s">
        <v>159</v>
      </c>
      <c r="C3660" s="3" t="s">
        <v>118</v>
      </c>
      <c r="D3660" s="3" t="s">
        <v>90</v>
      </c>
      <c r="E3660" s="3" t="s">
        <v>119</v>
      </c>
      <c r="F3660" s="3" t="s">
        <v>120</v>
      </c>
      <c r="G3660" s="3" t="s">
        <v>51</v>
      </c>
      <c r="H3660" s="3" t="s">
        <v>145</v>
      </c>
      <c r="I3660" s="3" t="s">
        <v>1282</v>
      </c>
      <c r="J3660" s="3" t="s">
        <v>171</v>
      </c>
      <c r="K3660" s="3">
        <v>7</v>
      </c>
      <c r="L3660" s="3">
        <v>119.84</v>
      </c>
      <c r="M3660" s="3">
        <v>838.88</v>
      </c>
      <c r="N3660" s="3">
        <v>418.5</v>
      </c>
      <c r="O3660" s="3">
        <v>420.38</v>
      </c>
      <c r="P3660" s="3" t="s">
        <v>69</v>
      </c>
    </row>
    <row r="3661" spans="1:16" x14ac:dyDescent="0.35">
      <c r="A3661" s="3" t="s">
        <v>5092</v>
      </c>
      <c r="B3661" s="3" t="s">
        <v>429</v>
      </c>
      <c r="C3661" s="3" t="s">
        <v>137</v>
      </c>
      <c r="D3661" s="3" t="s">
        <v>58</v>
      </c>
      <c r="E3661" s="3" t="s">
        <v>65</v>
      </c>
      <c r="F3661" s="3" t="s">
        <v>66</v>
      </c>
      <c r="G3661" s="3" t="s">
        <v>30</v>
      </c>
      <c r="H3661" s="3" t="s">
        <v>31</v>
      </c>
      <c r="I3661" s="3" t="s">
        <v>945</v>
      </c>
      <c r="J3661" s="3" t="s">
        <v>154</v>
      </c>
      <c r="K3661" s="3">
        <v>1</v>
      </c>
      <c r="L3661" s="3">
        <v>2939.68</v>
      </c>
      <c r="M3661" s="3">
        <v>2939.68</v>
      </c>
      <c r="N3661" s="3">
        <v>1902.32</v>
      </c>
      <c r="O3661" s="3">
        <v>1037.3599999999999</v>
      </c>
      <c r="P3661" s="3" t="s">
        <v>34</v>
      </c>
    </row>
    <row r="3662" spans="1:16" x14ac:dyDescent="0.35">
      <c r="A3662" s="3" t="s">
        <v>5093</v>
      </c>
      <c r="B3662" s="3" t="s">
        <v>123</v>
      </c>
      <c r="C3662" s="3" t="s">
        <v>18</v>
      </c>
      <c r="D3662" s="3" t="s">
        <v>58</v>
      </c>
      <c r="E3662" s="3" t="s">
        <v>176</v>
      </c>
      <c r="F3662" s="3" t="s">
        <v>177</v>
      </c>
      <c r="G3662" s="3" t="s">
        <v>30</v>
      </c>
      <c r="H3662" s="3" t="s">
        <v>67</v>
      </c>
      <c r="I3662" s="3" t="s">
        <v>2278</v>
      </c>
      <c r="J3662" s="3" t="s">
        <v>154</v>
      </c>
      <c r="K3662" s="3">
        <v>5</v>
      </c>
      <c r="L3662" s="3">
        <v>10025.66</v>
      </c>
      <c r="M3662" s="3">
        <v>50128.3</v>
      </c>
      <c r="N3662" s="3">
        <v>36741.370000000003</v>
      </c>
      <c r="O3662" s="3">
        <v>13386.93</v>
      </c>
      <c r="P3662" s="3" t="s">
        <v>86</v>
      </c>
    </row>
    <row r="3663" spans="1:16" x14ac:dyDescent="0.35">
      <c r="A3663" s="3" t="s">
        <v>5094</v>
      </c>
      <c r="B3663" s="3" t="s">
        <v>2969</v>
      </c>
      <c r="C3663" s="3" t="s">
        <v>137</v>
      </c>
      <c r="D3663" s="3" t="s">
        <v>38</v>
      </c>
      <c r="E3663" s="3" t="s">
        <v>104</v>
      </c>
      <c r="F3663" s="3" t="s">
        <v>104</v>
      </c>
      <c r="G3663" s="3" t="s">
        <v>41</v>
      </c>
      <c r="H3663" s="3" t="s">
        <v>42</v>
      </c>
      <c r="I3663" s="3" t="s">
        <v>1692</v>
      </c>
      <c r="J3663" s="3" t="s">
        <v>54</v>
      </c>
      <c r="K3663" s="3">
        <v>1</v>
      </c>
      <c r="L3663" s="3">
        <v>48647.97</v>
      </c>
      <c r="M3663" s="3">
        <v>48647.97</v>
      </c>
      <c r="N3663" s="3">
        <v>34996.660000000003</v>
      </c>
      <c r="O3663" s="3">
        <v>13651.31</v>
      </c>
      <c r="P3663" s="3" t="s">
        <v>69</v>
      </c>
    </row>
    <row r="3664" spans="1:16" x14ac:dyDescent="0.35">
      <c r="A3664" s="3" t="s">
        <v>5095</v>
      </c>
      <c r="B3664" s="3" t="s">
        <v>282</v>
      </c>
      <c r="C3664" s="3" t="s">
        <v>114</v>
      </c>
      <c r="D3664" s="3" t="s">
        <v>19</v>
      </c>
      <c r="E3664" s="3" t="s">
        <v>199</v>
      </c>
      <c r="F3664" s="3" t="s">
        <v>200</v>
      </c>
      <c r="G3664" s="3" t="s">
        <v>30</v>
      </c>
      <c r="H3664" s="3" t="s">
        <v>31</v>
      </c>
      <c r="I3664" s="3" t="s">
        <v>178</v>
      </c>
      <c r="J3664" s="3" t="s">
        <v>54</v>
      </c>
      <c r="K3664" s="3">
        <v>4</v>
      </c>
      <c r="L3664" s="3">
        <v>2611.81</v>
      </c>
      <c r="M3664" s="3">
        <v>10447.24</v>
      </c>
      <c r="N3664" s="3">
        <v>7971.96</v>
      </c>
      <c r="O3664" s="3">
        <v>2475.2800000000002</v>
      </c>
      <c r="P3664" s="3" t="s">
        <v>34</v>
      </c>
    </row>
    <row r="3665" spans="1:16" x14ac:dyDescent="0.35">
      <c r="A3665" s="3" t="s">
        <v>5096</v>
      </c>
      <c r="B3665" s="3" t="s">
        <v>209</v>
      </c>
      <c r="C3665" s="3" t="s">
        <v>118</v>
      </c>
      <c r="D3665" s="3" t="s">
        <v>38</v>
      </c>
      <c r="E3665" s="3" t="s">
        <v>104</v>
      </c>
      <c r="F3665" s="3" t="s">
        <v>104</v>
      </c>
      <c r="G3665" s="3" t="s">
        <v>30</v>
      </c>
      <c r="H3665" s="3" t="s">
        <v>67</v>
      </c>
      <c r="I3665" s="3" t="s">
        <v>201</v>
      </c>
      <c r="J3665" s="3" t="s">
        <v>131</v>
      </c>
      <c r="K3665" s="3">
        <v>1</v>
      </c>
      <c r="L3665" s="3">
        <v>9237.32</v>
      </c>
      <c r="M3665" s="3">
        <v>9237.32</v>
      </c>
      <c r="N3665" s="3">
        <v>7672.1</v>
      </c>
      <c r="O3665" s="3">
        <v>1565.22</v>
      </c>
      <c r="P3665" s="3" t="s">
        <v>86</v>
      </c>
    </row>
    <row r="3666" spans="1:16" x14ac:dyDescent="0.35">
      <c r="A3666" s="3" t="s">
        <v>5097</v>
      </c>
      <c r="B3666" s="3" t="s">
        <v>807</v>
      </c>
      <c r="C3666" s="3" t="s">
        <v>72</v>
      </c>
      <c r="D3666" s="3" t="s">
        <v>19</v>
      </c>
      <c r="E3666" s="3" t="s">
        <v>49</v>
      </c>
      <c r="F3666" s="3" t="s">
        <v>50</v>
      </c>
      <c r="G3666" s="3" t="s">
        <v>41</v>
      </c>
      <c r="H3666" s="3" t="s">
        <v>61</v>
      </c>
      <c r="I3666" s="3" t="s">
        <v>934</v>
      </c>
      <c r="J3666" s="3" t="s">
        <v>171</v>
      </c>
      <c r="K3666" s="3">
        <v>2</v>
      </c>
      <c r="L3666" s="3">
        <v>2327.67</v>
      </c>
      <c r="M3666" s="3">
        <v>4655.34</v>
      </c>
      <c r="N3666" s="3">
        <v>3324.42</v>
      </c>
      <c r="O3666" s="3">
        <v>1330.92</v>
      </c>
      <c r="P3666" s="3" t="s">
        <v>26</v>
      </c>
    </row>
    <row r="3667" spans="1:16" x14ac:dyDescent="0.35">
      <c r="A3667" s="3" t="s">
        <v>5098</v>
      </c>
      <c r="B3667" s="3" t="s">
        <v>141</v>
      </c>
      <c r="C3667" s="3" t="s">
        <v>57</v>
      </c>
      <c r="D3667" s="3" t="s">
        <v>38</v>
      </c>
      <c r="E3667" s="3" t="s">
        <v>39</v>
      </c>
      <c r="F3667" s="3" t="s">
        <v>40</v>
      </c>
      <c r="G3667" s="3" t="s">
        <v>30</v>
      </c>
      <c r="H3667" s="3" t="s">
        <v>31</v>
      </c>
      <c r="I3667" s="3" t="s">
        <v>3215</v>
      </c>
      <c r="J3667" s="3" t="s">
        <v>106</v>
      </c>
      <c r="K3667" s="3">
        <v>6</v>
      </c>
      <c r="L3667" s="3">
        <v>2735.38</v>
      </c>
      <c r="M3667" s="3">
        <v>16412.28</v>
      </c>
      <c r="N3667" s="3">
        <v>10884.65</v>
      </c>
      <c r="O3667" s="3">
        <v>5527.63</v>
      </c>
      <c r="P3667" s="3" t="s">
        <v>26</v>
      </c>
    </row>
    <row r="3668" spans="1:16" x14ac:dyDescent="0.35">
      <c r="A3668" s="3" t="s">
        <v>5099</v>
      </c>
      <c r="B3668" s="3" t="s">
        <v>2280</v>
      </c>
      <c r="C3668" s="3" t="s">
        <v>89</v>
      </c>
      <c r="D3668" s="3" t="s">
        <v>58</v>
      </c>
      <c r="E3668" s="3" t="s">
        <v>176</v>
      </c>
      <c r="F3668" s="3" t="s">
        <v>177</v>
      </c>
      <c r="G3668" s="3" t="s">
        <v>22</v>
      </c>
      <c r="H3668" s="3" t="s">
        <v>83</v>
      </c>
      <c r="I3668" s="3" t="s">
        <v>2113</v>
      </c>
      <c r="J3668" s="3" t="s">
        <v>106</v>
      </c>
      <c r="K3668" s="3">
        <v>2</v>
      </c>
      <c r="L3668" s="3">
        <v>20302.099999999999</v>
      </c>
      <c r="M3668" s="3">
        <v>40604.199999999997</v>
      </c>
      <c r="N3668" s="3">
        <v>35567</v>
      </c>
      <c r="O3668" s="3">
        <v>5037.2</v>
      </c>
      <c r="P3668" s="3" t="s">
        <v>45</v>
      </c>
    </row>
    <row r="3669" spans="1:16" x14ac:dyDescent="0.35">
      <c r="A3669" s="3" t="s">
        <v>5100</v>
      </c>
      <c r="B3669" s="3" t="s">
        <v>242</v>
      </c>
      <c r="C3669" s="3" t="s">
        <v>137</v>
      </c>
      <c r="D3669" s="3" t="s">
        <v>38</v>
      </c>
      <c r="E3669" s="3" t="s">
        <v>109</v>
      </c>
      <c r="F3669" s="3" t="s">
        <v>110</v>
      </c>
      <c r="G3669" s="3" t="s">
        <v>51</v>
      </c>
      <c r="H3669" s="3" t="s">
        <v>145</v>
      </c>
      <c r="I3669" s="3" t="s">
        <v>2595</v>
      </c>
      <c r="J3669" s="3" t="s">
        <v>154</v>
      </c>
      <c r="K3669" s="3">
        <v>5</v>
      </c>
      <c r="L3669" s="3">
        <v>122.24</v>
      </c>
      <c r="M3669" s="3">
        <v>611.20000000000005</v>
      </c>
      <c r="N3669" s="3">
        <v>289</v>
      </c>
      <c r="O3669" s="3">
        <v>322.2</v>
      </c>
      <c r="P3669" s="3" t="s">
        <v>45</v>
      </c>
    </row>
    <row r="3670" spans="1:16" x14ac:dyDescent="0.35">
      <c r="A3670" s="3" t="s">
        <v>5101</v>
      </c>
      <c r="B3670" s="3" t="s">
        <v>1594</v>
      </c>
      <c r="C3670" s="3" t="s">
        <v>48</v>
      </c>
      <c r="D3670" s="3" t="s">
        <v>90</v>
      </c>
      <c r="E3670" s="3" t="s">
        <v>119</v>
      </c>
      <c r="F3670" s="3" t="s">
        <v>120</v>
      </c>
      <c r="G3670" s="3" t="s">
        <v>51</v>
      </c>
      <c r="H3670" s="3" t="s">
        <v>145</v>
      </c>
      <c r="I3670" s="3" t="s">
        <v>2743</v>
      </c>
      <c r="J3670" s="3" t="s">
        <v>85</v>
      </c>
      <c r="K3670" s="3">
        <v>7</v>
      </c>
      <c r="L3670" s="3">
        <v>124.75</v>
      </c>
      <c r="M3670" s="3">
        <v>873.25</v>
      </c>
      <c r="N3670" s="3">
        <v>421.13</v>
      </c>
      <c r="O3670" s="3">
        <v>452.12</v>
      </c>
      <c r="P3670" s="3" t="s">
        <v>86</v>
      </c>
    </row>
    <row r="3671" spans="1:16" x14ac:dyDescent="0.35">
      <c r="A3671" s="3" t="s">
        <v>5102</v>
      </c>
      <c r="B3671" s="3" t="s">
        <v>1898</v>
      </c>
      <c r="C3671" s="3" t="s">
        <v>29</v>
      </c>
      <c r="D3671" s="3" t="s">
        <v>19</v>
      </c>
      <c r="E3671" s="3" t="s">
        <v>20</v>
      </c>
      <c r="F3671" s="3" t="s">
        <v>21</v>
      </c>
      <c r="G3671" s="3" t="s">
        <v>22</v>
      </c>
      <c r="H3671" s="3" t="s">
        <v>93</v>
      </c>
      <c r="I3671" s="3" t="s">
        <v>1837</v>
      </c>
      <c r="J3671" s="3" t="s">
        <v>106</v>
      </c>
      <c r="K3671" s="3">
        <v>3</v>
      </c>
      <c r="L3671" s="3">
        <v>7295.92</v>
      </c>
      <c r="M3671" s="3">
        <v>21887.759999999998</v>
      </c>
      <c r="N3671" s="3">
        <v>14356.7</v>
      </c>
      <c r="O3671" s="3">
        <v>7531.06</v>
      </c>
      <c r="P3671" s="3" t="s">
        <v>69</v>
      </c>
    </row>
    <row r="3672" spans="1:16" x14ac:dyDescent="0.35">
      <c r="A3672" s="3" t="s">
        <v>5103</v>
      </c>
      <c r="B3672" s="3" t="s">
        <v>1999</v>
      </c>
      <c r="C3672" s="3" t="s">
        <v>114</v>
      </c>
      <c r="D3672" s="3" t="s">
        <v>58</v>
      </c>
      <c r="E3672" s="3" t="s">
        <v>65</v>
      </c>
      <c r="F3672" s="3" t="s">
        <v>66</v>
      </c>
      <c r="G3672" s="3" t="s">
        <v>30</v>
      </c>
      <c r="H3672" s="3" t="s">
        <v>73</v>
      </c>
      <c r="I3672" s="3" t="s">
        <v>3120</v>
      </c>
      <c r="J3672" s="3" t="s">
        <v>85</v>
      </c>
      <c r="K3672" s="3">
        <v>5</v>
      </c>
      <c r="L3672" s="3">
        <v>3434.29</v>
      </c>
      <c r="M3672" s="3">
        <v>17171.45</v>
      </c>
      <c r="N3672" s="3">
        <v>12052.8</v>
      </c>
      <c r="O3672" s="3">
        <v>5118.6499999999996</v>
      </c>
      <c r="P3672" s="3" t="s">
        <v>26</v>
      </c>
    </row>
    <row r="3673" spans="1:16" x14ac:dyDescent="0.35">
      <c r="A3673" s="3" t="s">
        <v>5104</v>
      </c>
      <c r="B3673" s="3" t="s">
        <v>1912</v>
      </c>
      <c r="C3673" s="3" t="s">
        <v>137</v>
      </c>
      <c r="D3673" s="3" t="s">
        <v>58</v>
      </c>
      <c r="E3673" s="3" t="s">
        <v>59</v>
      </c>
      <c r="F3673" s="3" t="s">
        <v>60</v>
      </c>
      <c r="G3673" s="3" t="s">
        <v>41</v>
      </c>
      <c r="H3673" s="3" t="s">
        <v>138</v>
      </c>
      <c r="I3673" s="3" t="s">
        <v>2938</v>
      </c>
      <c r="J3673" s="3" t="s">
        <v>85</v>
      </c>
      <c r="K3673" s="3">
        <v>8</v>
      </c>
      <c r="L3673" s="3">
        <v>18082.66</v>
      </c>
      <c r="M3673" s="3">
        <v>144661.28</v>
      </c>
      <c r="N3673" s="3">
        <v>115914.02</v>
      </c>
      <c r="O3673" s="3">
        <v>28747.26</v>
      </c>
      <c r="P3673" s="3" t="s">
        <v>45</v>
      </c>
    </row>
    <row r="3674" spans="1:16" x14ac:dyDescent="0.35">
      <c r="A3674" s="3" t="s">
        <v>5105</v>
      </c>
      <c r="B3674" s="3" t="s">
        <v>712</v>
      </c>
      <c r="C3674" s="3" t="s">
        <v>37</v>
      </c>
      <c r="D3674" s="3" t="s">
        <v>19</v>
      </c>
      <c r="E3674" s="3" t="s">
        <v>49</v>
      </c>
      <c r="F3674" s="3" t="s">
        <v>50</v>
      </c>
      <c r="G3674" s="3" t="s">
        <v>51</v>
      </c>
      <c r="H3674" s="3" t="s">
        <v>145</v>
      </c>
      <c r="I3674" s="3" t="s">
        <v>2591</v>
      </c>
      <c r="J3674" s="3" t="s">
        <v>217</v>
      </c>
      <c r="K3674" s="3">
        <v>1</v>
      </c>
      <c r="L3674" s="3">
        <v>130.41999999999999</v>
      </c>
      <c r="M3674" s="3">
        <v>130.41999999999999</v>
      </c>
      <c r="N3674" s="3">
        <v>59.86</v>
      </c>
      <c r="O3674" s="3">
        <v>70.56</v>
      </c>
      <c r="P3674" s="3" t="s">
        <v>86</v>
      </c>
    </row>
    <row r="3675" spans="1:16" x14ac:dyDescent="0.35">
      <c r="A3675" s="3" t="s">
        <v>5106</v>
      </c>
      <c r="B3675" s="3" t="s">
        <v>417</v>
      </c>
      <c r="C3675" s="3" t="s">
        <v>37</v>
      </c>
      <c r="D3675" s="3" t="s">
        <v>19</v>
      </c>
      <c r="E3675" s="3" t="s">
        <v>49</v>
      </c>
      <c r="F3675" s="3" t="s">
        <v>50</v>
      </c>
      <c r="G3675" s="3" t="s">
        <v>22</v>
      </c>
      <c r="H3675" s="3" t="s">
        <v>83</v>
      </c>
      <c r="I3675" s="3" t="s">
        <v>1973</v>
      </c>
      <c r="J3675" s="3" t="s">
        <v>44</v>
      </c>
      <c r="K3675" s="3">
        <v>3</v>
      </c>
      <c r="L3675" s="3">
        <v>22172.02</v>
      </c>
      <c r="M3675" s="3">
        <v>66516.06</v>
      </c>
      <c r="N3675" s="3">
        <v>49210.27</v>
      </c>
      <c r="O3675" s="3">
        <v>17305.79</v>
      </c>
      <c r="P3675" s="3" t="s">
        <v>69</v>
      </c>
    </row>
    <row r="3676" spans="1:16" x14ac:dyDescent="0.35">
      <c r="A3676" s="3" t="s">
        <v>5107</v>
      </c>
      <c r="B3676" s="3" t="s">
        <v>294</v>
      </c>
      <c r="C3676" s="3" t="s">
        <v>103</v>
      </c>
      <c r="D3676" s="3" t="s">
        <v>38</v>
      </c>
      <c r="E3676" s="3" t="s">
        <v>39</v>
      </c>
      <c r="F3676" s="3" t="s">
        <v>40</v>
      </c>
      <c r="G3676" s="3" t="s">
        <v>30</v>
      </c>
      <c r="H3676" s="3" t="s">
        <v>31</v>
      </c>
      <c r="I3676" s="3" t="s">
        <v>2821</v>
      </c>
      <c r="J3676" s="3" t="s">
        <v>106</v>
      </c>
      <c r="K3676" s="3">
        <v>6</v>
      </c>
      <c r="L3676" s="3">
        <v>3028.51</v>
      </c>
      <c r="M3676" s="3">
        <v>18171.060000000001</v>
      </c>
      <c r="N3676" s="3">
        <v>10901.42</v>
      </c>
      <c r="O3676" s="3">
        <v>7269.64</v>
      </c>
      <c r="P3676" s="3" t="s">
        <v>26</v>
      </c>
    </row>
    <row r="3677" spans="1:16" x14ac:dyDescent="0.35">
      <c r="A3677" s="3" t="s">
        <v>5108</v>
      </c>
      <c r="B3677" s="3" t="s">
        <v>219</v>
      </c>
      <c r="C3677" s="3" t="s">
        <v>72</v>
      </c>
      <c r="D3677" s="3" t="s">
        <v>90</v>
      </c>
      <c r="E3677" s="3" t="s">
        <v>97</v>
      </c>
      <c r="F3677" s="3" t="s">
        <v>98</v>
      </c>
      <c r="G3677" s="3" t="s">
        <v>41</v>
      </c>
      <c r="H3677" s="3" t="s">
        <v>61</v>
      </c>
      <c r="I3677" s="3" t="s">
        <v>399</v>
      </c>
      <c r="J3677" s="3" t="s">
        <v>171</v>
      </c>
      <c r="K3677" s="3">
        <v>3</v>
      </c>
      <c r="L3677" s="3">
        <v>2616.4</v>
      </c>
      <c r="M3677" s="3">
        <v>7849.2</v>
      </c>
      <c r="N3677" s="3">
        <v>4805.83</v>
      </c>
      <c r="O3677" s="3">
        <v>3043.37</v>
      </c>
      <c r="P3677" s="3" t="s">
        <v>86</v>
      </c>
    </row>
    <row r="3678" spans="1:16" x14ac:dyDescent="0.35">
      <c r="A3678" s="3" t="s">
        <v>5109</v>
      </c>
      <c r="B3678" s="3" t="s">
        <v>1182</v>
      </c>
      <c r="C3678" s="3" t="s">
        <v>48</v>
      </c>
      <c r="D3678" s="3" t="s">
        <v>58</v>
      </c>
      <c r="E3678" s="3" t="s">
        <v>176</v>
      </c>
      <c r="F3678" s="3" t="s">
        <v>177</v>
      </c>
      <c r="G3678" s="3" t="s">
        <v>41</v>
      </c>
      <c r="H3678" s="3" t="s">
        <v>61</v>
      </c>
      <c r="I3678" s="3" t="s">
        <v>3359</v>
      </c>
      <c r="J3678" s="3" t="s">
        <v>54</v>
      </c>
      <c r="K3678" s="3">
        <v>4</v>
      </c>
      <c r="L3678" s="3">
        <v>2444.29</v>
      </c>
      <c r="M3678" s="3">
        <v>9777.16</v>
      </c>
      <c r="N3678" s="3">
        <v>6622.7</v>
      </c>
      <c r="O3678" s="3">
        <v>3154.46</v>
      </c>
      <c r="P3678" s="3" t="s">
        <v>26</v>
      </c>
    </row>
    <row r="3679" spans="1:16" x14ac:dyDescent="0.35">
      <c r="A3679" s="3" t="s">
        <v>5110</v>
      </c>
      <c r="B3679" s="3" t="s">
        <v>1053</v>
      </c>
      <c r="C3679" s="3" t="s">
        <v>82</v>
      </c>
      <c r="D3679" s="3" t="s">
        <v>58</v>
      </c>
      <c r="E3679" s="3" t="s">
        <v>176</v>
      </c>
      <c r="F3679" s="3" t="s">
        <v>177</v>
      </c>
      <c r="G3679" s="3" t="s">
        <v>41</v>
      </c>
      <c r="H3679" s="3" t="s">
        <v>138</v>
      </c>
      <c r="I3679" s="3" t="s">
        <v>1449</v>
      </c>
      <c r="J3679" s="3" t="s">
        <v>106</v>
      </c>
      <c r="K3679" s="3">
        <v>8</v>
      </c>
      <c r="L3679" s="3">
        <v>17901.14</v>
      </c>
      <c r="M3679" s="3">
        <v>143209.12</v>
      </c>
      <c r="N3679" s="3">
        <v>110316.14</v>
      </c>
      <c r="O3679" s="3">
        <v>32892.980000000003</v>
      </c>
      <c r="P3679" s="3" t="s">
        <v>45</v>
      </c>
    </row>
    <row r="3680" spans="1:16" x14ac:dyDescent="0.35">
      <c r="A3680" s="3" t="s">
        <v>5111</v>
      </c>
      <c r="B3680" s="3" t="s">
        <v>752</v>
      </c>
      <c r="C3680" s="3" t="s">
        <v>29</v>
      </c>
      <c r="D3680" s="3" t="s">
        <v>19</v>
      </c>
      <c r="E3680" s="3" t="s">
        <v>49</v>
      </c>
      <c r="F3680" s="3" t="s">
        <v>50</v>
      </c>
      <c r="G3680" s="3" t="s">
        <v>22</v>
      </c>
      <c r="H3680" s="3" t="s">
        <v>23</v>
      </c>
      <c r="I3680" s="3" t="s">
        <v>659</v>
      </c>
      <c r="J3680" s="3" t="s">
        <v>44</v>
      </c>
      <c r="K3680" s="3">
        <v>5</v>
      </c>
      <c r="L3680" s="3">
        <v>3203.62</v>
      </c>
      <c r="M3680" s="3">
        <v>16018.1</v>
      </c>
      <c r="N3680" s="3">
        <v>11442.78</v>
      </c>
      <c r="O3680" s="3">
        <v>4575.32</v>
      </c>
      <c r="P3680" s="3" t="s">
        <v>45</v>
      </c>
    </row>
    <row r="3681" spans="1:16" x14ac:dyDescent="0.35">
      <c r="A3681" s="3" t="s">
        <v>5112</v>
      </c>
      <c r="B3681" s="3" t="s">
        <v>225</v>
      </c>
      <c r="C3681" s="3" t="s">
        <v>89</v>
      </c>
      <c r="D3681" s="3" t="s">
        <v>58</v>
      </c>
      <c r="E3681" s="3" t="s">
        <v>176</v>
      </c>
      <c r="F3681" s="3" t="s">
        <v>177</v>
      </c>
      <c r="G3681" s="3" t="s">
        <v>51</v>
      </c>
      <c r="H3681" s="3" t="s">
        <v>52</v>
      </c>
      <c r="I3681" s="3" t="s">
        <v>647</v>
      </c>
      <c r="J3681" s="3" t="s">
        <v>33</v>
      </c>
      <c r="K3681" s="3">
        <v>5</v>
      </c>
      <c r="L3681" s="3">
        <v>27.19</v>
      </c>
      <c r="M3681" s="3">
        <v>135.94999999999999</v>
      </c>
      <c r="N3681" s="3">
        <v>48.95</v>
      </c>
      <c r="O3681" s="3">
        <v>87</v>
      </c>
      <c r="P3681" s="3" t="s">
        <v>86</v>
      </c>
    </row>
    <row r="3682" spans="1:16" x14ac:dyDescent="0.35">
      <c r="A3682" s="3" t="s">
        <v>5113</v>
      </c>
      <c r="B3682" s="3" t="s">
        <v>987</v>
      </c>
      <c r="C3682" s="3" t="s">
        <v>82</v>
      </c>
      <c r="D3682" s="3" t="s">
        <v>38</v>
      </c>
      <c r="E3682" s="3" t="s">
        <v>104</v>
      </c>
      <c r="F3682" s="3" t="s">
        <v>104</v>
      </c>
      <c r="G3682" s="3" t="s">
        <v>30</v>
      </c>
      <c r="H3682" s="3" t="s">
        <v>31</v>
      </c>
      <c r="I3682" s="3" t="s">
        <v>1462</v>
      </c>
      <c r="J3682" s="3" t="s">
        <v>161</v>
      </c>
      <c r="K3682" s="3">
        <v>5</v>
      </c>
      <c r="L3682" s="3">
        <v>3019.41</v>
      </c>
      <c r="M3682" s="3">
        <v>15097.05</v>
      </c>
      <c r="N3682" s="3">
        <v>9797.06</v>
      </c>
      <c r="O3682" s="3">
        <v>5299.99</v>
      </c>
      <c r="P3682" s="3" t="s">
        <v>34</v>
      </c>
    </row>
    <row r="3683" spans="1:16" x14ac:dyDescent="0.35">
      <c r="A3683" s="3" t="s">
        <v>5114</v>
      </c>
      <c r="B3683" s="3" t="s">
        <v>315</v>
      </c>
      <c r="C3683" s="3" t="s">
        <v>118</v>
      </c>
      <c r="D3683" s="3" t="s">
        <v>90</v>
      </c>
      <c r="E3683" s="3" t="s">
        <v>97</v>
      </c>
      <c r="F3683" s="3" t="s">
        <v>98</v>
      </c>
      <c r="G3683" s="3" t="s">
        <v>30</v>
      </c>
      <c r="H3683" s="3" t="s">
        <v>31</v>
      </c>
      <c r="I3683" s="3" t="s">
        <v>280</v>
      </c>
      <c r="J3683" s="3" t="s">
        <v>154</v>
      </c>
      <c r="K3683" s="3">
        <v>2</v>
      </c>
      <c r="L3683" s="3">
        <v>2551.23</v>
      </c>
      <c r="M3683" s="3">
        <v>5102.46</v>
      </c>
      <c r="N3683" s="3">
        <v>3687.13</v>
      </c>
      <c r="O3683" s="3">
        <v>1415.33</v>
      </c>
      <c r="P3683" s="3" t="s">
        <v>69</v>
      </c>
    </row>
    <row r="3684" spans="1:16" x14ac:dyDescent="0.35">
      <c r="A3684" s="3" t="s">
        <v>5115</v>
      </c>
      <c r="B3684" s="3" t="s">
        <v>412</v>
      </c>
      <c r="C3684" s="3" t="s">
        <v>48</v>
      </c>
      <c r="D3684" s="3" t="s">
        <v>58</v>
      </c>
      <c r="E3684" s="3" t="s">
        <v>176</v>
      </c>
      <c r="F3684" s="3" t="s">
        <v>177</v>
      </c>
      <c r="G3684" s="3" t="s">
        <v>30</v>
      </c>
      <c r="H3684" s="3" t="s">
        <v>67</v>
      </c>
      <c r="I3684" s="3" t="s">
        <v>2843</v>
      </c>
      <c r="J3684" s="3" t="s">
        <v>33</v>
      </c>
      <c r="K3684" s="3">
        <v>8</v>
      </c>
      <c r="L3684" s="3">
        <v>9730.93</v>
      </c>
      <c r="M3684" s="3">
        <v>77847.44</v>
      </c>
      <c r="N3684" s="3">
        <v>61697.88</v>
      </c>
      <c r="O3684" s="3">
        <v>16149.56</v>
      </c>
      <c r="P3684" s="3" t="s">
        <v>26</v>
      </c>
    </row>
    <row r="3685" spans="1:16" x14ac:dyDescent="0.35">
      <c r="A3685" s="3" t="s">
        <v>5116</v>
      </c>
      <c r="B3685" s="3" t="s">
        <v>1612</v>
      </c>
      <c r="C3685" s="3" t="s">
        <v>48</v>
      </c>
      <c r="D3685" s="3" t="s">
        <v>58</v>
      </c>
      <c r="E3685" s="3" t="s">
        <v>176</v>
      </c>
      <c r="F3685" s="3" t="s">
        <v>177</v>
      </c>
      <c r="G3685" s="3" t="s">
        <v>22</v>
      </c>
      <c r="H3685" s="3" t="s">
        <v>83</v>
      </c>
      <c r="I3685" s="3" t="s">
        <v>1246</v>
      </c>
      <c r="J3685" s="3" t="s">
        <v>171</v>
      </c>
      <c r="K3685" s="3">
        <v>5</v>
      </c>
      <c r="L3685" s="3">
        <v>23347.95</v>
      </c>
      <c r="M3685" s="3">
        <v>116739.75</v>
      </c>
      <c r="N3685" s="3">
        <v>88484.25</v>
      </c>
      <c r="O3685" s="3">
        <v>28255.5</v>
      </c>
      <c r="P3685" s="3" t="s">
        <v>86</v>
      </c>
    </row>
    <row r="3686" spans="1:16" x14ac:dyDescent="0.35">
      <c r="A3686" s="3" t="s">
        <v>5117</v>
      </c>
      <c r="B3686" s="3" t="s">
        <v>562</v>
      </c>
      <c r="C3686" s="3" t="s">
        <v>82</v>
      </c>
      <c r="D3686" s="3" t="s">
        <v>90</v>
      </c>
      <c r="E3686" s="3" t="s">
        <v>97</v>
      </c>
      <c r="F3686" s="3" t="s">
        <v>98</v>
      </c>
      <c r="G3686" s="3" t="s">
        <v>22</v>
      </c>
      <c r="H3686" s="3" t="s">
        <v>83</v>
      </c>
      <c r="I3686" s="3" t="s">
        <v>1671</v>
      </c>
      <c r="J3686" s="3" t="s">
        <v>171</v>
      </c>
      <c r="K3686" s="3">
        <v>8</v>
      </c>
      <c r="L3686" s="3">
        <v>21013.3</v>
      </c>
      <c r="M3686" s="3">
        <v>168106.4</v>
      </c>
      <c r="N3686" s="3">
        <v>139608.85999999999</v>
      </c>
      <c r="O3686" s="3">
        <v>28497.54</v>
      </c>
      <c r="P3686" s="3" t="s">
        <v>26</v>
      </c>
    </row>
    <row r="3687" spans="1:16" x14ac:dyDescent="0.35">
      <c r="A3687" s="3" t="s">
        <v>5118</v>
      </c>
      <c r="B3687" s="3" t="s">
        <v>1623</v>
      </c>
      <c r="C3687" s="3" t="s">
        <v>29</v>
      </c>
      <c r="D3687" s="3" t="s">
        <v>58</v>
      </c>
      <c r="E3687" s="3" t="s">
        <v>65</v>
      </c>
      <c r="F3687" s="3" t="s">
        <v>66</v>
      </c>
      <c r="G3687" s="3" t="s">
        <v>51</v>
      </c>
      <c r="H3687" s="3" t="s">
        <v>77</v>
      </c>
      <c r="I3687" s="3" t="s">
        <v>1447</v>
      </c>
      <c r="J3687" s="3" t="s">
        <v>131</v>
      </c>
      <c r="K3687" s="3">
        <v>3</v>
      </c>
      <c r="L3687" s="3">
        <v>12957.85</v>
      </c>
      <c r="M3687" s="3">
        <v>38873.550000000003</v>
      </c>
      <c r="N3687" s="3">
        <v>26051.62</v>
      </c>
      <c r="O3687" s="3">
        <v>12821.93</v>
      </c>
      <c r="P3687" s="3" t="s">
        <v>86</v>
      </c>
    </row>
    <row r="3688" spans="1:16" x14ac:dyDescent="0.35">
      <c r="A3688" s="3" t="s">
        <v>5119</v>
      </c>
      <c r="B3688" s="3" t="s">
        <v>2343</v>
      </c>
      <c r="C3688" s="3" t="s">
        <v>103</v>
      </c>
      <c r="D3688" s="3" t="s">
        <v>19</v>
      </c>
      <c r="E3688" s="3" t="s">
        <v>49</v>
      </c>
      <c r="F3688" s="3" t="s">
        <v>50</v>
      </c>
      <c r="G3688" s="3" t="s">
        <v>41</v>
      </c>
      <c r="H3688" s="3" t="s">
        <v>61</v>
      </c>
      <c r="I3688" s="3" t="s">
        <v>557</v>
      </c>
      <c r="J3688" s="3" t="s">
        <v>33</v>
      </c>
      <c r="K3688" s="3">
        <v>4</v>
      </c>
      <c r="L3688" s="3">
        <v>2549.42</v>
      </c>
      <c r="M3688" s="3">
        <v>10197.68</v>
      </c>
      <c r="N3688" s="3">
        <v>6346.63</v>
      </c>
      <c r="O3688" s="3">
        <v>3851.05</v>
      </c>
      <c r="P3688" s="3" t="s">
        <v>69</v>
      </c>
    </row>
    <row r="3689" spans="1:16" x14ac:dyDescent="0.35">
      <c r="A3689" s="3" t="s">
        <v>5120</v>
      </c>
      <c r="B3689" s="3" t="s">
        <v>28</v>
      </c>
      <c r="C3689" s="3" t="s">
        <v>29</v>
      </c>
      <c r="D3689" s="3" t="s">
        <v>90</v>
      </c>
      <c r="E3689" s="3" t="s">
        <v>97</v>
      </c>
      <c r="F3689" s="3" t="s">
        <v>98</v>
      </c>
      <c r="G3689" s="3" t="s">
        <v>30</v>
      </c>
      <c r="H3689" s="3" t="s">
        <v>31</v>
      </c>
      <c r="I3689" s="3" t="s">
        <v>525</v>
      </c>
      <c r="J3689" s="3" t="s">
        <v>100</v>
      </c>
      <c r="K3689" s="3">
        <v>2</v>
      </c>
      <c r="L3689" s="3">
        <v>2971.37</v>
      </c>
      <c r="M3689" s="3">
        <v>5942.74</v>
      </c>
      <c r="N3689" s="3">
        <v>3986.99</v>
      </c>
      <c r="O3689" s="3">
        <v>1955.75</v>
      </c>
      <c r="P3689" s="3" t="s">
        <v>34</v>
      </c>
    </row>
    <row r="3690" spans="1:16" x14ac:dyDescent="0.35">
      <c r="A3690" s="3" t="s">
        <v>5121</v>
      </c>
      <c r="B3690" s="3" t="s">
        <v>288</v>
      </c>
      <c r="C3690" s="3" t="s">
        <v>118</v>
      </c>
      <c r="D3690" s="3" t="s">
        <v>90</v>
      </c>
      <c r="E3690" s="3" t="s">
        <v>97</v>
      </c>
      <c r="F3690" s="3" t="s">
        <v>98</v>
      </c>
      <c r="G3690" s="3" t="s">
        <v>51</v>
      </c>
      <c r="H3690" s="3" t="s">
        <v>52</v>
      </c>
      <c r="I3690" s="3" t="s">
        <v>3115</v>
      </c>
      <c r="J3690" s="3" t="s">
        <v>147</v>
      </c>
      <c r="K3690" s="3">
        <v>5</v>
      </c>
      <c r="L3690" s="3">
        <v>24.16</v>
      </c>
      <c r="M3690" s="3">
        <v>120.8</v>
      </c>
      <c r="N3690" s="3">
        <v>47.71</v>
      </c>
      <c r="O3690" s="3">
        <v>73.09</v>
      </c>
      <c r="P3690" s="3" t="s">
        <v>69</v>
      </c>
    </row>
    <row r="3691" spans="1:16" x14ac:dyDescent="0.35">
      <c r="A3691" s="3" t="s">
        <v>5122</v>
      </c>
      <c r="B3691" s="3" t="s">
        <v>102</v>
      </c>
      <c r="C3691" s="3" t="s">
        <v>103</v>
      </c>
      <c r="D3691" s="3" t="s">
        <v>19</v>
      </c>
      <c r="E3691" s="3" t="s">
        <v>49</v>
      </c>
      <c r="F3691" s="3" t="s">
        <v>50</v>
      </c>
      <c r="G3691" s="3" t="s">
        <v>22</v>
      </c>
      <c r="H3691" s="3" t="s">
        <v>23</v>
      </c>
      <c r="I3691" s="3" t="s">
        <v>1950</v>
      </c>
      <c r="J3691" s="3" t="s">
        <v>154</v>
      </c>
      <c r="K3691" s="3">
        <v>6</v>
      </c>
      <c r="L3691" s="3">
        <v>3671.69</v>
      </c>
      <c r="M3691" s="3">
        <v>22030.14</v>
      </c>
      <c r="N3691" s="3">
        <v>12544.75</v>
      </c>
      <c r="O3691" s="3">
        <v>9485.39</v>
      </c>
      <c r="P3691" s="3" t="s">
        <v>45</v>
      </c>
    </row>
    <row r="3692" spans="1:16" x14ac:dyDescent="0.35">
      <c r="A3692" s="3" t="s">
        <v>5123</v>
      </c>
      <c r="B3692" s="3" t="s">
        <v>242</v>
      </c>
      <c r="C3692" s="3" t="s">
        <v>137</v>
      </c>
      <c r="D3692" s="3" t="s">
        <v>58</v>
      </c>
      <c r="E3692" s="3" t="s">
        <v>59</v>
      </c>
      <c r="F3692" s="3" t="s">
        <v>60</v>
      </c>
      <c r="G3692" s="3" t="s">
        <v>51</v>
      </c>
      <c r="H3692" s="3" t="s">
        <v>52</v>
      </c>
      <c r="I3692" s="3" t="s">
        <v>662</v>
      </c>
      <c r="J3692" s="3" t="s">
        <v>106</v>
      </c>
      <c r="K3692" s="3">
        <v>5</v>
      </c>
      <c r="L3692" s="3">
        <v>26.3</v>
      </c>
      <c r="M3692" s="3">
        <v>131.5</v>
      </c>
      <c r="N3692" s="3">
        <v>48.21</v>
      </c>
      <c r="O3692" s="3">
        <v>83.29</v>
      </c>
      <c r="P3692" s="3" t="s">
        <v>69</v>
      </c>
    </row>
    <row r="3693" spans="1:16" x14ac:dyDescent="0.35">
      <c r="A3693" s="3" t="s">
        <v>5124</v>
      </c>
      <c r="B3693" s="3" t="s">
        <v>438</v>
      </c>
      <c r="C3693" s="3" t="s">
        <v>89</v>
      </c>
      <c r="D3693" s="3" t="s">
        <v>38</v>
      </c>
      <c r="E3693" s="3" t="s">
        <v>109</v>
      </c>
      <c r="F3693" s="3" t="s">
        <v>110</v>
      </c>
      <c r="G3693" s="3" t="s">
        <v>22</v>
      </c>
      <c r="H3693" s="3" t="s">
        <v>93</v>
      </c>
      <c r="I3693" s="3" t="s">
        <v>514</v>
      </c>
      <c r="J3693" s="3" t="s">
        <v>188</v>
      </c>
      <c r="K3693" s="3">
        <v>4</v>
      </c>
      <c r="L3693" s="3">
        <v>6952.42</v>
      </c>
      <c r="M3693" s="3">
        <v>27809.68</v>
      </c>
      <c r="N3693" s="3">
        <v>20622.560000000001</v>
      </c>
      <c r="O3693" s="3">
        <v>7187.12</v>
      </c>
      <c r="P3693" s="3" t="s">
        <v>26</v>
      </c>
    </row>
    <row r="3694" spans="1:16" x14ac:dyDescent="0.35">
      <c r="A3694" s="3" t="s">
        <v>5125</v>
      </c>
      <c r="B3694" s="3" t="s">
        <v>539</v>
      </c>
      <c r="C3694" s="3" t="s">
        <v>89</v>
      </c>
      <c r="D3694" s="3" t="s">
        <v>90</v>
      </c>
      <c r="E3694" s="3" t="s">
        <v>97</v>
      </c>
      <c r="F3694" s="3" t="s">
        <v>98</v>
      </c>
      <c r="G3694" s="3" t="s">
        <v>30</v>
      </c>
      <c r="H3694" s="3" t="s">
        <v>67</v>
      </c>
      <c r="I3694" s="3" t="s">
        <v>216</v>
      </c>
      <c r="J3694" s="3" t="s">
        <v>217</v>
      </c>
      <c r="K3694" s="3">
        <v>6</v>
      </c>
      <c r="L3694" s="3">
        <v>10051.01</v>
      </c>
      <c r="M3694" s="3">
        <v>60306.06</v>
      </c>
      <c r="N3694" s="3">
        <v>44741.08</v>
      </c>
      <c r="O3694" s="3">
        <v>15564.98</v>
      </c>
      <c r="P3694" s="3" t="s">
        <v>26</v>
      </c>
    </row>
    <row r="3695" spans="1:16" x14ac:dyDescent="0.35">
      <c r="A3695" s="3" t="s">
        <v>5126</v>
      </c>
      <c r="B3695" s="3" t="s">
        <v>1600</v>
      </c>
      <c r="C3695" s="3" t="s">
        <v>103</v>
      </c>
      <c r="D3695" s="3" t="s">
        <v>58</v>
      </c>
      <c r="E3695" s="3" t="s">
        <v>59</v>
      </c>
      <c r="F3695" s="3" t="s">
        <v>60</v>
      </c>
      <c r="G3695" s="3" t="s">
        <v>41</v>
      </c>
      <c r="H3695" s="3" t="s">
        <v>42</v>
      </c>
      <c r="I3695" s="3" t="s">
        <v>134</v>
      </c>
      <c r="J3695" s="3" t="s">
        <v>100</v>
      </c>
      <c r="K3695" s="3">
        <v>5</v>
      </c>
      <c r="L3695" s="3">
        <v>44771.54</v>
      </c>
      <c r="M3695" s="3">
        <v>223857.7</v>
      </c>
      <c r="N3695" s="3">
        <v>182536.42</v>
      </c>
      <c r="O3695" s="3">
        <v>41321.279999999999</v>
      </c>
      <c r="P3695" s="3" t="s">
        <v>45</v>
      </c>
    </row>
    <row r="3696" spans="1:16" x14ac:dyDescent="0.35">
      <c r="A3696" s="3" t="s">
        <v>5127</v>
      </c>
      <c r="B3696" s="3" t="s">
        <v>1910</v>
      </c>
      <c r="C3696" s="3" t="s">
        <v>29</v>
      </c>
      <c r="D3696" s="3" t="s">
        <v>90</v>
      </c>
      <c r="E3696" s="3" t="s">
        <v>119</v>
      </c>
      <c r="F3696" s="3" t="s">
        <v>120</v>
      </c>
      <c r="G3696" s="3" t="s">
        <v>51</v>
      </c>
      <c r="H3696" s="3" t="s">
        <v>77</v>
      </c>
      <c r="I3696" s="3" t="s">
        <v>1006</v>
      </c>
      <c r="J3696" s="3" t="s">
        <v>188</v>
      </c>
      <c r="K3696" s="3">
        <v>7</v>
      </c>
      <c r="L3696" s="3">
        <v>11625.51</v>
      </c>
      <c r="M3696" s="3">
        <v>81378.570000000007</v>
      </c>
      <c r="N3696" s="3">
        <v>64983.58</v>
      </c>
      <c r="O3696" s="3">
        <v>16394.990000000002</v>
      </c>
      <c r="P3696" s="3" t="s">
        <v>86</v>
      </c>
    </row>
    <row r="3697" spans="1:16" x14ac:dyDescent="0.35">
      <c r="A3697" s="3" t="s">
        <v>5128</v>
      </c>
      <c r="B3697" s="3" t="s">
        <v>1294</v>
      </c>
      <c r="C3697" s="3" t="s">
        <v>118</v>
      </c>
      <c r="D3697" s="3" t="s">
        <v>19</v>
      </c>
      <c r="E3697" s="3" t="s">
        <v>20</v>
      </c>
      <c r="F3697" s="3" t="s">
        <v>21</v>
      </c>
      <c r="G3697" s="3" t="s">
        <v>22</v>
      </c>
      <c r="H3697" s="3" t="s">
        <v>93</v>
      </c>
      <c r="I3697" s="3" t="s">
        <v>1078</v>
      </c>
      <c r="J3697" s="3" t="s">
        <v>54</v>
      </c>
      <c r="K3697" s="3">
        <v>7</v>
      </c>
      <c r="L3697" s="3">
        <v>7655.2</v>
      </c>
      <c r="M3697" s="3">
        <v>53586.400000000001</v>
      </c>
      <c r="N3697" s="3">
        <v>36012.58</v>
      </c>
      <c r="O3697" s="3">
        <v>17573.82</v>
      </c>
      <c r="P3697" s="3" t="s">
        <v>69</v>
      </c>
    </row>
    <row r="3698" spans="1:16" x14ac:dyDescent="0.35">
      <c r="A3698" s="3" t="s">
        <v>5129</v>
      </c>
      <c r="B3698" s="3" t="s">
        <v>1755</v>
      </c>
      <c r="C3698" s="3" t="s">
        <v>57</v>
      </c>
      <c r="D3698" s="3" t="s">
        <v>90</v>
      </c>
      <c r="E3698" s="3" t="s">
        <v>97</v>
      </c>
      <c r="F3698" s="3" t="s">
        <v>98</v>
      </c>
      <c r="G3698" s="3" t="s">
        <v>22</v>
      </c>
      <c r="H3698" s="3" t="s">
        <v>93</v>
      </c>
      <c r="I3698" s="3" t="s">
        <v>1924</v>
      </c>
      <c r="J3698" s="3" t="s">
        <v>147</v>
      </c>
      <c r="K3698" s="3">
        <v>4</v>
      </c>
      <c r="L3698" s="3">
        <v>6316.89</v>
      </c>
      <c r="M3698" s="3">
        <v>25267.56</v>
      </c>
      <c r="N3698" s="3">
        <v>19248.990000000002</v>
      </c>
      <c r="O3698" s="3">
        <v>6018.57</v>
      </c>
      <c r="P3698" s="3" t="s">
        <v>45</v>
      </c>
    </row>
    <row r="3699" spans="1:16" x14ac:dyDescent="0.35">
      <c r="A3699" s="3" t="s">
        <v>5130</v>
      </c>
      <c r="B3699" s="3" t="s">
        <v>856</v>
      </c>
      <c r="C3699" s="3" t="s">
        <v>103</v>
      </c>
      <c r="D3699" s="3" t="s">
        <v>38</v>
      </c>
      <c r="E3699" s="3" t="s">
        <v>39</v>
      </c>
      <c r="F3699" s="3" t="s">
        <v>40</v>
      </c>
      <c r="G3699" s="3" t="s">
        <v>51</v>
      </c>
      <c r="H3699" s="3" t="s">
        <v>145</v>
      </c>
      <c r="I3699" s="3" t="s">
        <v>771</v>
      </c>
      <c r="J3699" s="3" t="s">
        <v>25</v>
      </c>
      <c r="K3699" s="3">
        <v>5</v>
      </c>
      <c r="L3699" s="3">
        <v>108.76</v>
      </c>
      <c r="M3699" s="3">
        <v>543.79999999999995</v>
      </c>
      <c r="N3699" s="3">
        <v>310.24</v>
      </c>
      <c r="O3699" s="3">
        <v>233.56</v>
      </c>
      <c r="P3699" s="3" t="s">
        <v>86</v>
      </c>
    </row>
    <row r="3700" spans="1:16" x14ac:dyDescent="0.35">
      <c r="A3700" s="3" t="s">
        <v>5131</v>
      </c>
      <c r="B3700" s="3" t="s">
        <v>685</v>
      </c>
      <c r="C3700" s="3" t="s">
        <v>137</v>
      </c>
      <c r="D3700" s="3" t="s">
        <v>90</v>
      </c>
      <c r="E3700" s="3" t="s">
        <v>91</v>
      </c>
      <c r="F3700" s="3" t="s">
        <v>92</v>
      </c>
      <c r="G3700" s="3" t="s">
        <v>51</v>
      </c>
      <c r="H3700" s="3" t="s">
        <v>145</v>
      </c>
      <c r="I3700" s="3" t="s">
        <v>1231</v>
      </c>
      <c r="J3700" s="3" t="s">
        <v>147</v>
      </c>
      <c r="K3700" s="3">
        <v>4</v>
      </c>
      <c r="L3700" s="3">
        <v>109.57</v>
      </c>
      <c r="M3700" s="3">
        <v>438.28</v>
      </c>
      <c r="N3700" s="3">
        <v>250.39</v>
      </c>
      <c r="O3700" s="3">
        <v>187.89</v>
      </c>
      <c r="P3700" s="3" t="s">
        <v>69</v>
      </c>
    </row>
    <row r="3701" spans="1:16" x14ac:dyDescent="0.35">
      <c r="A3701" s="3" t="s">
        <v>5132</v>
      </c>
      <c r="B3701" s="3" t="s">
        <v>1113</v>
      </c>
      <c r="C3701" s="3" t="s">
        <v>82</v>
      </c>
      <c r="D3701" s="3" t="s">
        <v>38</v>
      </c>
      <c r="E3701" s="3" t="s">
        <v>109</v>
      </c>
      <c r="F3701" s="3" t="s">
        <v>110</v>
      </c>
      <c r="G3701" s="3" t="s">
        <v>30</v>
      </c>
      <c r="H3701" s="3" t="s">
        <v>31</v>
      </c>
      <c r="I3701" s="3" t="s">
        <v>371</v>
      </c>
      <c r="J3701" s="3" t="s">
        <v>106</v>
      </c>
      <c r="K3701" s="3">
        <v>5</v>
      </c>
      <c r="L3701" s="3">
        <v>2725.66</v>
      </c>
      <c r="M3701" s="3">
        <v>13628.3</v>
      </c>
      <c r="N3701" s="3">
        <v>9101.2199999999993</v>
      </c>
      <c r="O3701" s="3">
        <v>4527.08</v>
      </c>
      <c r="P3701" s="3" t="s">
        <v>34</v>
      </c>
    </row>
    <row r="3702" spans="1:16" x14ac:dyDescent="0.35">
      <c r="A3702" s="3" t="s">
        <v>5133</v>
      </c>
      <c r="B3702" s="3" t="s">
        <v>866</v>
      </c>
      <c r="C3702" s="3" t="s">
        <v>72</v>
      </c>
      <c r="D3702" s="3" t="s">
        <v>38</v>
      </c>
      <c r="E3702" s="3" t="s">
        <v>39</v>
      </c>
      <c r="F3702" s="3" t="s">
        <v>40</v>
      </c>
      <c r="G3702" s="3" t="s">
        <v>30</v>
      </c>
      <c r="H3702" s="3" t="s">
        <v>67</v>
      </c>
      <c r="I3702" s="3" t="s">
        <v>2721</v>
      </c>
      <c r="J3702" s="3" t="s">
        <v>147</v>
      </c>
      <c r="K3702" s="3">
        <v>1</v>
      </c>
      <c r="L3702" s="3">
        <v>9248.6299999999992</v>
      </c>
      <c r="M3702" s="3">
        <v>9248.6299999999992</v>
      </c>
      <c r="N3702" s="3">
        <v>7798.11</v>
      </c>
      <c r="O3702" s="3">
        <v>1450.52</v>
      </c>
      <c r="P3702" s="3" t="s">
        <v>86</v>
      </c>
    </row>
    <row r="3703" spans="1:16" x14ac:dyDescent="0.35">
      <c r="A3703" s="3" t="s">
        <v>5134</v>
      </c>
      <c r="B3703" s="3" t="s">
        <v>1053</v>
      </c>
      <c r="C3703" s="3" t="s">
        <v>82</v>
      </c>
      <c r="D3703" s="3" t="s">
        <v>19</v>
      </c>
      <c r="E3703" s="3" t="s">
        <v>49</v>
      </c>
      <c r="F3703" s="3" t="s">
        <v>50</v>
      </c>
      <c r="G3703" s="3" t="s">
        <v>51</v>
      </c>
      <c r="H3703" s="3" t="s">
        <v>145</v>
      </c>
      <c r="I3703" s="3" t="s">
        <v>325</v>
      </c>
      <c r="J3703" s="3" t="s">
        <v>161</v>
      </c>
      <c r="K3703" s="3">
        <v>1</v>
      </c>
      <c r="L3703" s="3">
        <v>131.78</v>
      </c>
      <c r="M3703" s="3">
        <v>131.78</v>
      </c>
      <c r="N3703" s="3">
        <v>61.8</v>
      </c>
      <c r="O3703" s="3">
        <v>69.98</v>
      </c>
      <c r="P3703" s="3" t="s">
        <v>34</v>
      </c>
    </row>
    <row r="3704" spans="1:16" x14ac:dyDescent="0.35">
      <c r="A3704" s="3" t="s">
        <v>5135</v>
      </c>
      <c r="B3704" s="3" t="s">
        <v>1082</v>
      </c>
      <c r="C3704" s="3" t="s">
        <v>114</v>
      </c>
      <c r="D3704" s="3" t="s">
        <v>38</v>
      </c>
      <c r="E3704" s="3" t="s">
        <v>104</v>
      </c>
      <c r="F3704" s="3" t="s">
        <v>104</v>
      </c>
      <c r="G3704" s="3" t="s">
        <v>41</v>
      </c>
      <c r="H3704" s="3" t="s">
        <v>61</v>
      </c>
      <c r="I3704" s="3" t="s">
        <v>422</v>
      </c>
      <c r="J3704" s="3" t="s">
        <v>171</v>
      </c>
      <c r="K3704" s="3">
        <v>3</v>
      </c>
      <c r="L3704" s="3">
        <v>2594.98</v>
      </c>
      <c r="M3704" s="3">
        <v>7784.94</v>
      </c>
      <c r="N3704" s="3">
        <v>4853.45</v>
      </c>
      <c r="O3704" s="3">
        <v>2931.49</v>
      </c>
      <c r="P3704" s="3" t="s">
        <v>45</v>
      </c>
    </row>
    <row r="3705" spans="1:16" x14ac:dyDescent="0.35">
      <c r="A3705" s="3" t="s">
        <v>5136</v>
      </c>
      <c r="B3705" s="3" t="s">
        <v>562</v>
      </c>
      <c r="C3705" s="3" t="s">
        <v>82</v>
      </c>
      <c r="D3705" s="3" t="s">
        <v>38</v>
      </c>
      <c r="E3705" s="3" t="s">
        <v>109</v>
      </c>
      <c r="F3705" s="3" t="s">
        <v>110</v>
      </c>
      <c r="G3705" s="3" t="s">
        <v>41</v>
      </c>
      <c r="H3705" s="3" t="s">
        <v>61</v>
      </c>
      <c r="I3705" s="3" t="s">
        <v>4083</v>
      </c>
      <c r="J3705" s="3" t="s">
        <v>25</v>
      </c>
      <c r="K3705" s="3">
        <v>5</v>
      </c>
      <c r="L3705" s="3">
        <v>2607.27</v>
      </c>
      <c r="M3705" s="3">
        <v>13036.35</v>
      </c>
      <c r="N3705" s="3">
        <v>7647.84</v>
      </c>
      <c r="O3705" s="3">
        <v>5388.51</v>
      </c>
      <c r="P3705" s="3" t="s">
        <v>26</v>
      </c>
    </row>
    <row r="3706" spans="1:16" x14ac:dyDescent="0.35">
      <c r="A3706" s="3" t="s">
        <v>5137</v>
      </c>
      <c r="B3706" s="3" t="s">
        <v>455</v>
      </c>
      <c r="C3706" s="3" t="s">
        <v>18</v>
      </c>
      <c r="D3706" s="3" t="s">
        <v>90</v>
      </c>
      <c r="E3706" s="3" t="s">
        <v>97</v>
      </c>
      <c r="F3706" s="3" t="s">
        <v>98</v>
      </c>
      <c r="G3706" s="3" t="s">
        <v>22</v>
      </c>
      <c r="H3706" s="3" t="s">
        <v>93</v>
      </c>
      <c r="I3706" s="3" t="s">
        <v>4597</v>
      </c>
      <c r="J3706" s="3" t="s">
        <v>100</v>
      </c>
      <c r="K3706" s="3">
        <v>8</v>
      </c>
      <c r="L3706" s="3">
        <v>7259.11</v>
      </c>
      <c r="M3706" s="3">
        <v>58072.88</v>
      </c>
      <c r="N3706" s="3">
        <v>41991.98</v>
      </c>
      <c r="O3706" s="3">
        <v>16080.9</v>
      </c>
      <c r="P3706" s="3" t="s">
        <v>45</v>
      </c>
    </row>
    <row r="3707" spans="1:16" x14ac:dyDescent="0.35">
      <c r="A3707" s="3" t="s">
        <v>5138</v>
      </c>
      <c r="B3707" s="3" t="s">
        <v>347</v>
      </c>
      <c r="C3707" s="3" t="s">
        <v>57</v>
      </c>
      <c r="D3707" s="3" t="s">
        <v>19</v>
      </c>
      <c r="E3707" s="3" t="s">
        <v>49</v>
      </c>
      <c r="F3707" s="3" t="s">
        <v>50</v>
      </c>
      <c r="G3707" s="3" t="s">
        <v>30</v>
      </c>
      <c r="H3707" s="3" t="s">
        <v>73</v>
      </c>
      <c r="I3707" s="3" t="s">
        <v>1029</v>
      </c>
      <c r="J3707" s="3" t="s">
        <v>44</v>
      </c>
      <c r="K3707" s="3">
        <v>5</v>
      </c>
      <c r="L3707" s="3">
        <v>3196.48</v>
      </c>
      <c r="M3707" s="3">
        <v>15982.4</v>
      </c>
      <c r="N3707" s="3">
        <v>11470.72</v>
      </c>
      <c r="O3707" s="3">
        <v>4511.68</v>
      </c>
      <c r="P3707" s="3" t="s">
        <v>69</v>
      </c>
    </row>
    <row r="3708" spans="1:16" x14ac:dyDescent="0.35">
      <c r="A3708" s="3" t="s">
        <v>5139</v>
      </c>
      <c r="B3708" s="3" t="s">
        <v>1727</v>
      </c>
      <c r="C3708" s="3" t="s">
        <v>89</v>
      </c>
      <c r="D3708" s="3" t="s">
        <v>58</v>
      </c>
      <c r="E3708" s="3" t="s">
        <v>59</v>
      </c>
      <c r="F3708" s="3" t="s">
        <v>60</v>
      </c>
      <c r="G3708" s="3" t="s">
        <v>51</v>
      </c>
      <c r="H3708" s="3" t="s">
        <v>52</v>
      </c>
      <c r="I3708" s="3" t="s">
        <v>2467</v>
      </c>
      <c r="J3708" s="3" t="s">
        <v>44</v>
      </c>
      <c r="K3708" s="3">
        <v>4</v>
      </c>
      <c r="L3708" s="3">
        <v>22.82</v>
      </c>
      <c r="M3708" s="3">
        <v>91.28</v>
      </c>
      <c r="N3708" s="3">
        <v>39.799999999999997</v>
      </c>
      <c r="O3708" s="3">
        <v>51.48</v>
      </c>
      <c r="P3708" s="3" t="s">
        <v>45</v>
      </c>
    </row>
    <row r="3709" spans="1:16" x14ac:dyDescent="0.35">
      <c r="A3709" s="3" t="s">
        <v>5140</v>
      </c>
      <c r="B3709" s="3" t="s">
        <v>717</v>
      </c>
      <c r="C3709" s="3" t="s">
        <v>114</v>
      </c>
      <c r="D3709" s="3" t="s">
        <v>38</v>
      </c>
      <c r="E3709" s="3" t="s">
        <v>104</v>
      </c>
      <c r="F3709" s="3" t="s">
        <v>104</v>
      </c>
      <c r="G3709" s="3" t="s">
        <v>30</v>
      </c>
      <c r="H3709" s="3" t="s">
        <v>73</v>
      </c>
      <c r="I3709" s="3" t="s">
        <v>3034</v>
      </c>
      <c r="J3709" s="3" t="s">
        <v>79</v>
      </c>
      <c r="K3709" s="3">
        <v>8</v>
      </c>
      <c r="L3709" s="3">
        <v>3464.79</v>
      </c>
      <c r="M3709" s="3">
        <v>27718.32</v>
      </c>
      <c r="N3709" s="3">
        <v>18653.38</v>
      </c>
      <c r="O3709" s="3">
        <v>9064.94</v>
      </c>
      <c r="P3709" s="3" t="s">
        <v>69</v>
      </c>
    </row>
    <row r="3710" spans="1:16" x14ac:dyDescent="0.35">
      <c r="A3710" s="3" t="s">
        <v>5141</v>
      </c>
      <c r="B3710" s="3" t="s">
        <v>675</v>
      </c>
      <c r="C3710" s="3" t="s">
        <v>82</v>
      </c>
      <c r="D3710" s="3" t="s">
        <v>19</v>
      </c>
      <c r="E3710" s="3" t="s">
        <v>49</v>
      </c>
      <c r="F3710" s="3" t="s">
        <v>50</v>
      </c>
      <c r="G3710" s="3" t="s">
        <v>30</v>
      </c>
      <c r="H3710" s="3" t="s">
        <v>67</v>
      </c>
      <c r="I3710" s="3" t="s">
        <v>4413</v>
      </c>
      <c r="J3710" s="3" t="s">
        <v>131</v>
      </c>
      <c r="K3710" s="3">
        <v>3</v>
      </c>
      <c r="L3710" s="3">
        <v>10320.57</v>
      </c>
      <c r="M3710" s="3">
        <v>30961.71</v>
      </c>
      <c r="N3710" s="3">
        <v>23656.67</v>
      </c>
      <c r="O3710" s="3">
        <v>7305.04</v>
      </c>
      <c r="P3710" s="3" t="s">
        <v>26</v>
      </c>
    </row>
    <row r="3711" spans="1:16" x14ac:dyDescent="0.35">
      <c r="A3711" s="3" t="s">
        <v>5142</v>
      </c>
      <c r="B3711" s="3" t="s">
        <v>1235</v>
      </c>
      <c r="C3711" s="3" t="s">
        <v>18</v>
      </c>
      <c r="D3711" s="3" t="s">
        <v>38</v>
      </c>
      <c r="E3711" s="3" t="s">
        <v>104</v>
      </c>
      <c r="F3711" s="3" t="s">
        <v>104</v>
      </c>
      <c r="G3711" s="3" t="s">
        <v>30</v>
      </c>
      <c r="H3711" s="3" t="s">
        <v>67</v>
      </c>
      <c r="I3711" s="3" t="s">
        <v>896</v>
      </c>
      <c r="J3711" s="3" t="s">
        <v>33</v>
      </c>
      <c r="K3711" s="3">
        <v>7</v>
      </c>
      <c r="L3711" s="3">
        <v>8886.9599999999991</v>
      </c>
      <c r="M3711" s="3">
        <v>62208.72</v>
      </c>
      <c r="N3711" s="3">
        <v>53880.07</v>
      </c>
      <c r="O3711" s="3">
        <v>8328.65</v>
      </c>
      <c r="P3711" s="3" t="s">
        <v>34</v>
      </c>
    </row>
    <row r="3712" spans="1:16" x14ac:dyDescent="0.35">
      <c r="A3712" s="3" t="s">
        <v>5143</v>
      </c>
      <c r="B3712" s="3" t="s">
        <v>2688</v>
      </c>
      <c r="C3712" s="3" t="s">
        <v>48</v>
      </c>
      <c r="D3712" s="3" t="s">
        <v>38</v>
      </c>
      <c r="E3712" s="3" t="s">
        <v>39</v>
      </c>
      <c r="F3712" s="3" t="s">
        <v>40</v>
      </c>
      <c r="G3712" s="3" t="s">
        <v>22</v>
      </c>
      <c r="H3712" s="3" t="s">
        <v>93</v>
      </c>
      <c r="I3712" s="3" t="s">
        <v>1162</v>
      </c>
      <c r="J3712" s="3" t="s">
        <v>161</v>
      </c>
      <c r="K3712" s="3">
        <v>6</v>
      </c>
      <c r="L3712" s="3">
        <v>7270.01</v>
      </c>
      <c r="M3712" s="3">
        <v>43620.06</v>
      </c>
      <c r="N3712" s="3">
        <v>30225.19</v>
      </c>
      <c r="O3712" s="3">
        <v>13394.87</v>
      </c>
      <c r="P3712" s="3" t="s">
        <v>34</v>
      </c>
    </row>
    <row r="3713" spans="1:16" x14ac:dyDescent="0.35">
      <c r="A3713" s="3" t="s">
        <v>5144</v>
      </c>
      <c r="B3713" s="3" t="s">
        <v>856</v>
      </c>
      <c r="C3713" s="3" t="s">
        <v>103</v>
      </c>
      <c r="D3713" s="3" t="s">
        <v>19</v>
      </c>
      <c r="E3713" s="3" t="s">
        <v>199</v>
      </c>
      <c r="F3713" s="3" t="s">
        <v>200</v>
      </c>
      <c r="G3713" s="3" t="s">
        <v>30</v>
      </c>
      <c r="H3713" s="3" t="s">
        <v>73</v>
      </c>
      <c r="I3713" s="3" t="s">
        <v>295</v>
      </c>
      <c r="J3713" s="3" t="s">
        <v>85</v>
      </c>
      <c r="K3713" s="3">
        <v>8</v>
      </c>
      <c r="L3713" s="3">
        <v>2880.67</v>
      </c>
      <c r="M3713" s="3">
        <v>23045.360000000001</v>
      </c>
      <c r="N3713" s="3">
        <v>18926.38</v>
      </c>
      <c r="O3713" s="3">
        <v>4118.9799999999996</v>
      </c>
      <c r="P3713" s="3" t="s">
        <v>34</v>
      </c>
    </row>
    <row r="3714" spans="1:16" x14ac:dyDescent="0.35">
      <c r="A3714" s="3" t="s">
        <v>5145</v>
      </c>
      <c r="B3714" s="3" t="s">
        <v>195</v>
      </c>
      <c r="C3714" s="3" t="s">
        <v>18</v>
      </c>
      <c r="D3714" s="3" t="s">
        <v>38</v>
      </c>
      <c r="E3714" s="3" t="s">
        <v>109</v>
      </c>
      <c r="F3714" s="3" t="s">
        <v>110</v>
      </c>
      <c r="G3714" s="3" t="s">
        <v>22</v>
      </c>
      <c r="H3714" s="3" t="s">
        <v>23</v>
      </c>
      <c r="I3714" s="3" t="s">
        <v>5146</v>
      </c>
      <c r="J3714" s="3" t="s">
        <v>106</v>
      </c>
      <c r="K3714" s="3">
        <v>1</v>
      </c>
      <c r="L3714" s="3">
        <v>3633.49</v>
      </c>
      <c r="M3714" s="3">
        <v>3633.49</v>
      </c>
      <c r="N3714" s="3">
        <v>2274.77</v>
      </c>
      <c r="O3714" s="3">
        <v>1358.72</v>
      </c>
      <c r="P3714" s="3" t="s">
        <v>45</v>
      </c>
    </row>
    <row r="3715" spans="1:16" x14ac:dyDescent="0.35">
      <c r="A3715" s="3" t="s">
        <v>5147</v>
      </c>
      <c r="B3715" s="3" t="s">
        <v>271</v>
      </c>
      <c r="C3715" s="3" t="s">
        <v>82</v>
      </c>
      <c r="D3715" s="3" t="s">
        <v>90</v>
      </c>
      <c r="E3715" s="3" t="s">
        <v>97</v>
      </c>
      <c r="F3715" s="3" t="s">
        <v>98</v>
      </c>
      <c r="G3715" s="3" t="s">
        <v>51</v>
      </c>
      <c r="H3715" s="3" t="s">
        <v>145</v>
      </c>
      <c r="I3715" s="3" t="s">
        <v>207</v>
      </c>
      <c r="J3715" s="3" t="s">
        <v>25</v>
      </c>
      <c r="K3715" s="3">
        <v>7</v>
      </c>
      <c r="L3715" s="3">
        <v>128.69</v>
      </c>
      <c r="M3715" s="3">
        <v>900.83</v>
      </c>
      <c r="N3715" s="3">
        <v>401.84</v>
      </c>
      <c r="O3715" s="3">
        <v>498.99</v>
      </c>
      <c r="P3715" s="3" t="s">
        <v>45</v>
      </c>
    </row>
    <row r="3716" spans="1:16" x14ac:dyDescent="0.35">
      <c r="A3716" s="3" t="s">
        <v>5148</v>
      </c>
      <c r="B3716" s="3" t="s">
        <v>152</v>
      </c>
      <c r="C3716" s="3" t="s">
        <v>57</v>
      </c>
      <c r="D3716" s="3" t="s">
        <v>58</v>
      </c>
      <c r="E3716" s="3" t="s">
        <v>59</v>
      </c>
      <c r="F3716" s="3" t="s">
        <v>60</v>
      </c>
      <c r="G3716" s="3" t="s">
        <v>41</v>
      </c>
      <c r="H3716" s="3" t="s">
        <v>61</v>
      </c>
      <c r="I3716" s="3" t="s">
        <v>741</v>
      </c>
      <c r="J3716" s="3" t="s">
        <v>161</v>
      </c>
      <c r="K3716" s="3">
        <v>2</v>
      </c>
      <c r="L3716" s="3">
        <v>2407.89</v>
      </c>
      <c r="M3716" s="3">
        <v>4815.78</v>
      </c>
      <c r="N3716" s="3">
        <v>3155.26</v>
      </c>
      <c r="O3716" s="3">
        <v>1660.52</v>
      </c>
      <c r="P3716" s="3" t="s">
        <v>45</v>
      </c>
    </row>
    <row r="3717" spans="1:16" x14ac:dyDescent="0.35">
      <c r="A3717" s="3" t="s">
        <v>5149</v>
      </c>
      <c r="B3717" s="3" t="s">
        <v>2280</v>
      </c>
      <c r="C3717" s="3" t="s">
        <v>89</v>
      </c>
      <c r="D3717" s="3" t="s">
        <v>19</v>
      </c>
      <c r="E3717" s="3" t="s">
        <v>20</v>
      </c>
      <c r="F3717" s="3" t="s">
        <v>21</v>
      </c>
      <c r="G3717" s="3" t="s">
        <v>22</v>
      </c>
      <c r="H3717" s="3" t="s">
        <v>23</v>
      </c>
      <c r="I3717" s="3" t="s">
        <v>1404</v>
      </c>
      <c r="J3717" s="3" t="s">
        <v>44</v>
      </c>
      <c r="K3717" s="3">
        <v>4</v>
      </c>
      <c r="L3717" s="3">
        <v>3282.26</v>
      </c>
      <c r="M3717" s="3">
        <v>13129.04</v>
      </c>
      <c r="N3717" s="3">
        <v>8458.25</v>
      </c>
      <c r="O3717" s="3">
        <v>4670.79</v>
      </c>
      <c r="P3717" s="3" t="s">
        <v>45</v>
      </c>
    </row>
    <row r="3718" spans="1:16" x14ac:dyDescent="0.35">
      <c r="A3718" s="3" t="s">
        <v>5150</v>
      </c>
      <c r="B3718" s="3" t="s">
        <v>449</v>
      </c>
      <c r="C3718" s="3" t="s">
        <v>37</v>
      </c>
      <c r="D3718" s="3" t="s">
        <v>38</v>
      </c>
      <c r="E3718" s="3" t="s">
        <v>109</v>
      </c>
      <c r="F3718" s="3" t="s">
        <v>110</v>
      </c>
      <c r="G3718" s="3" t="s">
        <v>41</v>
      </c>
      <c r="H3718" s="3" t="s">
        <v>138</v>
      </c>
      <c r="I3718" s="3" t="s">
        <v>1327</v>
      </c>
      <c r="J3718" s="3" t="s">
        <v>44</v>
      </c>
      <c r="K3718" s="3">
        <v>3</v>
      </c>
      <c r="L3718" s="3">
        <v>18916.8</v>
      </c>
      <c r="M3718" s="3">
        <v>56750.400000000001</v>
      </c>
      <c r="N3718" s="3">
        <v>40513.57</v>
      </c>
      <c r="O3718" s="3">
        <v>16236.83</v>
      </c>
      <c r="P3718" s="3" t="s">
        <v>34</v>
      </c>
    </row>
    <row r="3719" spans="1:16" x14ac:dyDescent="0.35">
      <c r="A3719" s="3" t="s">
        <v>5151</v>
      </c>
      <c r="B3719" s="3" t="s">
        <v>760</v>
      </c>
      <c r="C3719" s="3" t="s">
        <v>114</v>
      </c>
      <c r="D3719" s="3" t="s">
        <v>19</v>
      </c>
      <c r="E3719" s="3" t="s">
        <v>49</v>
      </c>
      <c r="F3719" s="3" t="s">
        <v>50</v>
      </c>
      <c r="G3719" s="3" t="s">
        <v>22</v>
      </c>
      <c r="H3719" s="3" t="s">
        <v>93</v>
      </c>
      <c r="I3719" s="3" t="s">
        <v>697</v>
      </c>
      <c r="J3719" s="3" t="s">
        <v>85</v>
      </c>
      <c r="K3719" s="3">
        <v>2</v>
      </c>
      <c r="L3719" s="3">
        <v>7611.1</v>
      </c>
      <c r="M3719" s="3">
        <v>15222.2</v>
      </c>
      <c r="N3719" s="3">
        <v>10062.69</v>
      </c>
      <c r="O3719" s="3">
        <v>5159.51</v>
      </c>
      <c r="P3719" s="3" t="s">
        <v>45</v>
      </c>
    </row>
    <row r="3720" spans="1:16" x14ac:dyDescent="0.35">
      <c r="A3720" s="3" t="s">
        <v>5152</v>
      </c>
      <c r="B3720" s="3" t="s">
        <v>248</v>
      </c>
      <c r="C3720" s="3" t="s">
        <v>82</v>
      </c>
      <c r="D3720" s="3" t="s">
        <v>19</v>
      </c>
      <c r="E3720" s="3" t="s">
        <v>20</v>
      </c>
      <c r="F3720" s="3" t="s">
        <v>21</v>
      </c>
      <c r="G3720" s="3" t="s">
        <v>30</v>
      </c>
      <c r="H3720" s="3" t="s">
        <v>67</v>
      </c>
      <c r="I3720" s="3" t="s">
        <v>3051</v>
      </c>
      <c r="J3720" s="3" t="s">
        <v>85</v>
      </c>
      <c r="K3720" s="3">
        <v>7</v>
      </c>
      <c r="L3720" s="3">
        <v>10070.1</v>
      </c>
      <c r="M3720" s="3">
        <v>70490.7</v>
      </c>
      <c r="N3720" s="3">
        <v>52882.01</v>
      </c>
      <c r="O3720" s="3">
        <v>17608.689999999999</v>
      </c>
      <c r="P3720" s="3" t="s">
        <v>45</v>
      </c>
    </row>
    <row r="3721" spans="1:16" x14ac:dyDescent="0.35">
      <c r="A3721" s="3" t="s">
        <v>5153</v>
      </c>
      <c r="B3721" s="3" t="s">
        <v>1724</v>
      </c>
      <c r="C3721" s="3" t="s">
        <v>48</v>
      </c>
      <c r="D3721" s="3" t="s">
        <v>90</v>
      </c>
      <c r="E3721" s="3" t="s">
        <v>119</v>
      </c>
      <c r="F3721" s="3" t="s">
        <v>120</v>
      </c>
      <c r="G3721" s="3" t="s">
        <v>51</v>
      </c>
      <c r="H3721" s="3" t="s">
        <v>145</v>
      </c>
      <c r="I3721" s="3" t="s">
        <v>810</v>
      </c>
      <c r="J3721" s="3" t="s">
        <v>171</v>
      </c>
      <c r="K3721" s="3">
        <v>5</v>
      </c>
      <c r="L3721" s="3">
        <v>130.03</v>
      </c>
      <c r="M3721" s="3">
        <v>650.15</v>
      </c>
      <c r="N3721" s="3">
        <v>297.07</v>
      </c>
      <c r="O3721" s="3">
        <v>353.08</v>
      </c>
      <c r="P3721" s="3" t="s">
        <v>69</v>
      </c>
    </row>
    <row r="3722" spans="1:16" x14ac:dyDescent="0.35">
      <c r="A3722" s="3" t="s">
        <v>5154</v>
      </c>
      <c r="B3722" s="3" t="s">
        <v>28</v>
      </c>
      <c r="C3722" s="3" t="s">
        <v>29</v>
      </c>
      <c r="D3722" s="3" t="s">
        <v>38</v>
      </c>
      <c r="E3722" s="3" t="s">
        <v>109</v>
      </c>
      <c r="F3722" s="3" t="s">
        <v>110</v>
      </c>
      <c r="G3722" s="3" t="s">
        <v>30</v>
      </c>
      <c r="H3722" s="3" t="s">
        <v>73</v>
      </c>
      <c r="I3722" s="3" t="s">
        <v>1164</v>
      </c>
      <c r="J3722" s="3" t="s">
        <v>79</v>
      </c>
      <c r="K3722" s="3">
        <v>5</v>
      </c>
      <c r="L3722" s="3">
        <v>3503.17</v>
      </c>
      <c r="M3722" s="3">
        <v>17515.849999999999</v>
      </c>
      <c r="N3722" s="3">
        <v>12284.16</v>
      </c>
      <c r="O3722" s="3">
        <v>5231.6899999999996</v>
      </c>
      <c r="P3722" s="3" t="s">
        <v>69</v>
      </c>
    </row>
    <row r="3723" spans="1:16" x14ac:dyDescent="0.35">
      <c r="A3723" s="3" t="s">
        <v>5155</v>
      </c>
      <c r="B3723" s="3" t="s">
        <v>792</v>
      </c>
      <c r="C3723" s="3" t="s">
        <v>72</v>
      </c>
      <c r="D3723" s="3" t="s">
        <v>38</v>
      </c>
      <c r="E3723" s="3" t="s">
        <v>109</v>
      </c>
      <c r="F3723" s="3" t="s">
        <v>110</v>
      </c>
      <c r="G3723" s="3" t="s">
        <v>41</v>
      </c>
      <c r="H3723" s="3" t="s">
        <v>42</v>
      </c>
      <c r="I3723" s="3" t="s">
        <v>1024</v>
      </c>
      <c r="J3723" s="3" t="s">
        <v>25</v>
      </c>
      <c r="K3723" s="3">
        <v>4</v>
      </c>
      <c r="L3723" s="3">
        <v>43164.77</v>
      </c>
      <c r="M3723" s="3">
        <v>172659.08</v>
      </c>
      <c r="N3723" s="3">
        <v>144208.79</v>
      </c>
      <c r="O3723" s="3">
        <v>28450.29</v>
      </c>
      <c r="P3723" s="3" t="s">
        <v>86</v>
      </c>
    </row>
    <row r="3724" spans="1:16" x14ac:dyDescent="0.35">
      <c r="A3724" s="3" t="s">
        <v>5156</v>
      </c>
      <c r="B3724" s="3" t="s">
        <v>56</v>
      </c>
      <c r="C3724" s="3" t="s">
        <v>57</v>
      </c>
      <c r="D3724" s="3" t="s">
        <v>19</v>
      </c>
      <c r="E3724" s="3" t="s">
        <v>49</v>
      </c>
      <c r="F3724" s="3" t="s">
        <v>50</v>
      </c>
      <c r="G3724" s="3" t="s">
        <v>22</v>
      </c>
      <c r="H3724" s="3" t="s">
        <v>83</v>
      </c>
      <c r="I3724" s="3" t="s">
        <v>5157</v>
      </c>
      <c r="J3724" s="3" t="s">
        <v>147</v>
      </c>
      <c r="K3724" s="3">
        <v>5</v>
      </c>
      <c r="L3724" s="3">
        <v>21450.71</v>
      </c>
      <c r="M3724" s="3">
        <v>107253.55</v>
      </c>
      <c r="N3724" s="3">
        <v>87234.3</v>
      </c>
      <c r="O3724" s="3">
        <v>20019.25</v>
      </c>
      <c r="P3724" s="3" t="s">
        <v>26</v>
      </c>
    </row>
    <row r="3725" spans="1:16" x14ac:dyDescent="0.35">
      <c r="A3725" s="3" t="s">
        <v>5158</v>
      </c>
      <c r="B3725" s="3" t="s">
        <v>1018</v>
      </c>
      <c r="C3725" s="3" t="s">
        <v>37</v>
      </c>
      <c r="D3725" s="3" t="s">
        <v>58</v>
      </c>
      <c r="E3725" s="3" t="s">
        <v>65</v>
      </c>
      <c r="F3725" s="3" t="s">
        <v>66</v>
      </c>
      <c r="G3725" s="3" t="s">
        <v>22</v>
      </c>
      <c r="H3725" s="3" t="s">
        <v>83</v>
      </c>
      <c r="I3725" s="3" t="s">
        <v>2967</v>
      </c>
      <c r="J3725" s="3" t="s">
        <v>25</v>
      </c>
      <c r="K3725" s="3">
        <v>3</v>
      </c>
      <c r="L3725" s="3">
        <v>20943.8</v>
      </c>
      <c r="M3725" s="3">
        <v>62831.4</v>
      </c>
      <c r="N3725" s="3">
        <v>49542.54</v>
      </c>
      <c r="O3725" s="3">
        <v>13288.86</v>
      </c>
      <c r="P3725" s="3" t="s">
        <v>34</v>
      </c>
    </row>
    <row r="3726" spans="1:16" x14ac:dyDescent="0.35">
      <c r="A3726" s="3" t="s">
        <v>5159</v>
      </c>
      <c r="B3726" s="3" t="s">
        <v>212</v>
      </c>
      <c r="C3726" s="3" t="s">
        <v>37</v>
      </c>
      <c r="D3726" s="3" t="s">
        <v>38</v>
      </c>
      <c r="E3726" s="3" t="s">
        <v>109</v>
      </c>
      <c r="F3726" s="3" t="s">
        <v>110</v>
      </c>
      <c r="G3726" s="3" t="s">
        <v>30</v>
      </c>
      <c r="H3726" s="3" t="s">
        <v>31</v>
      </c>
      <c r="I3726" s="3" t="s">
        <v>2300</v>
      </c>
      <c r="J3726" s="3" t="s">
        <v>106</v>
      </c>
      <c r="K3726" s="3">
        <v>2</v>
      </c>
      <c r="L3726" s="3">
        <v>2559.69</v>
      </c>
      <c r="M3726" s="3">
        <v>5119.38</v>
      </c>
      <c r="N3726" s="3">
        <v>3893.4</v>
      </c>
      <c r="O3726" s="3">
        <v>1225.98</v>
      </c>
      <c r="P3726" s="3" t="s">
        <v>34</v>
      </c>
    </row>
    <row r="3727" spans="1:16" x14ac:dyDescent="0.35">
      <c r="A3727" s="3" t="s">
        <v>5160</v>
      </c>
      <c r="B3727" s="3" t="s">
        <v>607</v>
      </c>
      <c r="C3727" s="3" t="s">
        <v>114</v>
      </c>
      <c r="D3727" s="3" t="s">
        <v>19</v>
      </c>
      <c r="E3727" s="3" t="s">
        <v>199</v>
      </c>
      <c r="F3727" s="3" t="s">
        <v>200</v>
      </c>
      <c r="G3727" s="3" t="s">
        <v>41</v>
      </c>
      <c r="H3727" s="3" t="s">
        <v>42</v>
      </c>
      <c r="I3727" s="3" t="s">
        <v>3027</v>
      </c>
      <c r="J3727" s="3" t="s">
        <v>44</v>
      </c>
      <c r="K3727" s="3">
        <v>7</v>
      </c>
      <c r="L3727" s="3">
        <v>45370.16</v>
      </c>
      <c r="M3727" s="3">
        <v>317591.12</v>
      </c>
      <c r="N3727" s="3">
        <v>248450.23</v>
      </c>
      <c r="O3727" s="3">
        <v>69140.89</v>
      </c>
      <c r="P3727" s="3" t="s">
        <v>34</v>
      </c>
    </row>
    <row r="3728" spans="1:16" x14ac:dyDescent="0.35">
      <c r="A3728" s="3" t="s">
        <v>5161</v>
      </c>
      <c r="B3728" s="3" t="s">
        <v>1623</v>
      </c>
      <c r="C3728" s="3" t="s">
        <v>29</v>
      </c>
      <c r="D3728" s="3" t="s">
        <v>90</v>
      </c>
      <c r="E3728" s="3" t="s">
        <v>91</v>
      </c>
      <c r="F3728" s="3" t="s">
        <v>92</v>
      </c>
      <c r="G3728" s="3" t="s">
        <v>22</v>
      </c>
      <c r="H3728" s="3" t="s">
        <v>23</v>
      </c>
      <c r="I3728" s="3" t="s">
        <v>1214</v>
      </c>
      <c r="J3728" s="3" t="s">
        <v>217</v>
      </c>
      <c r="K3728" s="3">
        <v>6</v>
      </c>
      <c r="L3728" s="3">
        <v>3505.62</v>
      </c>
      <c r="M3728" s="3">
        <v>21033.72</v>
      </c>
      <c r="N3728" s="3">
        <v>12674.81</v>
      </c>
      <c r="O3728" s="3">
        <v>8358.91</v>
      </c>
      <c r="P3728" s="3" t="s">
        <v>26</v>
      </c>
    </row>
    <row r="3729" spans="1:16" x14ac:dyDescent="0.35">
      <c r="A3729" s="3" t="s">
        <v>5162</v>
      </c>
      <c r="B3729" s="3" t="s">
        <v>1294</v>
      </c>
      <c r="C3729" s="3" t="s">
        <v>118</v>
      </c>
      <c r="D3729" s="3" t="s">
        <v>19</v>
      </c>
      <c r="E3729" s="3" t="s">
        <v>20</v>
      </c>
      <c r="F3729" s="3" t="s">
        <v>21</v>
      </c>
      <c r="G3729" s="3" t="s">
        <v>41</v>
      </c>
      <c r="H3729" s="3" t="s">
        <v>61</v>
      </c>
      <c r="I3729" s="3" t="s">
        <v>869</v>
      </c>
      <c r="J3729" s="3" t="s">
        <v>44</v>
      </c>
      <c r="K3729" s="3">
        <v>1</v>
      </c>
      <c r="L3729" s="3">
        <v>2583.19</v>
      </c>
      <c r="M3729" s="3">
        <v>2583.19</v>
      </c>
      <c r="N3729" s="3">
        <v>1580.52</v>
      </c>
      <c r="O3729" s="3">
        <v>1002.67</v>
      </c>
      <c r="P3729" s="3" t="s">
        <v>34</v>
      </c>
    </row>
    <row r="3730" spans="1:16" x14ac:dyDescent="0.35">
      <c r="A3730" s="3" t="s">
        <v>5163</v>
      </c>
      <c r="B3730" s="3" t="s">
        <v>575</v>
      </c>
      <c r="C3730" s="3" t="s">
        <v>137</v>
      </c>
      <c r="D3730" s="3" t="s">
        <v>19</v>
      </c>
      <c r="E3730" s="3" t="s">
        <v>199</v>
      </c>
      <c r="F3730" s="3" t="s">
        <v>200</v>
      </c>
      <c r="G3730" s="3" t="s">
        <v>30</v>
      </c>
      <c r="H3730" s="3" t="s">
        <v>67</v>
      </c>
      <c r="I3730" s="3" t="s">
        <v>2052</v>
      </c>
      <c r="J3730" s="3" t="s">
        <v>147</v>
      </c>
      <c r="K3730" s="3">
        <v>3</v>
      </c>
      <c r="L3730" s="3">
        <v>8769.75</v>
      </c>
      <c r="M3730" s="3">
        <v>26309.25</v>
      </c>
      <c r="N3730" s="3">
        <v>22040.28</v>
      </c>
      <c r="O3730" s="3">
        <v>4268.97</v>
      </c>
      <c r="P3730" s="3" t="s">
        <v>34</v>
      </c>
    </row>
    <row r="3731" spans="1:16" x14ac:dyDescent="0.35">
      <c r="A3731" s="3" t="s">
        <v>5164</v>
      </c>
      <c r="B3731" s="3" t="s">
        <v>274</v>
      </c>
      <c r="C3731" s="3" t="s">
        <v>57</v>
      </c>
      <c r="D3731" s="3" t="s">
        <v>38</v>
      </c>
      <c r="E3731" s="3" t="s">
        <v>104</v>
      </c>
      <c r="F3731" s="3" t="s">
        <v>104</v>
      </c>
      <c r="G3731" s="3" t="s">
        <v>51</v>
      </c>
      <c r="H3731" s="3" t="s">
        <v>145</v>
      </c>
      <c r="I3731" s="3" t="s">
        <v>4102</v>
      </c>
      <c r="J3731" s="3" t="s">
        <v>44</v>
      </c>
      <c r="K3731" s="3">
        <v>1</v>
      </c>
      <c r="L3731" s="3">
        <v>115.12</v>
      </c>
      <c r="M3731" s="3">
        <v>115.12</v>
      </c>
      <c r="N3731" s="3">
        <v>61.48</v>
      </c>
      <c r="O3731" s="3">
        <v>53.64</v>
      </c>
      <c r="P3731" s="3" t="s">
        <v>69</v>
      </c>
    </row>
    <row r="3732" spans="1:16" x14ac:dyDescent="0.35">
      <c r="A3732" s="3" t="s">
        <v>5165</v>
      </c>
      <c r="B3732" s="3" t="s">
        <v>361</v>
      </c>
      <c r="C3732" s="3" t="s">
        <v>137</v>
      </c>
      <c r="D3732" s="3" t="s">
        <v>19</v>
      </c>
      <c r="E3732" s="3" t="s">
        <v>20</v>
      </c>
      <c r="F3732" s="3" t="s">
        <v>21</v>
      </c>
      <c r="G3732" s="3" t="s">
        <v>30</v>
      </c>
      <c r="H3732" s="3" t="s">
        <v>73</v>
      </c>
      <c r="I3732" s="3" t="s">
        <v>771</v>
      </c>
      <c r="J3732" s="3" t="s">
        <v>161</v>
      </c>
      <c r="K3732" s="3">
        <v>5</v>
      </c>
      <c r="L3732" s="3">
        <v>2982.24</v>
      </c>
      <c r="M3732" s="3">
        <v>14911.2</v>
      </c>
      <c r="N3732" s="3">
        <v>12053.59</v>
      </c>
      <c r="O3732" s="3">
        <v>2857.61</v>
      </c>
      <c r="P3732" s="3" t="s">
        <v>86</v>
      </c>
    </row>
    <row r="3733" spans="1:16" x14ac:dyDescent="0.35">
      <c r="A3733" s="3" t="s">
        <v>5166</v>
      </c>
      <c r="B3733" s="3" t="s">
        <v>239</v>
      </c>
      <c r="C3733" s="3" t="s">
        <v>72</v>
      </c>
      <c r="D3733" s="3" t="s">
        <v>19</v>
      </c>
      <c r="E3733" s="3" t="s">
        <v>20</v>
      </c>
      <c r="F3733" s="3" t="s">
        <v>21</v>
      </c>
      <c r="G3733" s="3" t="s">
        <v>51</v>
      </c>
      <c r="H3733" s="3" t="s">
        <v>52</v>
      </c>
      <c r="I3733" s="3" t="s">
        <v>676</v>
      </c>
      <c r="J3733" s="3" t="s">
        <v>54</v>
      </c>
      <c r="K3733" s="3">
        <v>6</v>
      </c>
      <c r="L3733" s="3">
        <v>25.14</v>
      </c>
      <c r="M3733" s="3">
        <v>150.84</v>
      </c>
      <c r="N3733" s="3">
        <v>62.46</v>
      </c>
      <c r="O3733" s="3">
        <v>88.38</v>
      </c>
      <c r="P3733" s="3" t="s">
        <v>26</v>
      </c>
    </row>
    <row r="3734" spans="1:16" x14ac:dyDescent="0.35">
      <c r="A3734" s="3" t="s">
        <v>5167</v>
      </c>
      <c r="B3734" s="3" t="s">
        <v>527</v>
      </c>
      <c r="C3734" s="3" t="s">
        <v>82</v>
      </c>
      <c r="D3734" s="3" t="s">
        <v>19</v>
      </c>
      <c r="E3734" s="3" t="s">
        <v>20</v>
      </c>
      <c r="F3734" s="3" t="s">
        <v>21</v>
      </c>
      <c r="G3734" s="3" t="s">
        <v>30</v>
      </c>
      <c r="H3734" s="3" t="s">
        <v>67</v>
      </c>
      <c r="I3734" s="3" t="s">
        <v>2201</v>
      </c>
      <c r="J3734" s="3" t="s">
        <v>171</v>
      </c>
      <c r="K3734" s="3">
        <v>2</v>
      </c>
      <c r="L3734" s="3">
        <v>8729.4599999999991</v>
      </c>
      <c r="M3734" s="3">
        <v>17458.919999999998</v>
      </c>
      <c r="N3734" s="3">
        <v>15527.22</v>
      </c>
      <c r="O3734" s="3">
        <v>1931.7</v>
      </c>
      <c r="P3734" s="3" t="s">
        <v>45</v>
      </c>
    </row>
    <row r="3735" spans="1:16" x14ac:dyDescent="0.35">
      <c r="A3735" s="3" t="s">
        <v>5168</v>
      </c>
      <c r="B3735" s="3" t="s">
        <v>1546</v>
      </c>
      <c r="C3735" s="3" t="s">
        <v>82</v>
      </c>
      <c r="D3735" s="3" t="s">
        <v>38</v>
      </c>
      <c r="E3735" s="3" t="s">
        <v>39</v>
      </c>
      <c r="F3735" s="3" t="s">
        <v>40</v>
      </c>
      <c r="G3735" s="3" t="s">
        <v>30</v>
      </c>
      <c r="H3735" s="3" t="s">
        <v>67</v>
      </c>
      <c r="I3735" s="3" t="s">
        <v>142</v>
      </c>
      <c r="J3735" s="3" t="s">
        <v>106</v>
      </c>
      <c r="K3735" s="3">
        <v>5</v>
      </c>
      <c r="L3735" s="3">
        <v>9994.9699999999993</v>
      </c>
      <c r="M3735" s="3">
        <v>49974.85</v>
      </c>
      <c r="N3735" s="3">
        <v>37583.69</v>
      </c>
      <c r="O3735" s="3">
        <v>12391.16</v>
      </c>
      <c r="P3735" s="3" t="s">
        <v>69</v>
      </c>
    </row>
    <row r="3736" spans="1:16" x14ac:dyDescent="0.35">
      <c r="A3736" s="3" t="s">
        <v>5169</v>
      </c>
      <c r="B3736" s="3" t="s">
        <v>604</v>
      </c>
      <c r="C3736" s="3" t="s">
        <v>118</v>
      </c>
      <c r="D3736" s="3" t="s">
        <v>19</v>
      </c>
      <c r="E3736" s="3" t="s">
        <v>20</v>
      </c>
      <c r="F3736" s="3" t="s">
        <v>21</v>
      </c>
      <c r="G3736" s="3" t="s">
        <v>22</v>
      </c>
      <c r="H3736" s="3" t="s">
        <v>93</v>
      </c>
      <c r="I3736" s="3" t="s">
        <v>3227</v>
      </c>
      <c r="J3736" s="3" t="s">
        <v>54</v>
      </c>
      <c r="K3736" s="3">
        <v>6</v>
      </c>
      <c r="L3736" s="3">
        <v>7064.63</v>
      </c>
      <c r="M3736" s="3">
        <v>42387.78</v>
      </c>
      <c r="N3736" s="3">
        <v>31028.09</v>
      </c>
      <c r="O3736" s="3">
        <v>11359.69</v>
      </c>
      <c r="P3736" s="3" t="s">
        <v>26</v>
      </c>
    </row>
    <row r="3737" spans="1:16" x14ac:dyDescent="0.35">
      <c r="A3737" s="3" t="s">
        <v>5170</v>
      </c>
      <c r="B3737" s="3" t="s">
        <v>889</v>
      </c>
      <c r="C3737" s="3" t="s">
        <v>82</v>
      </c>
      <c r="D3737" s="3" t="s">
        <v>90</v>
      </c>
      <c r="E3737" s="3" t="s">
        <v>91</v>
      </c>
      <c r="F3737" s="3" t="s">
        <v>92</v>
      </c>
      <c r="G3737" s="3" t="s">
        <v>30</v>
      </c>
      <c r="H3737" s="3" t="s">
        <v>31</v>
      </c>
      <c r="I3737" s="3" t="s">
        <v>433</v>
      </c>
      <c r="J3737" s="3" t="s">
        <v>79</v>
      </c>
      <c r="K3737" s="3">
        <v>3</v>
      </c>
      <c r="L3737" s="3">
        <v>2748.18</v>
      </c>
      <c r="M3737" s="3">
        <v>8244.5400000000009</v>
      </c>
      <c r="N3737" s="3">
        <v>5616.42</v>
      </c>
      <c r="O3737" s="3">
        <v>2628.12</v>
      </c>
      <c r="P3737" s="3" t="s">
        <v>86</v>
      </c>
    </row>
    <row r="3738" spans="1:16" x14ac:dyDescent="0.35">
      <c r="A3738" s="3" t="s">
        <v>5171</v>
      </c>
      <c r="B3738" s="3" t="s">
        <v>666</v>
      </c>
      <c r="C3738" s="3" t="s">
        <v>37</v>
      </c>
      <c r="D3738" s="3" t="s">
        <v>38</v>
      </c>
      <c r="E3738" s="3" t="s">
        <v>104</v>
      </c>
      <c r="F3738" s="3" t="s">
        <v>104</v>
      </c>
      <c r="G3738" s="3" t="s">
        <v>30</v>
      </c>
      <c r="H3738" s="3" t="s">
        <v>73</v>
      </c>
      <c r="I3738" s="3" t="s">
        <v>456</v>
      </c>
      <c r="J3738" s="3" t="s">
        <v>85</v>
      </c>
      <c r="K3738" s="3">
        <v>6</v>
      </c>
      <c r="L3738" s="3">
        <v>3025.02</v>
      </c>
      <c r="M3738" s="3">
        <v>18150.12</v>
      </c>
      <c r="N3738" s="3">
        <v>14202.37</v>
      </c>
      <c r="O3738" s="3">
        <v>3947.75</v>
      </c>
      <c r="P3738" s="3" t="s">
        <v>26</v>
      </c>
    </row>
    <row r="3739" spans="1:16" x14ac:dyDescent="0.35">
      <c r="A3739" s="3" t="s">
        <v>5172</v>
      </c>
      <c r="B3739" s="3" t="s">
        <v>685</v>
      </c>
      <c r="C3739" s="3" t="s">
        <v>137</v>
      </c>
      <c r="D3739" s="3" t="s">
        <v>38</v>
      </c>
      <c r="E3739" s="3" t="s">
        <v>104</v>
      </c>
      <c r="F3739" s="3" t="s">
        <v>104</v>
      </c>
      <c r="G3739" s="3" t="s">
        <v>41</v>
      </c>
      <c r="H3739" s="3" t="s">
        <v>42</v>
      </c>
      <c r="I3739" s="3" t="s">
        <v>2553</v>
      </c>
      <c r="J3739" s="3" t="s">
        <v>85</v>
      </c>
      <c r="K3739" s="3">
        <v>6</v>
      </c>
      <c r="L3739" s="3">
        <v>47945.02</v>
      </c>
      <c r="M3739" s="3">
        <v>287670.12</v>
      </c>
      <c r="N3739" s="3">
        <v>220214.15</v>
      </c>
      <c r="O3739" s="3">
        <v>67455.97</v>
      </c>
      <c r="P3739" s="3" t="s">
        <v>69</v>
      </c>
    </row>
    <row r="3740" spans="1:16" x14ac:dyDescent="0.35">
      <c r="A3740" s="3" t="s">
        <v>5173</v>
      </c>
      <c r="B3740" s="3" t="s">
        <v>979</v>
      </c>
      <c r="C3740" s="3" t="s">
        <v>103</v>
      </c>
      <c r="D3740" s="3" t="s">
        <v>38</v>
      </c>
      <c r="E3740" s="3" t="s">
        <v>39</v>
      </c>
      <c r="F3740" s="3" t="s">
        <v>40</v>
      </c>
      <c r="G3740" s="3" t="s">
        <v>51</v>
      </c>
      <c r="H3740" s="3" t="s">
        <v>77</v>
      </c>
      <c r="I3740" s="3" t="s">
        <v>734</v>
      </c>
      <c r="J3740" s="3" t="s">
        <v>54</v>
      </c>
      <c r="K3740" s="3">
        <v>1</v>
      </c>
      <c r="L3740" s="3">
        <v>12034.07</v>
      </c>
      <c r="M3740" s="3">
        <v>12034.07</v>
      </c>
      <c r="N3740" s="3">
        <v>8980.8799999999992</v>
      </c>
      <c r="O3740" s="3">
        <v>3053.19</v>
      </c>
      <c r="P3740" s="3" t="s">
        <v>69</v>
      </c>
    </row>
    <row r="3741" spans="1:16" x14ac:dyDescent="0.35">
      <c r="A3741" s="3" t="s">
        <v>5174</v>
      </c>
      <c r="B3741" s="3" t="s">
        <v>921</v>
      </c>
      <c r="C3741" s="3" t="s">
        <v>103</v>
      </c>
      <c r="D3741" s="3" t="s">
        <v>90</v>
      </c>
      <c r="E3741" s="3" t="s">
        <v>91</v>
      </c>
      <c r="F3741" s="3" t="s">
        <v>92</v>
      </c>
      <c r="G3741" s="3" t="s">
        <v>22</v>
      </c>
      <c r="H3741" s="3" t="s">
        <v>23</v>
      </c>
      <c r="I3741" s="3" t="s">
        <v>2510</v>
      </c>
      <c r="J3741" s="3" t="s">
        <v>147</v>
      </c>
      <c r="K3741" s="3">
        <v>4</v>
      </c>
      <c r="L3741" s="3">
        <v>3635.58</v>
      </c>
      <c r="M3741" s="3">
        <v>14542.32</v>
      </c>
      <c r="N3741" s="3">
        <v>8394.4599999999991</v>
      </c>
      <c r="O3741" s="3">
        <v>6147.86</v>
      </c>
      <c r="P3741" s="3" t="s">
        <v>86</v>
      </c>
    </row>
    <row r="3742" spans="1:16" x14ac:dyDescent="0.35">
      <c r="A3742" s="3" t="s">
        <v>5175</v>
      </c>
      <c r="B3742" s="3" t="s">
        <v>767</v>
      </c>
      <c r="C3742" s="3" t="s">
        <v>82</v>
      </c>
      <c r="D3742" s="3" t="s">
        <v>38</v>
      </c>
      <c r="E3742" s="3" t="s">
        <v>39</v>
      </c>
      <c r="F3742" s="3" t="s">
        <v>40</v>
      </c>
      <c r="G3742" s="3" t="s">
        <v>51</v>
      </c>
      <c r="H3742" s="3" t="s">
        <v>145</v>
      </c>
      <c r="I3742" s="3" t="s">
        <v>4649</v>
      </c>
      <c r="J3742" s="3" t="s">
        <v>161</v>
      </c>
      <c r="K3742" s="3">
        <v>2</v>
      </c>
      <c r="L3742" s="3">
        <v>130.03</v>
      </c>
      <c r="M3742" s="3">
        <v>260.06</v>
      </c>
      <c r="N3742" s="3">
        <v>122.38</v>
      </c>
      <c r="O3742" s="3">
        <v>137.68</v>
      </c>
      <c r="P3742" s="3" t="s">
        <v>34</v>
      </c>
    </row>
    <row r="3743" spans="1:16" x14ac:dyDescent="0.35">
      <c r="A3743" s="3" t="s">
        <v>5176</v>
      </c>
      <c r="B3743" s="3" t="s">
        <v>1182</v>
      </c>
      <c r="C3743" s="3" t="s">
        <v>48</v>
      </c>
      <c r="D3743" s="3" t="s">
        <v>38</v>
      </c>
      <c r="E3743" s="3" t="s">
        <v>39</v>
      </c>
      <c r="F3743" s="3" t="s">
        <v>40</v>
      </c>
      <c r="G3743" s="3" t="s">
        <v>30</v>
      </c>
      <c r="H3743" s="3" t="s">
        <v>31</v>
      </c>
      <c r="I3743" s="3" t="s">
        <v>2254</v>
      </c>
      <c r="J3743" s="3" t="s">
        <v>79</v>
      </c>
      <c r="K3743" s="3">
        <v>4</v>
      </c>
      <c r="L3743" s="3">
        <v>2681.7</v>
      </c>
      <c r="M3743" s="3">
        <v>10726.8</v>
      </c>
      <c r="N3743" s="3">
        <v>7433.75</v>
      </c>
      <c r="O3743" s="3">
        <v>3293.05</v>
      </c>
      <c r="P3743" s="3" t="s">
        <v>69</v>
      </c>
    </row>
    <row r="3744" spans="1:16" x14ac:dyDescent="0.35">
      <c r="A3744" s="3" t="s">
        <v>5177</v>
      </c>
      <c r="B3744" s="3" t="s">
        <v>779</v>
      </c>
      <c r="C3744" s="3" t="s">
        <v>114</v>
      </c>
      <c r="D3744" s="3" t="s">
        <v>58</v>
      </c>
      <c r="E3744" s="3" t="s">
        <v>65</v>
      </c>
      <c r="F3744" s="3" t="s">
        <v>66</v>
      </c>
      <c r="G3744" s="3" t="s">
        <v>51</v>
      </c>
      <c r="H3744" s="3" t="s">
        <v>145</v>
      </c>
      <c r="I3744" s="3" t="s">
        <v>662</v>
      </c>
      <c r="J3744" s="3" t="s">
        <v>131</v>
      </c>
      <c r="K3744" s="3">
        <v>2</v>
      </c>
      <c r="L3744" s="3">
        <v>122.29</v>
      </c>
      <c r="M3744" s="3">
        <v>244.58</v>
      </c>
      <c r="N3744" s="3">
        <v>120.22</v>
      </c>
      <c r="O3744" s="3">
        <v>124.36</v>
      </c>
      <c r="P3744" s="3" t="s">
        <v>86</v>
      </c>
    </row>
    <row r="3745" spans="1:16" x14ac:dyDescent="0.35">
      <c r="A3745" s="3" t="s">
        <v>5178</v>
      </c>
      <c r="B3745" s="3" t="s">
        <v>1406</v>
      </c>
      <c r="C3745" s="3" t="s">
        <v>137</v>
      </c>
      <c r="D3745" s="3" t="s">
        <v>90</v>
      </c>
      <c r="E3745" s="3" t="s">
        <v>119</v>
      </c>
      <c r="F3745" s="3" t="s">
        <v>120</v>
      </c>
      <c r="G3745" s="3" t="s">
        <v>22</v>
      </c>
      <c r="H3745" s="3" t="s">
        <v>93</v>
      </c>
      <c r="I3745" s="3" t="s">
        <v>3120</v>
      </c>
      <c r="J3745" s="3" t="s">
        <v>217</v>
      </c>
      <c r="K3745" s="3">
        <v>2</v>
      </c>
      <c r="L3745" s="3">
        <v>7532.71</v>
      </c>
      <c r="M3745" s="3">
        <v>15065.42</v>
      </c>
      <c r="N3745" s="3">
        <v>9586.1299999999992</v>
      </c>
      <c r="O3745" s="3">
        <v>5479.29</v>
      </c>
      <c r="P3745" s="3" t="s">
        <v>45</v>
      </c>
    </row>
    <row r="3746" spans="1:16" x14ac:dyDescent="0.35">
      <c r="A3746" s="3" t="s">
        <v>5179</v>
      </c>
      <c r="B3746" s="3" t="s">
        <v>572</v>
      </c>
      <c r="C3746" s="3" t="s">
        <v>72</v>
      </c>
      <c r="D3746" s="3" t="s">
        <v>38</v>
      </c>
      <c r="E3746" s="3" t="s">
        <v>39</v>
      </c>
      <c r="F3746" s="3" t="s">
        <v>40</v>
      </c>
      <c r="G3746" s="3" t="s">
        <v>41</v>
      </c>
      <c r="H3746" s="3" t="s">
        <v>138</v>
      </c>
      <c r="I3746" s="3" t="s">
        <v>74</v>
      </c>
      <c r="J3746" s="3" t="s">
        <v>85</v>
      </c>
      <c r="K3746" s="3">
        <v>4</v>
      </c>
      <c r="L3746" s="3">
        <v>16617.099999999999</v>
      </c>
      <c r="M3746" s="3">
        <v>66468.399999999994</v>
      </c>
      <c r="N3746" s="3">
        <v>55675.82</v>
      </c>
      <c r="O3746" s="3">
        <v>10792.58</v>
      </c>
      <c r="P3746" s="3" t="s">
        <v>45</v>
      </c>
    </row>
    <row r="3747" spans="1:16" x14ac:dyDescent="0.35">
      <c r="A3747" s="3" t="s">
        <v>5180</v>
      </c>
      <c r="B3747" s="3" t="s">
        <v>921</v>
      </c>
      <c r="C3747" s="3" t="s">
        <v>103</v>
      </c>
      <c r="D3747" s="3" t="s">
        <v>90</v>
      </c>
      <c r="E3747" s="3" t="s">
        <v>97</v>
      </c>
      <c r="F3747" s="3" t="s">
        <v>98</v>
      </c>
      <c r="G3747" s="3" t="s">
        <v>30</v>
      </c>
      <c r="H3747" s="3" t="s">
        <v>73</v>
      </c>
      <c r="I3747" s="3" t="s">
        <v>322</v>
      </c>
      <c r="J3747" s="3" t="s">
        <v>54</v>
      </c>
      <c r="K3747" s="3">
        <v>3</v>
      </c>
      <c r="L3747" s="3">
        <v>3129.27</v>
      </c>
      <c r="M3747" s="3">
        <v>9387.81</v>
      </c>
      <c r="N3747" s="3">
        <v>7410.07</v>
      </c>
      <c r="O3747" s="3">
        <v>1977.74</v>
      </c>
      <c r="P3747" s="3" t="s">
        <v>26</v>
      </c>
    </row>
    <row r="3748" spans="1:16" x14ac:dyDescent="0.35">
      <c r="A3748" s="3" t="s">
        <v>5181</v>
      </c>
      <c r="B3748" s="3" t="s">
        <v>1385</v>
      </c>
      <c r="C3748" s="3" t="s">
        <v>29</v>
      </c>
      <c r="D3748" s="3" t="s">
        <v>58</v>
      </c>
      <c r="E3748" s="3" t="s">
        <v>59</v>
      </c>
      <c r="F3748" s="3" t="s">
        <v>60</v>
      </c>
      <c r="G3748" s="3" t="s">
        <v>22</v>
      </c>
      <c r="H3748" s="3" t="s">
        <v>83</v>
      </c>
      <c r="I3748" s="3" t="s">
        <v>898</v>
      </c>
      <c r="J3748" s="3" t="s">
        <v>33</v>
      </c>
      <c r="K3748" s="3">
        <v>5</v>
      </c>
      <c r="L3748" s="3">
        <v>23948.69</v>
      </c>
      <c r="M3748" s="3">
        <v>119743.45</v>
      </c>
      <c r="N3748" s="3">
        <v>83623.16</v>
      </c>
      <c r="O3748" s="3">
        <v>36120.29</v>
      </c>
      <c r="P3748" s="3" t="s">
        <v>69</v>
      </c>
    </row>
    <row r="3749" spans="1:16" x14ac:dyDescent="0.35">
      <c r="A3749" s="3" t="s">
        <v>5182</v>
      </c>
      <c r="B3749" s="3" t="s">
        <v>126</v>
      </c>
      <c r="C3749" s="3" t="s">
        <v>103</v>
      </c>
      <c r="D3749" s="3" t="s">
        <v>90</v>
      </c>
      <c r="E3749" s="3" t="s">
        <v>91</v>
      </c>
      <c r="F3749" s="3" t="s">
        <v>92</v>
      </c>
      <c r="G3749" s="3" t="s">
        <v>22</v>
      </c>
      <c r="H3749" s="3" t="s">
        <v>83</v>
      </c>
      <c r="I3749" s="3" t="s">
        <v>2538</v>
      </c>
      <c r="J3749" s="3" t="s">
        <v>33</v>
      </c>
      <c r="K3749" s="3">
        <v>6</v>
      </c>
      <c r="L3749" s="3">
        <v>21177.599999999999</v>
      </c>
      <c r="M3749" s="3">
        <v>127065.60000000001</v>
      </c>
      <c r="N3749" s="3">
        <v>102260.93</v>
      </c>
      <c r="O3749" s="3">
        <v>24804.67</v>
      </c>
      <c r="P3749" s="3" t="s">
        <v>26</v>
      </c>
    </row>
    <row r="3750" spans="1:16" x14ac:dyDescent="0.35">
      <c r="A3750" s="3" t="s">
        <v>5183</v>
      </c>
      <c r="B3750" s="3" t="s">
        <v>661</v>
      </c>
      <c r="C3750" s="3" t="s">
        <v>114</v>
      </c>
      <c r="D3750" s="3" t="s">
        <v>38</v>
      </c>
      <c r="E3750" s="3" t="s">
        <v>104</v>
      </c>
      <c r="F3750" s="3" t="s">
        <v>104</v>
      </c>
      <c r="G3750" s="3" t="s">
        <v>22</v>
      </c>
      <c r="H3750" s="3" t="s">
        <v>83</v>
      </c>
      <c r="I3750" s="3" t="s">
        <v>3177</v>
      </c>
      <c r="J3750" s="3" t="s">
        <v>161</v>
      </c>
      <c r="K3750" s="3">
        <v>6</v>
      </c>
      <c r="L3750" s="3">
        <v>20555.03</v>
      </c>
      <c r="M3750" s="3">
        <v>123330.18</v>
      </c>
      <c r="N3750" s="3">
        <v>102670.19</v>
      </c>
      <c r="O3750" s="3">
        <v>20659.990000000002</v>
      </c>
      <c r="P3750" s="3" t="s">
        <v>69</v>
      </c>
    </row>
    <row r="3751" spans="1:16" x14ac:dyDescent="0.35">
      <c r="A3751" s="3" t="s">
        <v>5184</v>
      </c>
      <c r="B3751" s="3" t="s">
        <v>807</v>
      </c>
      <c r="C3751" s="3" t="s">
        <v>72</v>
      </c>
      <c r="D3751" s="3" t="s">
        <v>58</v>
      </c>
      <c r="E3751" s="3" t="s">
        <v>59</v>
      </c>
      <c r="F3751" s="3" t="s">
        <v>60</v>
      </c>
      <c r="G3751" s="3" t="s">
        <v>22</v>
      </c>
      <c r="H3751" s="3" t="s">
        <v>83</v>
      </c>
      <c r="I3751" s="3" t="s">
        <v>5185</v>
      </c>
      <c r="J3751" s="3" t="s">
        <v>106</v>
      </c>
      <c r="K3751" s="3">
        <v>4</v>
      </c>
      <c r="L3751" s="3">
        <v>20153.88</v>
      </c>
      <c r="M3751" s="3">
        <v>80615.520000000004</v>
      </c>
      <c r="N3751" s="3">
        <v>68805.17</v>
      </c>
      <c r="O3751" s="3">
        <v>11810.35</v>
      </c>
      <c r="P3751" s="3" t="s">
        <v>45</v>
      </c>
    </row>
    <row r="3752" spans="1:16" x14ac:dyDescent="0.35">
      <c r="A3752" s="3" t="s">
        <v>5186</v>
      </c>
      <c r="B3752" s="3" t="s">
        <v>1761</v>
      </c>
      <c r="C3752" s="3" t="s">
        <v>72</v>
      </c>
      <c r="D3752" s="3" t="s">
        <v>19</v>
      </c>
      <c r="E3752" s="3" t="s">
        <v>49</v>
      </c>
      <c r="F3752" s="3" t="s">
        <v>50</v>
      </c>
      <c r="G3752" s="3" t="s">
        <v>30</v>
      </c>
      <c r="H3752" s="3" t="s">
        <v>67</v>
      </c>
      <c r="I3752" s="3" t="s">
        <v>1038</v>
      </c>
      <c r="J3752" s="3" t="s">
        <v>85</v>
      </c>
      <c r="K3752" s="3">
        <v>1</v>
      </c>
      <c r="L3752" s="3">
        <v>10195.469999999999</v>
      </c>
      <c r="M3752" s="3">
        <v>10195.469999999999</v>
      </c>
      <c r="N3752" s="3">
        <v>7393.27</v>
      </c>
      <c r="O3752" s="3">
        <v>2802.2</v>
      </c>
      <c r="P3752" s="3" t="s">
        <v>45</v>
      </c>
    </row>
    <row r="3753" spans="1:16" x14ac:dyDescent="0.35">
      <c r="A3753" s="3" t="s">
        <v>5187</v>
      </c>
      <c r="B3753" s="3" t="s">
        <v>952</v>
      </c>
      <c r="C3753" s="3" t="s">
        <v>29</v>
      </c>
      <c r="D3753" s="3" t="s">
        <v>90</v>
      </c>
      <c r="E3753" s="3" t="s">
        <v>119</v>
      </c>
      <c r="F3753" s="3" t="s">
        <v>120</v>
      </c>
      <c r="G3753" s="3" t="s">
        <v>30</v>
      </c>
      <c r="H3753" s="3" t="s">
        <v>73</v>
      </c>
      <c r="I3753" s="3" t="s">
        <v>3248</v>
      </c>
      <c r="J3753" s="3" t="s">
        <v>147</v>
      </c>
      <c r="K3753" s="3">
        <v>8</v>
      </c>
      <c r="L3753" s="3">
        <v>3048.28</v>
      </c>
      <c r="M3753" s="3">
        <v>24386.240000000002</v>
      </c>
      <c r="N3753" s="3">
        <v>19498.759999999998</v>
      </c>
      <c r="O3753" s="3">
        <v>4887.4799999999996</v>
      </c>
      <c r="P3753" s="3" t="s">
        <v>86</v>
      </c>
    </row>
    <row r="3754" spans="1:16" x14ac:dyDescent="0.35">
      <c r="A3754" s="3" t="s">
        <v>5188</v>
      </c>
      <c r="B3754" s="3" t="s">
        <v>757</v>
      </c>
      <c r="C3754" s="3" t="s">
        <v>137</v>
      </c>
      <c r="D3754" s="3" t="s">
        <v>58</v>
      </c>
      <c r="E3754" s="3" t="s">
        <v>176</v>
      </c>
      <c r="F3754" s="3" t="s">
        <v>177</v>
      </c>
      <c r="G3754" s="3" t="s">
        <v>22</v>
      </c>
      <c r="H3754" s="3" t="s">
        <v>93</v>
      </c>
      <c r="I3754" s="3" t="s">
        <v>3449</v>
      </c>
      <c r="J3754" s="3" t="s">
        <v>33</v>
      </c>
      <c r="K3754" s="3">
        <v>8</v>
      </c>
      <c r="L3754" s="3">
        <v>7597.26</v>
      </c>
      <c r="M3754" s="3">
        <v>60778.080000000002</v>
      </c>
      <c r="N3754" s="3">
        <v>41197.26</v>
      </c>
      <c r="O3754" s="3">
        <v>19580.82</v>
      </c>
      <c r="P3754" s="3" t="s">
        <v>86</v>
      </c>
    </row>
    <row r="3755" spans="1:16" x14ac:dyDescent="0.35">
      <c r="A3755" s="3" t="s">
        <v>5189</v>
      </c>
      <c r="B3755" s="3" t="s">
        <v>156</v>
      </c>
      <c r="C3755" s="3" t="s">
        <v>103</v>
      </c>
      <c r="D3755" s="3" t="s">
        <v>38</v>
      </c>
      <c r="E3755" s="3" t="s">
        <v>109</v>
      </c>
      <c r="F3755" s="3" t="s">
        <v>110</v>
      </c>
      <c r="G3755" s="3" t="s">
        <v>41</v>
      </c>
      <c r="H3755" s="3" t="s">
        <v>42</v>
      </c>
      <c r="I3755" s="3" t="s">
        <v>4334</v>
      </c>
      <c r="J3755" s="3" t="s">
        <v>44</v>
      </c>
      <c r="K3755" s="3">
        <v>3</v>
      </c>
      <c r="L3755" s="3">
        <v>43861.95</v>
      </c>
      <c r="M3755" s="3">
        <v>131585.85</v>
      </c>
      <c r="N3755" s="3">
        <v>103678.11</v>
      </c>
      <c r="O3755" s="3">
        <v>27907.74</v>
      </c>
      <c r="P3755" s="3" t="s">
        <v>26</v>
      </c>
    </row>
    <row r="3756" spans="1:16" x14ac:dyDescent="0.35">
      <c r="A3756" s="3" t="s">
        <v>5190</v>
      </c>
      <c r="B3756" s="3" t="s">
        <v>705</v>
      </c>
      <c r="C3756" s="3" t="s">
        <v>82</v>
      </c>
      <c r="D3756" s="3" t="s">
        <v>38</v>
      </c>
      <c r="E3756" s="3" t="s">
        <v>104</v>
      </c>
      <c r="F3756" s="3" t="s">
        <v>104</v>
      </c>
      <c r="G3756" s="3" t="s">
        <v>22</v>
      </c>
      <c r="H3756" s="3" t="s">
        <v>83</v>
      </c>
      <c r="I3756" s="3" t="s">
        <v>243</v>
      </c>
      <c r="J3756" s="3" t="s">
        <v>131</v>
      </c>
      <c r="K3756" s="3">
        <v>6</v>
      </c>
      <c r="L3756" s="3">
        <v>21678.45</v>
      </c>
      <c r="M3756" s="3">
        <v>130070.7</v>
      </c>
      <c r="N3756" s="3">
        <v>100318.02</v>
      </c>
      <c r="O3756" s="3">
        <v>29752.68</v>
      </c>
      <c r="P3756" s="3" t="s">
        <v>69</v>
      </c>
    </row>
    <row r="3757" spans="1:16" x14ac:dyDescent="0.35">
      <c r="A3757" s="3" t="s">
        <v>5191</v>
      </c>
      <c r="B3757" s="3" t="s">
        <v>420</v>
      </c>
      <c r="C3757" s="3" t="s">
        <v>89</v>
      </c>
      <c r="D3757" s="3" t="s">
        <v>90</v>
      </c>
      <c r="E3757" s="3" t="s">
        <v>119</v>
      </c>
      <c r="F3757" s="3" t="s">
        <v>120</v>
      </c>
      <c r="G3757" s="3" t="s">
        <v>22</v>
      </c>
      <c r="H3757" s="3" t="s">
        <v>93</v>
      </c>
      <c r="I3757" s="3" t="s">
        <v>1814</v>
      </c>
      <c r="J3757" s="3" t="s">
        <v>217</v>
      </c>
      <c r="K3757" s="3">
        <v>7</v>
      </c>
      <c r="L3757" s="3">
        <v>6822.29</v>
      </c>
      <c r="M3757" s="3">
        <v>47756.03</v>
      </c>
      <c r="N3757" s="3">
        <v>36375.32</v>
      </c>
      <c r="O3757" s="3">
        <v>11380.71</v>
      </c>
      <c r="P3757" s="3" t="s">
        <v>34</v>
      </c>
    </row>
    <row r="3758" spans="1:16" x14ac:dyDescent="0.35">
      <c r="A3758" s="3" t="s">
        <v>5192</v>
      </c>
      <c r="B3758" s="3" t="s">
        <v>449</v>
      </c>
      <c r="C3758" s="3" t="s">
        <v>37</v>
      </c>
      <c r="D3758" s="3" t="s">
        <v>38</v>
      </c>
      <c r="E3758" s="3" t="s">
        <v>39</v>
      </c>
      <c r="F3758" s="3" t="s">
        <v>40</v>
      </c>
      <c r="G3758" s="3" t="s">
        <v>51</v>
      </c>
      <c r="H3758" s="3" t="s">
        <v>145</v>
      </c>
      <c r="I3758" s="3" t="s">
        <v>1260</v>
      </c>
      <c r="J3758" s="3" t="s">
        <v>44</v>
      </c>
      <c r="K3758" s="3">
        <v>3</v>
      </c>
      <c r="L3758" s="3">
        <v>112.76</v>
      </c>
      <c r="M3758" s="3">
        <v>338.28</v>
      </c>
      <c r="N3758" s="3">
        <v>185.69</v>
      </c>
      <c r="O3758" s="3">
        <v>152.59</v>
      </c>
      <c r="P3758" s="3" t="s">
        <v>69</v>
      </c>
    </row>
    <row r="3759" spans="1:16" x14ac:dyDescent="0.35">
      <c r="A3759" s="3" t="s">
        <v>5193</v>
      </c>
      <c r="B3759" s="3" t="s">
        <v>180</v>
      </c>
      <c r="C3759" s="3" t="s">
        <v>48</v>
      </c>
      <c r="D3759" s="3" t="s">
        <v>90</v>
      </c>
      <c r="E3759" s="3" t="s">
        <v>119</v>
      </c>
      <c r="F3759" s="3" t="s">
        <v>120</v>
      </c>
      <c r="G3759" s="3" t="s">
        <v>51</v>
      </c>
      <c r="H3759" s="3" t="s">
        <v>145</v>
      </c>
      <c r="I3759" s="3" t="s">
        <v>385</v>
      </c>
      <c r="J3759" s="3" t="s">
        <v>54</v>
      </c>
      <c r="K3759" s="3">
        <v>3</v>
      </c>
      <c r="L3759" s="3">
        <v>117.86</v>
      </c>
      <c r="M3759" s="3">
        <v>353.58</v>
      </c>
      <c r="N3759" s="3">
        <v>179.28</v>
      </c>
      <c r="O3759" s="3">
        <v>174.3</v>
      </c>
      <c r="P3759" s="3" t="s">
        <v>26</v>
      </c>
    </row>
    <row r="3760" spans="1:16" x14ac:dyDescent="0.35">
      <c r="A3760" s="3" t="s">
        <v>5194</v>
      </c>
      <c r="B3760" s="3" t="s">
        <v>387</v>
      </c>
      <c r="C3760" s="3" t="s">
        <v>82</v>
      </c>
      <c r="D3760" s="3" t="s">
        <v>19</v>
      </c>
      <c r="E3760" s="3" t="s">
        <v>49</v>
      </c>
      <c r="F3760" s="3" t="s">
        <v>50</v>
      </c>
      <c r="G3760" s="3" t="s">
        <v>30</v>
      </c>
      <c r="H3760" s="3" t="s">
        <v>67</v>
      </c>
      <c r="I3760" s="3" t="s">
        <v>2684</v>
      </c>
      <c r="J3760" s="3" t="s">
        <v>33</v>
      </c>
      <c r="K3760" s="3">
        <v>6</v>
      </c>
      <c r="L3760" s="3">
        <v>10086.91</v>
      </c>
      <c r="M3760" s="3">
        <v>60521.46</v>
      </c>
      <c r="N3760" s="3">
        <v>45468.83</v>
      </c>
      <c r="O3760" s="3">
        <v>15052.63</v>
      </c>
      <c r="P3760" s="3" t="s">
        <v>26</v>
      </c>
    </row>
    <row r="3761" spans="1:16" x14ac:dyDescent="0.35">
      <c r="A3761" s="3" t="s">
        <v>5195</v>
      </c>
      <c r="B3761" s="3" t="s">
        <v>387</v>
      </c>
      <c r="C3761" s="3" t="s">
        <v>82</v>
      </c>
      <c r="D3761" s="3" t="s">
        <v>58</v>
      </c>
      <c r="E3761" s="3" t="s">
        <v>65</v>
      </c>
      <c r="F3761" s="3" t="s">
        <v>66</v>
      </c>
      <c r="G3761" s="3" t="s">
        <v>22</v>
      </c>
      <c r="H3761" s="3" t="s">
        <v>23</v>
      </c>
      <c r="I3761" s="3" t="s">
        <v>1424</v>
      </c>
      <c r="J3761" s="3" t="s">
        <v>79</v>
      </c>
      <c r="K3761" s="3">
        <v>3</v>
      </c>
      <c r="L3761" s="3">
        <v>3354.63</v>
      </c>
      <c r="M3761" s="3">
        <v>10063.89</v>
      </c>
      <c r="N3761" s="3">
        <v>6540.58</v>
      </c>
      <c r="O3761" s="3">
        <v>3523.31</v>
      </c>
      <c r="P3761" s="3" t="s">
        <v>69</v>
      </c>
    </row>
    <row r="3762" spans="1:16" x14ac:dyDescent="0.35">
      <c r="A3762" s="3" t="s">
        <v>5196</v>
      </c>
      <c r="B3762" s="3" t="s">
        <v>1552</v>
      </c>
      <c r="C3762" s="3" t="s">
        <v>114</v>
      </c>
      <c r="D3762" s="3" t="s">
        <v>38</v>
      </c>
      <c r="E3762" s="3" t="s">
        <v>104</v>
      </c>
      <c r="F3762" s="3" t="s">
        <v>104</v>
      </c>
      <c r="G3762" s="3" t="s">
        <v>30</v>
      </c>
      <c r="H3762" s="3" t="s">
        <v>73</v>
      </c>
      <c r="I3762" s="3" t="s">
        <v>563</v>
      </c>
      <c r="J3762" s="3" t="s">
        <v>147</v>
      </c>
      <c r="K3762" s="3">
        <v>8</v>
      </c>
      <c r="L3762" s="3">
        <v>3447.54</v>
      </c>
      <c r="M3762" s="3">
        <v>27580.32</v>
      </c>
      <c r="N3762" s="3">
        <v>19216.490000000002</v>
      </c>
      <c r="O3762" s="3">
        <v>8363.83</v>
      </c>
      <c r="P3762" s="3" t="s">
        <v>34</v>
      </c>
    </row>
    <row r="3763" spans="1:16" x14ac:dyDescent="0.35">
      <c r="A3763" s="3" t="s">
        <v>5197</v>
      </c>
      <c r="B3763" s="3" t="s">
        <v>2227</v>
      </c>
      <c r="C3763" s="3" t="s">
        <v>72</v>
      </c>
      <c r="D3763" s="3" t="s">
        <v>58</v>
      </c>
      <c r="E3763" s="3" t="s">
        <v>59</v>
      </c>
      <c r="F3763" s="3" t="s">
        <v>60</v>
      </c>
      <c r="G3763" s="3" t="s">
        <v>51</v>
      </c>
      <c r="H3763" s="3" t="s">
        <v>52</v>
      </c>
      <c r="I3763" s="3" t="s">
        <v>374</v>
      </c>
      <c r="J3763" s="3" t="s">
        <v>106</v>
      </c>
      <c r="K3763" s="3">
        <v>8</v>
      </c>
      <c r="L3763" s="3">
        <v>24.99</v>
      </c>
      <c r="M3763" s="3">
        <v>199.92</v>
      </c>
      <c r="N3763" s="3">
        <v>83.55</v>
      </c>
      <c r="O3763" s="3">
        <v>116.37</v>
      </c>
      <c r="P3763" s="3" t="s">
        <v>45</v>
      </c>
    </row>
    <row r="3764" spans="1:16" x14ac:dyDescent="0.35">
      <c r="A3764" s="3" t="s">
        <v>5198</v>
      </c>
      <c r="B3764" s="3" t="s">
        <v>344</v>
      </c>
      <c r="C3764" s="3" t="s">
        <v>48</v>
      </c>
      <c r="D3764" s="3" t="s">
        <v>90</v>
      </c>
      <c r="E3764" s="3" t="s">
        <v>119</v>
      </c>
      <c r="F3764" s="3" t="s">
        <v>120</v>
      </c>
      <c r="G3764" s="3" t="s">
        <v>41</v>
      </c>
      <c r="H3764" s="3" t="s">
        <v>138</v>
      </c>
      <c r="I3764" s="3" t="s">
        <v>853</v>
      </c>
      <c r="J3764" s="3" t="s">
        <v>154</v>
      </c>
      <c r="K3764" s="3">
        <v>4</v>
      </c>
      <c r="L3764" s="3">
        <v>17554.97</v>
      </c>
      <c r="M3764" s="3">
        <v>70219.88</v>
      </c>
      <c r="N3764" s="3">
        <v>57657.39</v>
      </c>
      <c r="O3764" s="3">
        <v>12562.49</v>
      </c>
      <c r="P3764" s="3" t="s">
        <v>86</v>
      </c>
    </row>
    <row r="3765" spans="1:16" x14ac:dyDescent="0.35">
      <c r="A3765" s="3" t="s">
        <v>5199</v>
      </c>
      <c r="B3765" s="3" t="s">
        <v>1724</v>
      </c>
      <c r="C3765" s="3" t="s">
        <v>48</v>
      </c>
      <c r="D3765" s="3" t="s">
        <v>58</v>
      </c>
      <c r="E3765" s="3" t="s">
        <v>59</v>
      </c>
      <c r="F3765" s="3" t="s">
        <v>60</v>
      </c>
      <c r="G3765" s="3" t="s">
        <v>30</v>
      </c>
      <c r="H3765" s="3" t="s">
        <v>31</v>
      </c>
      <c r="I3765" s="3" t="s">
        <v>961</v>
      </c>
      <c r="J3765" s="3" t="s">
        <v>100</v>
      </c>
      <c r="K3765" s="3">
        <v>5</v>
      </c>
      <c r="L3765" s="3">
        <v>2787.13</v>
      </c>
      <c r="M3765" s="3">
        <v>13935.65</v>
      </c>
      <c r="N3765" s="3">
        <v>9056.61</v>
      </c>
      <c r="O3765" s="3">
        <v>4879.04</v>
      </c>
      <c r="P3765" s="3" t="s">
        <v>26</v>
      </c>
    </row>
    <row r="3766" spans="1:16" x14ac:dyDescent="0.35">
      <c r="A3766" s="3" t="s">
        <v>5200</v>
      </c>
      <c r="B3766" s="3" t="s">
        <v>762</v>
      </c>
      <c r="C3766" s="3" t="s">
        <v>137</v>
      </c>
      <c r="D3766" s="3" t="s">
        <v>90</v>
      </c>
      <c r="E3766" s="3" t="s">
        <v>91</v>
      </c>
      <c r="F3766" s="3" t="s">
        <v>92</v>
      </c>
      <c r="G3766" s="3" t="s">
        <v>41</v>
      </c>
      <c r="H3766" s="3" t="s">
        <v>61</v>
      </c>
      <c r="I3766" s="3" t="s">
        <v>1837</v>
      </c>
      <c r="J3766" s="3" t="s">
        <v>44</v>
      </c>
      <c r="K3766" s="3">
        <v>1</v>
      </c>
      <c r="L3766" s="3">
        <v>2661.43</v>
      </c>
      <c r="M3766" s="3">
        <v>2661.43</v>
      </c>
      <c r="N3766" s="3">
        <v>1610.55</v>
      </c>
      <c r="O3766" s="3">
        <v>1050.8800000000001</v>
      </c>
      <c r="P3766" s="3" t="s">
        <v>34</v>
      </c>
    </row>
    <row r="3767" spans="1:16" x14ac:dyDescent="0.35">
      <c r="A3767" s="3" t="s">
        <v>5201</v>
      </c>
      <c r="B3767" s="3" t="s">
        <v>333</v>
      </c>
      <c r="C3767" s="3" t="s">
        <v>118</v>
      </c>
      <c r="D3767" s="3" t="s">
        <v>38</v>
      </c>
      <c r="E3767" s="3" t="s">
        <v>109</v>
      </c>
      <c r="F3767" s="3" t="s">
        <v>110</v>
      </c>
      <c r="G3767" s="3" t="s">
        <v>51</v>
      </c>
      <c r="H3767" s="3" t="s">
        <v>145</v>
      </c>
      <c r="I3767" s="3" t="s">
        <v>736</v>
      </c>
      <c r="J3767" s="3" t="s">
        <v>85</v>
      </c>
      <c r="K3767" s="3">
        <v>7</v>
      </c>
      <c r="L3767" s="3">
        <v>116.46</v>
      </c>
      <c r="M3767" s="3">
        <v>815.22</v>
      </c>
      <c r="N3767" s="3">
        <v>433.01</v>
      </c>
      <c r="O3767" s="3">
        <v>382.21</v>
      </c>
      <c r="P3767" s="3" t="s">
        <v>86</v>
      </c>
    </row>
    <row r="3768" spans="1:16" x14ac:dyDescent="0.35">
      <c r="A3768" s="3" t="s">
        <v>5202</v>
      </c>
      <c r="B3768" s="3" t="s">
        <v>435</v>
      </c>
      <c r="C3768" s="3" t="s">
        <v>18</v>
      </c>
      <c r="D3768" s="3" t="s">
        <v>19</v>
      </c>
      <c r="E3768" s="3" t="s">
        <v>20</v>
      </c>
      <c r="F3768" s="3" t="s">
        <v>21</v>
      </c>
      <c r="G3768" s="3" t="s">
        <v>51</v>
      </c>
      <c r="H3768" s="3" t="s">
        <v>77</v>
      </c>
      <c r="I3768" s="3" t="s">
        <v>2169</v>
      </c>
      <c r="J3768" s="3" t="s">
        <v>100</v>
      </c>
      <c r="K3768" s="3">
        <v>2</v>
      </c>
      <c r="L3768" s="3">
        <v>12619.86</v>
      </c>
      <c r="M3768" s="3">
        <v>25239.72</v>
      </c>
      <c r="N3768" s="3">
        <v>18104.150000000001</v>
      </c>
      <c r="O3768" s="3">
        <v>7135.57</v>
      </c>
      <c r="P3768" s="3" t="s">
        <v>45</v>
      </c>
    </row>
    <row r="3769" spans="1:16" x14ac:dyDescent="0.35">
      <c r="A3769" s="3" t="s">
        <v>5203</v>
      </c>
      <c r="B3769" s="3" t="s">
        <v>705</v>
      </c>
      <c r="C3769" s="3" t="s">
        <v>82</v>
      </c>
      <c r="D3769" s="3" t="s">
        <v>19</v>
      </c>
      <c r="E3769" s="3" t="s">
        <v>49</v>
      </c>
      <c r="F3769" s="3" t="s">
        <v>50</v>
      </c>
      <c r="G3769" s="3" t="s">
        <v>22</v>
      </c>
      <c r="H3769" s="3" t="s">
        <v>23</v>
      </c>
      <c r="I3769" s="3" t="s">
        <v>928</v>
      </c>
      <c r="J3769" s="3" t="s">
        <v>171</v>
      </c>
      <c r="K3769" s="3">
        <v>2</v>
      </c>
      <c r="L3769" s="3">
        <v>3492.02</v>
      </c>
      <c r="M3769" s="3">
        <v>6984.04</v>
      </c>
      <c r="N3769" s="3">
        <v>4503.21</v>
      </c>
      <c r="O3769" s="3">
        <v>2480.83</v>
      </c>
      <c r="P3769" s="3" t="s">
        <v>69</v>
      </c>
    </row>
    <row r="3770" spans="1:16" x14ac:dyDescent="0.35">
      <c r="A3770" s="3" t="s">
        <v>5204</v>
      </c>
      <c r="B3770" s="3" t="s">
        <v>795</v>
      </c>
      <c r="C3770" s="3" t="s">
        <v>82</v>
      </c>
      <c r="D3770" s="3" t="s">
        <v>38</v>
      </c>
      <c r="E3770" s="3" t="s">
        <v>109</v>
      </c>
      <c r="F3770" s="3" t="s">
        <v>110</v>
      </c>
      <c r="G3770" s="3" t="s">
        <v>41</v>
      </c>
      <c r="H3770" s="3" t="s">
        <v>61</v>
      </c>
      <c r="I3770" s="3" t="s">
        <v>4986</v>
      </c>
      <c r="J3770" s="3" t="s">
        <v>106</v>
      </c>
      <c r="K3770" s="3">
        <v>2</v>
      </c>
      <c r="L3770" s="3">
        <v>2390.33</v>
      </c>
      <c r="M3770" s="3">
        <v>4780.66</v>
      </c>
      <c r="N3770" s="3">
        <v>3287.55</v>
      </c>
      <c r="O3770" s="3">
        <v>1493.11</v>
      </c>
      <c r="P3770" s="3" t="s">
        <v>86</v>
      </c>
    </row>
    <row r="3771" spans="1:16" x14ac:dyDescent="0.35">
      <c r="A3771" s="3" t="s">
        <v>5205</v>
      </c>
      <c r="B3771" s="3" t="s">
        <v>1667</v>
      </c>
      <c r="C3771" s="3" t="s">
        <v>48</v>
      </c>
      <c r="D3771" s="3" t="s">
        <v>38</v>
      </c>
      <c r="E3771" s="3" t="s">
        <v>109</v>
      </c>
      <c r="F3771" s="3" t="s">
        <v>110</v>
      </c>
      <c r="G3771" s="3" t="s">
        <v>22</v>
      </c>
      <c r="H3771" s="3" t="s">
        <v>93</v>
      </c>
      <c r="I3771" s="3" t="s">
        <v>529</v>
      </c>
      <c r="J3771" s="3" t="s">
        <v>154</v>
      </c>
      <c r="K3771" s="3">
        <v>3</v>
      </c>
      <c r="L3771" s="3">
        <v>7093.83</v>
      </c>
      <c r="M3771" s="3">
        <v>21281.49</v>
      </c>
      <c r="N3771" s="3">
        <v>14619.78</v>
      </c>
      <c r="O3771" s="3">
        <v>6661.71</v>
      </c>
      <c r="P3771" s="3" t="s">
        <v>26</v>
      </c>
    </row>
    <row r="3772" spans="1:16" x14ac:dyDescent="0.35">
      <c r="A3772" s="3" t="s">
        <v>5206</v>
      </c>
      <c r="B3772" s="3" t="s">
        <v>180</v>
      </c>
      <c r="C3772" s="3" t="s">
        <v>48</v>
      </c>
      <c r="D3772" s="3" t="s">
        <v>38</v>
      </c>
      <c r="E3772" s="3" t="s">
        <v>104</v>
      </c>
      <c r="F3772" s="3" t="s">
        <v>104</v>
      </c>
      <c r="G3772" s="3" t="s">
        <v>51</v>
      </c>
      <c r="H3772" s="3" t="s">
        <v>145</v>
      </c>
      <c r="I3772" s="3" t="s">
        <v>146</v>
      </c>
      <c r="J3772" s="3" t="s">
        <v>100</v>
      </c>
      <c r="K3772" s="3">
        <v>1</v>
      </c>
      <c r="L3772" s="3">
        <v>112.38</v>
      </c>
      <c r="M3772" s="3">
        <v>112.38</v>
      </c>
      <c r="N3772" s="3">
        <v>59.54</v>
      </c>
      <c r="O3772" s="3">
        <v>52.84</v>
      </c>
      <c r="P3772" s="3" t="s">
        <v>26</v>
      </c>
    </row>
    <row r="3773" spans="1:16" x14ac:dyDescent="0.35">
      <c r="A3773" s="3" t="s">
        <v>5207</v>
      </c>
      <c r="B3773" s="3" t="s">
        <v>364</v>
      </c>
      <c r="C3773" s="3" t="s">
        <v>137</v>
      </c>
      <c r="D3773" s="3" t="s">
        <v>19</v>
      </c>
      <c r="E3773" s="3" t="s">
        <v>49</v>
      </c>
      <c r="F3773" s="3" t="s">
        <v>50</v>
      </c>
      <c r="G3773" s="3" t="s">
        <v>22</v>
      </c>
      <c r="H3773" s="3" t="s">
        <v>83</v>
      </c>
      <c r="I3773" s="3" t="s">
        <v>645</v>
      </c>
      <c r="J3773" s="3" t="s">
        <v>161</v>
      </c>
      <c r="K3773" s="3">
        <v>8</v>
      </c>
      <c r="L3773" s="3">
        <v>20314.62</v>
      </c>
      <c r="M3773" s="3">
        <v>162516.96</v>
      </c>
      <c r="N3773" s="3">
        <v>137378.38</v>
      </c>
      <c r="O3773" s="3">
        <v>25138.58</v>
      </c>
      <c r="P3773" s="3" t="s">
        <v>69</v>
      </c>
    </row>
    <row r="3774" spans="1:16" x14ac:dyDescent="0.35">
      <c r="A3774" s="3" t="s">
        <v>5208</v>
      </c>
      <c r="B3774" s="3" t="s">
        <v>930</v>
      </c>
      <c r="C3774" s="3" t="s">
        <v>103</v>
      </c>
      <c r="D3774" s="3" t="s">
        <v>38</v>
      </c>
      <c r="E3774" s="3" t="s">
        <v>109</v>
      </c>
      <c r="F3774" s="3" t="s">
        <v>110</v>
      </c>
      <c r="G3774" s="3" t="s">
        <v>41</v>
      </c>
      <c r="H3774" s="3" t="s">
        <v>61</v>
      </c>
      <c r="I3774" s="3" t="s">
        <v>124</v>
      </c>
      <c r="J3774" s="3" t="s">
        <v>147</v>
      </c>
      <c r="K3774" s="3">
        <v>6</v>
      </c>
      <c r="L3774" s="3">
        <v>2275.29</v>
      </c>
      <c r="M3774" s="3">
        <v>13651.74</v>
      </c>
      <c r="N3774" s="3">
        <v>9608.09</v>
      </c>
      <c r="O3774" s="3">
        <v>4043.65</v>
      </c>
      <c r="P3774" s="3" t="s">
        <v>34</v>
      </c>
    </row>
    <row r="3775" spans="1:16" x14ac:dyDescent="0.35">
      <c r="A3775" s="3" t="s">
        <v>5209</v>
      </c>
      <c r="B3775" s="3" t="s">
        <v>321</v>
      </c>
      <c r="C3775" s="3" t="s">
        <v>137</v>
      </c>
      <c r="D3775" s="3" t="s">
        <v>38</v>
      </c>
      <c r="E3775" s="3" t="s">
        <v>104</v>
      </c>
      <c r="F3775" s="3" t="s">
        <v>104</v>
      </c>
      <c r="G3775" s="3" t="s">
        <v>51</v>
      </c>
      <c r="H3775" s="3" t="s">
        <v>52</v>
      </c>
      <c r="I3775" s="3" t="s">
        <v>313</v>
      </c>
      <c r="J3775" s="3" t="s">
        <v>85</v>
      </c>
      <c r="K3775" s="3">
        <v>4</v>
      </c>
      <c r="L3775" s="3">
        <v>24.58</v>
      </c>
      <c r="M3775" s="3">
        <v>98.32</v>
      </c>
      <c r="N3775" s="3">
        <v>39.200000000000003</v>
      </c>
      <c r="O3775" s="3">
        <v>59.12</v>
      </c>
      <c r="P3775" s="3" t="s">
        <v>34</v>
      </c>
    </row>
    <row r="3776" spans="1:16" x14ac:dyDescent="0.35">
      <c r="A3776" s="3" t="s">
        <v>5210</v>
      </c>
      <c r="B3776" s="3" t="s">
        <v>222</v>
      </c>
      <c r="C3776" s="3" t="s">
        <v>48</v>
      </c>
      <c r="D3776" s="3" t="s">
        <v>19</v>
      </c>
      <c r="E3776" s="3" t="s">
        <v>20</v>
      </c>
      <c r="F3776" s="3" t="s">
        <v>21</v>
      </c>
      <c r="G3776" s="3" t="s">
        <v>30</v>
      </c>
      <c r="H3776" s="3" t="s">
        <v>67</v>
      </c>
      <c r="I3776" s="3" t="s">
        <v>1834</v>
      </c>
      <c r="J3776" s="3" t="s">
        <v>25</v>
      </c>
      <c r="K3776" s="3">
        <v>1</v>
      </c>
      <c r="L3776" s="3">
        <v>9443.16</v>
      </c>
      <c r="M3776" s="3">
        <v>9443.16</v>
      </c>
      <c r="N3776" s="3">
        <v>7567.3</v>
      </c>
      <c r="O3776" s="3">
        <v>1875.86</v>
      </c>
      <c r="P3776" s="3" t="s">
        <v>26</v>
      </c>
    </row>
    <row r="3777" spans="1:16" x14ac:dyDescent="0.35">
      <c r="A3777" s="3" t="s">
        <v>5211</v>
      </c>
      <c r="B3777" s="3" t="s">
        <v>583</v>
      </c>
      <c r="C3777" s="3" t="s">
        <v>89</v>
      </c>
      <c r="D3777" s="3" t="s">
        <v>19</v>
      </c>
      <c r="E3777" s="3" t="s">
        <v>20</v>
      </c>
      <c r="F3777" s="3" t="s">
        <v>21</v>
      </c>
      <c r="G3777" s="3" t="s">
        <v>22</v>
      </c>
      <c r="H3777" s="3" t="s">
        <v>93</v>
      </c>
      <c r="I3777" s="3" t="s">
        <v>1885</v>
      </c>
      <c r="J3777" s="3" t="s">
        <v>100</v>
      </c>
      <c r="K3777" s="3">
        <v>6</v>
      </c>
      <c r="L3777" s="3">
        <v>7501.61</v>
      </c>
      <c r="M3777" s="3">
        <v>45009.66</v>
      </c>
      <c r="N3777" s="3">
        <v>31236.41</v>
      </c>
      <c r="O3777" s="3">
        <v>13773.25</v>
      </c>
      <c r="P3777" s="3" t="s">
        <v>45</v>
      </c>
    </row>
    <row r="3778" spans="1:16" x14ac:dyDescent="0.35">
      <c r="A3778" s="3" t="s">
        <v>5212</v>
      </c>
      <c r="B3778" s="3" t="s">
        <v>339</v>
      </c>
      <c r="C3778" s="3" t="s">
        <v>29</v>
      </c>
      <c r="D3778" s="3" t="s">
        <v>90</v>
      </c>
      <c r="E3778" s="3" t="s">
        <v>91</v>
      </c>
      <c r="F3778" s="3" t="s">
        <v>92</v>
      </c>
      <c r="G3778" s="3" t="s">
        <v>51</v>
      </c>
      <c r="H3778" s="3" t="s">
        <v>52</v>
      </c>
      <c r="I3778" s="3" t="s">
        <v>2882</v>
      </c>
      <c r="J3778" s="3" t="s">
        <v>147</v>
      </c>
      <c r="K3778" s="3">
        <v>7</v>
      </c>
      <c r="L3778" s="3">
        <v>22.71</v>
      </c>
      <c r="M3778" s="3">
        <v>158.97</v>
      </c>
      <c r="N3778" s="3">
        <v>72.17</v>
      </c>
      <c r="O3778" s="3">
        <v>86.8</v>
      </c>
      <c r="P3778" s="3" t="s">
        <v>69</v>
      </c>
    </row>
    <row r="3779" spans="1:16" x14ac:dyDescent="0.35">
      <c r="A3779" s="3" t="s">
        <v>5213</v>
      </c>
      <c r="B3779" s="3" t="s">
        <v>690</v>
      </c>
      <c r="C3779" s="3" t="s">
        <v>82</v>
      </c>
      <c r="D3779" s="3" t="s">
        <v>38</v>
      </c>
      <c r="E3779" s="3" t="s">
        <v>104</v>
      </c>
      <c r="F3779" s="3" t="s">
        <v>104</v>
      </c>
      <c r="G3779" s="3" t="s">
        <v>41</v>
      </c>
      <c r="H3779" s="3" t="s">
        <v>42</v>
      </c>
      <c r="I3779" s="3" t="s">
        <v>1334</v>
      </c>
      <c r="J3779" s="3" t="s">
        <v>217</v>
      </c>
      <c r="K3779" s="3">
        <v>2</v>
      </c>
      <c r="L3779" s="3">
        <v>42906.720000000001</v>
      </c>
      <c r="M3779" s="3">
        <v>85813.440000000002</v>
      </c>
      <c r="N3779" s="3">
        <v>72982.17</v>
      </c>
      <c r="O3779" s="3">
        <v>12831.27</v>
      </c>
      <c r="P3779" s="3" t="s">
        <v>69</v>
      </c>
    </row>
    <row r="3780" spans="1:16" x14ac:dyDescent="0.35">
      <c r="A3780" s="3" t="s">
        <v>5214</v>
      </c>
      <c r="B3780" s="3" t="s">
        <v>452</v>
      </c>
      <c r="C3780" s="3" t="s">
        <v>114</v>
      </c>
      <c r="D3780" s="3" t="s">
        <v>90</v>
      </c>
      <c r="E3780" s="3" t="s">
        <v>91</v>
      </c>
      <c r="F3780" s="3" t="s">
        <v>92</v>
      </c>
      <c r="G3780" s="3" t="s">
        <v>30</v>
      </c>
      <c r="H3780" s="3" t="s">
        <v>73</v>
      </c>
      <c r="I3780" s="3" t="s">
        <v>894</v>
      </c>
      <c r="J3780" s="3" t="s">
        <v>171</v>
      </c>
      <c r="K3780" s="3">
        <v>8</v>
      </c>
      <c r="L3780" s="3">
        <v>3068.18</v>
      </c>
      <c r="M3780" s="3">
        <v>24545.439999999999</v>
      </c>
      <c r="N3780" s="3">
        <v>19814.78</v>
      </c>
      <c r="O3780" s="3">
        <v>4730.66</v>
      </c>
      <c r="P3780" s="3" t="s">
        <v>69</v>
      </c>
    </row>
    <row r="3781" spans="1:16" x14ac:dyDescent="0.35">
      <c r="A3781" s="3" t="s">
        <v>5215</v>
      </c>
      <c r="B3781" s="3" t="s">
        <v>324</v>
      </c>
      <c r="C3781" s="3" t="s">
        <v>29</v>
      </c>
      <c r="D3781" s="3" t="s">
        <v>90</v>
      </c>
      <c r="E3781" s="3" t="s">
        <v>119</v>
      </c>
      <c r="F3781" s="3" t="s">
        <v>120</v>
      </c>
      <c r="G3781" s="3" t="s">
        <v>41</v>
      </c>
      <c r="H3781" s="3" t="s">
        <v>61</v>
      </c>
      <c r="I3781" s="3" t="s">
        <v>3397</v>
      </c>
      <c r="J3781" s="3" t="s">
        <v>44</v>
      </c>
      <c r="K3781" s="3">
        <v>2</v>
      </c>
      <c r="L3781" s="3">
        <v>2594.9699999999998</v>
      </c>
      <c r="M3781" s="3">
        <v>5189.9399999999996</v>
      </c>
      <c r="N3781" s="3">
        <v>3191.96</v>
      </c>
      <c r="O3781" s="3">
        <v>1997.98</v>
      </c>
      <c r="P3781" s="3" t="s">
        <v>34</v>
      </c>
    </row>
    <row r="3782" spans="1:16" x14ac:dyDescent="0.35">
      <c r="A3782" s="3" t="s">
        <v>5216</v>
      </c>
      <c r="B3782" s="3" t="s">
        <v>307</v>
      </c>
      <c r="C3782" s="3" t="s">
        <v>103</v>
      </c>
      <c r="D3782" s="3" t="s">
        <v>58</v>
      </c>
      <c r="E3782" s="3" t="s">
        <v>59</v>
      </c>
      <c r="F3782" s="3" t="s">
        <v>60</v>
      </c>
      <c r="G3782" s="3" t="s">
        <v>51</v>
      </c>
      <c r="H3782" s="3" t="s">
        <v>145</v>
      </c>
      <c r="I3782" s="3" t="s">
        <v>1571</v>
      </c>
      <c r="J3782" s="3" t="s">
        <v>33</v>
      </c>
      <c r="K3782" s="3">
        <v>7</v>
      </c>
      <c r="L3782" s="3">
        <v>116.43</v>
      </c>
      <c r="M3782" s="3">
        <v>815.01</v>
      </c>
      <c r="N3782" s="3">
        <v>435.08</v>
      </c>
      <c r="O3782" s="3">
        <v>379.93</v>
      </c>
      <c r="P3782" s="3" t="s">
        <v>86</v>
      </c>
    </row>
    <row r="3783" spans="1:16" x14ac:dyDescent="0.35">
      <c r="A3783" s="3" t="s">
        <v>5217</v>
      </c>
      <c r="B3783" s="3" t="s">
        <v>1525</v>
      </c>
      <c r="C3783" s="3" t="s">
        <v>57</v>
      </c>
      <c r="D3783" s="3" t="s">
        <v>38</v>
      </c>
      <c r="E3783" s="3" t="s">
        <v>39</v>
      </c>
      <c r="F3783" s="3" t="s">
        <v>40</v>
      </c>
      <c r="G3783" s="3" t="s">
        <v>22</v>
      </c>
      <c r="H3783" s="3" t="s">
        <v>83</v>
      </c>
      <c r="I3783" s="3" t="s">
        <v>1986</v>
      </c>
      <c r="J3783" s="3" t="s">
        <v>33</v>
      </c>
      <c r="K3783" s="3">
        <v>4</v>
      </c>
      <c r="L3783" s="3">
        <v>20560.32</v>
      </c>
      <c r="M3783" s="3">
        <v>82241.279999999999</v>
      </c>
      <c r="N3783" s="3">
        <v>66405.649999999994</v>
      </c>
      <c r="O3783" s="3">
        <v>15835.63</v>
      </c>
      <c r="P3783" s="3" t="s">
        <v>34</v>
      </c>
    </row>
    <row r="3784" spans="1:16" x14ac:dyDescent="0.35">
      <c r="A3784" s="3" t="s">
        <v>5218</v>
      </c>
      <c r="B3784" s="3" t="s">
        <v>1299</v>
      </c>
      <c r="C3784" s="3" t="s">
        <v>82</v>
      </c>
      <c r="D3784" s="3" t="s">
        <v>90</v>
      </c>
      <c r="E3784" s="3" t="s">
        <v>97</v>
      </c>
      <c r="F3784" s="3" t="s">
        <v>98</v>
      </c>
      <c r="G3784" s="3" t="s">
        <v>30</v>
      </c>
      <c r="H3784" s="3" t="s">
        <v>31</v>
      </c>
      <c r="I3784" s="3" t="s">
        <v>1628</v>
      </c>
      <c r="J3784" s="3" t="s">
        <v>147</v>
      </c>
      <c r="K3784" s="3">
        <v>3</v>
      </c>
      <c r="L3784" s="3">
        <v>3071.32</v>
      </c>
      <c r="M3784" s="3">
        <v>9213.9599999999991</v>
      </c>
      <c r="N3784" s="3">
        <v>5758.59</v>
      </c>
      <c r="O3784" s="3">
        <v>3455.37</v>
      </c>
      <c r="P3784" s="3" t="s">
        <v>34</v>
      </c>
    </row>
    <row r="3785" spans="1:16" x14ac:dyDescent="0.35">
      <c r="A3785" s="3" t="s">
        <v>5219</v>
      </c>
      <c r="B3785" s="3" t="s">
        <v>251</v>
      </c>
      <c r="C3785" s="3" t="s">
        <v>37</v>
      </c>
      <c r="D3785" s="3" t="s">
        <v>90</v>
      </c>
      <c r="E3785" s="3" t="s">
        <v>91</v>
      </c>
      <c r="F3785" s="3" t="s">
        <v>92</v>
      </c>
      <c r="G3785" s="3" t="s">
        <v>51</v>
      </c>
      <c r="H3785" s="3" t="s">
        <v>52</v>
      </c>
      <c r="I3785" s="3" t="s">
        <v>2543</v>
      </c>
      <c r="J3785" s="3" t="s">
        <v>85</v>
      </c>
      <c r="K3785" s="3">
        <v>4</v>
      </c>
      <c r="L3785" s="3">
        <v>27.17</v>
      </c>
      <c r="M3785" s="3">
        <v>108.68</v>
      </c>
      <c r="N3785" s="3">
        <v>40.909999999999997</v>
      </c>
      <c r="O3785" s="3">
        <v>67.77</v>
      </c>
      <c r="P3785" s="3" t="s">
        <v>86</v>
      </c>
    </row>
    <row r="3786" spans="1:16" x14ac:dyDescent="0.35">
      <c r="A3786" s="3" t="s">
        <v>5220</v>
      </c>
      <c r="B3786" s="3" t="s">
        <v>2969</v>
      </c>
      <c r="C3786" s="3" t="s">
        <v>137</v>
      </c>
      <c r="D3786" s="3" t="s">
        <v>58</v>
      </c>
      <c r="E3786" s="3" t="s">
        <v>176</v>
      </c>
      <c r="F3786" s="3" t="s">
        <v>177</v>
      </c>
      <c r="G3786" s="3" t="s">
        <v>30</v>
      </c>
      <c r="H3786" s="3" t="s">
        <v>31</v>
      </c>
      <c r="I3786" s="3" t="s">
        <v>731</v>
      </c>
      <c r="J3786" s="3" t="s">
        <v>161</v>
      </c>
      <c r="K3786" s="3">
        <v>5</v>
      </c>
      <c r="L3786" s="3">
        <v>2889.04</v>
      </c>
      <c r="M3786" s="3">
        <v>14445.2</v>
      </c>
      <c r="N3786" s="3">
        <v>9394.2000000000007</v>
      </c>
      <c r="O3786" s="3">
        <v>5051</v>
      </c>
      <c r="P3786" s="3" t="s">
        <v>34</v>
      </c>
    </row>
    <row r="3787" spans="1:16" x14ac:dyDescent="0.35">
      <c r="A3787" s="3" t="s">
        <v>5221</v>
      </c>
      <c r="B3787" s="3" t="s">
        <v>455</v>
      </c>
      <c r="C3787" s="3" t="s">
        <v>18</v>
      </c>
      <c r="D3787" s="3" t="s">
        <v>38</v>
      </c>
      <c r="E3787" s="3" t="s">
        <v>104</v>
      </c>
      <c r="F3787" s="3" t="s">
        <v>104</v>
      </c>
      <c r="G3787" s="3" t="s">
        <v>51</v>
      </c>
      <c r="H3787" s="3" t="s">
        <v>52</v>
      </c>
      <c r="I3787" s="3" t="s">
        <v>1626</v>
      </c>
      <c r="J3787" s="3" t="s">
        <v>188</v>
      </c>
      <c r="K3787" s="3">
        <v>1</v>
      </c>
      <c r="L3787" s="3">
        <v>23.28</v>
      </c>
      <c r="M3787" s="3">
        <v>23.28</v>
      </c>
      <c r="N3787" s="3">
        <v>9.75</v>
      </c>
      <c r="O3787" s="3">
        <v>13.53</v>
      </c>
      <c r="P3787" s="3" t="s">
        <v>69</v>
      </c>
    </row>
    <row r="3788" spans="1:16" x14ac:dyDescent="0.35">
      <c r="A3788" s="3" t="s">
        <v>5222</v>
      </c>
      <c r="B3788" s="3" t="s">
        <v>1385</v>
      </c>
      <c r="C3788" s="3" t="s">
        <v>29</v>
      </c>
      <c r="D3788" s="3" t="s">
        <v>38</v>
      </c>
      <c r="E3788" s="3" t="s">
        <v>39</v>
      </c>
      <c r="F3788" s="3" t="s">
        <v>40</v>
      </c>
      <c r="G3788" s="3" t="s">
        <v>51</v>
      </c>
      <c r="H3788" s="3" t="s">
        <v>52</v>
      </c>
      <c r="I3788" s="3" t="s">
        <v>529</v>
      </c>
      <c r="J3788" s="3" t="s">
        <v>161</v>
      </c>
      <c r="K3788" s="3">
        <v>1</v>
      </c>
      <c r="L3788" s="3">
        <v>25.9</v>
      </c>
      <c r="M3788" s="3">
        <v>25.9</v>
      </c>
      <c r="N3788" s="3">
        <v>10.38</v>
      </c>
      <c r="O3788" s="3">
        <v>15.52</v>
      </c>
      <c r="P3788" s="3" t="s">
        <v>69</v>
      </c>
    </row>
    <row r="3789" spans="1:16" x14ac:dyDescent="0.35">
      <c r="A3789" s="3" t="s">
        <v>5223</v>
      </c>
      <c r="B3789" s="3" t="s">
        <v>81</v>
      </c>
      <c r="C3789" s="3" t="s">
        <v>82</v>
      </c>
      <c r="D3789" s="3" t="s">
        <v>58</v>
      </c>
      <c r="E3789" s="3" t="s">
        <v>65</v>
      </c>
      <c r="F3789" s="3" t="s">
        <v>66</v>
      </c>
      <c r="G3789" s="3" t="s">
        <v>41</v>
      </c>
      <c r="H3789" s="3" t="s">
        <v>42</v>
      </c>
      <c r="I3789" s="3" t="s">
        <v>1249</v>
      </c>
      <c r="J3789" s="3" t="s">
        <v>171</v>
      </c>
      <c r="K3789" s="3">
        <v>5</v>
      </c>
      <c r="L3789" s="3">
        <v>45923.17</v>
      </c>
      <c r="M3789" s="3">
        <v>229615.85</v>
      </c>
      <c r="N3789" s="3">
        <v>177544.88</v>
      </c>
      <c r="O3789" s="3">
        <v>52070.97</v>
      </c>
      <c r="P3789" s="3" t="s">
        <v>34</v>
      </c>
    </row>
    <row r="3790" spans="1:16" x14ac:dyDescent="0.35">
      <c r="A3790" s="3" t="s">
        <v>5224</v>
      </c>
      <c r="B3790" s="3" t="s">
        <v>847</v>
      </c>
      <c r="C3790" s="3" t="s">
        <v>89</v>
      </c>
      <c r="D3790" s="3" t="s">
        <v>58</v>
      </c>
      <c r="E3790" s="3" t="s">
        <v>65</v>
      </c>
      <c r="F3790" s="3" t="s">
        <v>66</v>
      </c>
      <c r="G3790" s="3" t="s">
        <v>30</v>
      </c>
      <c r="H3790" s="3" t="s">
        <v>31</v>
      </c>
      <c r="I3790" s="3" t="s">
        <v>1798</v>
      </c>
      <c r="J3790" s="3" t="s">
        <v>44</v>
      </c>
      <c r="K3790" s="3">
        <v>1</v>
      </c>
      <c r="L3790" s="3">
        <v>2784.98</v>
      </c>
      <c r="M3790" s="3">
        <v>2784.98</v>
      </c>
      <c r="N3790" s="3">
        <v>1980.4</v>
      </c>
      <c r="O3790" s="3">
        <v>804.58</v>
      </c>
      <c r="P3790" s="3" t="s">
        <v>26</v>
      </c>
    </row>
    <row r="3791" spans="1:16" x14ac:dyDescent="0.35">
      <c r="A3791" s="3" t="s">
        <v>5225</v>
      </c>
      <c r="B3791" s="3" t="s">
        <v>861</v>
      </c>
      <c r="C3791" s="3" t="s">
        <v>137</v>
      </c>
      <c r="D3791" s="3" t="s">
        <v>38</v>
      </c>
      <c r="E3791" s="3" t="s">
        <v>109</v>
      </c>
      <c r="F3791" s="3" t="s">
        <v>110</v>
      </c>
      <c r="G3791" s="3" t="s">
        <v>51</v>
      </c>
      <c r="H3791" s="3" t="s">
        <v>145</v>
      </c>
      <c r="I3791" s="3" t="s">
        <v>4920</v>
      </c>
      <c r="J3791" s="3" t="s">
        <v>33</v>
      </c>
      <c r="K3791" s="3">
        <v>3</v>
      </c>
      <c r="L3791" s="3">
        <v>117.42</v>
      </c>
      <c r="M3791" s="3">
        <v>352.26</v>
      </c>
      <c r="N3791" s="3">
        <v>188.33</v>
      </c>
      <c r="O3791" s="3">
        <v>163.93</v>
      </c>
      <c r="P3791" s="3" t="s">
        <v>69</v>
      </c>
    </row>
    <row r="3792" spans="1:16" x14ac:dyDescent="0.35">
      <c r="A3792" s="3" t="s">
        <v>5226</v>
      </c>
      <c r="B3792" s="3" t="s">
        <v>889</v>
      </c>
      <c r="C3792" s="3" t="s">
        <v>82</v>
      </c>
      <c r="D3792" s="3" t="s">
        <v>38</v>
      </c>
      <c r="E3792" s="3" t="s">
        <v>109</v>
      </c>
      <c r="F3792" s="3" t="s">
        <v>110</v>
      </c>
      <c r="G3792" s="3" t="s">
        <v>30</v>
      </c>
      <c r="H3792" s="3" t="s">
        <v>73</v>
      </c>
      <c r="I3792" s="3" t="s">
        <v>4920</v>
      </c>
      <c r="J3792" s="3" t="s">
        <v>131</v>
      </c>
      <c r="K3792" s="3">
        <v>8</v>
      </c>
      <c r="L3792" s="3">
        <v>3270.49</v>
      </c>
      <c r="M3792" s="3">
        <v>26163.919999999998</v>
      </c>
      <c r="N3792" s="3">
        <v>19023.66</v>
      </c>
      <c r="O3792" s="3">
        <v>7140.26</v>
      </c>
      <c r="P3792" s="3" t="s">
        <v>45</v>
      </c>
    </row>
    <row r="3793" spans="1:16" x14ac:dyDescent="0.35">
      <c r="A3793" s="3" t="s">
        <v>5227</v>
      </c>
      <c r="B3793" s="3" t="s">
        <v>2041</v>
      </c>
      <c r="C3793" s="3" t="s">
        <v>89</v>
      </c>
      <c r="D3793" s="3" t="s">
        <v>90</v>
      </c>
      <c r="E3793" s="3" t="s">
        <v>91</v>
      </c>
      <c r="F3793" s="3" t="s">
        <v>92</v>
      </c>
      <c r="G3793" s="3" t="s">
        <v>30</v>
      </c>
      <c r="H3793" s="3" t="s">
        <v>31</v>
      </c>
      <c r="I3793" s="3" t="s">
        <v>2288</v>
      </c>
      <c r="J3793" s="3" t="s">
        <v>154</v>
      </c>
      <c r="K3793" s="3">
        <v>7</v>
      </c>
      <c r="L3793" s="3">
        <v>2861.19</v>
      </c>
      <c r="M3793" s="3">
        <v>20028.330000000002</v>
      </c>
      <c r="N3793" s="3">
        <v>12772.28</v>
      </c>
      <c r="O3793" s="3">
        <v>7256.05</v>
      </c>
      <c r="P3793" s="3" t="s">
        <v>34</v>
      </c>
    </row>
    <row r="3794" spans="1:16" x14ac:dyDescent="0.35">
      <c r="A3794" s="3" t="s">
        <v>5228</v>
      </c>
      <c r="B3794" s="3" t="s">
        <v>604</v>
      </c>
      <c r="C3794" s="3" t="s">
        <v>118</v>
      </c>
      <c r="D3794" s="3" t="s">
        <v>58</v>
      </c>
      <c r="E3794" s="3" t="s">
        <v>65</v>
      </c>
      <c r="F3794" s="3" t="s">
        <v>66</v>
      </c>
      <c r="G3794" s="3" t="s">
        <v>41</v>
      </c>
      <c r="H3794" s="3" t="s">
        <v>138</v>
      </c>
      <c r="I3794" s="3" t="s">
        <v>3381</v>
      </c>
      <c r="J3794" s="3" t="s">
        <v>44</v>
      </c>
      <c r="K3794" s="3">
        <v>1</v>
      </c>
      <c r="L3794" s="3">
        <v>19497.57</v>
      </c>
      <c r="M3794" s="3">
        <v>19497.57</v>
      </c>
      <c r="N3794" s="3">
        <v>13984.09</v>
      </c>
      <c r="O3794" s="3">
        <v>5513.48</v>
      </c>
      <c r="P3794" s="3" t="s">
        <v>26</v>
      </c>
    </row>
    <row r="3795" spans="1:16" x14ac:dyDescent="0.35">
      <c r="A3795" s="3" t="s">
        <v>5229</v>
      </c>
      <c r="B3795" s="3" t="s">
        <v>974</v>
      </c>
      <c r="C3795" s="3" t="s">
        <v>29</v>
      </c>
      <c r="D3795" s="3" t="s">
        <v>19</v>
      </c>
      <c r="E3795" s="3" t="s">
        <v>20</v>
      </c>
      <c r="F3795" s="3" t="s">
        <v>21</v>
      </c>
      <c r="G3795" s="3" t="s">
        <v>22</v>
      </c>
      <c r="H3795" s="3" t="s">
        <v>23</v>
      </c>
      <c r="I3795" s="3" t="s">
        <v>3960</v>
      </c>
      <c r="J3795" s="3" t="s">
        <v>147</v>
      </c>
      <c r="K3795" s="3">
        <v>8</v>
      </c>
      <c r="L3795" s="3">
        <v>3336.05</v>
      </c>
      <c r="M3795" s="3">
        <v>26688.400000000001</v>
      </c>
      <c r="N3795" s="3">
        <v>17107.61</v>
      </c>
      <c r="O3795" s="3">
        <v>9580.7900000000009</v>
      </c>
      <c r="P3795" s="3" t="s">
        <v>26</v>
      </c>
    </row>
    <row r="3796" spans="1:16" x14ac:dyDescent="0.35">
      <c r="A3796" s="3" t="s">
        <v>5230</v>
      </c>
      <c r="B3796" s="3" t="s">
        <v>1082</v>
      </c>
      <c r="C3796" s="3" t="s">
        <v>114</v>
      </c>
      <c r="D3796" s="3" t="s">
        <v>19</v>
      </c>
      <c r="E3796" s="3" t="s">
        <v>199</v>
      </c>
      <c r="F3796" s="3" t="s">
        <v>200</v>
      </c>
      <c r="G3796" s="3" t="s">
        <v>22</v>
      </c>
      <c r="H3796" s="3" t="s">
        <v>93</v>
      </c>
      <c r="I3796" s="3" t="s">
        <v>1595</v>
      </c>
      <c r="J3796" s="3" t="s">
        <v>54</v>
      </c>
      <c r="K3796" s="3">
        <v>4</v>
      </c>
      <c r="L3796" s="3">
        <v>6412.1</v>
      </c>
      <c r="M3796" s="3">
        <v>25648.400000000001</v>
      </c>
      <c r="N3796" s="3">
        <v>19011.849999999999</v>
      </c>
      <c r="O3796" s="3">
        <v>6636.55</v>
      </c>
      <c r="P3796" s="3" t="s">
        <v>26</v>
      </c>
    </row>
    <row r="3797" spans="1:16" x14ac:dyDescent="0.35">
      <c r="A3797" s="3" t="s">
        <v>5231</v>
      </c>
      <c r="B3797" s="3" t="s">
        <v>994</v>
      </c>
      <c r="C3797" s="3" t="s">
        <v>29</v>
      </c>
      <c r="D3797" s="3" t="s">
        <v>38</v>
      </c>
      <c r="E3797" s="3" t="s">
        <v>109</v>
      </c>
      <c r="F3797" s="3" t="s">
        <v>110</v>
      </c>
      <c r="G3797" s="3" t="s">
        <v>51</v>
      </c>
      <c r="H3797" s="3" t="s">
        <v>77</v>
      </c>
      <c r="I3797" s="3" t="s">
        <v>1647</v>
      </c>
      <c r="J3797" s="3" t="s">
        <v>79</v>
      </c>
      <c r="K3797" s="3">
        <v>6</v>
      </c>
      <c r="L3797" s="3">
        <v>11072.52</v>
      </c>
      <c r="M3797" s="3">
        <v>66435.12</v>
      </c>
      <c r="N3797" s="3">
        <v>52443.68</v>
      </c>
      <c r="O3797" s="3">
        <v>13991.44</v>
      </c>
      <c r="P3797" s="3" t="s">
        <v>86</v>
      </c>
    </row>
    <row r="3798" spans="1:16" x14ac:dyDescent="0.35">
      <c r="A3798" s="3" t="s">
        <v>5232</v>
      </c>
      <c r="B3798" s="3" t="s">
        <v>816</v>
      </c>
      <c r="C3798" s="3" t="s">
        <v>57</v>
      </c>
      <c r="D3798" s="3" t="s">
        <v>38</v>
      </c>
      <c r="E3798" s="3" t="s">
        <v>39</v>
      </c>
      <c r="F3798" s="3" t="s">
        <v>40</v>
      </c>
      <c r="G3798" s="3" t="s">
        <v>51</v>
      </c>
      <c r="H3798" s="3" t="s">
        <v>77</v>
      </c>
      <c r="I3798" s="3" t="s">
        <v>894</v>
      </c>
      <c r="J3798" s="3" t="s">
        <v>25</v>
      </c>
      <c r="K3798" s="3">
        <v>2</v>
      </c>
      <c r="L3798" s="3">
        <v>11858.75</v>
      </c>
      <c r="M3798" s="3">
        <v>23717.5</v>
      </c>
      <c r="N3798" s="3">
        <v>17954.14</v>
      </c>
      <c r="O3798" s="3">
        <v>5763.36</v>
      </c>
      <c r="P3798" s="3" t="s">
        <v>69</v>
      </c>
    </row>
    <row r="3799" spans="1:16" x14ac:dyDescent="0.35">
      <c r="A3799" s="3" t="s">
        <v>5233</v>
      </c>
      <c r="B3799" s="3" t="s">
        <v>924</v>
      </c>
      <c r="C3799" s="3" t="s">
        <v>18</v>
      </c>
      <c r="D3799" s="3" t="s">
        <v>58</v>
      </c>
      <c r="E3799" s="3" t="s">
        <v>65</v>
      </c>
      <c r="F3799" s="3" t="s">
        <v>66</v>
      </c>
      <c r="G3799" s="3" t="s">
        <v>22</v>
      </c>
      <c r="H3799" s="3" t="s">
        <v>23</v>
      </c>
      <c r="I3799" s="3" t="s">
        <v>2973</v>
      </c>
      <c r="J3799" s="3" t="s">
        <v>171</v>
      </c>
      <c r="K3799" s="3">
        <v>6</v>
      </c>
      <c r="L3799" s="3">
        <v>3246.66</v>
      </c>
      <c r="M3799" s="3">
        <v>19479.96</v>
      </c>
      <c r="N3799" s="3">
        <v>13111.95</v>
      </c>
      <c r="O3799" s="3">
        <v>6368.01</v>
      </c>
      <c r="P3799" s="3" t="s">
        <v>26</v>
      </c>
    </row>
    <row r="3800" spans="1:16" x14ac:dyDescent="0.35">
      <c r="A3800" s="3" t="s">
        <v>5234</v>
      </c>
      <c r="B3800" s="3" t="s">
        <v>580</v>
      </c>
      <c r="C3800" s="3" t="s">
        <v>57</v>
      </c>
      <c r="D3800" s="3" t="s">
        <v>90</v>
      </c>
      <c r="E3800" s="3" t="s">
        <v>97</v>
      </c>
      <c r="F3800" s="3" t="s">
        <v>98</v>
      </c>
      <c r="G3800" s="3" t="s">
        <v>41</v>
      </c>
      <c r="H3800" s="3" t="s">
        <v>42</v>
      </c>
      <c r="I3800" s="3" t="s">
        <v>2094</v>
      </c>
      <c r="J3800" s="3" t="s">
        <v>161</v>
      </c>
      <c r="K3800" s="3">
        <v>7</v>
      </c>
      <c r="L3800" s="3">
        <v>47351.55</v>
      </c>
      <c r="M3800" s="3">
        <v>331460.84999999998</v>
      </c>
      <c r="N3800" s="3">
        <v>245384.02</v>
      </c>
      <c r="O3800" s="3">
        <v>86076.83</v>
      </c>
      <c r="P3800" s="3" t="s">
        <v>34</v>
      </c>
    </row>
    <row r="3801" spans="1:16" x14ac:dyDescent="0.35">
      <c r="A3801" s="3" t="s">
        <v>5235</v>
      </c>
      <c r="B3801" s="3" t="s">
        <v>1348</v>
      </c>
      <c r="C3801" s="3" t="s">
        <v>57</v>
      </c>
      <c r="D3801" s="3" t="s">
        <v>90</v>
      </c>
      <c r="E3801" s="3" t="s">
        <v>91</v>
      </c>
      <c r="F3801" s="3" t="s">
        <v>92</v>
      </c>
      <c r="G3801" s="3" t="s">
        <v>51</v>
      </c>
      <c r="H3801" s="3" t="s">
        <v>77</v>
      </c>
      <c r="I3801" s="3" t="s">
        <v>744</v>
      </c>
      <c r="J3801" s="3" t="s">
        <v>100</v>
      </c>
      <c r="K3801" s="3">
        <v>5</v>
      </c>
      <c r="L3801" s="3">
        <v>12404.93</v>
      </c>
      <c r="M3801" s="3">
        <v>62024.65</v>
      </c>
      <c r="N3801" s="3">
        <v>45429.84</v>
      </c>
      <c r="O3801" s="3">
        <v>16594.810000000001</v>
      </c>
      <c r="P3801" s="3" t="s">
        <v>86</v>
      </c>
    </row>
    <row r="3802" spans="1:16" x14ac:dyDescent="0.35">
      <c r="A3802" s="3" t="s">
        <v>5236</v>
      </c>
      <c r="B3802" s="3" t="s">
        <v>779</v>
      </c>
      <c r="C3802" s="3" t="s">
        <v>114</v>
      </c>
      <c r="D3802" s="3" t="s">
        <v>38</v>
      </c>
      <c r="E3802" s="3" t="s">
        <v>109</v>
      </c>
      <c r="F3802" s="3" t="s">
        <v>110</v>
      </c>
      <c r="G3802" s="3" t="s">
        <v>41</v>
      </c>
      <c r="H3802" s="3" t="s">
        <v>61</v>
      </c>
      <c r="I3802" s="3" t="s">
        <v>1365</v>
      </c>
      <c r="J3802" s="3" t="s">
        <v>44</v>
      </c>
      <c r="K3802" s="3">
        <v>6</v>
      </c>
      <c r="L3802" s="3">
        <v>2612.84</v>
      </c>
      <c r="M3802" s="3">
        <v>15677.04</v>
      </c>
      <c r="N3802" s="3">
        <v>9620.0499999999993</v>
      </c>
      <c r="O3802" s="3">
        <v>6056.99</v>
      </c>
      <c r="P3802" s="3" t="s">
        <v>69</v>
      </c>
    </row>
    <row r="3803" spans="1:16" x14ac:dyDescent="0.35">
      <c r="A3803" s="3" t="s">
        <v>5237</v>
      </c>
      <c r="B3803" s="3" t="s">
        <v>883</v>
      </c>
      <c r="C3803" s="3" t="s">
        <v>37</v>
      </c>
      <c r="D3803" s="3" t="s">
        <v>90</v>
      </c>
      <c r="E3803" s="3" t="s">
        <v>97</v>
      </c>
      <c r="F3803" s="3" t="s">
        <v>98</v>
      </c>
      <c r="G3803" s="3" t="s">
        <v>51</v>
      </c>
      <c r="H3803" s="3" t="s">
        <v>77</v>
      </c>
      <c r="I3803" s="3" t="s">
        <v>768</v>
      </c>
      <c r="J3803" s="3" t="s">
        <v>54</v>
      </c>
      <c r="K3803" s="3">
        <v>7</v>
      </c>
      <c r="L3803" s="3">
        <v>11704.46</v>
      </c>
      <c r="M3803" s="3">
        <v>81931.22</v>
      </c>
      <c r="N3803" s="3">
        <v>62943.11</v>
      </c>
      <c r="O3803" s="3">
        <v>18988.11</v>
      </c>
      <c r="P3803" s="3" t="s">
        <v>34</v>
      </c>
    </row>
    <row r="3804" spans="1:16" x14ac:dyDescent="0.35">
      <c r="A3804" s="3" t="s">
        <v>5238</v>
      </c>
      <c r="B3804" s="3" t="s">
        <v>136</v>
      </c>
      <c r="C3804" s="3" t="s">
        <v>137</v>
      </c>
      <c r="D3804" s="3" t="s">
        <v>19</v>
      </c>
      <c r="E3804" s="3" t="s">
        <v>49</v>
      </c>
      <c r="F3804" s="3" t="s">
        <v>50</v>
      </c>
      <c r="G3804" s="3" t="s">
        <v>30</v>
      </c>
      <c r="H3804" s="3" t="s">
        <v>67</v>
      </c>
      <c r="I3804" s="3" t="s">
        <v>566</v>
      </c>
      <c r="J3804" s="3" t="s">
        <v>106</v>
      </c>
      <c r="K3804" s="3">
        <v>8</v>
      </c>
      <c r="L3804" s="3">
        <v>9149.84</v>
      </c>
      <c r="M3804" s="3">
        <v>73198.720000000001</v>
      </c>
      <c r="N3804" s="3">
        <v>62675.37</v>
      </c>
      <c r="O3804" s="3">
        <v>10523.35</v>
      </c>
      <c r="P3804" s="3" t="s">
        <v>34</v>
      </c>
    </row>
    <row r="3805" spans="1:16" x14ac:dyDescent="0.35">
      <c r="A3805" s="3" t="s">
        <v>5239</v>
      </c>
      <c r="B3805" s="3" t="s">
        <v>886</v>
      </c>
      <c r="C3805" s="3" t="s">
        <v>48</v>
      </c>
      <c r="D3805" s="3" t="s">
        <v>38</v>
      </c>
      <c r="E3805" s="3" t="s">
        <v>109</v>
      </c>
      <c r="F3805" s="3" t="s">
        <v>110</v>
      </c>
      <c r="G3805" s="3" t="s">
        <v>41</v>
      </c>
      <c r="H3805" s="3" t="s">
        <v>138</v>
      </c>
      <c r="I3805" s="3" t="s">
        <v>3891</v>
      </c>
      <c r="J3805" s="3" t="s">
        <v>154</v>
      </c>
      <c r="K3805" s="3">
        <v>5</v>
      </c>
      <c r="L3805" s="3">
        <v>16379.95</v>
      </c>
      <c r="M3805" s="3">
        <v>81899.75</v>
      </c>
      <c r="N3805" s="3">
        <v>71016.69</v>
      </c>
      <c r="O3805" s="3">
        <v>10883.06</v>
      </c>
      <c r="P3805" s="3" t="s">
        <v>34</v>
      </c>
    </row>
    <row r="3806" spans="1:16" x14ac:dyDescent="0.35">
      <c r="A3806" s="3" t="s">
        <v>5240</v>
      </c>
      <c r="B3806" s="3" t="s">
        <v>1042</v>
      </c>
      <c r="C3806" s="3" t="s">
        <v>118</v>
      </c>
      <c r="D3806" s="3" t="s">
        <v>58</v>
      </c>
      <c r="E3806" s="3" t="s">
        <v>176</v>
      </c>
      <c r="F3806" s="3" t="s">
        <v>177</v>
      </c>
      <c r="G3806" s="3" t="s">
        <v>22</v>
      </c>
      <c r="H3806" s="3" t="s">
        <v>23</v>
      </c>
      <c r="I3806" s="3" t="s">
        <v>2074</v>
      </c>
      <c r="J3806" s="3" t="s">
        <v>161</v>
      </c>
      <c r="K3806" s="3">
        <v>3</v>
      </c>
      <c r="L3806" s="3">
        <v>3676.14</v>
      </c>
      <c r="M3806" s="3">
        <v>11028.42</v>
      </c>
      <c r="N3806" s="3">
        <v>6403.42</v>
      </c>
      <c r="O3806" s="3">
        <v>4625</v>
      </c>
      <c r="P3806" s="3" t="s">
        <v>26</v>
      </c>
    </row>
    <row r="3807" spans="1:16" x14ac:dyDescent="0.35">
      <c r="A3807" s="3" t="s">
        <v>5241</v>
      </c>
      <c r="B3807" s="3" t="s">
        <v>792</v>
      </c>
      <c r="C3807" s="3" t="s">
        <v>72</v>
      </c>
      <c r="D3807" s="3" t="s">
        <v>38</v>
      </c>
      <c r="E3807" s="3" t="s">
        <v>39</v>
      </c>
      <c r="F3807" s="3" t="s">
        <v>40</v>
      </c>
      <c r="G3807" s="3" t="s">
        <v>30</v>
      </c>
      <c r="H3807" s="3" t="s">
        <v>67</v>
      </c>
      <c r="I3807" s="3" t="s">
        <v>1941</v>
      </c>
      <c r="J3807" s="3" t="s">
        <v>131</v>
      </c>
      <c r="K3807" s="3">
        <v>2</v>
      </c>
      <c r="L3807" s="3">
        <v>9732.8700000000008</v>
      </c>
      <c r="M3807" s="3">
        <v>19465.740000000002</v>
      </c>
      <c r="N3807" s="3">
        <v>15328.48</v>
      </c>
      <c r="O3807" s="3">
        <v>4137.26</v>
      </c>
      <c r="P3807" s="3" t="s">
        <v>69</v>
      </c>
    </row>
    <row r="3808" spans="1:16" x14ac:dyDescent="0.35">
      <c r="A3808" s="3" t="s">
        <v>5242</v>
      </c>
      <c r="B3808" s="3" t="s">
        <v>1031</v>
      </c>
      <c r="C3808" s="3" t="s">
        <v>82</v>
      </c>
      <c r="D3808" s="3" t="s">
        <v>58</v>
      </c>
      <c r="E3808" s="3" t="s">
        <v>59</v>
      </c>
      <c r="F3808" s="3" t="s">
        <v>60</v>
      </c>
      <c r="G3808" s="3" t="s">
        <v>22</v>
      </c>
      <c r="H3808" s="3" t="s">
        <v>23</v>
      </c>
      <c r="I3808" s="3" t="s">
        <v>1002</v>
      </c>
      <c r="J3808" s="3" t="s">
        <v>147</v>
      </c>
      <c r="K3808" s="3">
        <v>7</v>
      </c>
      <c r="L3808" s="3">
        <v>3375.86</v>
      </c>
      <c r="M3808" s="3">
        <v>23631.02</v>
      </c>
      <c r="N3808" s="3">
        <v>15936.35</v>
      </c>
      <c r="O3808" s="3">
        <v>7694.67</v>
      </c>
      <c r="P3808" s="3" t="s">
        <v>34</v>
      </c>
    </row>
    <row r="3809" spans="1:16" x14ac:dyDescent="0.35">
      <c r="A3809" s="3" t="s">
        <v>5243</v>
      </c>
      <c r="B3809" s="3" t="s">
        <v>318</v>
      </c>
      <c r="C3809" s="3" t="s">
        <v>37</v>
      </c>
      <c r="D3809" s="3" t="s">
        <v>19</v>
      </c>
      <c r="E3809" s="3" t="s">
        <v>20</v>
      </c>
      <c r="F3809" s="3" t="s">
        <v>21</v>
      </c>
      <c r="G3809" s="3" t="s">
        <v>30</v>
      </c>
      <c r="H3809" s="3" t="s">
        <v>31</v>
      </c>
      <c r="I3809" s="3" t="s">
        <v>2076</v>
      </c>
      <c r="J3809" s="3" t="s">
        <v>171</v>
      </c>
      <c r="K3809" s="3">
        <v>7</v>
      </c>
      <c r="L3809" s="3">
        <v>2987.96</v>
      </c>
      <c r="M3809" s="3">
        <v>20915.72</v>
      </c>
      <c r="N3809" s="3">
        <v>12765.88</v>
      </c>
      <c r="O3809" s="3">
        <v>8149.84</v>
      </c>
      <c r="P3809" s="3" t="s">
        <v>45</v>
      </c>
    </row>
    <row r="3810" spans="1:16" x14ac:dyDescent="0.35">
      <c r="A3810" s="3" t="s">
        <v>5244</v>
      </c>
      <c r="B3810" s="3" t="s">
        <v>1755</v>
      </c>
      <c r="C3810" s="3" t="s">
        <v>57</v>
      </c>
      <c r="D3810" s="3" t="s">
        <v>19</v>
      </c>
      <c r="E3810" s="3" t="s">
        <v>199</v>
      </c>
      <c r="F3810" s="3" t="s">
        <v>200</v>
      </c>
      <c r="G3810" s="3" t="s">
        <v>41</v>
      </c>
      <c r="H3810" s="3" t="s">
        <v>61</v>
      </c>
      <c r="I3810" s="3" t="s">
        <v>2283</v>
      </c>
      <c r="J3810" s="3" t="s">
        <v>54</v>
      </c>
      <c r="K3810" s="3">
        <v>7</v>
      </c>
      <c r="L3810" s="3">
        <v>2392.9299999999998</v>
      </c>
      <c r="M3810" s="3">
        <v>16750.509999999998</v>
      </c>
      <c r="N3810" s="3">
        <v>11551.73</v>
      </c>
      <c r="O3810" s="3">
        <v>5198.78</v>
      </c>
      <c r="P3810" s="3" t="s">
        <v>86</v>
      </c>
    </row>
    <row r="3811" spans="1:16" x14ac:dyDescent="0.35">
      <c r="A3811" s="3" t="s">
        <v>5245</v>
      </c>
      <c r="B3811" s="3" t="s">
        <v>420</v>
      </c>
      <c r="C3811" s="3" t="s">
        <v>89</v>
      </c>
      <c r="D3811" s="3" t="s">
        <v>58</v>
      </c>
      <c r="E3811" s="3" t="s">
        <v>176</v>
      </c>
      <c r="F3811" s="3" t="s">
        <v>177</v>
      </c>
      <c r="G3811" s="3" t="s">
        <v>22</v>
      </c>
      <c r="H3811" s="3" t="s">
        <v>83</v>
      </c>
      <c r="I3811" s="3" t="s">
        <v>153</v>
      </c>
      <c r="J3811" s="3" t="s">
        <v>106</v>
      </c>
      <c r="K3811" s="3">
        <v>6</v>
      </c>
      <c r="L3811" s="3">
        <v>20814.07</v>
      </c>
      <c r="M3811" s="3">
        <v>124884.42</v>
      </c>
      <c r="N3811" s="3">
        <v>101079.61</v>
      </c>
      <c r="O3811" s="3">
        <v>23804.81</v>
      </c>
      <c r="P3811" s="3" t="s">
        <v>86</v>
      </c>
    </row>
    <row r="3812" spans="1:16" x14ac:dyDescent="0.35">
      <c r="A3812" s="3" t="s">
        <v>5246</v>
      </c>
      <c r="B3812" s="3" t="s">
        <v>852</v>
      </c>
      <c r="C3812" s="3" t="s">
        <v>118</v>
      </c>
      <c r="D3812" s="3" t="s">
        <v>90</v>
      </c>
      <c r="E3812" s="3" t="s">
        <v>97</v>
      </c>
      <c r="F3812" s="3" t="s">
        <v>98</v>
      </c>
      <c r="G3812" s="3" t="s">
        <v>22</v>
      </c>
      <c r="H3812" s="3" t="s">
        <v>23</v>
      </c>
      <c r="I3812" s="3" t="s">
        <v>231</v>
      </c>
      <c r="J3812" s="3" t="s">
        <v>217</v>
      </c>
      <c r="K3812" s="3">
        <v>7</v>
      </c>
      <c r="L3812" s="3">
        <v>3705.72</v>
      </c>
      <c r="M3812" s="3">
        <v>25940.04</v>
      </c>
      <c r="N3812" s="3">
        <v>15603.68</v>
      </c>
      <c r="O3812" s="3">
        <v>10336.36</v>
      </c>
      <c r="P3812" s="3" t="s">
        <v>69</v>
      </c>
    </row>
    <row r="3813" spans="1:16" x14ac:dyDescent="0.35">
      <c r="A3813" s="3" t="s">
        <v>5247</v>
      </c>
      <c r="B3813" s="3" t="s">
        <v>1320</v>
      </c>
      <c r="C3813" s="3" t="s">
        <v>37</v>
      </c>
      <c r="D3813" s="3" t="s">
        <v>58</v>
      </c>
      <c r="E3813" s="3" t="s">
        <v>65</v>
      </c>
      <c r="F3813" s="3" t="s">
        <v>66</v>
      </c>
      <c r="G3813" s="3" t="s">
        <v>51</v>
      </c>
      <c r="H3813" s="3" t="s">
        <v>52</v>
      </c>
      <c r="I3813" s="3" t="s">
        <v>3617</v>
      </c>
      <c r="J3813" s="3" t="s">
        <v>161</v>
      </c>
      <c r="K3813" s="3">
        <v>7</v>
      </c>
      <c r="L3813" s="3">
        <v>23.45</v>
      </c>
      <c r="M3813" s="3">
        <v>164.15</v>
      </c>
      <c r="N3813" s="3">
        <v>72.849999999999994</v>
      </c>
      <c r="O3813" s="3">
        <v>91.3</v>
      </c>
      <c r="P3813" s="3" t="s">
        <v>45</v>
      </c>
    </row>
    <row r="3814" spans="1:16" x14ac:dyDescent="0.35">
      <c r="A3814" s="3" t="s">
        <v>5248</v>
      </c>
      <c r="B3814" s="3" t="s">
        <v>555</v>
      </c>
      <c r="C3814" s="3" t="s">
        <v>137</v>
      </c>
      <c r="D3814" s="3" t="s">
        <v>58</v>
      </c>
      <c r="E3814" s="3" t="s">
        <v>59</v>
      </c>
      <c r="F3814" s="3" t="s">
        <v>60</v>
      </c>
      <c r="G3814" s="3" t="s">
        <v>41</v>
      </c>
      <c r="H3814" s="3" t="s">
        <v>42</v>
      </c>
      <c r="I3814" s="3" t="s">
        <v>1012</v>
      </c>
      <c r="J3814" s="3" t="s">
        <v>106</v>
      </c>
      <c r="K3814" s="3">
        <v>7</v>
      </c>
      <c r="L3814" s="3">
        <v>48347.16</v>
      </c>
      <c r="M3814" s="3">
        <v>338430.12</v>
      </c>
      <c r="N3814" s="3">
        <v>234179.41</v>
      </c>
      <c r="O3814" s="3">
        <v>104250.71</v>
      </c>
      <c r="P3814" s="3" t="s">
        <v>34</v>
      </c>
    </row>
    <row r="3815" spans="1:16" x14ac:dyDescent="0.35">
      <c r="A3815" s="3" t="s">
        <v>5249</v>
      </c>
      <c r="B3815" s="3" t="s">
        <v>64</v>
      </c>
      <c r="C3815" s="3" t="s">
        <v>57</v>
      </c>
      <c r="D3815" s="3" t="s">
        <v>58</v>
      </c>
      <c r="E3815" s="3" t="s">
        <v>65</v>
      </c>
      <c r="F3815" s="3" t="s">
        <v>66</v>
      </c>
      <c r="G3815" s="3" t="s">
        <v>41</v>
      </c>
      <c r="H3815" s="3" t="s">
        <v>42</v>
      </c>
      <c r="I3815" s="3" t="s">
        <v>1713</v>
      </c>
      <c r="J3815" s="3" t="s">
        <v>44</v>
      </c>
      <c r="K3815" s="3">
        <v>4</v>
      </c>
      <c r="L3815" s="3">
        <v>47675.72</v>
      </c>
      <c r="M3815" s="3">
        <v>190702.88</v>
      </c>
      <c r="N3815" s="3">
        <v>136652.54999999999</v>
      </c>
      <c r="O3815" s="3">
        <v>54050.33</v>
      </c>
      <c r="P3815" s="3" t="s">
        <v>34</v>
      </c>
    </row>
    <row r="3816" spans="1:16" x14ac:dyDescent="0.35">
      <c r="A3816" s="3" t="s">
        <v>5250</v>
      </c>
      <c r="B3816" s="3" t="s">
        <v>527</v>
      </c>
      <c r="C3816" s="3" t="s">
        <v>82</v>
      </c>
      <c r="D3816" s="3" t="s">
        <v>58</v>
      </c>
      <c r="E3816" s="3" t="s">
        <v>65</v>
      </c>
      <c r="F3816" s="3" t="s">
        <v>66</v>
      </c>
      <c r="G3816" s="3" t="s">
        <v>41</v>
      </c>
      <c r="H3816" s="3" t="s">
        <v>138</v>
      </c>
      <c r="I3816" s="3" t="s">
        <v>3592</v>
      </c>
      <c r="J3816" s="3" t="s">
        <v>147</v>
      </c>
      <c r="K3816" s="3">
        <v>1</v>
      </c>
      <c r="L3816" s="3">
        <v>17722.41</v>
      </c>
      <c r="M3816" s="3">
        <v>17722.41</v>
      </c>
      <c r="N3816" s="3">
        <v>13519.54</v>
      </c>
      <c r="O3816" s="3">
        <v>4202.87</v>
      </c>
      <c r="P3816" s="3" t="s">
        <v>86</v>
      </c>
    </row>
    <row r="3817" spans="1:16" x14ac:dyDescent="0.35">
      <c r="A3817" s="3" t="s">
        <v>5251</v>
      </c>
      <c r="B3817" s="3" t="s">
        <v>1082</v>
      </c>
      <c r="C3817" s="3" t="s">
        <v>114</v>
      </c>
      <c r="D3817" s="3" t="s">
        <v>38</v>
      </c>
      <c r="E3817" s="3" t="s">
        <v>104</v>
      </c>
      <c r="F3817" s="3" t="s">
        <v>104</v>
      </c>
      <c r="G3817" s="3" t="s">
        <v>41</v>
      </c>
      <c r="H3817" s="3" t="s">
        <v>61</v>
      </c>
      <c r="I3817" s="3" t="s">
        <v>721</v>
      </c>
      <c r="J3817" s="3" t="s">
        <v>54</v>
      </c>
      <c r="K3817" s="3">
        <v>6</v>
      </c>
      <c r="L3817" s="3">
        <v>2455.0300000000002</v>
      </c>
      <c r="M3817" s="3">
        <v>14730.18</v>
      </c>
      <c r="N3817" s="3">
        <v>9174.7000000000007</v>
      </c>
      <c r="O3817" s="3">
        <v>5555.48</v>
      </c>
      <c r="P3817" s="3" t="s">
        <v>86</v>
      </c>
    </row>
    <row r="3818" spans="1:16" x14ac:dyDescent="0.35">
      <c r="A3818" s="3" t="s">
        <v>5252</v>
      </c>
      <c r="B3818" s="3" t="s">
        <v>1766</v>
      </c>
      <c r="C3818" s="3" t="s">
        <v>48</v>
      </c>
      <c r="D3818" s="3" t="s">
        <v>19</v>
      </c>
      <c r="E3818" s="3" t="s">
        <v>199</v>
      </c>
      <c r="F3818" s="3" t="s">
        <v>200</v>
      </c>
      <c r="G3818" s="3" t="s">
        <v>30</v>
      </c>
      <c r="H3818" s="3" t="s">
        <v>67</v>
      </c>
      <c r="I3818" s="3" t="s">
        <v>5253</v>
      </c>
      <c r="J3818" s="3" t="s">
        <v>33</v>
      </c>
      <c r="K3818" s="3">
        <v>8</v>
      </c>
      <c r="L3818" s="3">
        <v>10221</v>
      </c>
      <c r="M3818" s="3">
        <v>81768</v>
      </c>
      <c r="N3818" s="3">
        <v>61119.43</v>
      </c>
      <c r="O3818" s="3">
        <v>20648.57</v>
      </c>
      <c r="P3818" s="3" t="s">
        <v>26</v>
      </c>
    </row>
    <row r="3819" spans="1:16" x14ac:dyDescent="0.35">
      <c r="A3819" s="3" t="s">
        <v>5254</v>
      </c>
      <c r="B3819" s="3" t="s">
        <v>149</v>
      </c>
      <c r="C3819" s="3" t="s">
        <v>118</v>
      </c>
      <c r="D3819" s="3" t="s">
        <v>19</v>
      </c>
      <c r="E3819" s="3" t="s">
        <v>49</v>
      </c>
      <c r="F3819" s="3" t="s">
        <v>50</v>
      </c>
      <c r="G3819" s="3" t="s">
        <v>41</v>
      </c>
      <c r="H3819" s="3" t="s">
        <v>138</v>
      </c>
      <c r="I3819" s="3" t="s">
        <v>1253</v>
      </c>
      <c r="J3819" s="3" t="s">
        <v>154</v>
      </c>
      <c r="K3819" s="3">
        <v>8</v>
      </c>
      <c r="L3819" s="3">
        <v>19075.650000000001</v>
      </c>
      <c r="M3819" s="3">
        <v>152605.20000000001</v>
      </c>
      <c r="N3819" s="3">
        <v>117240.2</v>
      </c>
      <c r="O3819" s="3">
        <v>35365</v>
      </c>
      <c r="P3819" s="3" t="s">
        <v>86</v>
      </c>
    </row>
    <row r="3820" spans="1:16" x14ac:dyDescent="0.35">
      <c r="A3820" s="3" t="s">
        <v>5255</v>
      </c>
      <c r="B3820" s="3" t="s">
        <v>1761</v>
      </c>
      <c r="C3820" s="3" t="s">
        <v>72</v>
      </c>
      <c r="D3820" s="3" t="s">
        <v>19</v>
      </c>
      <c r="E3820" s="3" t="s">
        <v>199</v>
      </c>
      <c r="F3820" s="3" t="s">
        <v>200</v>
      </c>
      <c r="G3820" s="3" t="s">
        <v>30</v>
      </c>
      <c r="H3820" s="3" t="s">
        <v>31</v>
      </c>
      <c r="I3820" s="3" t="s">
        <v>471</v>
      </c>
      <c r="J3820" s="3" t="s">
        <v>106</v>
      </c>
      <c r="K3820" s="3">
        <v>4</v>
      </c>
      <c r="L3820" s="3">
        <v>2740.85</v>
      </c>
      <c r="M3820" s="3">
        <v>10963.4</v>
      </c>
      <c r="N3820" s="3">
        <v>7613.43</v>
      </c>
      <c r="O3820" s="3">
        <v>3349.97</v>
      </c>
      <c r="P3820" s="3" t="s">
        <v>86</v>
      </c>
    </row>
    <row r="3821" spans="1:16" x14ac:dyDescent="0.35">
      <c r="A3821" s="3" t="s">
        <v>5256</v>
      </c>
      <c r="B3821" s="3" t="s">
        <v>485</v>
      </c>
      <c r="C3821" s="3" t="s">
        <v>114</v>
      </c>
      <c r="D3821" s="3" t="s">
        <v>19</v>
      </c>
      <c r="E3821" s="3" t="s">
        <v>199</v>
      </c>
      <c r="F3821" s="3" t="s">
        <v>200</v>
      </c>
      <c r="G3821" s="3" t="s">
        <v>51</v>
      </c>
      <c r="H3821" s="3" t="s">
        <v>52</v>
      </c>
      <c r="I3821" s="3" t="s">
        <v>928</v>
      </c>
      <c r="J3821" s="3" t="s">
        <v>106</v>
      </c>
      <c r="K3821" s="3">
        <v>8</v>
      </c>
      <c r="L3821" s="3">
        <v>25.58</v>
      </c>
      <c r="M3821" s="3">
        <v>204.64</v>
      </c>
      <c r="N3821" s="3">
        <v>81.760000000000005</v>
      </c>
      <c r="O3821" s="3">
        <v>122.88</v>
      </c>
      <c r="P3821" s="3" t="s">
        <v>86</v>
      </c>
    </row>
    <row r="3822" spans="1:16" x14ac:dyDescent="0.35">
      <c r="A3822" s="3" t="s">
        <v>5257</v>
      </c>
      <c r="B3822" s="3" t="s">
        <v>198</v>
      </c>
      <c r="C3822" s="3" t="s">
        <v>29</v>
      </c>
      <c r="D3822" s="3" t="s">
        <v>38</v>
      </c>
      <c r="E3822" s="3" t="s">
        <v>109</v>
      </c>
      <c r="F3822" s="3" t="s">
        <v>110</v>
      </c>
      <c r="G3822" s="3" t="s">
        <v>30</v>
      </c>
      <c r="H3822" s="3" t="s">
        <v>31</v>
      </c>
      <c r="I3822" s="3" t="s">
        <v>2560</v>
      </c>
      <c r="J3822" s="3" t="s">
        <v>100</v>
      </c>
      <c r="K3822" s="3">
        <v>7</v>
      </c>
      <c r="L3822" s="3">
        <v>2812.24</v>
      </c>
      <c r="M3822" s="3">
        <v>19685.68</v>
      </c>
      <c r="N3822" s="3">
        <v>13179.21</v>
      </c>
      <c r="O3822" s="3">
        <v>6506.47</v>
      </c>
      <c r="P3822" s="3" t="s">
        <v>26</v>
      </c>
    </row>
    <row r="3823" spans="1:16" x14ac:dyDescent="0.35">
      <c r="A3823" s="3" t="s">
        <v>5258</v>
      </c>
      <c r="B3823" s="3" t="s">
        <v>511</v>
      </c>
      <c r="C3823" s="3" t="s">
        <v>29</v>
      </c>
      <c r="D3823" s="3" t="s">
        <v>58</v>
      </c>
      <c r="E3823" s="3" t="s">
        <v>59</v>
      </c>
      <c r="F3823" s="3" t="s">
        <v>60</v>
      </c>
      <c r="G3823" s="3" t="s">
        <v>30</v>
      </c>
      <c r="H3823" s="3" t="s">
        <v>31</v>
      </c>
      <c r="I3823" s="3" t="s">
        <v>3109</v>
      </c>
      <c r="J3823" s="3" t="s">
        <v>25</v>
      </c>
      <c r="K3823" s="3">
        <v>7</v>
      </c>
      <c r="L3823" s="3">
        <v>2976.57</v>
      </c>
      <c r="M3823" s="3">
        <v>20835.990000000002</v>
      </c>
      <c r="N3823" s="3">
        <v>13523.99</v>
      </c>
      <c r="O3823" s="3">
        <v>7312</v>
      </c>
      <c r="P3823" s="3" t="s">
        <v>86</v>
      </c>
    </row>
    <row r="3824" spans="1:16" x14ac:dyDescent="0.35">
      <c r="A3824" s="3" t="s">
        <v>5259</v>
      </c>
      <c r="B3824" s="3" t="s">
        <v>1567</v>
      </c>
      <c r="C3824" s="3" t="s">
        <v>82</v>
      </c>
      <c r="D3824" s="3" t="s">
        <v>58</v>
      </c>
      <c r="E3824" s="3" t="s">
        <v>176</v>
      </c>
      <c r="F3824" s="3" t="s">
        <v>177</v>
      </c>
      <c r="G3824" s="3" t="s">
        <v>22</v>
      </c>
      <c r="H3824" s="3" t="s">
        <v>93</v>
      </c>
      <c r="I3824" s="3" t="s">
        <v>1713</v>
      </c>
      <c r="J3824" s="3" t="s">
        <v>85</v>
      </c>
      <c r="K3824" s="3">
        <v>4</v>
      </c>
      <c r="L3824" s="3">
        <v>6611.68</v>
      </c>
      <c r="M3824" s="3">
        <v>26446.720000000001</v>
      </c>
      <c r="N3824" s="3">
        <v>20053.7</v>
      </c>
      <c r="O3824" s="3">
        <v>6393.02</v>
      </c>
      <c r="P3824" s="3" t="s">
        <v>26</v>
      </c>
    </row>
    <row r="3825" spans="1:16" x14ac:dyDescent="0.35">
      <c r="A3825" s="3" t="s">
        <v>5260</v>
      </c>
      <c r="B3825" s="3" t="s">
        <v>866</v>
      </c>
      <c r="C3825" s="3" t="s">
        <v>72</v>
      </c>
      <c r="D3825" s="3" t="s">
        <v>19</v>
      </c>
      <c r="E3825" s="3" t="s">
        <v>49</v>
      </c>
      <c r="F3825" s="3" t="s">
        <v>50</v>
      </c>
      <c r="G3825" s="3" t="s">
        <v>51</v>
      </c>
      <c r="H3825" s="3" t="s">
        <v>77</v>
      </c>
      <c r="I3825" s="3" t="s">
        <v>99</v>
      </c>
      <c r="J3825" s="3" t="s">
        <v>154</v>
      </c>
      <c r="K3825" s="3">
        <v>8</v>
      </c>
      <c r="L3825" s="3">
        <v>11474.64</v>
      </c>
      <c r="M3825" s="3">
        <v>91797.119999999995</v>
      </c>
      <c r="N3825" s="3">
        <v>70746.98</v>
      </c>
      <c r="O3825" s="3">
        <v>21050.14</v>
      </c>
      <c r="P3825" s="3" t="s">
        <v>26</v>
      </c>
    </row>
    <row r="3826" spans="1:16" x14ac:dyDescent="0.35">
      <c r="A3826" s="3" t="s">
        <v>5261</v>
      </c>
      <c r="B3826" s="3" t="s">
        <v>468</v>
      </c>
      <c r="C3826" s="3" t="s">
        <v>82</v>
      </c>
      <c r="D3826" s="3" t="s">
        <v>58</v>
      </c>
      <c r="E3826" s="3" t="s">
        <v>176</v>
      </c>
      <c r="F3826" s="3" t="s">
        <v>177</v>
      </c>
      <c r="G3826" s="3" t="s">
        <v>51</v>
      </c>
      <c r="H3826" s="3" t="s">
        <v>77</v>
      </c>
      <c r="I3826" s="3" t="s">
        <v>334</v>
      </c>
      <c r="J3826" s="3" t="s">
        <v>44</v>
      </c>
      <c r="K3826" s="3">
        <v>3</v>
      </c>
      <c r="L3826" s="3">
        <v>11797.46</v>
      </c>
      <c r="M3826" s="3">
        <v>35392.379999999997</v>
      </c>
      <c r="N3826" s="3">
        <v>27149.56</v>
      </c>
      <c r="O3826" s="3">
        <v>8242.82</v>
      </c>
      <c r="P3826" s="3" t="s">
        <v>86</v>
      </c>
    </row>
    <row r="3827" spans="1:16" x14ac:dyDescent="0.35">
      <c r="A3827" s="3" t="s">
        <v>5262</v>
      </c>
      <c r="B3827" s="3" t="s">
        <v>974</v>
      </c>
      <c r="C3827" s="3" t="s">
        <v>29</v>
      </c>
      <c r="D3827" s="3" t="s">
        <v>19</v>
      </c>
      <c r="E3827" s="3" t="s">
        <v>199</v>
      </c>
      <c r="F3827" s="3" t="s">
        <v>200</v>
      </c>
      <c r="G3827" s="3" t="s">
        <v>51</v>
      </c>
      <c r="H3827" s="3" t="s">
        <v>145</v>
      </c>
      <c r="I3827" s="3" t="s">
        <v>2673</v>
      </c>
      <c r="J3827" s="3" t="s">
        <v>106</v>
      </c>
      <c r="K3827" s="3">
        <v>5</v>
      </c>
      <c r="L3827" s="3">
        <v>131.94999999999999</v>
      </c>
      <c r="M3827" s="3">
        <v>659.75</v>
      </c>
      <c r="N3827" s="3">
        <v>300.49</v>
      </c>
      <c r="O3827" s="3">
        <v>359.26</v>
      </c>
      <c r="P3827" s="3" t="s">
        <v>69</v>
      </c>
    </row>
    <row r="3828" spans="1:16" x14ac:dyDescent="0.35">
      <c r="A3828" s="3" t="s">
        <v>5263</v>
      </c>
      <c r="B3828" s="3" t="s">
        <v>2492</v>
      </c>
      <c r="C3828" s="3" t="s">
        <v>118</v>
      </c>
      <c r="D3828" s="3" t="s">
        <v>90</v>
      </c>
      <c r="E3828" s="3" t="s">
        <v>91</v>
      </c>
      <c r="F3828" s="3" t="s">
        <v>92</v>
      </c>
      <c r="G3828" s="3" t="s">
        <v>30</v>
      </c>
      <c r="H3828" s="3" t="s">
        <v>31</v>
      </c>
      <c r="I3828" s="3" t="s">
        <v>710</v>
      </c>
      <c r="J3828" s="3" t="s">
        <v>79</v>
      </c>
      <c r="K3828" s="3">
        <v>2</v>
      </c>
      <c r="L3828" s="3">
        <v>2547.6999999999998</v>
      </c>
      <c r="M3828" s="3">
        <v>5095.3999999999996</v>
      </c>
      <c r="N3828" s="3">
        <v>3839.12</v>
      </c>
      <c r="O3828" s="3">
        <v>1256.28</v>
      </c>
      <c r="P3828" s="3" t="s">
        <v>34</v>
      </c>
    </row>
    <row r="3829" spans="1:16" x14ac:dyDescent="0.35">
      <c r="A3829" s="3" t="s">
        <v>5264</v>
      </c>
      <c r="B3829" s="3" t="s">
        <v>987</v>
      </c>
      <c r="C3829" s="3" t="s">
        <v>82</v>
      </c>
      <c r="D3829" s="3" t="s">
        <v>19</v>
      </c>
      <c r="E3829" s="3" t="s">
        <v>20</v>
      </c>
      <c r="F3829" s="3" t="s">
        <v>21</v>
      </c>
      <c r="G3829" s="3" t="s">
        <v>30</v>
      </c>
      <c r="H3829" s="3" t="s">
        <v>31</v>
      </c>
      <c r="I3829" s="3" t="s">
        <v>1295</v>
      </c>
      <c r="J3829" s="3" t="s">
        <v>131</v>
      </c>
      <c r="K3829" s="3">
        <v>8</v>
      </c>
      <c r="L3829" s="3">
        <v>2756.57</v>
      </c>
      <c r="M3829" s="3">
        <v>22052.560000000001</v>
      </c>
      <c r="N3829" s="3">
        <v>14602.71</v>
      </c>
      <c r="O3829" s="3">
        <v>7449.85</v>
      </c>
      <c r="P3829" s="3" t="s">
        <v>34</v>
      </c>
    </row>
    <row r="3830" spans="1:16" x14ac:dyDescent="0.35">
      <c r="A3830" s="3" t="s">
        <v>5265</v>
      </c>
      <c r="B3830" s="3" t="s">
        <v>518</v>
      </c>
      <c r="C3830" s="3" t="s">
        <v>89</v>
      </c>
      <c r="D3830" s="3" t="s">
        <v>58</v>
      </c>
      <c r="E3830" s="3" t="s">
        <v>65</v>
      </c>
      <c r="F3830" s="3" t="s">
        <v>66</v>
      </c>
      <c r="G3830" s="3" t="s">
        <v>30</v>
      </c>
      <c r="H3830" s="3" t="s">
        <v>67</v>
      </c>
      <c r="I3830" s="3" t="s">
        <v>4552</v>
      </c>
      <c r="J3830" s="3" t="s">
        <v>54</v>
      </c>
      <c r="K3830" s="3">
        <v>2</v>
      </c>
      <c r="L3830" s="3">
        <v>9753.98</v>
      </c>
      <c r="M3830" s="3">
        <v>19507.96</v>
      </c>
      <c r="N3830" s="3">
        <v>14919.83</v>
      </c>
      <c r="O3830" s="3">
        <v>4588.13</v>
      </c>
      <c r="P3830" s="3" t="s">
        <v>86</v>
      </c>
    </row>
    <row r="3831" spans="1:16" x14ac:dyDescent="0.35">
      <c r="A3831" s="3" t="s">
        <v>5266</v>
      </c>
      <c r="B3831" s="3" t="s">
        <v>1255</v>
      </c>
      <c r="C3831" s="3" t="s">
        <v>72</v>
      </c>
      <c r="D3831" s="3" t="s">
        <v>90</v>
      </c>
      <c r="E3831" s="3" t="s">
        <v>119</v>
      </c>
      <c r="F3831" s="3" t="s">
        <v>120</v>
      </c>
      <c r="G3831" s="3" t="s">
        <v>30</v>
      </c>
      <c r="H3831" s="3" t="s">
        <v>31</v>
      </c>
      <c r="I3831" s="3" t="s">
        <v>692</v>
      </c>
      <c r="J3831" s="3" t="s">
        <v>161</v>
      </c>
      <c r="K3831" s="3">
        <v>4</v>
      </c>
      <c r="L3831" s="3">
        <v>2701.29</v>
      </c>
      <c r="M3831" s="3">
        <v>10805.16</v>
      </c>
      <c r="N3831" s="3">
        <v>7278.83</v>
      </c>
      <c r="O3831" s="3">
        <v>3526.33</v>
      </c>
      <c r="P3831" s="3" t="s">
        <v>69</v>
      </c>
    </row>
    <row r="3832" spans="1:16" x14ac:dyDescent="0.35">
      <c r="A3832" s="3" t="s">
        <v>5267</v>
      </c>
      <c r="B3832" s="3" t="s">
        <v>2086</v>
      </c>
      <c r="C3832" s="3" t="s">
        <v>72</v>
      </c>
      <c r="D3832" s="3" t="s">
        <v>19</v>
      </c>
      <c r="E3832" s="3" t="s">
        <v>49</v>
      </c>
      <c r="F3832" s="3" t="s">
        <v>50</v>
      </c>
      <c r="G3832" s="3" t="s">
        <v>41</v>
      </c>
      <c r="H3832" s="3" t="s">
        <v>138</v>
      </c>
      <c r="I3832" s="3" t="s">
        <v>2436</v>
      </c>
      <c r="J3832" s="3" t="s">
        <v>217</v>
      </c>
      <c r="K3832" s="3">
        <v>3</v>
      </c>
      <c r="L3832" s="3">
        <v>16973.63</v>
      </c>
      <c r="M3832" s="3">
        <v>50920.89</v>
      </c>
      <c r="N3832" s="3">
        <v>43608.56</v>
      </c>
      <c r="O3832" s="3">
        <v>7312.33</v>
      </c>
      <c r="P3832" s="3" t="s">
        <v>34</v>
      </c>
    </row>
    <row r="3833" spans="1:16" x14ac:dyDescent="0.35">
      <c r="A3833" s="3" t="s">
        <v>5268</v>
      </c>
      <c r="B3833" s="3" t="s">
        <v>1360</v>
      </c>
      <c r="C3833" s="3" t="s">
        <v>72</v>
      </c>
      <c r="D3833" s="3" t="s">
        <v>58</v>
      </c>
      <c r="E3833" s="3" t="s">
        <v>65</v>
      </c>
      <c r="F3833" s="3" t="s">
        <v>66</v>
      </c>
      <c r="G3833" s="3" t="s">
        <v>51</v>
      </c>
      <c r="H3833" s="3" t="s">
        <v>77</v>
      </c>
      <c r="I3833" s="3" t="s">
        <v>1907</v>
      </c>
      <c r="J3833" s="3" t="s">
        <v>106</v>
      </c>
      <c r="K3833" s="3">
        <v>5</v>
      </c>
      <c r="L3833" s="3">
        <v>12521.54</v>
      </c>
      <c r="M3833" s="3">
        <v>62607.7</v>
      </c>
      <c r="N3833" s="3">
        <v>45598.53</v>
      </c>
      <c r="O3833" s="3">
        <v>17009.169999999998</v>
      </c>
      <c r="P3833" s="3" t="s">
        <v>34</v>
      </c>
    </row>
    <row r="3834" spans="1:16" x14ac:dyDescent="0.35">
      <c r="A3834" s="3" t="s">
        <v>5269</v>
      </c>
      <c r="B3834" s="3" t="s">
        <v>392</v>
      </c>
      <c r="C3834" s="3" t="s">
        <v>103</v>
      </c>
      <c r="D3834" s="3" t="s">
        <v>38</v>
      </c>
      <c r="E3834" s="3" t="s">
        <v>104</v>
      </c>
      <c r="F3834" s="3" t="s">
        <v>104</v>
      </c>
      <c r="G3834" s="3" t="s">
        <v>51</v>
      </c>
      <c r="H3834" s="3" t="s">
        <v>52</v>
      </c>
      <c r="I3834" s="3" t="s">
        <v>838</v>
      </c>
      <c r="J3834" s="3" t="s">
        <v>106</v>
      </c>
      <c r="K3834" s="3">
        <v>8</v>
      </c>
      <c r="L3834" s="3">
        <v>25.49</v>
      </c>
      <c r="M3834" s="3">
        <v>203.92</v>
      </c>
      <c r="N3834" s="3">
        <v>78.81</v>
      </c>
      <c r="O3834" s="3">
        <v>125.11</v>
      </c>
      <c r="P3834" s="3" t="s">
        <v>86</v>
      </c>
    </row>
    <row r="3835" spans="1:16" x14ac:dyDescent="0.35">
      <c r="A3835" s="3" t="s">
        <v>5270</v>
      </c>
      <c r="B3835" s="3" t="s">
        <v>893</v>
      </c>
      <c r="C3835" s="3" t="s">
        <v>89</v>
      </c>
      <c r="D3835" s="3" t="s">
        <v>19</v>
      </c>
      <c r="E3835" s="3" t="s">
        <v>199</v>
      </c>
      <c r="F3835" s="3" t="s">
        <v>200</v>
      </c>
      <c r="G3835" s="3" t="s">
        <v>41</v>
      </c>
      <c r="H3835" s="3" t="s">
        <v>138</v>
      </c>
      <c r="I3835" s="3" t="s">
        <v>1662</v>
      </c>
      <c r="J3835" s="3" t="s">
        <v>171</v>
      </c>
      <c r="K3835" s="3">
        <v>6</v>
      </c>
      <c r="L3835" s="3">
        <v>18480.439999999999</v>
      </c>
      <c r="M3835" s="3">
        <v>110882.64</v>
      </c>
      <c r="N3835" s="3">
        <v>80658.679999999993</v>
      </c>
      <c r="O3835" s="3">
        <v>30223.96</v>
      </c>
      <c r="P3835" s="3" t="s">
        <v>86</v>
      </c>
    </row>
    <row r="3836" spans="1:16" x14ac:dyDescent="0.35">
      <c r="A3836" s="3" t="s">
        <v>5271</v>
      </c>
      <c r="B3836" s="3" t="s">
        <v>672</v>
      </c>
      <c r="C3836" s="3" t="s">
        <v>118</v>
      </c>
      <c r="D3836" s="3" t="s">
        <v>19</v>
      </c>
      <c r="E3836" s="3" t="s">
        <v>49</v>
      </c>
      <c r="F3836" s="3" t="s">
        <v>50</v>
      </c>
      <c r="G3836" s="3" t="s">
        <v>22</v>
      </c>
      <c r="H3836" s="3" t="s">
        <v>23</v>
      </c>
      <c r="I3836" s="3" t="s">
        <v>783</v>
      </c>
      <c r="J3836" s="3" t="s">
        <v>161</v>
      </c>
      <c r="K3836" s="3">
        <v>2</v>
      </c>
      <c r="L3836" s="3">
        <v>3415.77</v>
      </c>
      <c r="M3836" s="3">
        <v>6831.54</v>
      </c>
      <c r="N3836" s="3">
        <v>4380.04</v>
      </c>
      <c r="O3836" s="3">
        <v>2451.5</v>
      </c>
      <c r="P3836" s="3" t="s">
        <v>34</v>
      </c>
    </row>
    <row r="3837" spans="1:16" x14ac:dyDescent="0.35">
      <c r="A3837" s="3" t="s">
        <v>5272</v>
      </c>
      <c r="B3837" s="3" t="s">
        <v>1187</v>
      </c>
      <c r="C3837" s="3" t="s">
        <v>18</v>
      </c>
      <c r="D3837" s="3" t="s">
        <v>19</v>
      </c>
      <c r="E3837" s="3" t="s">
        <v>20</v>
      </c>
      <c r="F3837" s="3" t="s">
        <v>21</v>
      </c>
      <c r="G3837" s="3" t="s">
        <v>41</v>
      </c>
      <c r="H3837" s="3" t="s">
        <v>42</v>
      </c>
      <c r="I3837" s="3" t="s">
        <v>2921</v>
      </c>
      <c r="J3837" s="3" t="s">
        <v>106</v>
      </c>
      <c r="K3837" s="3">
        <v>2</v>
      </c>
      <c r="L3837" s="3">
        <v>46442.8</v>
      </c>
      <c r="M3837" s="3">
        <v>92885.6</v>
      </c>
      <c r="N3837" s="3">
        <v>68205.13</v>
      </c>
      <c r="O3837" s="3">
        <v>24680.47</v>
      </c>
      <c r="P3837" s="3" t="s">
        <v>86</v>
      </c>
    </row>
    <row r="3838" spans="1:16" x14ac:dyDescent="0.35">
      <c r="A3838" s="3" t="s">
        <v>5273</v>
      </c>
      <c r="B3838" s="3" t="s">
        <v>1021</v>
      </c>
      <c r="C3838" s="3" t="s">
        <v>82</v>
      </c>
      <c r="D3838" s="3" t="s">
        <v>19</v>
      </c>
      <c r="E3838" s="3" t="s">
        <v>199</v>
      </c>
      <c r="F3838" s="3" t="s">
        <v>200</v>
      </c>
      <c r="G3838" s="3" t="s">
        <v>51</v>
      </c>
      <c r="H3838" s="3" t="s">
        <v>52</v>
      </c>
      <c r="I3838" s="3" t="s">
        <v>1070</v>
      </c>
      <c r="J3838" s="3" t="s">
        <v>44</v>
      </c>
      <c r="K3838" s="3">
        <v>4</v>
      </c>
      <c r="L3838" s="3">
        <v>26.24</v>
      </c>
      <c r="M3838" s="3">
        <v>104.96</v>
      </c>
      <c r="N3838" s="3">
        <v>38.11</v>
      </c>
      <c r="O3838" s="3">
        <v>66.849999999999994</v>
      </c>
      <c r="P3838" s="3" t="s">
        <v>26</v>
      </c>
    </row>
    <row r="3839" spans="1:16" x14ac:dyDescent="0.35">
      <c r="A3839" s="3" t="s">
        <v>5274</v>
      </c>
      <c r="B3839" s="3" t="s">
        <v>1053</v>
      </c>
      <c r="C3839" s="3" t="s">
        <v>82</v>
      </c>
      <c r="D3839" s="3" t="s">
        <v>90</v>
      </c>
      <c r="E3839" s="3" t="s">
        <v>119</v>
      </c>
      <c r="F3839" s="3" t="s">
        <v>120</v>
      </c>
      <c r="G3839" s="3" t="s">
        <v>22</v>
      </c>
      <c r="H3839" s="3" t="s">
        <v>83</v>
      </c>
      <c r="I3839" s="3" t="s">
        <v>1114</v>
      </c>
      <c r="J3839" s="3" t="s">
        <v>106</v>
      </c>
      <c r="K3839" s="3">
        <v>2</v>
      </c>
      <c r="L3839" s="3">
        <v>19816.25</v>
      </c>
      <c r="M3839" s="3">
        <v>39632.5</v>
      </c>
      <c r="N3839" s="3">
        <v>34489.519999999997</v>
      </c>
      <c r="O3839" s="3">
        <v>5142.9799999999996</v>
      </c>
      <c r="P3839" s="3" t="s">
        <v>45</v>
      </c>
    </row>
    <row r="3840" spans="1:16" x14ac:dyDescent="0.35">
      <c r="A3840" s="3" t="s">
        <v>5275</v>
      </c>
      <c r="B3840" s="3" t="s">
        <v>782</v>
      </c>
      <c r="C3840" s="3" t="s">
        <v>114</v>
      </c>
      <c r="D3840" s="3" t="s">
        <v>19</v>
      </c>
      <c r="E3840" s="3" t="s">
        <v>20</v>
      </c>
      <c r="F3840" s="3" t="s">
        <v>21</v>
      </c>
      <c r="G3840" s="3" t="s">
        <v>51</v>
      </c>
      <c r="H3840" s="3" t="s">
        <v>77</v>
      </c>
      <c r="I3840" s="3" t="s">
        <v>662</v>
      </c>
      <c r="J3840" s="3" t="s">
        <v>154</v>
      </c>
      <c r="K3840" s="3">
        <v>3</v>
      </c>
      <c r="L3840" s="3">
        <v>11071.88</v>
      </c>
      <c r="M3840" s="3">
        <v>33215.64</v>
      </c>
      <c r="N3840" s="3">
        <v>27909.94</v>
      </c>
      <c r="O3840" s="3">
        <v>5305.7</v>
      </c>
      <c r="P3840" s="3" t="s">
        <v>69</v>
      </c>
    </row>
    <row r="3841" spans="1:16" x14ac:dyDescent="0.35">
      <c r="A3841" s="3" t="s">
        <v>5276</v>
      </c>
      <c r="B3841" s="3" t="s">
        <v>555</v>
      </c>
      <c r="C3841" s="3" t="s">
        <v>137</v>
      </c>
      <c r="D3841" s="3" t="s">
        <v>90</v>
      </c>
      <c r="E3841" s="3" t="s">
        <v>119</v>
      </c>
      <c r="F3841" s="3" t="s">
        <v>120</v>
      </c>
      <c r="G3841" s="3" t="s">
        <v>41</v>
      </c>
      <c r="H3841" s="3" t="s">
        <v>61</v>
      </c>
      <c r="I3841" s="3" t="s">
        <v>1147</v>
      </c>
      <c r="J3841" s="3" t="s">
        <v>44</v>
      </c>
      <c r="K3841" s="3">
        <v>1</v>
      </c>
      <c r="L3841" s="3">
        <v>2600.8200000000002</v>
      </c>
      <c r="M3841" s="3">
        <v>2600.8200000000002</v>
      </c>
      <c r="N3841" s="3">
        <v>1546.75</v>
      </c>
      <c r="O3841" s="3">
        <v>1054.07</v>
      </c>
      <c r="P3841" s="3" t="s">
        <v>45</v>
      </c>
    </row>
    <row r="3842" spans="1:16" x14ac:dyDescent="0.35">
      <c r="A3842" s="3" t="s">
        <v>5277</v>
      </c>
      <c r="B3842" s="3" t="s">
        <v>1772</v>
      </c>
      <c r="C3842" s="3" t="s">
        <v>114</v>
      </c>
      <c r="D3842" s="3" t="s">
        <v>58</v>
      </c>
      <c r="E3842" s="3" t="s">
        <v>65</v>
      </c>
      <c r="F3842" s="3" t="s">
        <v>66</v>
      </c>
      <c r="G3842" s="3" t="s">
        <v>22</v>
      </c>
      <c r="H3842" s="3" t="s">
        <v>83</v>
      </c>
      <c r="I3842" s="3" t="s">
        <v>3546</v>
      </c>
      <c r="J3842" s="3" t="s">
        <v>44</v>
      </c>
      <c r="K3842" s="3">
        <v>5</v>
      </c>
      <c r="L3842" s="3">
        <v>21964.240000000002</v>
      </c>
      <c r="M3842" s="3">
        <v>109821.2</v>
      </c>
      <c r="N3842" s="3">
        <v>84853.84</v>
      </c>
      <c r="O3842" s="3">
        <v>24967.360000000001</v>
      </c>
      <c r="P3842" s="3" t="s">
        <v>34</v>
      </c>
    </row>
    <row r="3843" spans="1:16" x14ac:dyDescent="0.35">
      <c r="A3843" s="3" t="s">
        <v>5278</v>
      </c>
      <c r="B3843" s="3" t="s">
        <v>1098</v>
      </c>
      <c r="C3843" s="3" t="s">
        <v>57</v>
      </c>
      <c r="D3843" s="3" t="s">
        <v>38</v>
      </c>
      <c r="E3843" s="3" t="s">
        <v>104</v>
      </c>
      <c r="F3843" s="3" t="s">
        <v>104</v>
      </c>
      <c r="G3843" s="3" t="s">
        <v>51</v>
      </c>
      <c r="H3843" s="3" t="s">
        <v>52</v>
      </c>
      <c r="I3843" s="3" t="s">
        <v>1961</v>
      </c>
      <c r="J3843" s="3" t="s">
        <v>161</v>
      </c>
      <c r="K3843" s="3">
        <v>3</v>
      </c>
      <c r="L3843" s="3">
        <v>24.36</v>
      </c>
      <c r="M3843" s="3">
        <v>73.08</v>
      </c>
      <c r="N3843" s="3">
        <v>29.95</v>
      </c>
      <c r="O3843" s="3">
        <v>43.13</v>
      </c>
      <c r="P3843" s="3" t="s">
        <v>86</v>
      </c>
    </row>
    <row r="3844" spans="1:16" x14ac:dyDescent="0.35">
      <c r="A3844" s="3" t="s">
        <v>5279</v>
      </c>
      <c r="B3844" s="3" t="s">
        <v>1122</v>
      </c>
      <c r="C3844" s="3" t="s">
        <v>118</v>
      </c>
      <c r="D3844" s="3" t="s">
        <v>38</v>
      </c>
      <c r="E3844" s="3" t="s">
        <v>109</v>
      </c>
      <c r="F3844" s="3" t="s">
        <v>110</v>
      </c>
      <c r="G3844" s="3" t="s">
        <v>30</v>
      </c>
      <c r="H3844" s="3" t="s">
        <v>67</v>
      </c>
      <c r="I3844" s="3" t="s">
        <v>1456</v>
      </c>
      <c r="J3844" s="3" t="s">
        <v>154</v>
      </c>
      <c r="K3844" s="3">
        <v>3</v>
      </c>
      <c r="L3844" s="3">
        <v>10078.459999999999</v>
      </c>
      <c r="M3844" s="3">
        <v>30235.38</v>
      </c>
      <c r="N3844" s="3">
        <v>22564.91</v>
      </c>
      <c r="O3844" s="3">
        <v>7670.47</v>
      </c>
      <c r="P3844" s="3" t="s">
        <v>69</v>
      </c>
    </row>
    <row r="3845" spans="1:16" x14ac:dyDescent="0.35">
      <c r="A3845" s="3" t="s">
        <v>5280</v>
      </c>
      <c r="B3845" s="3" t="s">
        <v>819</v>
      </c>
      <c r="C3845" s="3" t="s">
        <v>89</v>
      </c>
      <c r="D3845" s="3" t="s">
        <v>19</v>
      </c>
      <c r="E3845" s="3" t="s">
        <v>49</v>
      </c>
      <c r="F3845" s="3" t="s">
        <v>50</v>
      </c>
      <c r="G3845" s="3" t="s">
        <v>22</v>
      </c>
      <c r="H3845" s="3" t="s">
        <v>93</v>
      </c>
      <c r="I3845" s="3" t="s">
        <v>1415</v>
      </c>
      <c r="J3845" s="3" t="s">
        <v>131</v>
      </c>
      <c r="K3845" s="3">
        <v>1</v>
      </c>
      <c r="L3845" s="3">
        <v>6958.84</v>
      </c>
      <c r="M3845" s="3">
        <v>6958.84</v>
      </c>
      <c r="N3845" s="3">
        <v>5119.8900000000003</v>
      </c>
      <c r="O3845" s="3">
        <v>1838.95</v>
      </c>
      <c r="P3845" s="3" t="s">
        <v>34</v>
      </c>
    </row>
    <row r="3846" spans="1:16" x14ac:dyDescent="0.35">
      <c r="A3846" s="3" t="s">
        <v>5281</v>
      </c>
      <c r="B3846" s="3" t="s">
        <v>429</v>
      </c>
      <c r="C3846" s="3" t="s">
        <v>137</v>
      </c>
      <c r="D3846" s="3" t="s">
        <v>38</v>
      </c>
      <c r="E3846" s="3" t="s">
        <v>109</v>
      </c>
      <c r="F3846" s="3" t="s">
        <v>110</v>
      </c>
      <c r="G3846" s="3" t="s">
        <v>30</v>
      </c>
      <c r="H3846" s="3" t="s">
        <v>67</v>
      </c>
      <c r="I3846" s="3" t="s">
        <v>2735</v>
      </c>
      <c r="J3846" s="3" t="s">
        <v>188</v>
      </c>
      <c r="K3846" s="3">
        <v>1</v>
      </c>
      <c r="L3846" s="3">
        <v>10333.84</v>
      </c>
      <c r="M3846" s="3">
        <v>10333.84</v>
      </c>
      <c r="N3846" s="3">
        <v>7814.88</v>
      </c>
      <c r="O3846" s="3">
        <v>2518.96</v>
      </c>
      <c r="P3846" s="3" t="s">
        <v>26</v>
      </c>
    </row>
    <row r="3847" spans="1:16" x14ac:dyDescent="0.35">
      <c r="A3847" s="3" t="s">
        <v>5282</v>
      </c>
      <c r="B3847" s="3" t="s">
        <v>1031</v>
      </c>
      <c r="C3847" s="3" t="s">
        <v>82</v>
      </c>
      <c r="D3847" s="3" t="s">
        <v>58</v>
      </c>
      <c r="E3847" s="3" t="s">
        <v>65</v>
      </c>
      <c r="F3847" s="3" t="s">
        <v>66</v>
      </c>
      <c r="G3847" s="3" t="s">
        <v>30</v>
      </c>
      <c r="H3847" s="3" t="s">
        <v>67</v>
      </c>
      <c r="I3847" s="3" t="s">
        <v>1452</v>
      </c>
      <c r="J3847" s="3" t="s">
        <v>147</v>
      </c>
      <c r="K3847" s="3">
        <v>7</v>
      </c>
      <c r="L3847" s="3">
        <v>9880.36</v>
      </c>
      <c r="M3847" s="3">
        <v>69162.52</v>
      </c>
      <c r="N3847" s="3">
        <v>51404.87</v>
      </c>
      <c r="O3847" s="3">
        <v>17757.650000000001</v>
      </c>
      <c r="P3847" s="3" t="s">
        <v>69</v>
      </c>
    </row>
    <row r="3848" spans="1:16" x14ac:dyDescent="0.35">
      <c r="A3848" s="3" t="s">
        <v>5283</v>
      </c>
      <c r="B3848" s="3" t="s">
        <v>285</v>
      </c>
      <c r="C3848" s="3" t="s">
        <v>18</v>
      </c>
      <c r="D3848" s="3" t="s">
        <v>58</v>
      </c>
      <c r="E3848" s="3" t="s">
        <v>176</v>
      </c>
      <c r="F3848" s="3" t="s">
        <v>177</v>
      </c>
      <c r="G3848" s="3" t="s">
        <v>41</v>
      </c>
      <c r="H3848" s="3" t="s">
        <v>42</v>
      </c>
      <c r="I3848" s="3" t="s">
        <v>1645</v>
      </c>
      <c r="J3848" s="3" t="s">
        <v>100</v>
      </c>
      <c r="K3848" s="3">
        <v>8</v>
      </c>
      <c r="L3848" s="3">
        <v>42336.82</v>
      </c>
      <c r="M3848" s="3">
        <v>338694.56</v>
      </c>
      <c r="N3848" s="3">
        <v>266174.09999999998</v>
      </c>
      <c r="O3848" s="3">
        <v>72520.460000000006</v>
      </c>
      <c r="P3848" s="3" t="s">
        <v>34</v>
      </c>
    </row>
    <row r="3849" spans="1:16" x14ac:dyDescent="0.35">
      <c r="A3849" s="3" t="s">
        <v>5284</v>
      </c>
      <c r="B3849" s="3" t="s">
        <v>166</v>
      </c>
      <c r="C3849" s="3" t="s">
        <v>37</v>
      </c>
      <c r="D3849" s="3" t="s">
        <v>19</v>
      </c>
      <c r="E3849" s="3" t="s">
        <v>199</v>
      </c>
      <c r="F3849" s="3" t="s">
        <v>200</v>
      </c>
      <c r="G3849" s="3" t="s">
        <v>51</v>
      </c>
      <c r="H3849" s="3" t="s">
        <v>77</v>
      </c>
      <c r="I3849" s="3" t="s">
        <v>1354</v>
      </c>
      <c r="J3849" s="3" t="s">
        <v>33</v>
      </c>
      <c r="K3849" s="3">
        <v>8</v>
      </c>
      <c r="L3849" s="3">
        <v>12496.02</v>
      </c>
      <c r="M3849" s="3">
        <v>99968.16</v>
      </c>
      <c r="N3849" s="3">
        <v>70735.88</v>
      </c>
      <c r="O3849" s="3">
        <v>29232.28</v>
      </c>
      <c r="P3849" s="3" t="s">
        <v>45</v>
      </c>
    </row>
    <row r="3850" spans="1:16" x14ac:dyDescent="0.35">
      <c r="A3850" s="3" t="s">
        <v>5285</v>
      </c>
      <c r="B3850" s="3" t="s">
        <v>291</v>
      </c>
      <c r="C3850" s="3" t="s">
        <v>48</v>
      </c>
      <c r="D3850" s="3" t="s">
        <v>58</v>
      </c>
      <c r="E3850" s="3" t="s">
        <v>59</v>
      </c>
      <c r="F3850" s="3" t="s">
        <v>60</v>
      </c>
      <c r="G3850" s="3" t="s">
        <v>51</v>
      </c>
      <c r="H3850" s="3" t="s">
        <v>77</v>
      </c>
      <c r="I3850" s="3" t="s">
        <v>1981</v>
      </c>
      <c r="J3850" s="3" t="s">
        <v>188</v>
      </c>
      <c r="K3850" s="3">
        <v>7</v>
      </c>
      <c r="L3850" s="3">
        <v>11640.82</v>
      </c>
      <c r="M3850" s="3">
        <v>81485.740000000005</v>
      </c>
      <c r="N3850" s="3">
        <v>60981.97</v>
      </c>
      <c r="O3850" s="3">
        <v>20503.77</v>
      </c>
      <c r="P3850" s="3" t="s">
        <v>26</v>
      </c>
    </row>
    <row r="3851" spans="1:16" x14ac:dyDescent="0.35">
      <c r="A3851" s="3" t="s">
        <v>5286</v>
      </c>
      <c r="B3851" s="3" t="s">
        <v>599</v>
      </c>
      <c r="C3851" s="3" t="s">
        <v>82</v>
      </c>
      <c r="D3851" s="3" t="s">
        <v>58</v>
      </c>
      <c r="E3851" s="3" t="s">
        <v>65</v>
      </c>
      <c r="F3851" s="3" t="s">
        <v>66</v>
      </c>
      <c r="G3851" s="3" t="s">
        <v>22</v>
      </c>
      <c r="H3851" s="3" t="s">
        <v>93</v>
      </c>
      <c r="I3851" s="3" t="s">
        <v>1563</v>
      </c>
      <c r="J3851" s="3" t="s">
        <v>100</v>
      </c>
      <c r="K3851" s="3">
        <v>2</v>
      </c>
      <c r="L3851" s="3">
        <v>6481.35</v>
      </c>
      <c r="M3851" s="3">
        <v>12962.7</v>
      </c>
      <c r="N3851" s="3">
        <v>9618.3700000000008</v>
      </c>
      <c r="O3851" s="3">
        <v>3344.33</v>
      </c>
      <c r="P3851" s="3" t="s">
        <v>69</v>
      </c>
    </row>
    <row r="3852" spans="1:16" x14ac:dyDescent="0.35">
      <c r="A3852" s="3" t="s">
        <v>5287</v>
      </c>
      <c r="B3852" s="3" t="s">
        <v>415</v>
      </c>
      <c r="C3852" s="3" t="s">
        <v>18</v>
      </c>
      <c r="D3852" s="3" t="s">
        <v>90</v>
      </c>
      <c r="E3852" s="3" t="s">
        <v>91</v>
      </c>
      <c r="F3852" s="3" t="s">
        <v>92</v>
      </c>
      <c r="G3852" s="3" t="s">
        <v>41</v>
      </c>
      <c r="H3852" s="3" t="s">
        <v>138</v>
      </c>
      <c r="I3852" s="3" t="s">
        <v>316</v>
      </c>
      <c r="J3852" s="3" t="s">
        <v>171</v>
      </c>
      <c r="K3852" s="3">
        <v>3</v>
      </c>
      <c r="L3852" s="3">
        <v>18913.82</v>
      </c>
      <c r="M3852" s="3">
        <v>56741.46</v>
      </c>
      <c r="N3852" s="3">
        <v>40201.86</v>
      </c>
      <c r="O3852" s="3">
        <v>16539.599999999999</v>
      </c>
      <c r="P3852" s="3" t="s">
        <v>69</v>
      </c>
    </row>
    <row r="3853" spans="1:16" x14ac:dyDescent="0.35">
      <c r="A3853" s="3" t="s">
        <v>5288</v>
      </c>
      <c r="B3853" s="3" t="s">
        <v>2041</v>
      </c>
      <c r="C3853" s="3" t="s">
        <v>89</v>
      </c>
      <c r="D3853" s="3" t="s">
        <v>19</v>
      </c>
      <c r="E3853" s="3" t="s">
        <v>49</v>
      </c>
      <c r="F3853" s="3" t="s">
        <v>50</v>
      </c>
      <c r="G3853" s="3" t="s">
        <v>30</v>
      </c>
      <c r="H3853" s="3" t="s">
        <v>31</v>
      </c>
      <c r="I3853" s="3" t="s">
        <v>1131</v>
      </c>
      <c r="J3853" s="3" t="s">
        <v>25</v>
      </c>
      <c r="K3853" s="3">
        <v>6</v>
      </c>
      <c r="L3853" s="3">
        <v>2599.06</v>
      </c>
      <c r="M3853" s="3">
        <v>15594.36</v>
      </c>
      <c r="N3853" s="3">
        <v>11808.35</v>
      </c>
      <c r="O3853" s="3">
        <v>3786.01</v>
      </c>
      <c r="P3853" s="3" t="s">
        <v>45</v>
      </c>
    </row>
    <row r="3854" spans="1:16" x14ac:dyDescent="0.35">
      <c r="A3854" s="3" t="s">
        <v>5289</v>
      </c>
      <c r="B3854" s="3" t="s">
        <v>502</v>
      </c>
      <c r="C3854" s="3" t="s">
        <v>48</v>
      </c>
      <c r="D3854" s="3" t="s">
        <v>38</v>
      </c>
      <c r="E3854" s="3" t="s">
        <v>109</v>
      </c>
      <c r="F3854" s="3" t="s">
        <v>110</v>
      </c>
      <c r="G3854" s="3" t="s">
        <v>41</v>
      </c>
      <c r="H3854" s="3" t="s">
        <v>138</v>
      </c>
      <c r="I3854" s="3" t="s">
        <v>1059</v>
      </c>
      <c r="J3854" s="3" t="s">
        <v>79</v>
      </c>
      <c r="K3854" s="3">
        <v>8</v>
      </c>
      <c r="L3854" s="3">
        <v>19467.439999999999</v>
      </c>
      <c r="M3854" s="3">
        <v>155739.51999999999</v>
      </c>
      <c r="N3854" s="3">
        <v>111524.42</v>
      </c>
      <c r="O3854" s="3">
        <v>44215.1</v>
      </c>
      <c r="P3854" s="3" t="s">
        <v>34</v>
      </c>
    </row>
    <row r="3855" spans="1:16" x14ac:dyDescent="0.35">
      <c r="A3855" s="3" t="s">
        <v>5290</v>
      </c>
      <c r="B3855" s="3" t="s">
        <v>834</v>
      </c>
      <c r="C3855" s="3" t="s">
        <v>114</v>
      </c>
      <c r="D3855" s="3" t="s">
        <v>38</v>
      </c>
      <c r="E3855" s="3" t="s">
        <v>39</v>
      </c>
      <c r="F3855" s="3" t="s">
        <v>40</v>
      </c>
      <c r="G3855" s="3" t="s">
        <v>51</v>
      </c>
      <c r="H3855" s="3" t="s">
        <v>145</v>
      </c>
      <c r="I3855" s="3" t="s">
        <v>2176</v>
      </c>
      <c r="J3855" s="3" t="s">
        <v>131</v>
      </c>
      <c r="K3855" s="3">
        <v>8</v>
      </c>
      <c r="L3855" s="3">
        <v>113.2</v>
      </c>
      <c r="M3855" s="3">
        <v>905.6</v>
      </c>
      <c r="N3855" s="3">
        <v>487.59</v>
      </c>
      <c r="O3855" s="3">
        <v>418.01</v>
      </c>
      <c r="P3855" s="3" t="s">
        <v>34</v>
      </c>
    </row>
    <row r="3856" spans="1:16" x14ac:dyDescent="0.35">
      <c r="A3856" s="3" t="s">
        <v>5291</v>
      </c>
      <c r="B3856" s="3" t="s">
        <v>1166</v>
      </c>
      <c r="C3856" s="3" t="s">
        <v>118</v>
      </c>
      <c r="D3856" s="3" t="s">
        <v>90</v>
      </c>
      <c r="E3856" s="3" t="s">
        <v>97</v>
      </c>
      <c r="F3856" s="3" t="s">
        <v>98</v>
      </c>
      <c r="G3856" s="3" t="s">
        <v>51</v>
      </c>
      <c r="H3856" s="3" t="s">
        <v>77</v>
      </c>
      <c r="I3856" s="3" t="s">
        <v>5292</v>
      </c>
      <c r="J3856" s="3" t="s">
        <v>161</v>
      </c>
      <c r="K3856" s="3">
        <v>1</v>
      </c>
      <c r="L3856" s="3">
        <v>10850.91</v>
      </c>
      <c r="M3856" s="3">
        <v>10850.91</v>
      </c>
      <c r="N3856" s="3">
        <v>9389.2000000000007</v>
      </c>
      <c r="O3856" s="3">
        <v>1461.71</v>
      </c>
      <c r="P3856" s="3" t="s">
        <v>86</v>
      </c>
    </row>
    <row r="3857" spans="1:16" x14ac:dyDescent="0.35">
      <c r="A3857" s="3" t="s">
        <v>5293</v>
      </c>
      <c r="B3857" s="3" t="s">
        <v>795</v>
      </c>
      <c r="C3857" s="3" t="s">
        <v>82</v>
      </c>
      <c r="D3857" s="3" t="s">
        <v>58</v>
      </c>
      <c r="E3857" s="3" t="s">
        <v>65</v>
      </c>
      <c r="F3857" s="3" t="s">
        <v>66</v>
      </c>
      <c r="G3857" s="3" t="s">
        <v>22</v>
      </c>
      <c r="H3857" s="3" t="s">
        <v>23</v>
      </c>
      <c r="I3857" s="3" t="s">
        <v>2829</v>
      </c>
      <c r="J3857" s="3" t="s">
        <v>44</v>
      </c>
      <c r="K3857" s="3">
        <v>2</v>
      </c>
      <c r="L3857" s="3">
        <v>3841.05</v>
      </c>
      <c r="M3857" s="3">
        <v>7682.1</v>
      </c>
      <c r="N3857" s="3">
        <v>4351.96</v>
      </c>
      <c r="O3857" s="3">
        <v>3330.14</v>
      </c>
      <c r="P3857" s="3" t="s">
        <v>69</v>
      </c>
    </row>
    <row r="3858" spans="1:16" x14ac:dyDescent="0.35">
      <c r="A3858" s="3" t="s">
        <v>5294</v>
      </c>
      <c r="B3858" s="3" t="s">
        <v>629</v>
      </c>
      <c r="C3858" s="3" t="s">
        <v>29</v>
      </c>
      <c r="D3858" s="3" t="s">
        <v>38</v>
      </c>
      <c r="E3858" s="3" t="s">
        <v>39</v>
      </c>
      <c r="F3858" s="3" t="s">
        <v>40</v>
      </c>
      <c r="G3858" s="3" t="s">
        <v>51</v>
      </c>
      <c r="H3858" s="3" t="s">
        <v>145</v>
      </c>
      <c r="I3858" s="3" t="s">
        <v>898</v>
      </c>
      <c r="J3858" s="3" t="s">
        <v>131</v>
      </c>
      <c r="K3858" s="3">
        <v>2</v>
      </c>
      <c r="L3858" s="3">
        <v>122.07</v>
      </c>
      <c r="M3858" s="3">
        <v>244.14</v>
      </c>
      <c r="N3858" s="3">
        <v>116.18</v>
      </c>
      <c r="O3858" s="3">
        <v>127.96</v>
      </c>
      <c r="P3858" s="3" t="s">
        <v>86</v>
      </c>
    </row>
    <row r="3859" spans="1:16" x14ac:dyDescent="0.35">
      <c r="A3859" s="3" t="s">
        <v>5295</v>
      </c>
      <c r="B3859" s="3" t="s">
        <v>333</v>
      </c>
      <c r="C3859" s="3" t="s">
        <v>118</v>
      </c>
      <c r="D3859" s="3" t="s">
        <v>38</v>
      </c>
      <c r="E3859" s="3" t="s">
        <v>104</v>
      </c>
      <c r="F3859" s="3" t="s">
        <v>104</v>
      </c>
      <c r="G3859" s="3" t="s">
        <v>30</v>
      </c>
      <c r="H3859" s="3" t="s">
        <v>67</v>
      </c>
      <c r="I3859" s="3" t="s">
        <v>1015</v>
      </c>
      <c r="J3859" s="3" t="s">
        <v>147</v>
      </c>
      <c r="K3859" s="3">
        <v>5</v>
      </c>
      <c r="L3859" s="3">
        <v>9632.65</v>
      </c>
      <c r="M3859" s="3">
        <v>48163.25</v>
      </c>
      <c r="N3859" s="3">
        <v>38115.03</v>
      </c>
      <c r="O3859" s="3">
        <v>10048.219999999999</v>
      </c>
      <c r="P3859" s="3" t="s">
        <v>69</v>
      </c>
    </row>
    <row r="3860" spans="1:16" x14ac:dyDescent="0.35">
      <c r="A3860" s="3" t="s">
        <v>5296</v>
      </c>
      <c r="B3860" s="3" t="s">
        <v>1455</v>
      </c>
      <c r="C3860" s="3" t="s">
        <v>103</v>
      </c>
      <c r="D3860" s="3" t="s">
        <v>90</v>
      </c>
      <c r="E3860" s="3" t="s">
        <v>91</v>
      </c>
      <c r="F3860" s="3" t="s">
        <v>92</v>
      </c>
      <c r="G3860" s="3" t="s">
        <v>22</v>
      </c>
      <c r="H3860" s="3" t="s">
        <v>93</v>
      </c>
      <c r="I3860" s="3" t="s">
        <v>1303</v>
      </c>
      <c r="J3860" s="3" t="s">
        <v>147</v>
      </c>
      <c r="K3860" s="3">
        <v>1</v>
      </c>
      <c r="L3860" s="3">
        <v>7489.86</v>
      </c>
      <c r="M3860" s="3">
        <v>7489.86</v>
      </c>
      <c r="N3860" s="3">
        <v>5057.63</v>
      </c>
      <c r="O3860" s="3">
        <v>2432.23</v>
      </c>
      <c r="P3860" s="3" t="s">
        <v>86</v>
      </c>
    </row>
    <row r="3861" spans="1:16" x14ac:dyDescent="0.35">
      <c r="A3861" s="3" t="s">
        <v>5297</v>
      </c>
      <c r="B3861" s="3" t="s">
        <v>123</v>
      </c>
      <c r="C3861" s="3" t="s">
        <v>18</v>
      </c>
      <c r="D3861" s="3" t="s">
        <v>38</v>
      </c>
      <c r="E3861" s="3" t="s">
        <v>109</v>
      </c>
      <c r="F3861" s="3" t="s">
        <v>110</v>
      </c>
      <c r="G3861" s="3" t="s">
        <v>51</v>
      </c>
      <c r="H3861" s="3" t="s">
        <v>52</v>
      </c>
      <c r="I3861" s="3" t="s">
        <v>3853</v>
      </c>
      <c r="J3861" s="3" t="s">
        <v>106</v>
      </c>
      <c r="K3861" s="3">
        <v>7</v>
      </c>
      <c r="L3861" s="3">
        <v>23.17</v>
      </c>
      <c r="M3861" s="3">
        <v>162.19</v>
      </c>
      <c r="N3861" s="3">
        <v>69.569999999999993</v>
      </c>
      <c r="O3861" s="3">
        <v>92.62</v>
      </c>
      <c r="P3861" s="3" t="s">
        <v>45</v>
      </c>
    </row>
    <row r="3862" spans="1:16" x14ac:dyDescent="0.35">
      <c r="A3862" s="3" t="s">
        <v>5298</v>
      </c>
      <c r="B3862" s="3" t="s">
        <v>96</v>
      </c>
      <c r="C3862" s="3" t="s">
        <v>48</v>
      </c>
      <c r="D3862" s="3" t="s">
        <v>90</v>
      </c>
      <c r="E3862" s="3" t="s">
        <v>119</v>
      </c>
      <c r="F3862" s="3" t="s">
        <v>120</v>
      </c>
      <c r="G3862" s="3" t="s">
        <v>41</v>
      </c>
      <c r="H3862" s="3" t="s">
        <v>61</v>
      </c>
      <c r="I3862" s="3" t="s">
        <v>1057</v>
      </c>
      <c r="J3862" s="3" t="s">
        <v>79</v>
      </c>
      <c r="K3862" s="3">
        <v>2</v>
      </c>
      <c r="L3862" s="3">
        <v>2360.94</v>
      </c>
      <c r="M3862" s="3">
        <v>4721.88</v>
      </c>
      <c r="N3862" s="3">
        <v>3095.71</v>
      </c>
      <c r="O3862" s="3">
        <v>1626.17</v>
      </c>
      <c r="P3862" s="3" t="s">
        <v>86</v>
      </c>
    </row>
    <row r="3863" spans="1:16" x14ac:dyDescent="0.35">
      <c r="A3863" s="3" t="s">
        <v>5299</v>
      </c>
      <c r="B3863" s="3" t="s">
        <v>949</v>
      </c>
      <c r="C3863" s="3" t="s">
        <v>18</v>
      </c>
      <c r="D3863" s="3" t="s">
        <v>58</v>
      </c>
      <c r="E3863" s="3" t="s">
        <v>59</v>
      </c>
      <c r="F3863" s="3" t="s">
        <v>60</v>
      </c>
      <c r="G3863" s="3" t="s">
        <v>51</v>
      </c>
      <c r="H3863" s="3" t="s">
        <v>77</v>
      </c>
      <c r="I3863" s="3" t="s">
        <v>2036</v>
      </c>
      <c r="J3863" s="3" t="s">
        <v>217</v>
      </c>
      <c r="K3863" s="3">
        <v>4</v>
      </c>
      <c r="L3863" s="3">
        <v>10965.83</v>
      </c>
      <c r="M3863" s="3">
        <v>43863.32</v>
      </c>
      <c r="N3863" s="3">
        <v>35810.699999999997</v>
      </c>
      <c r="O3863" s="3">
        <v>8052.62</v>
      </c>
      <c r="P3863" s="3" t="s">
        <v>45</v>
      </c>
    </row>
    <row r="3864" spans="1:16" x14ac:dyDescent="0.35">
      <c r="A3864" s="3" t="s">
        <v>5300</v>
      </c>
      <c r="B3864" s="3" t="s">
        <v>17</v>
      </c>
      <c r="C3864" s="3" t="s">
        <v>18</v>
      </c>
      <c r="D3864" s="3" t="s">
        <v>58</v>
      </c>
      <c r="E3864" s="3" t="s">
        <v>176</v>
      </c>
      <c r="F3864" s="3" t="s">
        <v>177</v>
      </c>
      <c r="G3864" s="3" t="s">
        <v>51</v>
      </c>
      <c r="H3864" s="3" t="s">
        <v>145</v>
      </c>
      <c r="I3864" s="3" t="s">
        <v>5301</v>
      </c>
      <c r="J3864" s="3" t="s">
        <v>217</v>
      </c>
      <c r="K3864" s="3">
        <v>5</v>
      </c>
      <c r="L3864" s="3">
        <v>128.74</v>
      </c>
      <c r="M3864" s="3">
        <v>643.70000000000005</v>
      </c>
      <c r="N3864" s="3">
        <v>307.05</v>
      </c>
      <c r="O3864" s="3">
        <v>336.65</v>
      </c>
      <c r="P3864" s="3" t="s">
        <v>45</v>
      </c>
    </row>
    <row r="3865" spans="1:16" x14ac:dyDescent="0.35">
      <c r="A3865" s="3" t="s">
        <v>5302</v>
      </c>
      <c r="B3865" s="3" t="s">
        <v>294</v>
      </c>
      <c r="C3865" s="3" t="s">
        <v>103</v>
      </c>
      <c r="D3865" s="3" t="s">
        <v>38</v>
      </c>
      <c r="E3865" s="3" t="s">
        <v>104</v>
      </c>
      <c r="F3865" s="3" t="s">
        <v>104</v>
      </c>
      <c r="G3865" s="3" t="s">
        <v>22</v>
      </c>
      <c r="H3865" s="3" t="s">
        <v>83</v>
      </c>
      <c r="I3865" s="3" t="s">
        <v>1685</v>
      </c>
      <c r="J3865" s="3" t="s">
        <v>54</v>
      </c>
      <c r="K3865" s="3">
        <v>8</v>
      </c>
      <c r="L3865" s="3">
        <v>22772.16</v>
      </c>
      <c r="M3865" s="3">
        <v>182177.28</v>
      </c>
      <c r="N3865" s="3">
        <v>132036.17000000001</v>
      </c>
      <c r="O3865" s="3">
        <v>50141.11</v>
      </c>
      <c r="P3865" s="3" t="s">
        <v>45</v>
      </c>
    </row>
    <row r="3866" spans="1:16" x14ac:dyDescent="0.35">
      <c r="A3866" s="3" t="s">
        <v>5303</v>
      </c>
      <c r="B3866" s="3" t="s">
        <v>1752</v>
      </c>
      <c r="C3866" s="3" t="s">
        <v>114</v>
      </c>
      <c r="D3866" s="3" t="s">
        <v>58</v>
      </c>
      <c r="E3866" s="3" t="s">
        <v>176</v>
      </c>
      <c r="F3866" s="3" t="s">
        <v>177</v>
      </c>
      <c r="G3866" s="3" t="s">
        <v>30</v>
      </c>
      <c r="H3866" s="3" t="s">
        <v>31</v>
      </c>
      <c r="I3866" s="3" t="s">
        <v>1019</v>
      </c>
      <c r="J3866" s="3" t="s">
        <v>147</v>
      </c>
      <c r="K3866" s="3">
        <v>8</v>
      </c>
      <c r="L3866" s="3">
        <v>2750.97</v>
      </c>
      <c r="M3866" s="3">
        <v>22007.759999999998</v>
      </c>
      <c r="N3866" s="3">
        <v>15936.27</v>
      </c>
      <c r="O3866" s="3">
        <v>6071.49</v>
      </c>
      <c r="P3866" s="3" t="s">
        <v>69</v>
      </c>
    </row>
    <row r="3867" spans="1:16" x14ac:dyDescent="0.35">
      <c r="A3867" s="3" t="s">
        <v>5304</v>
      </c>
      <c r="B3867" s="3" t="s">
        <v>438</v>
      </c>
      <c r="C3867" s="3" t="s">
        <v>89</v>
      </c>
      <c r="D3867" s="3" t="s">
        <v>38</v>
      </c>
      <c r="E3867" s="3" t="s">
        <v>39</v>
      </c>
      <c r="F3867" s="3" t="s">
        <v>40</v>
      </c>
      <c r="G3867" s="3" t="s">
        <v>41</v>
      </c>
      <c r="H3867" s="3" t="s">
        <v>61</v>
      </c>
      <c r="I3867" s="3" t="s">
        <v>2888</v>
      </c>
      <c r="J3867" s="3" t="s">
        <v>147</v>
      </c>
      <c r="K3867" s="3">
        <v>6</v>
      </c>
      <c r="L3867" s="3">
        <v>2338.46</v>
      </c>
      <c r="M3867" s="3">
        <v>14030.76</v>
      </c>
      <c r="N3867" s="3">
        <v>9722.57</v>
      </c>
      <c r="O3867" s="3">
        <v>4308.1899999999996</v>
      </c>
      <c r="P3867" s="3" t="s">
        <v>26</v>
      </c>
    </row>
    <row r="3868" spans="1:16" x14ac:dyDescent="0.35">
      <c r="A3868" s="3" t="s">
        <v>5305</v>
      </c>
      <c r="B3868" s="3" t="s">
        <v>76</v>
      </c>
      <c r="C3868" s="3" t="s">
        <v>48</v>
      </c>
      <c r="D3868" s="3" t="s">
        <v>58</v>
      </c>
      <c r="E3868" s="3" t="s">
        <v>176</v>
      </c>
      <c r="F3868" s="3" t="s">
        <v>177</v>
      </c>
      <c r="G3868" s="3" t="s">
        <v>22</v>
      </c>
      <c r="H3868" s="3" t="s">
        <v>23</v>
      </c>
      <c r="I3868" s="3" t="s">
        <v>2103</v>
      </c>
      <c r="J3868" s="3" t="s">
        <v>100</v>
      </c>
      <c r="K3868" s="3">
        <v>5</v>
      </c>
      <c r="L3868" s="3">
        <v>3511.78</v>
      </c>
      <c r="M3868" s="3">
        <v>17558.900000000001</v>
      </c>
      <c r="N3868" s="3">
        <v>11162.24</v>
      </c>
      <c r="O3868" s="3">
        <v>6396.66</v>
      </c>
      <c r="P3868" s="3" t="s">
        <v>34</v>
      </c>
    </row>
    <row r="3869" spans="1:16" x14ac:dyDescent="0.35">
      <c r="A3869" s="3" t="s">
        <v>5306</v>
      </c>
      <c r="B3869" s="3" t="s">
        <v>921</v>
      </c>
      <c r="C3869" s="3" t="s">
        <v>103</v>
      </c>
      <c r="D3869" s="3" t="s">
        <v>90</v>
      </c>
      <c r="E3869" s="3" t="s">
        <v>119</v>
      </c>
      <c r="F3869" s="3" t="s">
        <v>120</v>
      </c>
      <c r="G3869" s="3" t="s">
        <v>22</v>
      </c>
      <c r="H3869" s="3" t="s">
        <v>93</v>
      </c>
      <c r="I3869" s="3" t="s">
        <v>1907</v>
      </c>
      <c r="J3869" s="3" t="s">
        <v>154</v>
      </c>
      <c r="K3869" s="3">
        <v>1</v>
      </c>
      <c r="L3869" s="3">
        <v>7232.96</v>
      </c>
      <c r="M3869" s="3">
        <v>7232.96</v>
      </c>
      <c r="N3869" s="3">
        <v>4766</v>
      </c>
      <c r="O3869" s="3">
        <v>2466.96</v>
      </c>
      <c r="P3869" s="3" t="s">
        <v>86</v>
      </c>
    </row>
    <row r="3870" spans="1:16" x14ac:dyDescent="0.35">
      <c r="A3870" s="3" t="s">
        <v>5307</v>
      </c>
      <c r="B3870" s="3" t="s">
        <v>1238</v>
      </c>
      <c r="C3870" s="3" t="s">
        <v>82</v>
      </c>
      <c r="D3870" s="3" t="s">
        <v>90</v>
      </c>
      <c r="E3870" s="3" t="s">
        <v>119</v>
      </c>
      <c r="F3870" s="3" t="s">
        <v>120</v>
      </c>
      <c r="G3870" s="3" t="s">
        <v>51</v>
      </c>
      <c r="H3870" s="3" t="s">
        <v>145</v>
      </c>
      <c r="I3870" s="3" t="s">
        <v>3524</v>
      </c>
      <c r="J3870" s="3" t="s">
        <v>85</v>
      </c>
      <c r="K3870" s="3">
        <v>3</v>
      </c>
      <c r="L3870" s="3">
        <v>114.94</v>
      </c>
      <c r="M3870" s="3">
        <v>344.82</v>
      </c>
      <c r="N3870" s="3">
        <v>188.32</v>
      </c>
      <c r="O3870" s="3">
        <v>156.5</v>
      </c>
      <c r="P3870" s="3" t="s">
        <v>45</v>
      </c>
    </row>
    <row r="3871" spans="1:16" x14ac:dyDescent="0.35">
      <c r="A3871" s="3" t="s">
        <v>5308</v>
      </c>
      <c r="B3871" s="3" t="s">
        <v>2343</v>
      </c>
      <c r="C3871" s="3" t="s">
        <v>103</v>
      </c>
      <c r="D3871" s="3" t="s">
        <v>58</v>
      </c>
      <c r="E3871" s="3" t="s">
        <v>65</v>
      </c>
      <c r="F3871" s="3" t="s">
        <v>66</v>
      </c>
      <c r="G3871" s="3" t="s">
        <v>30</v>
      </c>
      <c r="H3871" s="3" t="s">
        <v>67</v>
      </c>
      <c r="I3871" s="3" t="s">
        <v>540</v>
      </c>
      <c r="J3871" s="3" t="s">
        <v>85</v>
      </c>
      <c r="K3871" s="3">
        <v>2</v>
      </c>
      <c r="L3871" s="3">
        <v>10383.459999999999</v>
      </c>
      <c r="M3871" s="3">
        <v>20766.919999999998</v>
      </c>
      <c r="N3871" s="3">
        <v>14604.98</v>
      </c>
      <c r="O3871" s="3">
        <v>6161.94</v>
      </c>
      <c r="P3871" s="3" t="s">
        <v>34</v>
      </c>
    </row>
    <row r="3872" spans="1:16" x14ac:dyDescent="0.35">
      <c r="A3872" s="3" t="s">
        <v>5309</v>
      </c>
      <c r="B3872" s="3" t="s">
        <v>712</v>
      </c>
      <c r="C3872" s="3" t="s">
        <v>37</v>
      </c>
      <c r="D3872" s="3" t="s">
        <v>58</v>
      </c>
      <c r="E3872" s="3" t="s">
        <v>176</v>
      </c>
      <c r="F3872" s="3" t="s">
        <v>177</v>
      </c>
      <c r="G3872" s="3" t="s">
        <v>30</v>
      </c>
      <c r="H3872" s="3" t="s">
        <v>31</v>
      </c>
      <c r="I3872" s="3" t="s">
        <v>3346</v>
      </c>
      <c r="J3872" s="3" t="s">
        <v>217</v>
      </c>
      <c r="K3872" s="3">
        <v>3</v>
      </c>
      <c r="L3872" s="3">
        <v>2599.67</v>
      </c>
      <c r="M3872" s="3">
        <v>7799.01</v>
      </c>
      <c r="N3872" s="3">
        <v>5930.83</v>
      </c>
      <c r="O3872" s="3">
        <v>1868.18</v>
      </c>
      <c r="P3872" s="3" t="s">
        <v>34</v>
      </c>
    </row>
    <row r="3873" spans="1:16" x14ac:dyDescent="0.35">
      <c r="A3873" s="3" t="s">
        <v>5310</v>
      </c>
      <c r="B3873" s="3" t="s">
        <v>534</v>
      </c>
      <c r="C3873" s="3" t="s">
        <v>29</v>
      </c>
      <c r="D3873" s="3" t="s">
        <v>19</v>
      </c>
      <c r="E3873" s="3" t="s">
        <v>199</v>
      </c>
      <c r="F3873" s="3" t="s">
        <v>200</v>
      </c>
      <c r="G3873" s="3" t="s">
        <v>51</v>
      </c>
      <c r="H3873" s="3" t="s">
        <v>52</v>
      </c>
      <c r="I3873" s="3" t="s">
        <v>3615</v>
      </c>
      <c r="J3873" s="3" t="s">
        <v>85</v>
      </c>
      <c r="K3873" s="3">
        <v>2</v>
      </c>
      <c r="L3873" s="3">
        <v>22.67</v>
      </c>
      <c r="M3873" s="3">
        <v>45.34</v>
      </c>
      <c r="N3873" s="3">
        <v>19.309999999999999</v>
      </c>
      <c r="O3873" s="3">
        <v>26.03</v>
      </c>
      <c r="P3873" s="3" t="s">
        <v>69</v>
      </c>
    </row>
    <row r="3874" spans="1:16" x14ac:dyDescent="0.35">
      <c r="A3874" s="3" t="s">
        <v>5311</v>
      </c>
      <c r="B3874" s="3" t="s">
        <v>1113</v>
      </c>
      <c r="C3874" s="3" t="s">
        <v>82</v>
      </c>
      <c r="D3874" s="3" t="s">
        <v>38</v>
      </c>
      <c r="E3874" s="3" t="s">
        <v>109</v>
      </c>
      <c r="F3874" s="3" t="s">
        <v>110</v>
      </c>
      <c r="G3874" s="3" t="s">
        <v>30</v>
      </c>
      <c r="H3874" s="3" t="s">
        <v>73</v>
      </c>
      <c r="I3874" s="3" t="s">
        <v>2560</v>
      </c>
      <c r="J3874" s="3" t="s">
        <v>85</v>
      </c>
      <c r="K3874" s="3">
        <v>7</v>
      </c>
      <c r="L3874" s="3">
        <v>2944.96</v>
      </c>
      <c r="M3874" s="3">
        <v>20614.72</v>
      </c>
      <c r="N3874" s="3">
        <v>17145.28</v>
      </c>
      <c r="O3874" s="3">
        <v>3469.44</v>
      </c>
      <c r="P3874" s="3" t="s">
        <v>26</v>
      </c>
    </row>
    <row r="3875" spans="1:16" x14ac:dyDescent="0.35">
      <c r="A3875" s="3" t="s">
        <v>5312</v>
      </c>
      <c r="B3875" s="3" t="s">
        <v>601</v>
      </c>
      <c r="C3875" s="3" t="s">
        <v>82</v>
      </c>
      <c r="D3875" s="3" t="s">
        <v>19</v>
      </c>
      <c r="E3875" s="3" t="s">
        <v>20</v>
      </c>
      <c r="F3875" s="3" t="s">
        <v>21</v>
      </c>
      <c r="G3875" s="3" t="s">
        <v>22</v>
      </c>
      <c r="H3875" s="3" t="s">
        <v>93</v>
      </c>
      <c r="I3875" s="3" t="s">
        <v>1318</v>
      </c>
      <c r="J3875" s="3" t="s">
        <v>147</v>
      </c>
      <c r="K3875" s="3">
        <v>8</v>
      </c>
      <c r="L3875" s="3">
        <v>6936.98</v>
      </c>
      <c r="M3875" s="3">
        <v>55495.839999999997</v>
      </c>
      <c r="N3875" s="3">
        <v>40436.07</v>
      </c>
      <c r="O3875" s="3">
        <v>15059.77</v>
      </c>
      <c r="P3875" s="3" t="s">
        <v>45</v>
      </c>
    </row>
    <row r="3876" spans="1:16" x14ac:dyDescent="0.35">
      <c r="A3876" s="3" t="s">
        <v>5313</v>
      </c>
      <c r="B3876" s="3" t="s">
        <v>1360</v>
      </c>
      <c r="C3876" s="3" t="s">
        <v>72</v>
      </c>
      <c r="D3876" s="3" t="s">
        <v>38</v>
      </c>
      <c r="E3876" s="3" t="s">
        <v>104</v>
      </c>
      <c r="F3876" s="3" t="s">
        <v>104</v>
      </c>
      <c r="G3876" s="3" t="s">
        <v>51</v>
      </c>
      <c r="H3876" s="3" t="s">
        <v>52</v>
      </c>
      <c r="I3876" s="3" t="s">
        <v>2250</v>
      </c>
      <c r="J3876" s="3" t="s">
        <v>54</v>
      </c>
      <c r="K3876" s="3">
        <v>5</v>
      </c>
      <c r="L3876" s="3">
        <v>26.82</v>
      </c>
      <c r="M3876" s="3">
        <v>134.1</v>
      </c>
      <c r="N3876" s="3">
        <v>47.67</v>
      </c>
      <c r="O3876" s="3">
        <v>86.43</v>
      </c>
      <c r="P3876" s="3" t="s">
        <v>86</v>
      </c>
    </row>
    <row r="3877" spans="1:16" x14ac:dyDescent="0.35">
      <c r="A3877" s="3" t="s">
        <v>5314</v>
      </c>
      <c r="B3877" s="3" t="s">
        <v>315</v>
      </c>
      <c r="C3877" s="3" t="s">
        <v>118</v>
      </c>
      <c r="D3877" s="3" t="s">
        <v>38</v>
      </c>
      <c r="E3877" s="3" t="s">
        <v>109</v>
      </c>
      <c r="F3877" s="3" t="s">
        <v>110</v>
      </c>
      <c r="G3877" s="3" t="s">
        <v>30</v>
      </c>
      <c r="H3877" s="3" t="s">
        <v>31</v>
      </c>
      <c r="I3877" s="3" t="s">
        <v>1024</v>
      </c>
      <c r="J3877" s="3" t="s">
        <v>131</v>
      </c>
      <c r="K3877" s="3">
        <v>5</v>
      </c>
      <c r="L3877" s="3">
        <v>2573.83</v>
      </c>
      <c r="M3877" s="3">
        <v>12869.15</v>
      </c>
      <c r="N3877" s="3">
        <v>9267.92</v>
      </c>
      <c r="O3877" s="3">
        <v>3601.23</v>
      </c>
      <c r="P3877" s="3" t="s">
        <v>69</v>
      </c>
    </row>
    <row r="3878" spans="1:16" x14ac:dyDescent="0.35">
      <c r="A3878" s="3" t="s">
        <v>5315</v>
      </c>
      <c r="B3878" s="3" t="s">
        <v>913</v>
      </c>
      <c r="C3878" s="3" t="s">
        <v>48</v>
      </c>
      <c r="D3878" s="3" t="s">
        <v>19</v>
      </c>
      <c r="E3878" s="3" t="s">
        <v>49</v>
      </c>
      <c r="F3878" s="3" t="s">
        <v>50</v>
      </c>
      <c r="G3878" s="3" t="s">
        <v>51</v>
      </c>
      <c r="H3878" s="3" t="s">
        <v>52</v>
      </c>
      <c r="I3878" s="3" t="s">
        <v>1436</v>
      </c>
      <c r="J3878" s="3" t="s">
        <v>161</v>
      </c>
      <c r="K3878" s="3">
        <v>4</v>
      </c>
      <c r="L3878" s="3">
        <v>22.68</v>
      </c>
      <c r="M3878" s="3">
        <v>90.72</v>
      </c>
      <c r="N3878" s="3">
        <v>40.479999999999997</v>
      </c>
      <c r="O3878" s="3">
        <v>50.24</v>
      </c>
      <c r="P3878" s="3" t="s">
        <v>69</v>
      </c>
    </row>
    <row r="3879" spans="1:16" x14ac:dyDescent="0.35">
      <c r="A3879" s="3" t="s">
        <v>5316</v>
      </c>
      <c r="B3879" s="3" t="s">
        <v>834</v>
      </c>
      <c r="C3879" s="3" t="s">
        <v>114</v>
      </c>
      <c r="D3879" s="3" t="s">
        <v>58</v>
      </c>
      <c r="E3879" s="3" t="s">
        <v>176</v>
      </c>
      <c r="F3879" s="3" t="s">
        <v>177</v>
      </c>
      <c r="G3879" s="3" t="s">
        <v>41</v>
      </c>
      <c r="H3879" s="3" t="s">
        <v>61</v>
      </c>
      <c r="I3879" s="3" t="s">
        <v>1456</v>
      </c>
      <c r="J3879" s="3" t="s">
        <v>188</v>
      </c>
      <c r="K3879" s="3">
        <v>5</v>
      </c>
      <c r="L3879" s="3">
        <v>2319.27</v>
      </c>
      <c r="M3879" s="3">
        <v>11596.35</v>
      </c>
      <c r="N3879" s="3">
        <v>7624.6</v>
      </c>
      <c r="O3879" s="3">
        <v>3971.75</v>
      </c>
      <c r="P3879" s="3" t="s">
        <v>26</v>
      </c>
    </row>
    <row r="3880" spans="1:16" x14ac:dyDescent="0.35">
      <c r="A3880" s="3" t="s">
        <v>5317</v>
      </c>
      <c r="B3880" s="3" t="s">
        <v>225</v>
      </c>
      <c r="C3880" s="3" t="s">
        <v>89</v>
      </c>
      <c r="D3880" s="3" t="s">
        <v>90</v>
      </c>
      <c r="E3880" s="3" t="s">
        <v>119</v>
      </c>
      <c r="F3880" s="3" t="s">
        <v>120</v>
      </c>
      <c r="G3880" s="3" t="s">
        <v>22</v>
      </c>
      <c r="H3880" s="3" t="s">
        <v>93</v>
      </c>
      <c r="I3880" s="3" t="s">
        <v>848</v>
      </c>
      <c r="J3880" s="3" t="s">
        <v>217</v>
      </c>
      <c r="K3880" s="3">
        <v>3</v>
      </c>
      <c r="L3880" s="3">
        <v>7284.52</v>
      </c>
      <c r="M3880" s="3">
        <v>21853.56</v>
      </c>
      <c r="N3880" s="3">
        <v>14894.77</v>
      </c>
      <c r="O3880" s="3">
        <v>6958.79</v>
      </c>
      <c r="P3880" s="3" t="s">
        <v>69</v>
      </c>
    </row>
    <row r="3881" spans="1:16" x14ac:dyDescent="0.35">
      <c r="A3881" s="3" t="s">
        <v>5318</v>
      </c>
      <c r="B3881" s="3" t="s">
        <v>555</v>
      </c>
      <c r="C3881" s="3" t="s">
        <v>137</v>
      </c>
      <c r="D3881" s="3" t="s">
        <v>90</v>
      </c>
      <c r="E3881" s="3" t="s">
        <v>91</v>
      </c>
      <c r="F3881" s="3" t="s">
        <v>92</v>
      </c>
      <c r="G3881" s="3" t="s">
        <v>51</v>
      </c>
      <c r="H3881" s="3" t="s">
        <v>145</v>
      </c>
      <c r="I3881" s="3" t="s">
        <v>2863</v>
      </c>
      <c r="J3881" s="3" t="s">
        <v>54</v>
      </c>
      <c r="K3881" s="3">
        <v>2</v>
      </c>
      <c r="L3881" s="3">
        <v>111.97</v>
      </c>
      <c r="M3881" s="3">
        <v>223.94</v>
      </c>
      <c r="N3881" s="3">
        <v>119.68</v>
      </c>
      <c r="O3881" s="3">
        <v>104.26</v>
      </c>
      <c r="P3881" s="3" t="s">
        <v>69</v>
      </c>
    </row>
    <row r="3882" spans="1:16" x14ac:dyDescent="0.35">
      <c r="A3882" s="3" t="s">
        <v>5319</v>
      </c>
      <c r="B3882" s="3" t="s">
        <v>1766</v>
      </c>
      <c r="C3882" s="3" t="s">
        <v>48</v>
      </c>
      <c r="D3882" s="3" t="s">
        <v>90</v>
      </c>
      <c r="E3882" s="3" t="s">
        <v>97</v>
      </c>
      <c r="F3882" s="3" t="s">
        <v>98</v>
      </c>
      <c r="G3882" s="3" t="s">
        <v>22</v>
      </c>
      <c r="H3882" s="3" t="s">
        <v>23</v>
      </c>
      <c r="I3882" s="3" t="s">
        <v>1959</v>
      </c>
      <c r="J3882" s="3" t="s">
        <v>131</v>
      </c>
      <c r="K3882" s="3">
        <v>3</v>
      </c>
      <c r="L3882" s="3">
        <v>3483.18</v>
      </c>
      <c r="M3882" s="3">
        <v>10449.540000000001</v>
      </c>
      <c r="N3882" s="3">
        <v>6796.68</v>
      </c>
      <c r="O3882" s="3">
        <v>3652.86</v>
      </c>
      <c r="P3882" s="3" t="s">
        <v>34</v>
      </c>
    </row>
    <row r="3883" spans="1:16" x14ac:dyDescent="0.35">
      <c r="A3883" s="3" t="s">
        <v>5320</v>
      </c>
      <c r="B3883" s="3" t="s">
        <v>126</v>
      </c>
      <c r="C3883" s="3" t="s">
        <v>103</v>
      </c>
      <c r="D3883" s="3" t="s">
        <v>58</v>
      </c>
      <c r="E3883" s="3" t="s">
        <v>59</v>
      </c>
      <c r="F3883" s="3" t="s">
        <v>60</v>
      </c>
      <c r="G3883" s="3" t="s">
        <v>41</v>
      </c>
      <c r="H3883" s="3" t="s">
        <v>42</v>
      </c>
      <c r="I3883" s="3" t="s">
        <v>2436</v>
      </c>
      <c r="J3883" s="3" t="s">
        <v>161</v>
      </c>
      <c r="K3883" s="3">
        <v>1</v>
      </c>
      <c r="L3883" s="3">
        <v>49268.43</v>
      </c>
      <c r="M3883" s="3">
        <v>49268.43</v>
      </c>
      <c r="N3883" s="3">
        <v>34393.68</v>
      </c>
      <c r="O3883" s="3">
        <v>14874.75</v>
      </c>
      <c r="P3883" s="3" t="s">
        <v>26</v>
      </c>
    </row>
    <row r="3884" spans="1:16" x14ac:dyDescent="0.35">
      <c r="A3884" s="3" t="s">
        <v>5321</v>
      </c>
      <c r="B3884" s="3" t="s">
        <v>636</v>
      </c>
      <c r="C3884" s="3" t="s">
        <v>57</v>
      </c>
      <c r="D3884" s="3" t="s">
        <v>38</v>
      </c>
      <c r="E3884" s="3" t="s">
        <v>104</v>
      </c>
      <c r="F3884" s="3" t="s">
        <v>104</v>
      </c>
      <c r="G3884" s="3" t="s">
        <v>41</v>
      </c>
      <c r="H3884" s="3" t="s">
        <v>42</v>
      </c>
      <c r="I3884" s="3" t="s">
        <v>2004</v>
      </c>
      <c r="J3884" s="3" t="s">
        <v>171</v>
      </c>
      <c r="K3884" s="3">
        <v>2</v>
      </c>
      <c r="L3884" s="3">
        <v>43431.96</v>
      </c>
      <c r="M3884" s="3">
        <v>86863.92</v>
      </c>
      <c r="N3884" s="3">
        <v>71646.039999999994</v>
      </c>
      <c r="O3884" s="3">
        <v>15217.88</v>
      </c>
      <c r="P3884" s="3" t="s">
        <v>69</v>
      </c>
    </row>
    <row r="3885" spans="1:16" x14ac:dyDescent="0.35">
      <c r="A3885" s="3" t="s">
        <v>5322</v>
      </c>
      <c r="B3885" s="3" t="s">
        <v>333</v>
      </c>
      <c r="C3885" s="3" t="s">
        <v>118</v>
      </c>
      <c r="D3885" s="3" t="s">
        <v>58</v>
      </c>
      <c r="E3885" s="3" t="s">
        <v>65</v>
      </c>
      <c r="F3885" s="3" t="s">
        <v>66</v>
      </c>
      <c r="G3885" s="3" t="s">
        <v>30</v>
      </c>
      <c r="H3885" s="3" t="s">
        <v>31</v>
      </c>
      <c r="I3885" s="3" t="s">
        <v>3260</v>
      </c>
      <c r="J3885" s="3" t="s">
        <v>161</v>
      </c>
      <c r="K3885" s="3">
        <v>8</v>
      </c>
      <c r="L3885" s="3">
        <v>2921.99</v>
      </c>
      <c r="M3885" s="3">
        <v>23375.919999999998</v>
      </c>
      <c r="N3885" s="3">
        <v>14845.01</v>
      </c>
      <c r="O3885" s="3">
        <v>8530.91</v>
      </c>
      <c r="P3885" s="3" t="s">
        <v>45</v>
      </c>
    </row>
    <row r="3886" spans="1:16" x14ac:dyDescent="0.35">
      <c r="A3886" s="3" t="s">
        <v>5323</v>
      </c>
      <c r="B3886" s="3" t="s">
        <v>274</v>
      </c>
      <c r="C3886" s="3" t="s">
        <v>57</v>
      </c>
      <c r="D3886" s="3" t="s">
        <v>90</v>
      </c>
      <c r="E3886" s="3" t="s">
        <v>91</v>
      </c>
      <c r="F3886" s="3" t="s">
        <v>92</v>
      </c>
      <c r="G3886" s="3" t="s">
        <v>41</v>
      </c>
      <c r="H3886" s="3" t="s">
        <v>61</v>
      </c>
      <c r="I3886" s="3" t="s">
        <v>1123</v>
      </c>
      <c r="J3886" s="3" t="s">
        <v>131</v>
      </c>
      <c r="K3886" s="3">
        <v>4</v>
      </c>
      <c r="L3886" s="3">
        <v>2477.3200000000002</v>
      </c>
      <c r="M3886" s="3">
        <v>9909.2800000000007</v>
      </c>
      <c r="N3886" s="3">
        <v>6395.37</v>
      </c>
      <c r="O3886" s="3">
        <v>3513.91</v>
      </c>
      <c r="P3886" s="3" t="s">
        <v>45</v>
      </c>
    </row>
    <row r="3887" spans="1:16" x14ac:dyDescent="0.35">
      <c r="A3887" s="3" t="s">
        <v>5324</v>
      </c>
      <c r="B3887" s="3" t="s">
        <v>1018</v>
      </c>
      <c r="C3887" s="3" t="s">
        <v>37</v>
      </c>
      <c r="D3887" s="3" t="s">
        <v>38</v>
      </c>
      <c r="E3887" s="3" t="s">
        <v>104</v>
      </c>
      <c r="F3887" s="3" t="s">
        <v>104</v>
      </c>
      <c r="G3887" s="3" t="s">
        <v>22</v>
      </c>
      <c r="H3887" s="3" t="s">
        <v>83</v>
      </c>
      <c r="I3887" s="3" t="s">
        <v>1821</v>
      </c>
      <c r="J3887" s="3" t="s">
        <v>106</v>
      </c>
      <c r="K3887" s="3">
        <v>3</v>
      </c>
      <c r="L3887" s="3">
        <v>22127.11</v>
      </c>
      <c r="M3887" s="3">
        <v>66381.33</v>
      </c>
      <c r="N3887" s="3">
        <v>53409.85</v>
      </c>
      <c r="O3887" s="3">
        <v>12971.48</v>
      </c>
      <c r="P3887" s="3" t="s">
        <v>69</v>
      </c>
    </row>
    <row r="3888" spans="1:16" x14ac:dyDescent="0.35">
      <c r="A3888" s="3" t="s">
        <v>5325</v>
      </c>
      <c r="B3888" s="3" t="s">
        <v>1525</v>
      </c>
      <c r="C3888" s="3" t="s">
        <v>57</v>
      </c>
      <c r="D3888" s="3" t="s">
        <v>90</v>
      </c>
      <c r="E3888" s="3" t="s">
        <v>91</v>
      </c>
      <c r="F3888" s="3" t="s">
        <v>92</v>
      </c>
      <c r="G3888" s="3" t="s">
        <v>30</v>
      </c>
      <c r="H3888" s="3" t="s">
        <v>31</v>
      </c>
      <c r="I3888" s="3" t="s">
        <v>581</v>
      </c>
      <c r="J3888" s="3" t="s">
        <v>188</v>
      </c>
      <c r="K3888" s="3">
        <v>7</v>
      </c>
      <c r="L3888" s="3">
        <v>2547.3200000000002</v>
      </c>
      <c r="M3888" s="3">
        <v>17831.240000000002</v>
      </c>
      <c r="N3888" s="3">
        <v>12681.12</v>
      </c>
      <c r="O3888" s="3">
        <v>5150.12</v>
      </c>
      <c r="P3888" s="3" t="s">
        <v>86</v>
      </c>
    </row>
    <row r="3889" spans="1:16" x14ac:dyDescent="0.35">
      <c r="A3889" s="3" t="s">
        <v>5326</v>
      </c>
      <c r="B3889" s="3" t="s">
        <v>565</v>
      </c>
      <c r="C3889" s="3" t="s">
        <v>137</v>
      </c>
      <c r="D3889" s="3" t="s">
        <v>58</v>
      </c>
      <c r="E3889" s="3" t="s">
        <v>176</v>
      </c>
      <c r="F3889" s="3" t="s">
        <v>177</v>
      </c>
      <c r="G3889" s="3" t="s">
        <v>30</v>
      </c>
      <c r="H3889" s="3" t="s">
        <v>31</v>
      </c>
      <c r="I3889" s="3" t="s">
        <v>697</v>
      </c>
      <c r="J3889" s="3" t="s">
        <v>217</v>
      </c>
      <c r="K3889" s="3">
        <v>8</v>
      </c>
      <c r="L3889" s="3">
        <v>2774.46</v>
      </c>
      <c r="M3889" s="3">
        <v>22195.68</v>
      </c>
      <c r="N3889" s="3">
        <v>14928.56</v>
      </c>
      <c r="O3889" s="3">
        <v>7267.12</v>
      </c>
      <c r="P3889" s="3" t="s">
        <v>69</v>
      </c>
    </row>
    <row r="3890" spans="1:16" x14ac:dyDescent="0.35">
      <c r="A3890" s="3" t="s">
        <v>5327</v>
      </c>
      <c r="B3890" s="3" t="s">
        <v>1314</v>
      </c>
      <c r="C3890" s="3" t="s">
        <v>48</v>
      </c>
      <c r="D3890" s="3" t="s">
        <v>58</v>
      </c>
      <c r="E3890" s="3" t="s">
        <v>176</v>
      </c>
      <c r="F3890" s="3" t="s">
        <v>177</v>
      </c>
      <c r="G3890" s="3" t="s">
        <v>30</v>
      </c>
      <c r="H3890" s="3" t="s">
        <v>67</v>
      </c>
      <c r="I3890" s="3" t="s">
        <v>1957</v>
      </c>
      <c r="J3890" s="3" t="s">
        <v>217</v>
      </c>
      <c r="K3890" s="3">
        <v>2</v>
      </c>
      <c r="L3890" s="3">
        <v>10394.57</v>
      </c>
      <c r="M3890" s="3">
        <v>20789.14</v>
      </c>
      <c r="N3890" s="3">
        <v>14546.84</v>
      </c>
      <c r="O3890" s="3">
        <v>6242.3</v>
      </c>
      <c r="P3890" s="3" t="s">
        <v>26</v>
      </c>
    </row>
    <row r="3891" spans="1:16" x14ac:dyDescent="0.35">
      <c r="A3891" s="3" t="s">
        <v>5328</v>
      </c>
      <c r="B3891" s="3" t="s">
        <v>656</v>
      </c>
      <c r="C3891" s="3" t="s">
        <v>89</v>
      </c>
      <c r="D3891" s="3" t="s">
        <v>58</v>
      </c>
      <c r="E3891" s="3" t="s">
        <v>59</v>
      </c>
      <c r="F3891" s="3" t="s">
        <v>60</v>
      </c>
      <c r="G3891" s="3" t="s">
        <v>41</v>
      </c>
      <c r="H3891" s="3" t="s">
        <v>42</v>
      </c>
      <c r="I3891" s="3" t="s">
        <v>124</v>
      </c>
      <c r="J3891" s="3" t="s">
        <v>33</v>
      </c>
      <c r="K3891" s="3">
        <v>8</v>
      </c>
      <c r="L3891" s="3">
        <v>46427.71</v>
      </c>
      <c r="M3891" s="3">
        <v>371421.68</v>
      </c>
      <c r="N3891" s="3">
        <v>267944.34999999998</v>
      </c>
      <c r="O3891" s="3">
        <v>103477.33</v>
      </c>
      <c r="P3891" s="3" t="s">
        <v>69</v>
      </c>
    </row>
    <row r="3892" spans="1:16" x14ac:dyDescent="0.35">
      <c r="A3892" s="3" t="s">
        <v>5329</v>
      </c>
      <c r="B3892" s="3" t="s">
        <v>1406</v>
      </c>
      <c r="C3892" s="3" t="s">
        <v>137</v>
      </c>
      <c r="D3892" s="3" t="s">
        <v>90</v>
      </c>
      <c r="E3892" s="3" t="s">
        <v>119</v>
      </c>
      <c r="F3892" s="3" t="s">
        <v>120</v>
      </c>
      <c r="G3892" s="3" t="s">
        <v>30</v>
      </c>
      <c r="H3892" s="3" t="s">
        <v>67</v>
      </c>
      <c r="I3892" s="3" t="s">
        <v>1975</v>
      </c>
      <c r="J3892" s="3" t="s">
        <v>217</v>
      </c>
      <c r="K3892" s="3">
        <v>5</v>
      </c>
      <c r="L3892" s="3">
        <v>9988.9699999999993</v>
      </c>
      <c r="M3892" s="3">
        <v>49944.85</v>
      </c>
      <c r="N3892" s="3">
        <v>37599.78</v>
      </c>
      <c r="O3892" s="3">
        <v>12345.07</v>
      </c>
      <c r="P3892" s="3" t="s">
        <v>45</v>
      </c>
    </row>
    <row r="3893" spans="1:16" x14ac:dyDescent="0.35">
      <c r="A3893" s="3" t="s">
        <v>5330</v>
      </c>
      <c r="B3893" s="3" t="s">
        <v>2870</v>
      </c>
      <c r="C3893" s="3" t="s">
        <v>118</v>
      </c>
      <c r="D3893" s="3" t="s">
        <v>38</v>
      </c>
      <c r="E3893" s="3" t="s">
        <v>109</v>
      </c>
      <c r="F3893" s="3" t="s">
        <v>110</v>
      </c>
      <c r="G3893" s="3" t="s">
        <v>41</v>
      </c>
      <c r="H3893" s="3" t="s">
        <v>61</v>
      </c>
      <c r="I3893" s="3" t="s">
        <v>249</v>
      </c>
      <c r="J3893" s="3" t="s">
        <v>100</v>
      </c>
      <c r="K3893" s="3">
        <v>4</v>
      </c>
      <c r="L3893" s="3">
        <v>2738.7</v>
      </c>
      <c r="M3893" s="3">
        <v>10954.8</v>
      </c>
      <c r="N3893" s="3">
        <v>6221.79</v>
      </c>
      <c r="O3893" s="3">
        <v>4733.01</v>
      </c>
      <c r="P3893" s="3" t="s">
        <v>45</v>
      </c>
    </row>
    <row r="3894" spans="1:16" x14ac:dyDescent="0.35">
      <c r="A3894" s="3" t="s">
        <v>5331</v>
      </c>
      <c r="B3894" s="3" t="s">
        <v>1594</v>
      </c>
      <c r="C3894" s="3" t="s">
        <v>48</v>
      </c>
      <c r="D3894" s="3" t="s">
        <v>19</v>
      </c>
      <c r="E3894" s="3" t="s">
        <v>49</v>
      </c>
      <c r="F3894" s="3" t="s">
        <v>50</v>
      </c>
      <c r="G3894" s="3" t="s">
        <v>30</v>
      </c>
      <c r="H3894" s="3" t="s">
        <v>73</v>
      </c>
      <c r="I3894" s="3" t="s">
        <v>213</v>
      </c>
      <c r="J3894" s="3" t="s">
        <v>54</v>
      </c>
      <c r="K3894" s="3">
        <v>6</v>
      </c>
      <c r="L3894" s="3">
        <v>3216.05</v>
      </c>
      <c r="M3894" s="3">
        <v>19296.3</v>
      </c>
      <c r="N3894" s="3">
        <v>14899.11</v>
      </c>
      <c r="O3894" s="3">
        <v>4397.1899999999996</v>
      </c>
      <c r="P3894" s="3" t="s">
        <v>26</v>
      </c>
    </row>
    <row r="3895" spans="1:16" x14ac:dyDescent="0.35">
      <c r="A3895" s="3" t="s">
        <v>5332</v>
      </c>
      <c r="B3895" s="3" t="s">
        <v>586</v>
      </c>
      <c r="C3895" s="3" t="s">
        <v>57</v>
      </c>
      <c r="D3895" s="3" t="s">
        <v>90</v>
      </c>
      <c r="E3895" s="3" t="s">
        <v>97</v>
      </c>
      <c r="F3895" s="3" t="s">
        <v>98</v>
      </c>
      <c r="G3895" s="3" t="s">
        <v>51</v>
      </c>
      <c r="H3895" s="3" t="s">
        <v>77</v>
      </c>
      <c r="I3895" s="3" t="s">
        <v>2797</v>
      </c>
      <c r="J3895" s="3" t="s">
        <v>44</v>
      </c>
      <c r="K3895" s="3">
        <v>6</v>
      </c>
      <c r="L3895" s="3">
        <v>12631.68</v>
      </c>
      <c r="M3895" s="3">
        <v>75790.080000000002</v>
      </c>
      <c r="N3895" s="3">
        <v>54581.84</v>
      </c>
      <c r="O3895" s="3">
        <v>21208.240000000002</v>
      </c>
      <c r="P3895" s="3" t="s">
        <v>45</v>
      </c>
    </row>
    <row r="3896" spans="1:16" x14ac:dyDescent="0.35">
      <c r="A3896" s="3" t="s">
        <v>5333</v>
      </c>
      <c r="B3896" s="3" t="s">
        <v>1823</v>
      </c>
      <c r="C3896" s="3" t="s">
        <v>118</v>
      </c>
      <c r="D3896" s="3" t="s">
        <v>38</v>
      </c>
      <c r="E3896" s="3" t="s">
        <v>39</v>
      </c>
      <c r="F3896" s="3" t="s">
        <v>40</v>
      </c>
      <c r="G3896" s="3" t="s">
        <v>41</v>
      </c>
      <c r="H3896" s="3" t="s">
        <v>42</v>
      </c>
      <c r="I3896" s="3" t="s">
        <v>481</v>
      </c>
      <c r="J3896" s="3" t="s">
        <v>79</v>
      </c>
      <c r="K3896" s="3">
        <v>8</v>
      </c>
      <c r="L3896" s="3">
        <v>43125.02</v>
      </c>
      <c r="M3896" s="3">
        <v>345000.16</v>
      </c>
      <c r="N3896" s="3">
        <v>275122.65999999997</v>
      </c>
      <c r="O3896" s="3">
        <v>69877.5</v>
      </c>
      <c r="P3896" s="3" t="s">
        <v>69</v>
      </c>
    </row>
    <row r="3897" spans="1:16" x14ac:dyDescent="0.35">
      <c r="A3897" s="3" t="s">
        <v>5334</v>
      </c>
      <c r="B3897" s="3" t="s">
        <v>654</v>
      </c>
      <c r="C3897" s="3" t="s">
        <v>103</v>
      </c>
      <c r="D3897" s="3" t="s">
        <v>19</v>
      </c>
      <c r="E3897" s="3" t="s">
        <v>49</v>
      </c>
      <c r="F3897" s="3" t="s">
        <v>50</v>
      </c>
      <c r="G3897" s="3" t="s">
        <v>51</v>
      </c>
      <c r="H3897" s="3" t="s">
        <v>77</v>
      </c>
      <c r="I3897" s="3" t="s">
        <v>2295</v>
      </c>
      <c r="J3897" s="3" t="s">
        <v>147</v>
      </c>
      <c r="K3897" s="3">
        <v>5</v>
      </c>
      <c r="L3897" s="3">
        <v>12000.08</v>
      </c>
      <c r="M3897" s="3">
        <v>60000.4</v>
      </c>
      <c r="N3897" s="3">
        <v>43036</v>
      </c>
      <c r="O3897" s="3">
        <v>16964.400000000001</v>
      </c>
      <c r="P3897" s="3" t="s">
        <v>34</v>
      </c>
    </row>
    <row r="3898" spans="1:16" x14ac:dyDescent="0.35">
      <c r="A3898" s="3" t="s">
        <v>5335</v>
      </c>
      <c r="B3898" s="3" t="s">
        <v>248</v>
      </c>
      <c r="C3898" s="3" t="s">
        <v>82</v>
      </c>
      <c r="D3898" s="3" t="s">
        <v>19</v>
      </c>
      <c r="E3898" s="3" t="s">
        <v>199</v>
      </c>
      <c r="F3898" s="3" t="s">
        <v>200</v>
      </c>
      <c r="G3898" s="3" t="s">
        <v>30</v>
      </c>
      <c r="H3898" s="3" t="s">
        <v>73</v>
      </c>
      <c r="I3898" s="3" t="s">
        <v>1778</v>
      </c>
      <c r="J3898" s="3" t="s">
        <v>217</v>
      </c>
      <c r="K3898" s="3">
        <v>8</v>
      </c>
      <c r="L3898" s="3">
        <v>3091.29</v>
      </c>
      <c r="M3898" s="3">
        <v>24730.32</v>
      </c>
      <c r="N3898" s="3">
        <v>19325.439999999999</v>
      </c>
      <c r="O3898" s="3">
        <v>5404.88</v>
      </c>
      <c r="P3898" s="3" t="s">
        <v>86</v>
      </c>
    </row>
    <row r="3899" spans="1:16" x14ac:dyDescent="0.35">
      <c r="A3899" s="3" t="s">
        <v>5336</v>
      </c>
      <c r="B3899" s="3" t="s">
        <v>186</v>
      </c>
      <c r="C3899" s="3" t="s">
        <v>89</v>
      </c>
      <c r="D3899" s="3" t="s">
        <v>90</v>
      </c>
      <c r="E3899" s="3" t="s">
        <v>97</v>
      </c>
      <c r="F3899" s="3" t="s">
        <v>98</v>
      </c>
      <c r="G3899" s="3" t="s">
        <v>30</v>
      </c>
      <c r="H3899" s="3" t="s">
        <v>73</v>
      </c>
      <c r="I3899" s="3" t="s">
        <v>4683</v>
      </c>
      <c r="J3899" s="3" t="s">
        <v>33</v>
      </c>
      <c r="K3899" s="3">
        <v>4</v>
      </c>
      <c r="L3899" s="3">
        <v>2927.66</v>
      </c>
      <c r="M3899" s="3">
        <v>11710.64</v>
      </c>
      <c r="N3899" s="3">
        <v>10079.39</v>
      </c>
      <c r="O3899" s="3">
        <v>1631.25</v>
      </c>
      <c r="P3899" s="3" t="s">
        <v>69</v>
      </c>
    </row>
    <row r="3900" spans="1:16" x14ac:dyDescent="0.35">
      <c r="A3900" s="3" t="s">
        <v>5337</v>
      </c>
      <c r="B3900" s="3" t="s">
        <v>195</v>
      </c>
      <c r="C3900" s="3" t="s">
        <v>18</v>
      </c>
      <c r="D3900" s="3" t="s">
        <v>58</v>
      </c>
      <c r="E3900" s="3" t="s">
        <v>176</v>
      </c>
      <c r="F3900" s="3" t="s">
        <v>177</v>
      </c>
      <c r="G3900" s="3" t="s">
        <v>51</v>
      </c>
      <c r="H3900" s="3" t="s">
        <v>145</v>
      </c>
      <c r="I3900" s="3" t="s">
        <v>1358</v>
      </c>
      <c r="J3900" s="3" t="s">
        <v>161</v>
      </c>
      <c r="K3900" s="3">
        <v>5</v>
      </c>
      <c r="L3900" s="3">
        <v>129.56</v>
      </c>
      <c r="M3900" s="3">
        <v>647.79999999999995</v>
      </c>
      <c r="N3900" s="3">
        <v>289.13</v>
      </c>
      <c r="O3900" s="3">
        <v>358.67</v>
      </c>
      <c r="P3900" s="3" t="s">
        <v>69</v>
      </c>
    </row>
    <row r="3901" spans="1:16" x14ac:dyDescent="0.35">
      <c r="A3901" s="3" t="s">
        <v>5338</v>
      </c>
      <c r="B3901" s="3" t="s">
        <v>880</v>
      </c>
      <c r="C3901" s="3" t="s">
        <v>114</v>
      </c>
      <c r="D3901" s="3" t="s">
        <v>90</v>
      </c>
      <c r="E3901" s="3" t="s">
        <v>119</v>
      </c>
      <c r="F3901" s="3" t="s">
        <v>120</v>
      </c>
      <c r="G3901" s="3" t="s">
        <v>51</v>
      </c>
      <c r="H3901" s="3" t="s">
        <v>52</v>
      </c>
      <c r="I3901" s="3" t="s">
        <v>721</v>
      </c>
      <c r="J3901" s="3" t="s">
        <v>188</v>
      </c>
      <c r="K3901" s="3">
        <v>2</v>
      </c>
      <c r="L3901" s="3">
        <v>24.01</v>
      </c>
      <c r="M3901" s="3">
        <v>48.02</v>
      </c>
      <c r="N3901" s="3">
        <v>20.99</v>
      </c>
      <c r="O3901" s="3">
        <v>27.03</v>
      </c>
      <c r="P3901" s="3" t="s">
        <v>34</v>
      </c>
    </row>
    <row r="3902" spans="1:16" x14ac:dyDescent="0.35">
      <c r="A3902" s="3" t="s">
        <v>5339</v>
      </c>
      <c r="B3902" s="3" t="s">
        <v>260</v>
      </c>
      <c r="C3902" s="3" t="s">
        <v>37</v>
      </c>
      <c r="D3902" s="3" t="s">
        <v>19</v>
      </c>
      <c r="E3902" s="3" t="s">
        <v>20</v>
      </c>
      <c r="F3902" s="3" t="s">
        <v>21</v>
      </c>
      <c r="G3902" s="3" t="s">
        <v>30</v>
      </c>
      <c r="H3902" s="3" t="s">
        <v>73</v>
      </c>
      <c r="I3902" s="3" t="s">
        <v>2567</v>
      </c>
      <c r="J3902" s="3" t="s">
        <v>131</v>
      </c>
      <c r="K3902" s="3">
        <v>2</v>
      </c>
      <c r="L3902" s="3">
        <v>3068.65</v>
      </c>
      <c r="M3902" s="3">
        <v>6137.3</v>
      </c>
      <c r="N3902" s="3">
        <v>4771.45</v>
      </c>
      <c r="O3902" s="3">
        <v>1365.85</v>
      </c>
      <c r="P3902" s="3" t="s">
        <v>26</v>
      </c>
    </row>
    <row r="3903" spans="1:16" x14ac:dyDescent="0.35">
      <c r="A3903" s="3" t="s">
        <v>5340</v>
      </c>
      <c r="B3903" s="3" t="s">
        <v>236</v>
      </c>
      <c r="C3903" s="3" t="s">
        <v>18</v>
      </c>
      <c r="D3903" s="3" t="s">
        <v>19</v>
      </c>
      <c r="E3903" s="3" t="s">
        <v>199</v>
      </c>
      <c r="F3903" s="3" t="s">
        <v>200</v>
      </c>
      <c r="G3903" s="3" t="s">
        <v>22</v>
      </c>
      <c r="H3903" s="3" t="s">
        <v>23</v>
      </c>
      <c r="I3903" s="3" t="s">
        <v>758</v>
      </c>
      <c r="J3903" s="3" t="s">
        <v>106</v>
      </c>
      <c r="K3903" s="3">
        <v>7</v>
      </c>
      <c r="L3903" s="3">
        <v>3821.12</v>
      </c>
      <c r="M3903" s="3">
        <v>26747.84</v>
      </c>
      <c r="N3903" s="3">
        <v>15780</v>
      </c>
      <c r="O3903" s="3">
        <v>10967.84</v>
      </c>
      <c r="P3903" s="3" t="s">
        <v>34</v>
      </c>
    </row>
    <row r="3904" spans="1:16" x14ac:dyDescent="0.35">
      <c r="A3904" s="3" t="s">
        <v>5341</v>
      </c>
      <c r="B3904" s="3" t="s">
        <v>1269</v>
      </c>
      <c r="C3904" s="3" t="s">
        <v>57</v>
      </c>
      <c r="D3904" s="3" t="s">
        <v>58</v>
      </c>
      <c r="E3904" s="3" t="s">
        <v>59</v>
      </c>
      <c r="F3904" s="3" t="s">
        <v>60</v>
      </c>
      <c r="G3904" s="3" t="s">
        <v>41</v>
      </c>
      <c r="H3904" s="3" t="s">
        <v>61</v>
      </c>
      <c r="I3904" s="3" t="s">
        <v>1549</v>
      </c>
      <c r="J3904" s="3" t="s">
        <v>217</v>
      </c>
      <c r="K3904" s="3">
        <v>6</v>
      </c>
      <c r="L3904" s="3">
        <v>2516.8200000000002</v>
      </c>
      <c r="M3904" s="3">
        <v>15100.92</v>
      </c>
      <c r="N3904" s="3">
        <v>9588.6</v>
      </c>
      <c r="O3904" s="3">
        <v>5512.32</v>
      </c>
      <c r="P3904" s="3" t="s">
        <v>69</v>
      </c>
    </row>
    <row r="3905" spans="1:16" x14ac:dyDescent="0.35">
      <c r="A3905" s="3" t="s">
        <v>5342</v>
      </c>
      <c r="B3905" s="3" t="s">
        <v>816</v>
      </c>
      <c r="C3905" s="3" t="s">
        <v>57</v>
      </c>
      <c r="D3905" s="3" t="s">
        <v>38</v>
      </c>
      <c r="E3905" s="3" t="s">
        <v>104</v>
      </c>
      <c r="F3905" s="3" t="s">
        <v>104</v>
      </c>
      <c r="G3905" s="3" t="s">
        <v>30</v>
      </c>
      <c r="H3905" s="3" t="s">
        <v>67</v>
      </c>
      <c r="I3905" s="3" t="s">
        <v>2769</v>
      </c>
      <c r="J3905" s="3" t="s">
        <v>79</v>
      </c>
      <c r="K3905" s="3">
        <v>6</v>
      </c>
      <c r="L3905" s="3">
        <v>9559.27</v>
      </c>
      <c r="M3905" s="3">
        <v>57355.62</v>
      </c>
      <c r="N3905" s="3">
        <v>45671.6</v>
      </c>
      <c r="O3905" s="3">
        <v>11684.02</v>
      </c>
      <c r="P3905" s="3" t="s">
        <v>45</v>
      </c>
    </row>
    <row r="3906" spans="1:16" x14ac:dyDescent="0.35">
      <c r="A3906" s="3" t="s">
        <v>5343</v>
      </c>
      <c r="B3906" s="3" t="s">
        <v>330</v>
      </c>
      <c r="C3906" s="3" t="s">
        <v>18</v>
      </c>
      <c r="D3906" s="3" t="s">
        <v>58</v>
      </c>
      <c r="E3906" s="3" t="s">
        <v>59</v>
      </c>
      <c r="F3906" s="3" t="s">
        <v>60</v>
      </c>
      <c r="G3906" s="3" t="s">
        <v>30</v>
      </c>
      <c r="H3906" s="3" t="s">
        <v>31</v>
      </c>
      <c r="I3906" s="3" t="s">
        <v>1397</v>
      </c>
      <c r="J3906" s="3" t="s">
        <v>131</v>
      </c>
      <c r="K3906" s="3">
        <v>7</v>
      </c>
      <c r="L3906" s="3">
        <v>3060.33</v>
      </c>
      <c r="M3906" s="3">
        <v>21422.31</v>
      </c>
      <c r="N3906" s="3">
        <v>12711.34</v>
      </c>
      <c r="O3906" s="3">
        <v>8710.9699999999993</v>
      </c>
      <c r="P3906" s="3" t="s">
        <v>26</v>
      </c>
    </row>
    <row r="3907" spans="1:16" x14ac:dyDescent="0.35">
      <c r="A3907" s="3" t="s">
        <v>5344</v>
      </c>
      <c r="B3907" s="3" t="s">
        <v>974</v>
      </c>
      <c r="C3907" s="3" t="s">
        <v>29</v>
      </c>
      <c r="D3907" s="3" t="s">
        <v>38</v>
      </c>
      <c r="E3907" s="3" t="s">
        <v>104</v>
      </c>
      <c r="F3907" s="3" t="s">
        <v>104</v>
      </c>
      <c r="G3907" s="3" t="s">
        <v>41</v>
      </c>
      <c r="H3907" s="3" t="s">
        <v>138</v>
      </c>
      <c r="I3907" s="3" t="s">
        <v>157</v>
      </c>
      <c r="J3907" s="3" t="s">
        <v>161</v>
      </c>
      <c r="K3907" s="3">
        <v>2</v>
      </c>
      <c r="L3907" s="3">
        <v>16513.68</v>
      </c>
      <c r="M3907" s="3">
        <v>33027.360000000001</v>
      </c>
      <c r="N3907" s="3">
        <v>28393.11</v>
      </c>
      <c r="O3907" s="3">
        <v>4634.25</v>
      </c>
      <c r="P3907" s="3" t="s">
        <v>45</v>
      </c>
    </row>
    <row r="3908" spans="1:16" x14ac:dyDescent="0.35">
      <c r="A3908" s="3" t="s">
        <v>5345</v>
      </c>
      <c r="B3908" s="3" t="s">
        <v>336</v>
      </c>
      <c r="C3908" s="3" t="s">
        <v>29</v>
      </c>
      <c r="D3908" s="3" t="s">
        <v>58</v>
      </c>
      <c r="E3908" s="3" t="s">
        <v>65</v>
      </c>
      <c r="F3908" s="3" t="s">
        <v>66</v>
      </c>
      <c r="G3908" s="3" t="s">
        <v>30</v>
      </c>
      <c r="H3908" s="3" t="s">
        <v>73</v>
      </c>
      <c r="I3908" s="3" t="s">
        <v>826</v>
      </c>
      <c r="J3908" s="3" t="s">
        <v>33</v>
      </c>
      <c r="K3908" s="3">
        <v>1</v>
      </c>
      <c r="L3908" s="3">
        <v>3285.63</v>
      </c>
      <c r="M3908" s="3">
        <v>3285.63</v>
      </c>
      <c r="N3908" s="3">
        <v>2319.2800000000002</v>
      </c>
      <c r="O3908" s="3">
        <v>966.35</v>
      </c>
      <c r="P3908" s="3" t="s">
        <v>34</v>
      </c>
    </row>
    <row r="3909" spans="1:16" x14ac:dyDescent="0.35">
      <c r="A3909" s="3" t="s">
        <v>5346</v>
      </c>
      <c r="B3909" s="3" t="s">
        <v>1461</v>
      </c>
      <c r="C3909" s="3" t="s">
        <v>72</v>
      </c>
      <c r="D3909" s="3" t="s">
        <v>19</v>
      </c>
      <c r="E3909" s="3" t="s">
        <v>20</v>
      </c>
      <c r="F3909" s="3" t="s">
        <v>21</v>
      </c>
      <c r="G3909" s="3" t="s">
        <v>30</v>
      </c>
      <c r="H3909" s="3" t="s">
        <v>67</v>
      </c>
      <c r="I3909" s="3" t="s">
        <v>2329</v>
      </c>
      <c r="J3909" s="3" t="s">
        <v>25</v>
      </c>
      <c r="K3909" s="3">
        <v>8</v>
      </c>
      <c r="L3909" s="3">
        <v>9878.5499999999993</v>
      </c>
      <c r="M3909" s="3">
        <v>79028.399999999994</v>
      </c>
      <c r="N3909" s="3">
        <v>58175.81</v>
      </c>
      <c r="O3909" s="3">
        <v>20852.59</v>
      </c>
      <c r="P3909" s="3" t="s">
        <v>86</v>
      </c>
    </row>
    <row r="3910" spans="1:16" x14ac:dyDescent="0.35">
      <c r="A3910" s="3" t="s">
        <v>5347</v>
      </c>
      <c r="B3910" s="3" t="s">
        <v>767</v>
      </c>
      <c r="C3910" s="3" t="s">
        <v>82</v>
      </c>
      <c r="D3910" s="3" t="s">
        <v>19</v>
      </c>
      <c r="E3910" s="3" t="s">
        <v>20</v>
      </c>
      <c r="F3910" s="3" t="s">
        <v>21</v>
      </c>
      <c r="G3910" s="3" t="s">
        <v>41</v>
      </c>
      <c r="H3910" s="3" t="s">
        <v>42</v>
      </c>
      <c r="I3910" s="3" t="s">
        <v>1241</v>
      </c>
      <c r="J3910" s="3" t="s">
        <v>161</v>
      </c>
      <c r="K3910" s="3">
        <v>1</v>
      </c>
      <c r="L3910" s="3">
        <v>45752.28</v>
      </c>
      <c r="M3910" s="3">
        <v>45752.28</v>
      </c>
      <c r="N3910" s="3">
        <v>33498.199999999997</v>
      </c>
      <c r="O3910" s="3">
        <v>12254.08</v>
      </c>
      <c r="P3910" s="3" t="s">
        <v>34</v>
      </c>
    </row>
    <row r="3911" spans="1:16" x14ac:dyDescent="0.35">
      <c r="A3911" s="3" t="s">
        <v>5348</v>
      </c>
      <c r="B3911" s="3" t="s">
        <v>351</v>
      </c>
      <c r="C3911" s="3" t="s">
        <v>114</v>
      </c>
      <c r="D3911" s="3" t="s">
        <v>38</v>
      </c>
      <c r="E3911" s="3" t="s">
        <v>39</v>
      </c>
      <c r="F3911" s="3" t="s">
        <v>40</v>
      </c>
      <c r="G3911" s="3" t="s">
        <v>51</v>
      </c>
      <c r="H3911" s="3" t="s">
        <v>52</v>
      </c>
      <c r="I3911" s="3" t="s">
        <v>1728</v>
      </c>
      <c r="J3911" s="3" t="s">
        <v>188</v>
      </c>
      <c r="K3911" s="3">
        <v>8</v>
      </c>
      <c r="L3911" s="3">
        <v>23.98</v>
      </c>
      <c r="M3911" s="3">
        <v>191.84</v>
      </c>
      <c r="N3911" s="3">
        <v>83.3</v>
      </c>
      <c r="O3911" s="3">
        <v>108.54</v>
      </c>
      <c r="P3911" s="3" t="s">
        <v>34</v>
      </c>
    </row>
    <row r="3912" spans="1:16" x14ac:dyDescent="0.35">
      <c r="A3912" s="3" t="s">
        <v>5349</v>
      </c>
      <c r="B3912" s="3" t="s">
        <v>1308</v>
      </c>
      <c r="C3912" s="3" t="s">
        <v>48</v>
      </c>
      <c r="D3912" s="3" t="s">
        <v>90</v>
      </c>
      <c r="E3912" s="3" t="s">
        <v>97</v>
      </c>
      <c r="F3912" s="3" t="s">
        <v>98</v>
      </c>
      <c r="G3912" s="3" t="s">
        <v>41</v>
      </c>
      <c r="H3912" s="3" t="s">
        <v>138</v>
      </c>
      <c r="I3912" s="3" t="s">
        <v>972</v>
      </c>
      <c r="J3912" s="3" t="s">
        <v>154</v>
      </c>
      <c r="K3912" s="3">
        <v>6</v>
      </c>
      <c r="L3912" s="3">
        <v>16568.400000000001</v>
      </c>
      <c r="M3912" s="3">
        <v>99410.4</v>
      </c>
      <c r="N3912" s="3">
        <v>82274.19</v>
      </c>
      <c r="O3912" s="3">
        <v>17136.21</v>
      </c>
      <c r="P3912" s="3" t="s">
        <v>34</v>
      </c>
    </row>
    <row r="3913" spans="1:16" x14ac:dyDescent="0.35">
      <c r="A3913" s="3" t="s">
        <v>5350</v>
      </c>
      <c r="B3913" s="3" t="s">
        <v>502</v>
      </c>
      <c r="C3913" s="3" t="s">
        <v>48</v>
      </c>
      <c r="D3913" s="3" t="s">
        <v>90</v>
      </c>
      <c r="E3913" s="3" t="s">
        <v>91</v>
      </c>
      <c r="F3913" s="3" t="s">
        <v>92</v>
      </c>
      <c r="G3913" s="3" t="s">
        <v>41</v>
      </c>
      <c r="H3913" s="3" t="s">
        <v>61</v>
      </c>
      <c r="I3913" s="3" t="s">
        <v>637</v>
      </c>
      <c r="J3913" s="3" t="s">
        <v>25</v>
      </c>
      <c r="K3913" s="3">
        <v>7</v>
      </c>
      <c r="L3913" s="3">
        <v>2332.1999999999998</v>
      </c>
      <c r="M3913" s="3">
        <v>16325.4</v>
      </c>
      <c r="N3913" s="3">
        <v>11026.04</v>
      </c>
      <c r="O3913" s="3">
        <v>5299.36</v>
      </c>
      <c r="P3913" s="3" t="s">
        <v>69</v>
      </c>
    </row>
    <row r="3914" spans="1:16" x14ac:dyDescent="0.35">
      <c r="A3914" s="3" t="s">
        <v>5351</v>
      </c>
      <c r="B3914" s="3" t="s">
        <v>987</v>
      </c>
      <c r="C3914" s="3" t="s">
        <v>82</v>
      </c>
      <c r="D3914" s="3" t="s">
        <v>58</v>
      </c>
      <c r="E3914" s="3" t="s">
        <v>59</v>
      </c>
      <c r="F3914" s="3" t="s">
        <v>60</v>
      </c>
      <c r="G3914" s="3" t="s">
        <v>51</v>
      </c>
      <c r="H3914" s="3" t="s">
        <v>52</v>
      </c>
      <c r="I3914" s="3" t="s">
        <v>2233</v>
      </c>
      <c r="J3914" s="3" t="s">
        <v>79</v>
      </c>
      <c r="K3914" s="3">
        <v>3</v>
      </c>
      <c r="L3914" s="3">
        <v>26.54</v>
      </c>
      <c r="M3914" s="3">
        <v>79.62</v>
      </c>
      <c r="N3914" s="3">
        <v>30.51</v>
      </c>
      <c r="O3914" s="3">
        <v>49.11</v>
      </c>
      <c r="P3914" s="3" t="s">
        <v>69</v>
      </c>
    </row>
    <row r="3915" spans="1:16" x14ac:dyDescent="0.35">
      <c r="A3915" s="3" t="s">
        <v>5352</v>
      </c>
      <c r="B3915" s="3" t="s">
        <v>1306</v>
      </c>
      <c r="C3915" s="3" t="s">
        <v>57</v>
      </c>
      <c r="D3915" s="3" t="s">
        <v>38</v>
      </c>
      <c r="E3915" s="3" t="s">
        <v>109</v>
      </c>
      <c r="F3915" s="3" t="s">
        <v>110</v>
      </c>
      <c r="G3915" s="3" t="s">
        <v>51</v>
      </c>
      <c r="H3915" s="3" t="s">
        <v>77</v>
      </c>
      <c r="I3915" s="3" t="s">
        <v>2349</v>
      </c>
      <c r="J3915" s="3" t="s">
        <v>217</v>
      </c>
      <c r="K3915" s="3">
        <v>5</v>
      </c>
      <c r="L3915" s="3">
        <v>12106.63</v>
      </c>
      <c r="M3915" s="3">
        <v>60533.15</v>
      </c>
      <c r="N3915" s="3">
        <v>45816.34</v>
      </c>
      <c r="O3915" s="3">
        <v>14716.81</v>
      </c>
      <c r="P3915" s="3" t="s">
        <v>26</v>
      </c>
    </row>
    <row r="3916" spans="1:16" x14ac:dyDescent="0.35">
      <c r="A3916" s="3" t="s">
        <v>5353</v>
      </c>
      <c r="B3916" s="3" t="s">
        <v>1182</v>
      </c>
      <c r="C3916" s="3" t="s">
        <v>48</v>
      </c>
      <c r="D3916" s="3" t="s">
        <v>90</v>
      </c>
      <c r="E3916" s="3" t="s">
        <v>97</v>
      </c>
      <c r="F3916" s="3" t="s">
        <v>98</v>
      </c>
      <c r="G3916" s="3" t="s">
        <v>51</v>
      </c>
      <c r="H3916" s="3" t="s">
        <v>145</v>
      </c>
      <c r="I3916" s="3" t="s">
        <v>4102</v>
      </c>
      <c r="J3916" s="3" t="s">
        <v>161</v>
      </c>
      <c r="K3916" s="3">
        <v>3</v>
      </c>
      <c r="L3916" s="3">
        <v>128.19999999999999</v>
      </c>
      <c r="M3916" s="3">
        <v>384.6</v>
      </c>
      <c r="N3916" s="3">
        <v>182.33</v>
      </c>
      <c r="O3916" s="3">
        <v>202.27</v>
      </c>
      <c r="P3916" s="3" t="s">
        <v>45</v>
      </c>
    </row>
    <row r="3917" spans="1:16" x14ac:dyDescent="0.35">
      <c r="A3917" s="3" t="s">
        <v>5354</v>
      </c>
      <c r="B3917" s="3" t="s">
        <v>1098</v>
      </c>
      <c r="C3917" s="3" t="s">
        <v>57</v>
      </c>
      <c r="D3917" s="3" t="s">
        <v>90</v>
      </c>
      <c r="E3917" s="3" t="s">
        <v>97</v>
      </c>
      <c r="F3917" s="3" t="s">
        <v>98</v>
      </c>
      <c r="G3917" s="3" t="s">
        <v>41</v>
      </c>
      <c r="H3917" s="3" t="s">
        <v>138</v>
      </c>
      <c r="I3917" s="3" t="s">
        <v>280</v>
      </c>
      <c r="J3917" s="3" t="s">
        <v>79</v>
      </c>
      <c r="K3917" s="3">
        <v>8</v>
      </c>
      <c r="L3917" s="3">
        <v>16211.13</v>
      </c>
      <c r="M3917" s="3">
        <v>129689.04</v>
      </c>
      <c r="N3917" s="3">
        <v>114500.71</v>
      </c>
      <c r="O3917" s="3">
        <v>15188.33</v>
      </c>
      <c r="P3917" s="3" t="s">
        <v>45</v>
      </c>
    </row>
    <row r="3918" spans="1:16" x14ac:dyDescent="0.35">
      <c r="A3918" s="3" t="s">
        <v>5355</v>
      </c>
      <c r="B3918" s="3" t="s">
        <v>1314</v>
      </c>
      <c r="C3918" s="3" t="s">
        <v>48</v>
      </c>
      <c r="D3918" s="3" t="s">
        <v>58</v>
      </c>
      <c r="E3918" s="3" t="s">
        <v>65</v>
      </c>
      <c r="F3918" s="3" t="s">
        <v>66</v>
      </c>
      <c r="G3918" s="3" t="s">
        <v>51</v>
      </c>
      <c r="H3918" s="3" t="s">
        <v>145</v>
      </c>
      <c r="I3918" s="3" t="s">
        <v>512</v>
      </c>
      <c r="J3918" s="3" t="s">
        <v>161</v>
      </c>
      <c r="K3918" s="3">
        <v>7</v>
      </c>
      <c r="L3918" s="3">
        <v>112.74</v>
      </c>
      <c r="M3918" s="3">
        <v>789.18</v>
      </c>
      <c r="N3918" s="3">
        <v>438.65</v>
      </c>
      <c r="O3918" s="3">
        <v>350.53</v>
      </c>
      <c r="P3918" s="3" t="s">
        <v>69</v>
      </c>
    </row>
    <row r="3919" spans="1:16" x14ac:dyDescent="0.35">
      <c r="A3919" s="3" t="s">
        <v>5356</v>
      </c>
      <c r="B3919" s="3" t="s">
        <v>1092</v>
      </c>
      <c r="C3919" s="3" t="s">
        <v>103</v>
      </c>
      <c r="D3919" s="3" t="s">
        <v>90</v>
      </c>
      <c r="E3919" s="3" t="s">
        <v>97</v>
      </c>
      <c r="F3919" s="3" t="s">
        <v>98</v>
      </c>
      <c r="G3919" s="3" t="s">
        <v>51</v>
      </c>
      <c r="H3919" s="3" t="s">
        <v>77</v>
      </c>
      <c r="I3919" s="3" t="s">
        <v>2059</v>
      </c>
      <c r="J3919" s="3" t="s">
        <v>154</v>
      </c>
      <c r="K3919" s="3">
        <v>3</v>
      </c>
      <c r="L3919" s="3">
        <v>11605.93</v>
      </c>
      <c r="M3919" s="3">
        <v>34817.79</v>
      </c>
      <c r="N3919" s="3">
        <v>26007.77</v>
      </c>
      <c r="O3919" s="3">
        <v>8810.02</v>
      </c>
      <c r="P3919" s="3" t="s">
        <v>86</v>
      </c>
    </row>
    <row r="3920" spans="1:16" x14ac:dyDescent="0.35">
      <c r="A3920" s="3" t="s">
        <v>5357</v>
      </c>
      <c r="B3920" s="3" t="s">
        <v>318</v>
      </c>
      <c r="C3920" s="3" t="s">
        <v>37</v>
      </c>
      <c r="D3920" s="3" t="s">
        <v>19</v>
      </c>
      <c r="E3920" s="3" t="s">
        <v>20</v>
      </c>
      <c r="F3920" s="3" t="s">
        <v>21</v>
      </c>
      <c r="G3920" s="3" t="s">
        <v>22</v>
      </c>
      <c r="H3920" s="3" t="s">
        <v>23</v>
      </c>
      <c r="I3920" s="3" t="s">
        <v>461</v>
      </c>
      <c r="J3920" s="3" t="s">
        <v>44</v>
      </c>
      <c r="K3920" s="3">
        <v>2</v>
      </c>
      <c r="L3920" s="3">
        <v>3367.62</v>
      </c>
      <c r="M3920" s="3">
        <v>6735.24</v>
      </c>
      <c r="N3920" s="3">
        <v>4575.8</v>
      </c>
      <c r="O3920" s="3">
        <v>2159.44</v>
      </c>
      <c r="P3920" s="3" t="s">
        <v>34</v>
      </c>
    </row>
    <row r="3921" spans="1:16" x14ac:dyDescent="0.35">
      <c r="A3921" s="3" t="s">
        <v>5358</v>
      </c>
      <c r="B3921" s="3" t="s">
        <v>672</v>
      </c>
      <c r="C3921" s="3" t="s">
        <v>118</v>
      </c>
      <c r="D3921" s="3" t="s">
        <v>58</v>
      </c>
      <c r="E3921" s="3" t="s">
        <v>59</v>
      </c>
      <c r="F3921" s="3" t="s">
        <v>60</v>
      </c>
      <c r="G3921" s="3" t="s">
        <v>22</v>
      </c>
      <c r="H3921" s="3" t="s">
        <v>83</v>
      </c>
      <c r="I3921" s="3" t="s">
        <v>337</v>
      </c>
      <c r="J3921" s="3" t="s">
        <v>171</v>
      </c>
      <c r="K3921" s="3">
        <v>7</v>
      </c>
      <c r="L3921" s="3">
        <v>21914.44</v>
      </c>
      <c r="M3921" s="3">
        <v>153401.07999999999</v>
      </c>
      <c r="N3921" s="3">
        <v>124210.31</v>
      </c>
      <c r="O3921" s="3">
        <v>29190.77</v>
      </c>
      <c r="P3921" s="3" t="s">
        <v>26</v>
      </c>
    </row>
    <row r="3922" spans="1:16" x14ac:dyDescent="0.35">
      <c r="A3922" s="3" t="s">
        <v>5359</v>
      </c>
      <c r="B3922" s="3" t="s">
        <v>883</v>
      </c>
      <c r="C3922" s="3" t="s">
        <v>37</v>
      </c>
      <c r="D3922" s="3" t="s">
        <v>58</v>
      </c>
      <c r="E3922" s="3" t="s">
        <v>59</v>
      </c>
      <c r="F3922" s="3" t="s">
        <v>60</v>
      </c>
      <c r="G3922" s="3" t="s">
        <v>41</v>
      </c>
      <c r="H3922" s="3" t="s">
        <v>138</v>
      </c>
      <c r="I3922" s="3" t="s">
        <v>3227</v>
      </c>
      <c r="J3922" s="3" t="s">
        <v>106</v>
      </c>
      <c r="K3922" s="3">
        <v>1</v>
      </c>
      <c r="L3922" s="3">
        <v>19505.5</v>
      </c>
      <c r="M3922" s="3">
        <v>19505.5</v>
      </c>
      <c r="N3922" s="3">
        <v>14400.11</v>
      </c>
      <c r="O3922" s="3">
        <v>5105.3900000000003</v>
      </c>
      <c r="P3922" s="3" t="s">
        <v>86</v>
      </c>
    </row>
    <row r="3923" spans="1:16" x14ac:dyDescent="0.35">
      <c r="A3923" s="3" t="s">
        <v>5360</v>
      </c>
      <c r="B3923" s="3" t="s">
        <v>228</v>
      </c>
      <c r="C3923" s="3" t="s">
        <v>114</v>
      </c>
      <c r="D3923" s="3" t="s">
        <v>19</v>
      </c>
      <c r="E3923" s="3" t="s">
        <v>199</v>
      </c>
      <c r="F3923" s="3" t="s">
        <v>200</v>
      </c>
      <c r="G3923" s="3" t="s">
        <v>41</v>
      </c>
      <c r="H3923" s="3" t="s">
        <v>138</v>
      </c>
      <c r="I3923" s="3" t="s">
        <v>1153</v>
      </c>
      <c r="J3923" s="3" t="s">
        <v>171</v>
      </c>
      <c r="K3923" s="3">
        <v>1</v>
      </c>
      <c r="L3923" s="3">
        <v>17080.669999999998</v>
      </c>
      <c r="M3923" s="3">
        <v>17080.669999999998</v>
      </c>
      <c r="N3923" s="3">
        <v>13313.64</v>
      </c>
      <c r="O3923" s="3">
        <v>3767.03</v>
      </c>
      <c r="P3923" s="3" t="s">
        <v>34</v>
      </c>
    </row>
    <row r="3924" spans="1:16" x14ac:dyDescent="0.35">
      <c r="A3924" s="3" t="s">
        <v>5361</v>
      </c>
      <c r="B3924" s="3" t="s">
        <v>2365</v>
      </c>
      <c r="C3924" s="3" t="s">
        <v>57</v>
      </c>
      <c r="D3924" s="3" t="s">
        <v>38</v>
      </c>
      <c r="E3924" s="3" t="s">
        <v>39</v>
      </c>
      <c r="F3924" s="3" t="s">
        <v>40</v>
      </c>
      <c r="G3924" s="3" t="s">
        <v>41</v>
      </c>
      <c r="H3924" s="3" t="s">
        <v>61</v>
      </c>
      <c r="I3924" s="3" t="s">
        <v>584</v>
      </c>
      <c r="J3924" s="3" t="s">
        <v>171</v>
      </c>
      <c r="K3924" s="3">
        <v>7</v>
      </c>
      <c r="L3924" s="3">
        <v>2727.47</v>
      </c>
      <c r="M3924" s="3">
        <v>19092.29</v>
      </c>
      <c r="N3924" s="3">
        <v>11281.03</v>
      </c>
      <c r="O3924" s="3">
        <v>7811.26</v>
      </c>
      <c r="P3924" s="3" t="s">
        <v>86</v>
      </c>
    </row>
    <row r="3925" spans="1:16" x14ac:dyDescent="0.35">
      <c r="A3925" s="3" t="s">
        <v>5362</v>
      </c>
      <c r="B3925" s="3" t="s">
        <v>96</v>
      </c>
      <c r="C3925" s="3" t="s">
        <v>48</v>
      </c>
      <c r="D3925" s="3" t="s">
        <v>19</v>
      </c>
      <c r="E3925" s="3" t="s">
        <v>20</v>
      </c>
      <c r="F3925" s="3" t="s">
        <v>21</v>
      </c>
      <c r="G3925" s="3" t="s">
        <v>22</v>
      </c>
      <c r="H3925" s="3" t="s">
        <v>93</v>
      </c>
      <c r="I3925" s="3" t="s">
        <v>115</v>
      </c>
      <c r="J3925" s="3" t="s">
        <v>85</v>
      </c>
      <c r="K3925" s="3">
        <v>2</v>
      </c>
      <c r="L3925" s="3">
        <v>6683.77</v>
      </c>
      <c r="M3925" s="3">
        <v>13367.54</v>
      </c>
      <c r="N3925" s="3">
        <v>9848.8799999999992</v>
      </c>
      <c r="O3925" s="3">
        <v>3518.66</v>
      </c>
      <c r="P3925" s="3" t="s">
        <v>34</v>
      </c>
    </row>
    <row r="3926" spans="1:16" x14ac:dyDescent="0.35">
      <c r="A3926" s="3" t="s">
        <v>5363</v>
      </c>
      <c r="B3926" s="3" t="s">
        <v>1385</v>
      </c>
      <c r="C3926" s="3" t="s">
        <v>29</v>
      </c>
      <c r="D3926" s="3" t="s">
        <v>19</v>
      </c>
      <c r="E3926" s="3" t="s">
        <v>199</v>
      </c>
      <c r="F3926" s="3" t="s">
        <v>200</v>
      </c>
      <c r="G3926" s="3" t="s">
        <v>22</v>
      </c>
      <c r="H3926" s="3" t="s">
        <v>83</v>
      </c>
      <c r="I3926" s="3" t="s">
        <v>466</v>
      </c>
      <c r="J3926" s="3" t="s">
        <v>85</v>
      </c>
      <c r="K3926" s="3">
        <v>7</v>
      </c>
      <c r="L3926" s="3">
        <v>21851.52</v>
      </c>
      <c r="M3926" s="3">
        <v>152960.64000000001</v>
      </c>
      <c r="N3926" s="3">
        <v>124272.98</v>
      </c>
      <c r="O3926" s="3">
        <v>28687.66</v>
      </c>
      <c r="P3926" s="3" t="s">
        <v>34</v>
      </c>
    </row>
    <row r="3927" spans="1:16" x14ac:dyDescent="0.35">
      <c r="A3927" s="3" t="s">
        <v>5364</v>
      </c>
      <c r="B3927" s="3" t="s">
        <v>1276</v>
      </c>
      <c r="C3927" s="3" t="s">
        <v>37</v>
      </c>
      <c r="D3927" s="3" t="s">
        <v>38</v>
      </c>
      <c r="E3927" s="3" t="s">
        <v>39</v>
      </c>
      <c r="F3927" s="3" t="s">
        <v>40</v>
      </c>
      <c r="G3927" s="3" t="s">
        <v>22</v>
      </c>
      <c r="H3927" s="3" t="s">
        <v>23</v>
      </c>
      <c r="I3927" s="3" t="s">
        <v>694</v>
      </c>
      <c r="J3927" s="3" t="s">
        <v>217</v>
      </c>
      <c r="K3927" s="3">
        <v>5</v>
      </c>
      <c r="L3927" s="3">
        <v>3301.43</v>
      </c>
      <c r="M3927" s="3">
        <v>16507.150000000001</v>
      </c>
      <c r="N3927" s="3">
        <v>10864.52</v>
      </c>
      <c r="O3927" s="3">
        <v>5642.63</v>
      </c>
      <c r="P3927" s="3" t="s">
        <v>69</v>
      </c>
    </row>
    <row r="3928" spans="1:16" x14ac:dyDescent="0.35">
      <c r="A3928" s="3" t="s">
        <v>5365</v>
      </c>
      <c r="B3928" s="3" t="s">
        <v>398</v>
      </c>
      <c r="C3928" s="3" t="s">
        <v>57</v>
      </c>
      <c r="D3928" s="3" t="s">
        <v>38</v>
      </c>
      <c r="E3928" s="3" t="s">
        <v>39</v>
      </c>
      <c r="F3928" s="3" t="s">
        <v>40</v>
      </c>
      <c r="G3928" s="3" t="s">
        <v>30</v>
      </c>
      <c r="H3928" s="3" t="s">
        <v>31</v>
      </c>
      <c r="I3928" s="3" t="s">
        <v>469</v>
      </c>
      <c r="J3928" s="3" t="s">
        <v>161</v>
      </c>
      <c r="K3928" s="3">
        <v>6</v>
      </c>
      <c r="L3928" s="3">
        <v>2895.16</v>
      </c>
      <c r="M3928" s="3">
        <v>17370.96</v>
      </c>
      <c r="N3928" s="3">
        <v>11673.26</v>
      </c>
      <c r="O3928" s="3">
        <v>5697.7</v>
      </c>
      <c r="P3928" s="3" t="s">
        <v>34</v>
      </c>
    </row>
    <row r="3929" spans="1:16" x14ac:dyDescent="0.35">
      <c r="A3929" s="3" t="s">
        <v>5366</v>
      </c>
      <c r="B3929" s="3" t="s">
        <v>1031</v>
      </c>
      <c r="C3929" s="3" t="s">
        <v>82</v>
      </c>
      <c r="D3929" s="3" t="s">
        <v>38</v>
      </c>
      <c r="E3929" s="3" t="s">
        <v>39</v>
      </c>
      <c r="F3929" s="3" t="s">
        <v>40</v>
      </c>
      <c r="G3929" s="3" t="s">
        <v>41</v>
      </c>
      <c r="H3929" s="3" t="s">
        <v>138</v>
      </c>
      <c r="I3929" s="3" t="s">
        <v>605</v>
      </c>
      <c r="J3929" s="3" t="s">
        <v>44</v>
      </c>
      <c r="K3929" s="3">
        <v>4</v>
      </c>
      <c r="L3929" s="3">
        <v>17872.09</v>
      </c>
      <c r="M3929" s="3">
        <v>71488.36</v>
      </c>
      <c r="N3929" s="3">
        <v>57149.79</v>
      </c>
      <c r="O3929" s="3">
        <v>14338.57</v>
      </c>
      <c r="P3929" s="3" t="s">
        <v>34</v>
      </c>
    </row>
    <row r="3930" spans="1:16" x14ac:dyDescent="0.35">
      <c r="A3930" s="3" t="s">
        <v>5367</v>
      </c>
      <c r="B3930" s="3" t="s">
        <v>717</v>
      </c>
      <c r="C3930" s="3" t="s">
        <v>114</v>
      </c>
      <c r="D3930" s="3" t="s">
        <v>38</v>
      </c>
      <c r="E3930" s="3" t="s">
        <v>109</v>
      </c>
      <c r="F3930" s="3" t="s">
        <v>110</v>
      </c>
      <c r="G3930" s="3" t="s">
        <v>30</v>
      </c>
      <c r="H3930" s="3" t="s">
        <v>67</v>
      </c>
      <c r="I3930" s="3" t="s">
        <v>1685</v>
      </c>
      <c r="J3930" s="3" t="s">
        <v>85</v>
      </c>
      <c r="K3930" s="3">
        <v>4</v>
      </c>
      <c r="L3930" s="3">
        <v>10040.89</v>
      </c>
      <c r="M3930" s="3">
        <v>40163.56</v>
      </c>
      <c r="N3930" s="3">
        <v>31055.69</v>
      </c>
      <c r="O3930" s="3">
        <v>9107.8700000000008</v>
      </c>
      <c r="P3930" s="3" t="s">
        <v>69</v>
      </c>
    </row>
    <row r="3931" spans="1:16" x14ac:dyDescent="0.35">
      <c r="A3931" s="3" t="s">
        <v>5368</v>
      </c>
      <c r="B3931" s="3" t="s">
        <v>1644</v>
      </c>
      <c r="C3931" s="3" t="s">
        <v>118</v>
      </c>
      <c r="D3931" s="3" t="s">
        <v>58</v>
      </c>
      <c r="E3931" s="3" t="s">
        <v>176</v>
      </c>
      <c r="F3931" s="3" t="s">
        <v>177</v>
      </c>
      <c r="G3931" s="3" t="s">
        <v>51</v>
      </c>
      <c r="H3931" s="3" t="s">
        <v>145</v>
      </c>
      <c r="I3931" s="3" t="s">
        <v>2550</v>
      </c>
      <c r="J3931" s="3" t="s">
        <v>217</v>
      </c>
      <c r="K3931" s="3">
        <v>7</v>
      </c>
      <c r="L3931" s="3">
        <v>116.21</v>
      </c>
      <c r="M3931" s="3">
        <v>813.47</v>
      </c>
      <c r="N3931" s="3">
        <v>423.06</v>
      </c>
      <c r="O3931" s="3">
        <v>390.41</v>
      </c>
      <c r="P3931" s="3" t="s">
        <v>45</v>
      </c>
    </row>
    <row r="3932" spans="1:16" x14ac:dyDescent="0.35">
      <c r="A3932" s="3" t="s">
        <v>5369</v>
      </c>
      <c r="B3932" s="3" t="s">
        <v>126</v>
      </c>
      <c r="C3932" s="3" t="s">
        <v>103</v>
      </c>
      <c r="D3932" s="3" t="s">
        <v>19</v>
      </c>
      <c r="E3932" s="3" t="s">
        <v>20</v>
      </c>
      <c r="F3932" s="3" t="s">
        <v>21</v>
      </c>
      <c r="G3932" s="3" t="s">
        <v>41</v>
      </c>
      <c r="H3932" s="3" t="s">
        <v>138</v>
      </c>
      <c r="I3932" s="3" t="s">
        <v>753</v>
      </c>
      <c r="J3932" s="3" t="s">
        <v>217</v>
      </c>
      <c r="K3932" s="3">
        <v>8</v>
      </c>
      <c r="L3932" s="3">
        <v>16423.740000000002</v>
      </c>
      <c r="M3932" s="3">
        <v>131389.92000000001</v>
      </c>
      <c r="N3932" s="3">
        <v>115687.14</v>
      </c>
      <c r="O3932" s="3">
        <v>15702.78</v>
      </c>
      <c r="P3932" s="3" t="s">
        <v>69</v>
      </c>
    </row>
    <row r="3933" spans="1:16" x14ac:dyDescent="0.35">
      <c r="A3933" s="3" t="s">
        <v>5370</v>
      </c>
      <c r="B3933" s="3" t="s">
        <v>555</v>
      </c>
      <c r="C3933" s="3" t="s">
        <v>137</v>
      </c>
      <c r="D3933" s="3" t="s">
        <v>19</v>
      </c>
      <c r="E3933" s="3" t="s">
        <v>20</v>
      </c>
      <c r="F3933" s="3" t="s">
        <v>21</v>
      </c>
      <c r="G3933" s="3" t="s">
        <v>51</v>
      </c>
      <c r="H3933" s="3" t="s">
        <v>145</v>
      </c>
      <c r="I3933" s="3" t="s">
        <v>4308</v>
      </c>
      <c r="J3933" s="3" t="s">
        <v>217</v>
      </c>
      <c r="K3933" s="3">
        <v>7</v>
      </c>
      <c r="L3933" s="3">
        <v>113.03</v>
      </c>
      <c r="M3933" s="3">
        <v>791.21</v>
      </c>
      <c r="N3933" s="3">
        <v>427.64</v>
      </c>
      <c r="O3933" s="3">
        <v>363.57</v>
      </c>
      <c r="P3933" s="3" t="s">
        <v>69</v>
      </c>
    </row>
    <row r="3934" spans="1:16" x14ac:dyDescent="0.35">
      <c r="A3934" s="3" t="s">
        <v>5371</v>
      </c>
      <c r="B3934" s="3" t="s">
        <v>886</v>
      </c>
      <c r="C3934" s="3" t="s">
        <v>48</v>
      </c>
      <c r="D3934" s="3" t="s">
        <v>58</v>
      </c>
      <c r="E3934" s="3" t="s">
        <v>59</v>
      </c>
      <c r="F3934" s="3" t="s">
        <v>60</v>
      </c>
      <c r="G3934" s="3" t="s">
        <v>41</v>
      </c>
      <c r="H3934" s="3" t="s">
        <v>42</v>
      </c>
      <c r="I3934" s="3" t="s">
        <v>2420</v>
      </c>
      <c r="J3934" s="3" t="s">
        <v>171</v>
      </c>
      <c r="K3934" s="3">
        <v>1</v>
      </c>
      <c r="L3934" s="3">
        <v>49019.48</v>
      </c>
      <c r="M3934" s="3">
        <v>49019.48</v>
      </c>
      <c r="N3934" s="3">
        <v>35810.76</v>
      </c>
      <c r="O3934" s="3">
        <v>13208.72</v>
      </c>
      <c r="P3934" s="3" t="s">
        <v>86</v>
      </c>
    </row>
    <row r="3935" spans="1:16" x14ac:dyDescent="0.35">
      <c r="A3935" s="3" t="s">
        <v>5372</v>
      </c>
      <c r="B3935" s="3" t="s">
        <v>840</v>
      </c>
      <c r="C3935" s="3" t="s">
        <v>57</v>
      </c>
      <c r="D3935" s="3" t="s">
        <v>90</v>
      </c>
      <c r="E3935" s="3" t="s">
        <v>91</v>
      </c>
      <c r="F3935" s="3" t="s">
        <v>92</v>
      </c>
      <c r="G3935" s="3" t="s">
        <v>22</v>
      </c>
      <c r="H3935" s="3" t="s">
        <v>93</v>
      </c>
      <c r="I3935" s="3" t="s">
        <v>337</v>
      </c>
      <c r="J3935" s="3" t="s">
        <v>131</v>
      </c>
      <c r="K3935" s="3">
        <v>4</v>
      </c>
      <c r="L3935" s="3">
        <v>6758.63</v>
      </c>
      <c r="M3935" s="3">
        <v>27034.52</v>
      </c>
      <c r="N3935" s="3">
        <v>19280.3</v>
      </c>
      <c r="O3935" s="3">
        <v>7754.22</v>
      </c>
      <c r="P3935" s="3" t="s">
        <v>34</v>
      </c>
    </row>
    <row r="3936" spans="1:16" x14ac:dyDescent="0.35">
      <c r="A3936" s="3" t="s">
        <v>5373</v>
      </c>
      <c r="B3936" s="3" t="s">
        <v>333</v>
      </c>
      <c r="C3936" s="3" t="s">
        <v>118</v>
      </c>
      <c r="D3936" s="3" t="s">
        <v>90</v>
      </c>
      <c r="E3936" s="3" t="s">
        <v>119</v>
      </c>
      <c r="F3936" s="3" t="s">
        <v>120</v>
      </c>
      <c r="G3936" s="3" t="s">
        <v>30</v>
      </c>
      <c r="H3936" s="3" t="s">
        <v>67</v>
      </c>
      <c r="I3936" s="3" t="s">
        <v>2703</v>
      </c>
      <c r="J3936" s="3" t="s">
        <v>79</v>
      </c>
      <c r="K3936" s="3">
        <v>7</v>
      </c>
      <c r="L3936" s="3">
        <v>8941.57</v>
      </c>
      <c r="M3936" s="3">
        <v>62590.99</v>
      </c>
      <c r="N3936" s="3">
        <v>52917.26</v>
      </c>
      <c r="O3936" s="3">
        <v>9673.73</v>
      </c>
      <c r="P3936" s="3" t="s">
        <v>69</v>
      </c>
    </row>
    <row r="3937" spans="1:16" x14ac:dyDescent="0.35">
      <c r="A3937" s="3" t="s">
        <v>5374</v>
      </c>
      <c r="B3937" s="3" t="s">
        <v>699</v>
      </c>
      <c r="C3937" s="3" t="s">
        <v>137</v>
      </c>
      <c r="D3937" s="3" t="s">
        <v>38</v>
      </c>
      <c r="E3937" s="3" t="s">
        <v>109</v>
      </c>
      <c r="F3937" s="3" t="s">
        <v>110</v>
      </c>
      <c r="G3937" s="3" t="s">
        <v>41</v>
      </c>
      <c r="H3937" s="3" t="s">
        <v>138</v>
      </c>
      <c r="I3937" s="3" t="s">
        <v>3313</v>
      </c>
      <c r="J3937" s="3" t="s">
        <v>171</v>
      </c>
      <c r="K3937" s="3">
        <v>8</v>
      </c>
      <c r="L3937" s="3">
        <v>18811.7</v>
      </c>
      <c r="M3937" s="3">
        <v>150493.6</v>
      </c>
      <c r="N3937" s="3">
        <v>108284.55</v>
      </c>
      <c r="O3937" s="3">
        <v>42209.05</v>
      </c>
      <c r="P3937" s="3" t="s">
        <v>45</v>
      </c>
    </row>
    <row r="3938" spans="1:16" x14ac:dyDescent="0.35">
      <c r="A3938" s="3" t="s">
        <v>5375</v>
      </c>
      <c r="B3938" s="3" t="s">
        <v>1308</v>
      </c>
      <c r="C3938" s="3" t="s">
        <v>48</v>
      </c>
      <c r="D3938" s="3" t="s">
        <v>90</v>
      </c>
      <c r="E3938" s="3" t="s">
        <v>91</v>
      </c>
      <c r="F3938" s="3" t="s">
        <v>92</v>
      </c>
      <c r="G3938" s="3" t="s">
        <v>51</v>
      </c>
      <c r="H3938" s="3" t="s">
        <v>52</v>
      </c>
      <c r="I3938" s="3" t="s">
        <v>896</v>
      </c>
      <c r="J3938" s="3" t="s">
        <v>171</v>
      </c>
      <c r="K3938" s="3">
        <v>2</v>
      </c>
      <c r="L3938" s="3">
        <v>25.71</v>
      </c>
      <c r="M3938" s="3">
        <v>51.42</v>
      </c>
      <c r="N3938" s="3">
        <v>19.22</v>
      </c>
      <c r="O3938" s="3">
        <v>32.200000000000003</v>
      </c>
      <c r="P3938" s="3" t="s">
        <v>45</v>
      </c>
    </row>
    <row r="3939" spans="1:16" x14ac:dyDescent="0.35">
      <c r="A3939" s="3" t="s">
        <v>5376</v>
      </c>
      <c r="B3939" s="3" t="s">
        <v>987</v>
      </c>
      <c r="C3939" s="3" t="s">
        <v>82</v>
      </c>
      <c r="D3939" s="3" t="s">
        <v>90</v>
      </c>
      <c r="E3939" s="3" t="s">
        <v>97</v>
      </c>
      <c r="F3939" s="3" t="s">
        <v>98</v>
      </c>
      <c r="G3939" s="3" t="s">
        <v>41</v>
      </c>
      <c r="H3939" s="3" t="s">
        <v>42</v>
      </c>
      <c r="I3939" s="3" t="s">
        <v>3199</v>
      </c>
      <c r="J3939" s="3" t="s">
        <v>54</v>
      </c>
      <c r="K3939" s="3">
        <v>3</v>
      </c>
      <c r="L3939" s="3">
        <v>49454.92</v>
      </c>
      <c r="M3939" s="3">
        <v>148364.76</v>
      </c>
      <c r="N3939" s="3">
        <v>100715.52</v>
      </c>
      <c r="O3939" s="3">
        <v>47649.24</v>
      </c>
      <c r="P3939" s="3" t="s">
        <v>34</v>
      </c>
    </row>
    <row r="3940" spans="1:16" x14ac:dyDescent="0.35">
      <c r="A3940" s="3" t="s">
        <v>5377</v>
      </c>
      <c r="B3940" s="3" t="s">
        <v>636</v>
      </c>
      <c r="C3940" s="3" t="s">
        <v>57</v>
      </c>
      <c r="D3940" s="3" t="s">
        <v>58</v>
      </c>
      <c r="E3940" s="3" t="s">
        <v>176</v>
      </c>
      <c r="F3940" s="3" t="s">
        <v>177</v>
      </c>
      <c r="G3940" s="3" t="s">
        <v>51</v>
      </c>
      <c r="H3940" s="3" t="s">
        <v>52</v>
      </c>
      <c r="I3940" s="3" t="s">
        <v>1744</v>
      </c>
      <c r="J3940" s="3" t="s">
        <v>147</v>
      </c>
      <c r="K3940" s="3">
        <v>1</v>
      </c>
      <c r="L3940" s="3">
        <v>26.72</v>
      </c>
      <c r="M3940" s="3">
        <v>26.72</v>
      </c>
      <c r="N3940" s="3">
        <v>9.76</v>
      </c>
      <c r="O3940" s="3">
        <v>16.96</v>
      </c>
      <c r="P3940" s="3" t="s">
        <v>34</v>
      </c>
    </row>
    <row r="3941" spans="1:16" x14ac:dyDescent="0.35">
      <c r="A3941" s="3" t="s">
        <v>5378</v>
      </c>
      <c r="B3941" s="3" t="s">
        <v>1935</v>
      </c>
      <c r="C3941" s="3" t="s">
        <v>72</v>
      </c>
      <c r="D3941" s="3" t="s">
        <v>90</v>
      </c>
      <c r="E3941" s="3" t="s">
        <v>97</v>
      </c>
      <c r="F3941" s="3" t="s">
        <v>98</v>
      </c>
      <c r="G3941" s="3" t="s">
        <v>41</v>
      </c>
      <c r="H3941" s="3" t="s">
        <v>42</v>
      </c>
      <c r="I3941" s="3" t="s">
        <v>2267</v>
      </c>
      <c r="J3941" s="3" t="s">
        <v>131</v>
      </c>
      <c r="K3941" s="3">
        <v>6</v>
      </c>
      <c r="L3941" s="3">
        <v>42884.87</v>
      </c>
      <c r="M3941" s="3">
        <v>257309.22</v>
      </c>
      <c r="N3941" s="3">
        <v>209754.4</v>
      </c>
      <c r="O3941" s="3">
        <v>47554.82</v>
      </c>
      <c r="P3941" s="3" t="s">
        <v>34</v>
      </c>
    </row>
    <row r="3942" spans="1:16" x14ac:dyDescent="0.35">
      <c r="A3942" s="3" t="s">
        <v>5379</v>
      </c>
      <c r="B3942" s="3" t="s">
        <v>1021</v>
      </c>
      <c r="C3942" s="3" t="s">
        <v>82</v>
      </c>
      <c r="D3942" s="3" t="s">
        <v>19</v>
      </c>
      <c r="E3942" s="3" t="s">
        <v>199</v>
      </c>
      <c r="F3942" s="3" t="s">
        <v>200</v>
      </c>
      <c r="G3942" s="3" t="s">
        <v>22</v>
      </c>
      <c r="H3942" s="3" t="s">
        <v>83</v>
      </c>
      <c r="I3942" s="3" t="s">
        <v>2485</v>
      </c>
      <c r="J3942" s="3" t="s">
        <v>100</v>
      </c>
      <c r="K3942" s="3">
        <v>8</v>
      </c>
      <c r="L3942" s="3">
        <v>22425.69</v>
      </c>
      <c r="M3942" s="3">
        <v>179405.52</v>
      </c>
      <c r="N3942" s="3">
        <v>140449.01</v>
      </c>
      <c r="O3942" s="3">
        <v>38956.51</v>
      </c>
      <c r="P3942" s="3" t="s">
        <v>45</v>
      </c>
    </row>
    <row r="3943" spans="1:16" x14ac:dyDescent="0.35">
      <c r="A3943" s="3" t="s">
        <v>5380</v>
      </c>
      <c r="B3943" s="3" t="s">
        <v>76</v>
      </c>
      <c r="C3943" s="3" t="s">
        <v>48</v>
      </c>
      <c r="D3943" s="3" t="s">
        <v>19</v>
      </c>
      <c r="E3943" s="3" t="s">
        <v>49</v>
      </c>
      <c r="F3943" s="3" t="s">
        <v>50</v>
      </c>
      <c r="G3943" s="3" t="s">
        <v>30</v>
      </c>
      <c r="H3943" s="3" t="s">
        <v>67</v>
      </c>
      <c r="I3943" s="3" t="s">
        <v>2074</v>
      </c>
      <c r="J3943" s="3" t="s">
        <v>85</v>
      </c>
      <c r="K3943" s="3">
        <v>1</v>
      </c>
      <c r="L3943" s="3">
        <v>10179.969999999999</v>
      </c>
      <c r="M3943" s="3">
        <v>10179.969999999999</v>
      </c>
      <c r="N3943" s="3">
        <v>7864.74</v>
      </c>
      <c r="O3943" s="3">
        <v>2315.23</v>
      </c>
      <c r="P3943" s="3" t="s">
        <v>45</v>
      </c>
    </row>
    <row r="3944" spans="1:16" x14ac:dyDescent="0.35">
      <c r="A3944" s="3" t="s">
        <v>5381</v>
      </c>
      <c r="B3944" s="3" t="s">
        <v>2969</v>
      </c>
      <c r="C3944" s="3" t="s">
        <v>137</v>
      </c>
      <c r="D3944" s="3" t="s">
        <v>90</v>
      </c>
      <c r="E3944" s="3" t="s">
        <v>119</v>
      </c>
      <c r="F3944" s="3" t="s">
        <v>120</v>
      </c>
      <c r="G3944" s="3" t="s">
        <v>30</v>
      </c>
      <c r="H3944" s="3" t="s">
        <v>31</v>
      </c>
      <c r="I3944" s="3" t="s">
        <v>1172</v>
      </c>
      <c r="J3944" s="3" t="s">
        <v>79</v>
      </c>
      <c r="K3944" s="3">
        <v>5</v>
      </c>
      <c r="L3944" s="3">
        <v>2675.14</v>
      </c>
      <c r="M3944" s="3">
        <v>13375.7</v>
      </c>
      <c r="N3944" s="3">
        <v>9063.8799999999992</v>
      </c>
      <c r="O3944" s="3">
        <v>4311.82</v>
      </c>
      <c r="P3944" s="3" t="s">
        <v>86</v>
      </c>
    </row>
    <row r="3945" spans="1:16" x14ac:dyDescent="0.35">
      <c r="A3945" s="3" t="s">
        <v>5382</v>
      </c>
      <c r="B3945" s="3" t="s">
        <v>1159</v>
      </c>
      <c r="C3945" s="3" t="s">
        <v>29</v>
      </c>
      <c r="D3945" s="3" t="s">
        <v>90</v>
      </c>
      <c r="E3945" s="3" t="s">
        <v>119</v>
      </c>
      <c r="F3945" s="3" t="s">
        <v>120</v>
      </c>
      <c r="G3945" s="3" t="s">
        <v>30</v>
      </c>
      <c r="H3945" s="3" t="s">
        <v>67</v>
      </c>
      <c r="I3945" s="3" t="s">
        <v>3177</v>
      </c>
      <c r="J3945" s="3" t="s">
        <v>106</v>
      </c>
      <c r="K3945" s="3">
        <v>5</v>
      </c>
      <c r="L3945" s="3">
        <v>9142.61</v>
      </c>
      <c r="M3945" s="3">
        <v>45713.05</v>
      </c>
      <c r="N3945" s="3">
        <v>37011.31</v>
      </c>
      <c r="O3945" s="3">
        <v>8701.74</v>
      </c>
      <c r="P3945" s="3" t="s">
        <v>69</v>
      </c>
    </row>
    <row r="3946" spans="1:16" x14ac:dyDescent="0.35">
      <c r="A3946" s="3" t="s">
        <v>5383</v>
      </c>
      <c r="B3946" s="3" t="s">
        <v>685</v>
      </c>
      <c r="C3946" s="3" t="s">
        <v>137</v>
      </c>
      <c r="D3946" s="3" t="s">
        <v>90</v>
      </c>
      <c r="E3946" s="3" t="s">
        <v>97</v>
      </c>
      <c r="F3946" s="3" t="s">
        <v>98</v>
      </c>
      <c r="G3946" s="3" t="s">
        <v>41</v>
      </c>
      <c r="H3946" s="3" t="s">
        <v>61</v>
      </c>
      <c r="I3946" s="3" t="s">
        <v>1131</v>
      </c>
      <c r="J3946" s="3" t="s">
        <v>217</v>
      </c>
      <c r="K3946" s="3">
        <v>1</v>
      </c>
      <c r="L3946" s="3">
        <v>2294.64</v>
      </c>
      <c r="M3946" s="3">
        <v>2294.64</v>
      </c>
      <c r="N3946" s="3">
        <v>1529.35</v>
      </c>
      <c r="O3946" s="3">
        <v>765.29</v>
      </c>
      <c r="P3946" s="3" t="s">
        <v>45</v>
      </c>
    </row>
    <row r="3947" spans="1:16" x14ac:dyDescent="0.35">
      <c r="A3947" s="3" t="s">
        <v>5384</v>
      </c>
      <c r="B3947" s="3" t="s">
        <v>765</v>
      </c>
      <c r="C3947" s="3" t="s">
        <v>57</v>
      </c>
      <c r="D3947" s="3" t="s">
        <v>19</v>
      </c>
      <c r="E3947" s="3" t="s">
        <v>49</v>
      </c>
      <c r="F3947" s="3" t="s">
        <v>50</v>
      </c>
      <c r="G3947" s="3" t="s">
        <v>30</v>
      </c>
      <c r="H3947" s="3" t="s">
        <v>73</v>
      </c>
      <c r="I3947" s="3" t="s">
        <v>325</v>
      </c>
      <c r="J3947" s="3" t="s">
        <v>106</v>
      </c>
      <c r="K3947" s="3">
        <v>6</v>
      </c>
      <c r="L3947" s="3">
        <v>3135.59</v>
      </c>
      <c r="M3947" s="3">
        <v>18813.54</v>
      </c>
      <c r="N3947" s="3">
        <v>15083.95</v>
      </c>
      <c r="O3947" s="3">
        <v>3729.59</v>
      </c>
      <c r="P3947" s="3" t="s">
        <v>26</v>
      </c>
    </row>
    <row r="3948" spans="1:16" x14ac:dyDescent="0.35">
      <c r="A3948" s="3" t="s">
        <v>5385</v>
      </c>
      <c r="B3948" s="3" t="s">
        <v>999</v>
      </c>
      <c r="C3948" s="3" t="s">
        <v>103</v>
      </c>
      <c r="D3948" s="3" t="s">
        <v>19</v>
      </c>
      <c r="E3948" s="3" t="s">
        <v>20</v>
      </c>
      <c r="F3948" s="3" t="s">
        <v>21</v>
      </c>
      <c r="G3948" s="3" t="s">
        <v>41</v>
      </c>
      <c r="H3948" s="3" t="s">
        <v>138</v>
      </c>
      <c r="I3948" s="3" t="s">
        <v>4392</v>
      </c>
      <c r="J3948" s="3" t="s">
        <v>154</v>
      </c>
      <c r="K3948" s="3">
        <v>3</v>
      </c>
      <c r="L3948" s="3">
        <v>19329.060000000001</v>
      </c>
      <c r="M3948" s="3">
        <v>57987.18</v>
      </c>
      <c r="N3948" s="3">
        <v>42905.56</v>
      </c>
      <c r="O3948" s="3">
        <v>15081.62</v>
      </c>
      <c r="P3948" s="3" t="s">
        <v>45</v>
      </c>
    </row>
    <row r="3949" spans="1:16" x14ac:dyDescent="0.35">
      <c r="A3949" s="3" t="s">
        <v>5386</v>
      </c>
      <c r="B3949" s="3" t="s">
        <v>183</v>
      </c>
      <c r="C3949" s="3" t="s">
        <v>114</v>
      </c>
      <c r="D3949" s="3" t="s">
        <v>58</v>
      </c>
      <c r="E3949" s="3" t="s">
        <v>65</v>
      </c>
      <c r="F3949" s="3" t="s">
        <v>66</v>
      </c>
      <c r="G3949" s="3" t="s">
        <v>22</v>
      </c>
      <c r="H3949" s="3" t="s">
        <v>23</v>
      </c>
      <c r="I3949" s="3" t="s">
        <v>1430</v>
      </c>
      <c r="J3949" s="3" t="s">
        <v>131</v>
      </c>
      <c r="K3949" s="3">
        <v>7</v>
      </c>
      <c r="L3949" s="3">
        <v>3191.45</v>
      </c>
      <c r="M3949" s="3">
        <v>22340.15</v>
      </c>
      <c r="N3949" s="3">
        <v>14669.5</v>
      </c>
      <c r="O3949" s="3">
        <v>7670.65</v>
      </c>
      <c r="P3949" s="3" t="s">
        <v>69</v>
      </c>
    </row>
    <row r="3950" spans="1:16" x14ac:dyDescent="0.35">
      <c r="A3950" s="3" t="s">
        <v>5387</v>
      </c>
      <c r="B3950" s="3" t="s">
        <v>449</v>
      </c>
      <c r="C3950" s="3" t="s">
        <v>37</v>
      </c>
      <c r="D3950" s="3" t="s">
        <v>90</v>
      </c>
      <c r="E3950" s="3" t="s">
        <v>91</v>
      </c>
      <c r="F3950" s="3" t="s">
        <v>92</v>
      </c>
      <c r="G3950" s="3" t="s">
        <v>22</v>
      </c>
      <c r="H3950" s="3" t="s">
        <v>93</v>
      </c>
      <c r="I3950" s="3" t="s">
        <v>2056</v>
      </c>
      <c r="J3950" s="3" t="s">
        <v>161</v>
      </c>
      <c r="K3950" s="3">
        <v>3</v>
      </c>
      <c r="L3950" s="3">
        <v>7523.23</v>
      </c>
      <c r="M3950" s="3">
        <v>22569.69</v>
      </c>
      <c r="N3950" s="3">
        <v>15424.38</v>
      </c>
      <c r="O3950" s="3">
        <v>7145.31</v>
      </c>
      <c r="P3950" s="3" t="s">
        <v>34</v>
      </c>
    </row>
    <row r="3951" spans="1:16" x14ac:dyDescent="0.35">
      <c r="A3951" s="3" t="s">
        <v>5388</v>
      </c>
      <c r="B3951" s="3" t="s">
        <v>336</v>
      </c>
      <c r="C3951" s="3" t="s">
        <v>29</v>
      </c>
      <c r="D3951" s="3" t="s">
        <v>38</v>
      </c>
      <c r="E3951" s="3" t="s">
        <v>109</v>
      </c>
      <c r="F3951" s="3" t="s">
        <v>110</v>
      </c>
      <c r="G3951" s="3" t="s">
        <v>41</v>
      </c>
      <c r="H3951" s="3" t="s">
        <v>138</v>
      </c>
      <c r="I3951" s="3" t="s">
        <v>1075</v>
      </c>
      <c r="J3951" s="3" t="s">
        <v>217</v>
      </c>
      <c r="K3951" s="3">
        <v>1</v>
      </c>
      <c r="L3951" s="3">
        <v>17591.349999999999</v>
      </c>
      <c r="M3951" s="3">
        <v>17591.349999999999</v>
      </c>
      <c r="N3951" s="3">
        <v>14176.2</v>
      </c>
      <c r="O3951" s="3">
        <v>3415.15</v>
      </c>
      <c r="P3951" s="3" t="s">
        <v>26</v>
      </c>
    </row>
    <row r="3952" spans="1:16" x14ac:dyDescent="0.35">
      <c r="A3952" s="3" t="s">
        <v>5389</v>
      </c>
      <c r="B3952" s="3" t="s">
        <v>877</v>
      </c>
      <c r="C3952" s="3" t="s">
        <v>114</v>
      </c>
      <c r="D3952" s="3" t="s">
        <v>19</v>
      </c>
      <c r="E3952" s="3" t="s">
        <v>199</v>
      </c>
      <c r="F3952" s="3" t="s">
        <v>200</v>
      </c>
      <c r="G3952" s="3" t="s">
        <v>22</v>
      </c>
      <c r="H3952" s="3" t="s">
        <v>23</v>
      </c>
      <c r="I3952" s="3" t="s">
        <v>2665</v>
      </c>
      <c r="J3952" s="3" t="s">
        <v>161</v>
      </c>
      <c r="K3952" s="3">
        <v>3</v>
      </c>
      <c r="L3952" s="3">
        <v>3278.21</v>
      </c>
      <c r="M3952" s="3">
        <v>9834.6299999999992</v>
      </c>
      <c r="N3952" s="3">
        <v>6909.87</v>
      </c>
      <c r="O3952" s="3">
        <v>2924.76</v>
      </c>
      <c r="P3952" s="3" t="s">
        <v>45</v>
      </c>
    </row>
    <row r="3953" spans="1:16" x14ac:dyDescent="0.35">
      <c r="A3953" s="3" t="s">
        <v>5390</v>
      </c>
      <c r="B3953" s="3" t="s">
        <v>219</v>
      </c>
      <c r="C3953" s="3" t="s">
        <v>72</v>
      </c>
      <c r="D3953" s="3" t="s">
        <v>19</v>
      </c>
      <c r="E3953" s="3" t="s">
        <v>199</v>
      </c>
      <c r="F3953" s="3" t="s">
        <v>200</v>
      </c>
      <c r="G3953" s="3" t="s">
        <v>22</v>
      </c>
      <c r="H3953" s="3" t="s">
        <v>23</v>
      </c>
      <c r="I3953" s="3" t="s">
        <v>1523</v>
      </c>
      <c r="J3953" s="3" t="s">
        <v>44</v>
      </c>
      <c r="K3953" s="3">
        <v>7</v>
      </c>
      <c r="L3953" s="3">
        <v>3481.99</v>
      </c>
      <c r="M3953" s="3">
        <v>24373.93</v>
      </c>
      <c r="N3953" s="3">
        <v>14924.68</v>
      </c>
      <c r="O3953" s="3">
        <v>9449.25</v>
      </c>
      <c r="P3953" s="3" t="s">
        <v>69</v>
      </c>
    </row>
    <row r="3954" spans="1:16" x14ac:dyDescent="0.35">
      <c r="A3954" s="3" t="s">
        <v>5391</v>
      </c>
      <c r="B3954" s="3" t="s">
        <v>1187</v>
      </c>
      <c r="C3954" s="3" t="s">
        <v>18</v>
      </c>
      <c r="D3954" s="3" t="s">
        <v>38</v>
      </c>
      <c r="E3954" s="3" t="s">
        <v>104</v>
      </c>
      <c r="F3954" s="3" t="s">
        <v>104</v>
      </c>
      <c r="G3954" s="3" t="s">
        <v>22</v>
      </c>
      <c r="H3954" s="3" t="s">
        <v>83</v>
      </c>
      <c r="I3954" s="3" t="s">
        <v>2304</v>
      </c>
      <c r="J3954" s="3" t="s">
        <v>54</v>
      </c>
      <c r="K3954" s="3">
        <v>1</v>
      </c>
      <c r="L3954" s="3">
        <v>23916.69</v>
      </c>
      <c r="M3954" s="3">
        <v>23916.69</v>
      </c>
      <c r="N3954" s="3">
        <v>17777.169999999998</v>
      </c>
      <c r="O3954" s="3">
        <v>6139.52</v>
      </c>
      <c r="P3954" s="3" t="s">
        <v>45</v>
      </c>
    </row>
    <row r="3955" spans="1:16" x14ac:dyDescent="0.35">
      <c r="A3955" s="3" t="s">
        <v>5392</v>
      </c>
      <c r="B3955" s="3" t="s">
        <v>1294</v>
      </c>
      <c r="C3955" s="3" t="s">
        <v>118</v>
      </c>
      <c r="D3955" s="3" t="s">
        <v>90</v>
      </c>
      <c r="E3955" s="3" t="s">
        <v>97</v>
      </c>
      <c r="F3955" s="3" t="s">
        <v>98</v>
      </c>
      <c r="G3955" s="3" t="s">
        <v>30</v>
      </c>
      <c r="H3955" s="3" t="s">
        <v>73</v>
      </c>
      <c r="I3955" s="3" t="s">
        <v>1977</v>
      </c>
      <c r="J3955" s="3" t="s">
        <v>106</v>
      </c>
      <c r="K3955" s="3">
        <v>4</v>
      </c>
      <c r="L3955" s="3">
        <v>3295.6</v>
      </c>
      <c r="M3955" s="3">
        <v>13182.4</v>
      </c>
      <c r="N3955" s="3">
        <v>9882.11</v>
      </c>
      <c r="O3955" s="3">
        <v>3300.29</v>
      </c>
      <c r="P3955" s="3" t="s">
        <v>34</v>
      </c>
    </row>
    <row r="3956" spans="1:16" x14ac:dyDescent="0.35">
      <c r="A3956" s="3" t="s">
        <v>5393</v>
      </c>
      <c r="B3956" s="3" t="s">
        <v>636</v>
      </c>
      <c r="C3956" s="3" t="s">
        <v>57</v>
      </c>
      <c r="D3956" s="3" t="s">
        <v>19</v>
      </c>
      <c r="E3956" s="3" t="s">
        <v>49</v>
      </c>
      <c r="F3956" s="3" t="s">
        <v>50</v>
      </c>
      <c r="G3956" s="3" t="s">
        <v>51</v>
      </c>
      <c r="H3956" s="3" t="s">
        <v>52</v>
      </c>
      <c r="I3956" s="3" t="s">
        <v>4102</v>
      </c>
      <c r="J3956" s="3" t="s">
        <v>131</v>
      </c>
      <c r="K3956" s="3">
        <v>3</v>
      </c>
      <c r="L3956" s="3">
        <v>22.52</v>
      </c>
      <c r="M3956" s="3">
        <v>67.56</v>
      </c>
      <c r="N3956" s="3">
        <v>30.21</v>
      </c>
      <c r="O3956" s="3">
        <v>37.35</v>
      </c>
      <c r="P3956" s="3" t="s">
        <v>34</v>
      </c>
    </row>
    <row r="3957" spans="1:16" x14ac:dyDescent="0.35">
      <c r="A3957" s="3" t="s">
        <v>5394</v>
      </c>
      <c r="B3957" s="3" t="s">
        <v>1383</v>
      </c>
      <c r="C3957" s="3" t="s">
        <v>18</v>
      </c>
      <c r="D3957" s="3" t="s">
        <v>38</v>
      </c>
      <c r="E3957" s="3" t="s">
        <v>104</v>
      </c>
      <c r="F3957" s="3" t="s">
        <v>104</v>
      </c>
      <c r="G3957" s="3" t="s">
        <v>41</v>
      </c>
      <c r="H3957" s="3" t="s">
        <v>42</v>
      </c>
      <c r="I3957" s="3" t="s">
        <v>1002</v>
      </c>
      <c r="J3957" s="3" t="s">
        <v>79</v>
      </c>
      <c r="K3957" s="3">
        <v>6</v>
      </c>
      <c r="L3957" s="3">
        <v>40535.269999999997</v>
      </c>
      <c r="M3957" s="3">
        <v>243211.62</v>
      </c>
      <c r="N3957" s="3">
        <v>202959.22</v>
      </c>
      <c r="O3957" s="3">
        <v>40252.400000000001</v>
      </c>
      <c r="P3957" s="3" t="s">
        <v>86</v>
      </c>
    </row>
    <row r="3958" spans="1:16" x14ac:dyDescent="0.35">
      <c r="A3958" s="3" t="s">
        <v>5395</v>
      </c>
      <c r="B3958" s="3" t="s">
        <v>236</v>
      </c>
      <c r="C3958" s="3" t="s">
        <v>18</v>
      </c>
      <c r="D3958" s="3" t="s">
        <v>58</v>
      </c>
      <c r="E3958" s="3" t="s">
        <v>59</v>
      </c>
      <c r="F3958" s="3" t="s">
        <v>60</v>
      </c>
      <c r="G3958" s="3" t="s">
        <v>51</v>
      </c>
      <c r="H3958" s="3" t="s">
        <v>52</v>
      </c>
      <c r="I3958" s="3" t="s">
        <v>2306</v>
      </c>
      <c r="J3958" s="3" t="s">
        <v>33</v>
      </c>
      <c r="K3958" s="3">
        <v>2</v>
      </c>
      <c r="L3958" s="3">
        <v>24.58</v>
      </c>
      <c r="M3958" s="3">
        <v>49.16</v>
      </c>
      <c r="N3958" s="3">
        <v>19.37</v>
      </c>
      <c r="O3958" s="3">
        <v>29.79</v>
      </c>
      <c r="P3958" s="3" t="s">
        <v>86</v>
      </c>
    </row>
    <row r="3959" spans="1:16" x14ac:dyDescent="0.35">
      <c r="A3959" s="3" t="s">
        <v>5396</v>
      </c>
      <c r="B3959" s="3" t="s">
        <v>583</v>
      </c>
      <c r="C3959" s="3" t="s">
        <v>89</v>
      </c>
      <c r="D3959" s="3" t="s">
        <v>90</v>
      </c>
      <c r="E3959" s="3" t="s">
        <v>91</v>
      </c>
      <c r="F3959" s="3" t="s">
        <v>92</v>
      </c>
      <c r="G3959" s="3" t="s">
        <v>51</v>
      </c>
      <c r="H3959" s="3" t="s">
        <v>52</v>
      </c>
      <c r="I3959" s="3" t="s">
        <v>2160</v>
      </c>
      <c r="J3959" s="3" t="s">
        <v>217</v>
      </c>
      <c r="K3959" s="3">
        <v>3</v>
      </c>
      <c r="L3959" s="3">
        <v>24.54</v>
      </c>
      <c r="M3959" s="3">
        <v>73.62</v>
      </c>
      <c r="N3959" s="3">
        <v>29.95</v>
      </c>
      <c r="O3959" s="3">
        <v>43.67</v>
      </c>
      <c r="P3959" s="3" t="s">
        <v>69</v>
      </c>
    </row>
    <row r="3960" spans="1:16" x14ac:dyDescent="0.35">
      <c r="A3960" s="3" t="s">
        <v>5397</v>
      </c>
      <c r="B3960" s="3" t="s">
        <v>225</v>
      </c>
      <c r="C3960" s="3" t="s">
        <v>89</v>
      </c>
      <c r="D3960" s="3" t="s">
        <v>90</v>
      </c>
      <c r="E3960" s="3" t="s">
        <v>97</v>
      </c>
      <c r="F3960" s="3" t="s">
        <v>98</v>
      </c>
      <c r="G3960" s="3" t="s">
        <v>51</v>
      </c>
      <c r="H3960" s="3" t="s">
        <v>77</v>
      </c>
      <c r="I3960" s="3" t="s">
        <v>24</v>
      </c>
      <c r="J3960" s="3" t="s">
        <v>131</v>
      </c>
      <c r="K3960" s="3">
        <v>8</v>
      </c>
      <c r="L3960" s="3">
        <v>11714.37</v>
      </c>
      <c r="M3960" s="3">
        <v>93714.96</v>
      </c>
      <c r="N3960" s="3">
        <v>69397.649999999994</v>
      </c>
      <c r="O3960" s="3">
        <v>24317.31</v>
      </c>
      <c r="P3960" s="3" t="s">
        <v>86</v>
      </c>
    </row>
    <row r="3961" spans="1:16" x14ac:dyDescent="0.35">
      <c r="A3961" s="3" t="s">
        <v>5398</v>
      </c>
      <c r="B3961" s="3" t="s">
        <v>310</v>
      </c>
      <c r="C3961" s="3" t="s">
        <v>37</v>
      </c>
      <c r="D3961" s="3" t="s">
        <v>58</v>
      </c>
      <c r="E3961" s="3" t="s">
        <v>176</v>
      </c>
      <c r="F3961" s="3" t="s">
        <v>177</v>
      </c>
      <c r="G3961" s="3" t="s">
        <v>22</v>
      </c>
      <c r="H3961" s="3" t="s">
        <v>83</v>
      </c>
      <c r="I3961" s="3" t="s">
        <v>2065</v>
      </c>
      <c r="J3961" s="3" t="s">
        <v>85</v>
      </c>
      <c r="K3961" s="3">
        <v>3</v>
      </c>
      <c r="L3961" s="3">
        <v>22285.15</v>
      </c>
      <c r="M3961" s="3">
        <v>66855.45</v>
      </c>
      <c r="N3961" s="3">
        <v>51188.42</v>
      </c>
      <c r="O3961" s="3">
        <v>15667.03</v>
      </c>
      <c r="P3961" s="3" t="s">
        <v>86</v>
      </c>
    </row>
    <row r="3962" spans="1:16" x14ac:dyDescent="0.35">
      <c r="A3962" s="3" t="s">
        <v>5399</v>
      </c>
      <c r="B3962" s="3" t="s">
        <v>370</v>
      </c>
      <c r="C3962" s="3" t="s">
        <v>137</v>
      </c>
      <c r="D3962" s="3" t="s">
        <v>38</v>
      </c>
      <c r="E3962" s="3" t="s">
        <v>39</v>
      </c>
      <c r="F3962" s="3" t="s">
        <v>40</v>
      </c>
      <c r="G3962" s="3" t="s">
        <v>51</v>
      </c>
      <c r="H3962" s="3" t="s">
        <v>77</v>
      </c>
      <c r="I3962" s="3" t="s">
        <v>1345</v>
      </c>
      <c r="J3962" s="3" t="s">
        <v>33</v>
      </c>
      <c r="K3962" s="3">
        <v>4</v>
      </c>
      <c r="L3962" s="3">
        <v>12455.69</v>
      </c>
      <c r="M3962" s="3">
        <v>49822.76</v>
      </c>
      <c r="N3962" s="3">
        <v>34506.81</v>
      </c>
      <c r="O3962" s="3">
        <v>15315.95</v>
      </c>
      <c r="P3962" s="3" t="s">
        <v>86</v>
      </c>
    </row>
    <row r="3963" spans="1:16" x14ac:dyDescent="0.35">
      <c r="A3963" s="3" t="s">
        <v>5400</v>
      </c>
      <c r="B3963" s="3" t="s">
        <v>927</v>
      </c>
      <c r="C3963" s="3" t="s">
        <v>57</v>
      </c>
      <c r="D3963" s="3" t="s">
        <v>58</v>
      </c>
      <c r="E3963" s="3" t="s">
        <v>59</v>
      </c>
      <c r="F3963" s="3" t="s">
        <v>60</v>
      </c>
      <c r="G3963" s="3" t="s">
        <v>30</v>
      </c>
      <c r="H3963" s="3" t="s">
        <v>31</v>
      </c>
      <c r="I3963" s="3" t="s">
        <v>1315</v>
      </c>
      <c r="J3963" s="3" t="s">
        <v>188</v>
      </c>
      <c r="K3963" s="3">
        <v>4</v>
      </c>
      <c r="L3963" s="3">
        <v>2878.94</v>
      </c>
      <c r="M3963" s="3">
        <v>11515.76</v>
      </c>
      <c r="N3963" s="3">
        <v>7307.52</v>
      </c>
      <c r="O3963" s="3">
        <v>4208.24</v>
      </c>
      <c r="P3963" s="3" t="s">
        <v>69</v>
      </c>
    </row>
    <row r="3964" spans="1:16" x14ac:dyDescent="0.35">
      <c r="A3964" s="3" t="s">
        <v>5401</v>
      </c>
      <c r="B3964" s="3" t="s">
        <v>2211</v>
      </c>
      <c r="C3964" s="3" t="s">
        <v>72</v>
      </c>
      <c r="D3964" s="3" t="s">
        <v>58</v>
      </c>
      <c r="E3964" s="3" t="s">
        <v>176</v>
      </c>
      <c r="F3964" s="3" t="s">
        <v>177</v>
      </c>
      <c r="G3964" s="3" t="s">
        <v>22</v>
      </c>
      <c r="H3964" s="3" t="s">
        <v>93</v>
      </c>
      <c r="I3964" s="3" t="s">
        <v>1325</v>
      </c>
      <c r="J3964" s="3" t="s">
        <v>79</v>
      </c>
      <c r="K3964" s="3">
        <v>6</v>
      </c>
      <c r="L3964" s="3">
        <v>7491.89</v>
      </c>
      <c r="M3964" s="3">
        <v>44951.34</v>
      </c>
      <c r="N3964" s="3">
        <v>29469.439999999999</v>
      </c>
      <c r="O3964" s="3">
        <v>15481.9</v>
      </c>
      <c r="P3964" s="3" t="s">
        <v>45</v>
      </c>
    </row>
    <row r="3965" spans="1:16" x14ac:dyDescent="0.35">
      <c r="A3965" s="3" t="s">
        <v>5402</v>
      </c>
      <c r="B3965" s="3" t="s">
        <v>798</v>
      </c>
      <c r="C3965" s="3" t="s">
        <v>18</v>
      </c>
      <c r="D3965" s="3" t="s">
        <v>90</v>
      </c>
      <c r="E3965" s="3" t="s">
        <v>119</v>
      </c>
      <c r="F3965" s="3" t="s">
        <v>120</v>
      </c>
      <c r="G3965" s="3" t="s">
        <v>51</v>
      </c>
      <c r="H3965" s="3" t="s">
        <v>77</v>
      </c>
      <c r="I3965" s="3" t="s">
        <v>1601</v>
      </c>
      <c r="J3965" s="3" t="s">
        <v>161</v>
      </c>
      <c r="K3965" s="3">
        <v>7</v>
      </c>
      <c r="L3965" s="3">
        <v>12997.01</v>
      </c>
      <c r="M3965" s="3">
        <v>90979.07</v>
      </c>
      <c r="N3965" s="3">
        <v>64191.58</v>
      </c>
      <c r="O3965" s="3">
        <v>26787.49</v>
      </c>
      <c r="P3965" s="3" t="s">
        <v>86</v>
      </c>
    </row>
    <row r="3966" spans="1:16" x14ac:dyDescent="0.35">
      <c r="A3966" s="3" t="s">
        <v>5403</v>
      </c>
      <c r="B3966" s="3" t="s">
        <v>1502</v>
      </c>
      <c r="C3966" s="3" t="s">
        <v>57</v>
      </c>
      <c r="D3966" s="3" t="s">
        <v>90</v>
      </c>
      <c r="E3966" s="3" t="s">
        <v>91</v>
      </c>
      <c r="F3966" s="3" t="s">
        <v>92</v>
      </c>
      <c r="G3966" s="3" t="s">
        <v>51</v>
      </c>
      <c r="H3966" s="3" t="s">
        <v>77</v>
      </c>
      <c r="I3966" s="3" t="s">
        <v>2925</v>
      </c>
      <c r="J3966" s="3" t="s">
        <v>100</v>
      </c>
      <c r="K3966" s="3">
        <v>8</v>
      </c>
      <c r="L3966" s="3">
        <v>13098.77</v>
      </c>
      <c r="M3966" s="3">
        <v>104790.16</v>
      </c>
      <c r="N3966" s="3">
        <v>72532.38</v>
      </c>
      <c r="O3966" s="3">
        <v>32257.78</v>
      </c>
      <c r="P3966" s="3" t="s">
        <v>45</v>
      </c>
    </row>
    <row r="3967" spans="1:16" x14ac:dyDescent="0.35">
      <c r="A3967" s="3" t="s">
        <v>5404</v>
      </c>
      <c r="B3967" s="3" t="s">
        <v>1136</v>
      </c>
      <c r="C3967" s="3" t="s">
        <v>118</v>
      </c>
      <c r="D3967" s="3" t="s">
        <v>38</v>
      </c>
      <c r="E3967" s="3" t="s">
        <v>109</v>
      </c>
      <c r="F3967" s="3" t="s">
        <v>110</v>
      </c>
      <c r="G3967" s="3" t="s">
        <v>51</v>
      </c>
      <c r="H3967" s="3" t="s">
        <v>77</v>
      </c>
      <c r="I3967" s="3" t="s">
        <v>1419</v>
      </c>
      <c r="J3967" s="3" t="s">
        <v>44</v>
      </c>
      <c r="K3967" s="3">
        <v>3</v>
      </c>
      <c r="L3967" s="3">
        <v>12917.51</v>
      </c>
      <c r="M3967" s="3">
        <v>38752.53</v>
      </c>
      <c r="N3967" s="3">
        <v>27481.14</v>
      </c>
      <c r="O3967" s="3">
        <v>11271.39</v>
      </c>
      <c r="P3967" s="3" t="s">
        <v>45</v>
      </c>
    </row>
    <row r="3968" spans="1:16" x14ac:dyDescent="0.35">
      <c r="A3968" s="3" t="s">
        <v>5405</v>
      </c>
      <c r="B3968" s="3" t="s">
        <v>452</v>
      </c>
      <c r="C3968" s="3" t="s">
        <v>114</v>
      </c>
      <c r="D3968" s="3" t="s">
        <v>90</v>
      </c>
      <c r="E3968" s="3" t="s">
        <v>119</v>
      </c>
      <c r="F3968" s="3" t="s">
        <v>120</v>
      </c>
      <c r="G3968" s="3" t="s">
        <v>22</v>
      </c>
      <c r="H3968" s="3" t="s">
        <v>93</v>
      </c>
      <c r="I3968" s="3" t="s">
        <v>2329</v>
      </c>
      <c r="J3968" s="3" t="s">
        <v>154</v>
      </c>
      <c r="K3968" s="3">
        <v>7</v>
      </c>
      <c r="L3968" s="3">
        <v>6908.95</v>
      </c>
      <c r="M3968" s="3">
        <v>48362.65</v>
      </c>
      <c r="N3968" s="3">
        <v>34360.769999999997</v>
      </c>
      <c r="O3968" s="3">
        <v>14001.88</v>
      </c>
      <c r="P3968" s="3" t="s">
        <v>34</v>
      </c>
    </row>
    <row r="3969" spans="1:16" x14ac:dyDescent="0.35">
      <c r="A3969" s="3" t="s">
        <v>5406</v>
      </c>
      <c r="B3969" s="3" t="s">
        <v>219</v>
      </c>
      <c r="C3969" s="3" t="s">
        <v>72</v>
      </c>
      <c r="D3969" s="3" t="s">
        <v>38</v>
      </c>
      <c r="E3969" s="3" t="s">
        <v>109</v>
      </c>
      <c r="F3969" s="3" t="s">
        <v>110</v>
      </c>
      <c r="G3969" s="3" t="s">
        <v>30</v>
      </c>
      <c r="H3969" s="3" t="s">
        <v>67</v>
      </c>
      <c r="I3969" s="3" t="s">
        <v>1573</v>
      </c>
      <c r="J3969" s="3" t="s">
        <v>33</v>
      </c>
      <c r="K3969" s="3">
        <v>6</v>
      </c>
      <c r="L3969" s="3">
        <v>8688.81</v>
      </c>
      <c r="M3969" s="3">
        <v>52132.86</v>
      </c>
      <c r="N3969" s="3">
        <v>44561.86</v>
      </c>
      <c r="O3969" s="3">
        <v>7571</v>
      </c>
      <c r="P3969" s="3" t="s">
        <v>34</v>
      </c>
    </row>
    <row r="3970" spans="1:16" x14ac:dyDescent="0.35">
      <c r="A3970" s="3" t="s">
        <v>5407</v>
      </c>
      <c r="B3970" s="3" t="s">
        <v>699</v>
      </c>
      <c r="C3970" s="3" t="s">
        <v>137</v>
      </c>
      <c r="D3970" s="3" t="s">
        <v>19</v>
      </c>
      <c r="E3970" s="3" t="s">
        <v>199</v>
      </c>
      <c r="F3970" s="3" t="s">
        <v>200</v>
      </c>
      <c r="G3970" s="3" t="s">
        <v>22</v>
      </c>
      <c r="H3970" s="3" t="s">
        <v>23</v>
      </c>
      <c r="I3970" s="3" t="s">
        <v>24</v>
      </c>
      <c r="J3970" s="3" t="s">
        <v>217</v>
      </c>
      <c r="K3970" s="3">
        <v>2</v>
      </c>
      <c r="L3970" s="3">
        <v>3829.48</v>
      </c>
      <c r="M3970" s="3">
        <v>7658.96</v>
      </c>
      <c r="N3970" s="3">
        <v>4479.46</v>
      </c>
      <c r="O3970" s="3">
        <v>3179.5</v>
      </c>
      <c r="P3970" s="3" t="s">
        <v>86</v>
      </c>
    </row>
    <row r="3971" spans="1:16" x14ac:dyDescent="0.35">
      <c r="A3971" s="3" t="s">
        <v>5408</v>
      </c>
      <c r="B3971" s="3" t="s">
        <v>310</v>
      </c>
      <c r="C3971" s="3" t="s">
        <v>37</v>
      </c>
      <c r="D3971" s="3" t="s">
        <v>90</v>
      </c>
      <c r="E3971" s="3" t="s">
        <v>97</v>
      </c>
      <c r="F3971" s="3" t="s">
        <v>98</v>
      </c>
      <c r="G3971" s="3" t="s">
        <v>51</v>
      </c>
      <c r="H3971" s="3" t="s">
        <v>145</v>
      </c>
      <c r="I3971" s="3" t="s">
        <v>4649</v>
      </c>
      <c r="J3971" s="3" t="s">
        <v>85</v>
      </c>
      <c r="K3971" s="3">
        <v>8</v>
      </c>
      <c r="L3971" s="3">
        <v>130.75</v>
      </c>
      <c r="M3971" s="3">
        <v>1046</v>
      </c>
      <c r="N3971" s="3">
        <v>465.92</v>
      </c>
      <c r="O3971" s="3">
        <v>580.08000000000004</v>
      </c>
      <c r="P3971" s="3" t="s">
        <v>86</v>
      </c>
    </row>
    <row r="3972" spans="1:16" x14ac:dyDescent="0.35">
      <c r="A3972" s="3" t="s">
        <v>5409</v>
      </c>
      <c r="B3972" s="3" t="s">
        <v>712</v>
      </c>
      <c r="C3972" s="3" t="s">
        <v>37</v>
      </c>
      <c r="D3972" s="3" t="s">
        <v>90</v>
      </c>
      <c r="E3972" s="3" t="s">
        <v>119</v>
      </c>
      <c r="F3972" s="3" t="s">
        <v>120</v>
      </c>
      <c r="G3972" s="3" t="s">
        <v>51</v>
      </c>
      <c r="H3972" s="3" t="s">
        <v>52</v>
      </c>
      <c r="I3972" s="3" t="s">
        <v>1573</v>
      </c>
      <c r="J3972" s="3" t="s">
        <v>25</v>
      </c>
      <c r="K3972" s="3">
        <v>4</v>
      </c>
      <c r="L3972" s="3">
        <v>24.46</v>
      </c>
      <c r="M3972" s="3">
        <v>97.84</v>
      </c>
      <c r="N3972" s="3">
        <v>41.21</v>
      </c>
      <c r="O3972" s="3">
        <v>56.63</v>
      </c>
      <c r="P3972" s="3" t="s">
        <v>69</v>
      </c>
    </row>
    <row r="3973" spans="1:16" x14ac:dyDescent="0.35">
      <c r="A3973" s="3" t="s">
        <v>5410</v>
      </c>
      <c r="B3973" s="3" t="s">
        <v>834</v>
      </c>
      <c r="C3973" s="3" t="s">
        <v>114</v>
      </c>
      <c r="D3973" s="3" t="s">
        <v>58</v>
      </c>
      <c r="E3973" s="3" t="s">
        <v>65</v>
      </c>
      <c r="F3973" s="3" t="s">
        <v>66</v>
      </c>
      <c r="G3973" s="3" t="s">
        <v>22</v>
      </c>
      <c r="H3973" s="3" t="s">
        <v>23</v>
      </c>
      <c r="I3973" s="3" t="s">
        <v>1671</v>
      </c>
      <c r="J3973" s="3" t="s">
        <v>79</v>
      </c>
      <c r="K3973" s="3">
        <v>1</v>
      </c>
      <c r="L3973" s="3">
        <v>3636.54</v>
      </c>
      <c r="M3973" s="3">
        <v>3636.54</v>
      </c>
      <c r="N3973" s="3">
        <v>2189.92</v>
      </c>
      <c r="O3973" s="3">
        <v>1446.62</v>
      </c>
      <c r="P3973" s="3" t="s">
        <v>26</v>
      </c>
    </row>
    <row r="3974" spans="1:16" x14ac:dyDescent="0.35">
      <c r="A3974" s="3" t="s">
        <v>5411</v>
      </c>
      <c r="B3974" s="3" t="s">
        <v>502</v>
      </c>
      <c r="C3974" s="3" t="s">
        <v>48</v>
      </c>
      <c r="D3974" s="3" t="s">
        <v>90</v>
      </c>
      <c r="E3974" s="3" t="s">
        <v>119</v>
      </c>
      <c r="F3974" s="3" t="s">
        <v>120</v>
      </c>
      <c r="G3974" s="3" t="s">
        <v>51</v>
      </c>
      <c r="H3974" s="3" t="s">
        <v>52</v>
      </c>
      <c r="I3974" s="3" t="s">
        <v>741</v>
      </c>
      <c r="J3974" s="3" t="s">
        <v>33</v>
      </c>
      <c r="K3974" s="3">
        <v>4</v>
      </c>
      <c r="L3974" s="3">
        <v>24.57</v>
      </c>
      <c r="M3974" s="3">
        <v>98.28</v>
      </c>
      <c r="N3974" s="3">
        <v>40.89</v>
      </c>
      <c r="O3974" s="3">
        <v>57.39</v>
      </c>
      <c r="P3974" s="3" t="s">
        <v>86</v>
      </c>
    </row>
    <row r="3975" spans="1:16" x14ac:dyDescent="0.35">
      <c r="A3975" s="3" t="s">
        <v>5412</v>
      </c>
      <c r="B3975" s="3" t="s">
        <v>198</v>
      </c>
      <c r="C3975" s="3" t="s">
        <v>29</v>
      </c>
      <c r="D3975" s="3" t="s">
        <v>58</v>
      </c>
      <c r="E3975" s="3" t="s">
        <v>65</v>
      </c>
      <c r="F3975" s="3" t="s">
        <v>66</v>
      </c>
      <c r="G3975" s="3" t="s">
        <v>22</v>
      </c>
      <c r="H3975" s="3" t="s">
        <v>83</v>
      </c>
      <c r="I3975" s="3" t="s">
        <v>3631</v>
      </c>
      <c r="J3975" s="3" t="s">
        <v>131</v>
      </c>
      <c r="K3975" s="3">
        <v>1</v>
      </c>
      <c r="L3975" s="3">
        <v>21098.79</v>
      </c>
      <c r="M3975" s="3">
        <v>21098.79</v>
      </c>
      <c r="N3975" s="3">
        <v>16738.900000000001</v>
      </c>
      <c r="O3975" s="3">
        <v>4359.8900000000003</v>
      </c>
      <c r="P3975" s="3" t="s">
        <v>26</v>
      </c>
    </row>
    <row r="3976" spans="1:16" x14ac:dyDescent="0.35">
      <c r="A3976" s="3" t="s">
        <v>5413</v>
      </c>
      <c r="B3976" s="3" t="s">
        <v>580</v>
      </c>
      <c r="C3976" s="3" t="s">
        <v>57</v>
      </c>
      <c r="D3976" s="3" t="s">
        <v>58</v>
      </c>
      <c r="E3976" s="3" t="s">
        <v>65</v>
      </c>
      <c r="F3976" s="3" t="s">
        <v>66</v>
      </c>
      <c r="G3976" s="3" t="s">
        <v>22</v>
      </c>
      <c r="H3976" s="3" t="s">
        <v>93</v>
      </c>
      <c r="I3976" s="3" t="s">
        <v>2777</v>
      </c>
      <c r="J3976" s="3" t="s">
        <v>161</v>
      </c>
      <c r="K3976" s="3">
        <v>1</v>
      </c>
      <c r="L3976" s="3">
        <v>6410.92</v>
      </c>
      <c r="M3976" s="3">
        <v>6410.92</v>
      </c>
      <c r="N3976" s="3">
        <v>4896.72</v>
      </c>
      <c r="O3976" s="3">
        <v>1514.2</v>
      </c>
      <c r="P3976" s="3" t="s">
        <v>45</v>
      </c>
    </row>
    <row r="3977" spans="1:16" x14ac:dyDescent="0.35">
      <c r="A3977" s="3" t="s">
        <v>5414</v>
      </c>
      <c r="B3977" s="3" t="s">
        <v>276</v>
      </c>
      <c r="C3977" s="3" t="s">
        <v>114</v>
      </c>
      <c r="D3977" s="3" t="s">
        <v>58</v>
      </c>
      <c r="E3977" s="3" t="s">
        <v>65</v>
      </c>
      <c r="F3977" s="3" t="s">
        <v>66</v>
      </c>
      <c r="G3977" s="3" t="s">
        <v>30</v>
      </c>
      <c r="H3977" s="3" t="s">
        <v>31</v>
      </c>
      <c r="I3977" s="3" t="s">
        <v>3018</v>
      </c>
      <c r="J3977" s="3" t="s">
        <v>171</v>
      </c>
      <c r="K3977" s="3">
        <v>1</v>
      </c>
      <c r="L3977" s="3">
        <v>3029.71</v>
      </c>
      <c r="M3977" s="3">
        <v>3029.71</v>
      </c>
      <c r="N3977" s="3">
        <v>1975.73</v>
      </c>
      <c r="O3977" s="3">
        <v>1053.98</v>
      </c>
      <c r="P3977" s="3" t="s">
        <v>26</v>
      </c>
    </row>
    <row r="3978" spans="1:16" x14ac:dyDescent="0.35">
      <c r="A3978" s="3" t="s">
        <v>5415</v>
      </c>
      <c r="B3978" s="3" t="s">
        <v>685</v>
      </c>
      <c r="C3978" s="3" t="s">
        <v>137</v>
      </c>
      <c r="D3978" s="3" t="s">
        <v>19</v>
      </c>
      <c r="E3978" s="3" t="s">
        <v>20</v>
      </c>
      <c r="F3978" s="3" t="s">
        <v>21</v>
      </c>
      <c r="G3978" s="3" t="s">
        <v>51</v>
      </c>
      <c r="H3978" s="3" t="s">
        <v>145</v>
      </c>
      <c r="I3978" s="3" t="s">
        <v>2735</v>
      </c>
      <c r="J3978" s="3" t="s">
        <v>171</v>
      </c>
      <c r="K3978" s="3">
        <v>6</v>
      </c>
      <c r="L3978" s="3">
        <v>125.89</v>
      </c>
      <c r="M3978" s="3">
        <v>755.34</v>
      </c>
      <c r="N3978" s="3">
        <v>348.77</v>
      </c>
      <c r="O3978" s="3">
        <v>406.57</v>
      </c>
      <c r="P3978" s="3" t="s">
        <v>45</v>
      </c>
    </row>
    <row r="3979" spans="1:16" x14ac:dyDescent="0.35">
      <c r="A3979" s="3" t="s">
        <v>5416</v>
      </c>
      <c r="B3979" s="3" t="s">
        <v>180</v>
      </c>
      <c r="C3979" s="3" t="s">
        <v>48</v>
      </c>
      <c r="D3979" s="3" t="s">
        <v>58</v>
      </c>
      <c r="E3979" s="3" t="s">
        <v>176</v>
      </c>
      <c r="F3979" s="3" t="s">
        <v>177</v>
      </c>
      <c r="G3979" s="3" t="s">
        <v>22</v>
      </c>
      <c r="H3979" s="3" t="s">
        <v>83</v>
      </c>
      <c r="I3979" s="3" t="s">
        <v>1217</v>
      </c>
      <c r="J3979" s="3" t="s">
        <v>85</v>
      </c>
      <c r="K3979" s="3">
        <v>5</v>
      </c>
      <c r="L3979" s="3">
        <v>22763.62</v>
      </c>
      <c r="M3979" s="3">
        <v>113818.1</v>
      </c>
      <c r="N3979" s="3">
        <v>82875.8</v>
      </c>
      <c r="O3979" s="3">
        <v>30942.3</v>
      </c>
      <c r="P3979" s="3" t="s">
        <v>69</v>
      </c>
    </row>
    <row r="3980" spans="1:16" x14ac:dyDescent="0.35">
      <c r="A3980" s="3" t="s">
        <v>5417</v>
      </c>
      <c r="B3980" s="3" t="s">
        <v>913</v>
      </c>
      <c r="C3980" s="3" t="s">
        <v>48</v>
      </c>
      <c r="D3980" s="3" t="s">
        <v>38</v>
      </c>
      <c r="E3980" s="3" t="s">
        <v>39</v>
      </c>
      <c r="F3980" s="3" t="s">
        <v>40</v>
      </c>
      <c r="G3980" s="3" t="s">
        <v>51</v>
      </c>
      <c r="H3980" s="3" t="s">
        <v>145</v>
      </c>
      <c r="I3980" s="3" t="s">
        <v>1022</v>
      </c>
      <c r="J3980" s="3" t="s">
        <v>44</v>
      </c>
      <c r="K3980" s="3">
        <v>6</v>
      </c>
      <c r="L3980" s="3">
        <v>124.41</v>
      </c>
      <c r="M3980" s="3">
        <v>746.46</v>
      </c>
      <c r="N3980" s="3">
        <v>371.54</v>
      </c>
      <c r="O3980" s="3">
        <v>374.92</v>
      </c>
      <c r="P3980" s="3" t="s">
        <v>69</v>
      </c>
    </row>
    <row r="3981" spans="1:16" x14ac:dyDescent="0.35">
      <c r="A3981" s="3" t="s">
        <v>5418</v>
      </c>
      <c r="B3981" s="3" t="s">
        <v>779</v>
      </c>
      <c r="C3981" s="3" t="s">
        <v>114</v>
      </c>
      <c r="D3981" s="3" t="s">
        <v>90</v>
      </c>
      <c r="E3981" s="3" t="s">
        <v>119</v>
      </c>
      <c r="F3981" s="3" t="s">
        <v>120</v>
      </c>
      <c r="G3981" s="3" t="s">
        <v>30</v>
      </c>
      <c r="H3981" s="3" t="s">
        <v>31</v>
      </c>
      <c r="I3981" s="3" t="s">
        <v>3163</v>
      </c>
      <c r="J3981" s="3" t="s">
        <v>147</v>
      </c>
      <c r="K3981" s="3">
        <v>7</v>
      </c>
      <c r="L3981" s="3">
        <v>2716.43</v>
      </c>
      <c r="M3981" s="3">
        <v>19015.009999999998</v>
      </c>
      <c r="N3981" s="3">
        <v>13434.22</v>
      </c>
      <c r="O3981" s="3">
        <v>5580.79</v>
      </c>
      <c r="P3981" s="3" t="s">
        <v>34</v>
      </c>
    </row>
    <row r="3982" spans="1:16" x14ac:dyDescent="0.35">
      <c r="A3982" s="3" t="s">
        <v>5419</v>
      </c>
      <c r="B3982" s="3" t="s">
        <v>321</v>
      </c>
      <c r="C3982" s="3" t="s">
        <v>137</v>
      </c>
      <c r="D3982" s="3" t="s">
        <v>38</v>
      </c>
      <c r="E3982" s="3" t="s">
        <v>109</v>
      </c>
      <c r="F3982" s="3" t="s">
        <v>110</v>
      </c>
      <c r="G3982" s="3" t="s">
        <v>30</v>
      </c>
      <c r="H3982" s="3" t="s">
        <v>31</v>
      </c>
      <c r="I3982" s="3" t="s">
        <v>2467</v>
      </c>
      <c r="J3982" s="3" t="s">
        <v>171</v>
      </c>
      <c r="K3982" s="3">
        <v>4</v>
      </c>
      <c r="L3982" s="3">
        <v>2647.08</v>
      </c>
      <c r="M3982" s="3">
        <v>10588.32</v>
      </c>
      <c r="N3982" s="3">
        <v>7311</v>
      </c>
      <c r="O3982" s="3">
        <v>3277.32</v>
      </c>
      <c r="P3982" s="3" t="s">
        <v>69</v>
      </c>
    </row>
    <row r="3983" spans="1:16" x14ac:dyDescent="0.35">
      <c r="A3983" s="3" t="s">
        <v>5420</v>
      </c>
      <c r="B3983" s="3" t="s">
        <v>212</v>
      </c>
      <c r="C3983" s="3" t="s">
        <v>37</v>
      </c>
      <c r="D3983" s="3" t="s">
        <v>38</v>
      </c>
      <c r="E3983" s="3" t="s">
        <v>109</v>
      </c>
      <c r="F3983" s="3" t="s">
        <v>110</v>
      </c>
      <c r="G3983" s="3" t="s">
        <v>41</v>
      </c>
      <c r="H3983" s="3" t="s">
        <v>61</v>
      </c>
      <c r="I3983" s="3" t="s">
        <v>2538</v>
      </c>
      <c r="J3983" s="3" t="s">
        <v>171</v>
      </c>
      <c r="K3983" s="3">
        <v>5</v>
      </c>
      <c r="L3983" s="3">
        <v>2729.79</v>
      </c>
      <c r="M3983" s="3">
        <v>13648.95</v>
      </c>
      <c r="N3983" s="3">
        <v>8122.64</v>
      </c>
      <c r="O3983" s="3">
        <v>5526.31</v>
      </c>
      <c r="P3983" s="3" t="s">
        <v>86</v>
      </c>
    </row>
    <row r="3984" spans="1:16" x14ac:dyDescent="0.35">
      <c r="A3984" s="3" t="s">
        <v>5421</v>
      </c>
      <c r="B3984" s="3" t="s">
        <v>987</v>
      </c>
      <c r="C3984" s="3" t="s">
        <v>82</v>
      </c>
      <c r="D3984" s="3" t="s">
        <v>90</v>
      </c>
      <c r="E3984" s="3" t="s">
        <v>97</v>
      </c>
      <c r="F3984" s="3" t="s">
        <v>98</v>
      </c>
      <c r="G3984" s="3" t="s">
        <v>51</v>
      </c>
      <c r="H3984" s="3" t="s">
        <v>77</v>
      </c>
      <c r="I3984" s="3" t="s">
        <v>2477</v>
      </c>
      <c r="J3984" s="3" t="s">
        <v>171</v>
      </c>
      <c r="K3984" s="3">
        <v>1</v>
      </c>
      <c r="L3984" s="3">
        <v>11024.6</v>
      </c>
      <c r="M3984" s="3">
        <v>11024.6</v>
      </c>
      <c r="N3984" s="3">
        <v>8983.5300000000007</v>
      </c>
      <c r="O3984" s="3">
        <v>2041.07</v>
      </c>
      <c r="P3984" s="3" t="s">
        <v>34</v>
      </c>
    </row>
    <row r="3985" spans="1:16" x14ac:dyDescent="0.35">
      <c r="A3985" s="3" t="s">
        <v>5422</v>
      </c>
      <c r="B3985" s="3" t="s">
        <v>989</v>
      </c>
      <c r="C3985" s="3" t="s">
        <v>29</v>
      </c>
      <c r="D3985" s="3" t="s">
        <v>58</v>
      </c>
      <c r="E3985" s="3" t="s">
        <v>65</v>
      </c>
      <c r="F3985" s="3" t="s">
        <v>66</v>
      </c>
      <c r="G3985" s="3" t="s">
        <v>30</v>
      </c>
      <c r="H3985" s="3" t="s">
        <v>31</v>
      </c>
      <c r="I3985" s="3" t="s">
        <v>643</v>
      </c>
      <c r="J3985" s="3" t="s">
        <v>161</v>
      </c>
      <c r="K3985" s="3">
        <v>5</v>
      </c>
      <c r="L3985" s="3">
        <v>2787.99</v>
      </c>
      <c r="M3985" s="3">
        <v>13939.95</v>
      </c>
      <c r="N3985" s="3">
        <v>9930.2199999999993</v>
      </c>
      <c r="O3985" s="3">
        <v>4009.73</v>
      </c>
      <c r="P3985" s="3" t="s">
        <v>26</v>
      </c>
    </row>
    <row r="3986" spans="1:16" x14ac:dyDescent="0.35">
      <c r="A3986" s="3" t="s">
        <v>5423</v>
      </c>
      <c r="B3986" s="3" t="s">
        <v>1082</v>
      </c>
      <c r="C3986" s="3" t="s">
        <v>114</v>
      </c>
      <c r="D3986" s="3" t="s">
        <v>19</v>
      </c>
      <c r="E3986" s="3" t="s">
        <v>199</v>
      </c>
      <c r="F3986" s="3" t="s">
        <v>200</v>
      </c>
      <c r="G3986" s="3" t="s">
        <v>51</v>
      </c>
      <c r="H3986" s="3" t="s">
        <v>145</v>
      </c>
      <c r="I3986" s="3" t="s">
        <v>3238</v>
      </c>
      <c r="J3986" s="3" t="s">
        <v>217</v>
      </c>
      <c r="K3986" s="3">
        <v>5</v>
      </c>
      <c r="L3986" s="3">
        <v>130.18</v>
      </c>
      <c r="M3986" s="3">
        <v>650.9</v>
      </c>
      <c r="N3986" s="3">
        <v>302.02999999999997</v>
      </c>
      <c r="O3986" s="3">
        <v>348.87</v>
      </c>
      <c r="P3986" s="3" t="s">
        <v>26</v>
      </c>
    </row>
    <row r="3987" spans="1:16" x14ac:dyDescent="0.35">
      <c r="A3987" s="3" t="s">
        <v>5424</v>
      </c>
      <c r="B3987" s="3" t="s">
        <v>656</v>
      </c>
      <c r="C3987" s="3" t="s">
        <v>89</v>
      </c>
      <c r="D3987" s="3" t="s">
        <v>38</v>
      </c>
      <c r="E3987" s="3" t="s">
        <v>109</v>
      </c>
      <c r="F3987" s="3" t="s">
        <v>110</v>
      </c>
      <c r="G3987" s="3" t="s">
        <v>30</v>
      </c>
      <c r="H3987" s="3" t="s">
        <v>67</v>
      </c>
      <c r="I3987" s="3" t="s">
        <v>887</v>
      </c>
      <c r="J3987" s="3" t="s">
        <v>85</v>
      </c>
      <c r="K3987" s="3">
        <v>5</v>
      </c>
      <c r="L3987" s="3">
        <v>10336.200000000001</v>
      </c>
      <c r="M3987" s="3">
        <v>51681</v>
      </c>
      <c r="N3987" s="3">
        <v>38647.370000000003</v>
      </c>
      <c r="O3987" s="3">
        <v>13033.63</v>
      </c>
      <c r="P3987" s="3" t="s">
        <v>26</v>
      </c>
    </row>
    <row r="3988" spans="1:16" x14ac:dyDescent="0.35">
      <c r="A3988" s="3" t="s">
        <v>5425</v>
      </c>
      <c r="B3988" s="3" t="s">
        <v>1772</v>
      </c>
      <c r="C3988" s="3" t="s">
        <v>114</v>
      </c>
      <c r="D3988" s="3" t="s">
        <v>90</v>
      </c>
      <c r="E3988" s="3" t="s">
        <v>119</v>
      </c>
      <c r="F3988" s="3" t="s">
        <v>120</v>
      </c>
      <c r="G3988" s="3" t="s">
        <v>41</v>
      </c>
      <c r="H3988" s="3" t="s">
        <v>138</v>
      </c>
      <c r="I3988" s="3" t="s">
        <v>3063</v>
      </c>
      <c r="J3988" s="3" t="s">
        <v>25</v>
      </c>
      <c r="K3988" s="3">
        <v>8</v>
      </c>
      <c r="L3988" s="3">
        <v>18922.25</v>
      </c>
      <c r="M3988" s="3">
        <v>151378</v>
      </c>
      <c r="N3988" s="3">
        <v>111332.39</v>
      </c>
      <c r="O3988" s="3">
        <v>40045.61</v>
      </c>
      <c r="P3988" s="3" t="s">
        <v>69</v>
      </c>
    </row>
    <row r="3989" spans="1:16" x14ac:dyDescent="0.35">
      <c r="A3989" s="3" t="s">
        <v>5426</v>
      </c>
      <c r="B3989" s="3" t="s">
        <v>225</v>
      </c>
      <c r="C3989" s="3" t="s">
        <v>89</v>
      </c>
      <c r="D3989" s="3" t="s">
        <v>58</v>
      </c>
      <c r="E3989" s="3" t="s">
        <v>176</v>
      </c>
      <c r="F3989" s="3" t="s">
        <v>177</v>
      </c>
      <c r="G3989" s="3" t="s">
        <v>41</v>
      </c>
      <c r="H3989" s="3" t="s">
        <v>61</v>
      </c>
      <c r="I3989" s="3" t="s">
        <v>1814</v>
      </c>
      <c r="J3989" s="3" t="s">
        <v>188</v>
      </c>
      <c r="K3989" s="3">
        <v>6</v>
      </c>
      <c r="L3989" s="3">
        <v>2745.97</v>
      </c>
      <c r="M3989" s="3">
        <v>16475.82</v>
      </c>
      <c r="N3989" s="3">
        <v>9186.2800000000007</v>
      </c>
      <c r="O3989" s="3">
        <v>7289.54</v>
      </c>
      <c r="P3989" s="3" t="s">
        <v>69</v>
      </c>
    </row>
    <row r="3990" spans="1:16" x14ac:dyDescent="0.35">
      <c r="A3990" s="3" t="s">
        <v>5427</v>
      </c>
      <c r="B3990" s="3" t="s">
        <v>1727</v>
      </c>
      <c r="C3990" s="3" t="s">
        <v>89</v>
      </c>
      <c r="D3990" s="3" t="s">
        <v>38</v>
      </c>
      <c r="E3990" s="3" t="s">
        <v>104</v>
      </c>
      <c r="F3990" s="3" t="s">
        <v>104</v>
      </c>
      <c r="G3990" s="3" t="s">
        <v>41</v>
      </c>
      <c r="H3990" s="3" t="s">
        <v>138</v>
      </c>
      <c r="I3990" s="3" t="s">
        <v>2625</v>
      </c>
      <c r="J3990" s="3" t="s">
        <v>54</v>
      </c>
      <c r="K3990" s="3">
        <v>2</v>
      </c>
      <c r="L3990" s="3">
        <v>17455.22</v>
      </c>
      <c r="M3990" s="3">
        <v>34910.44</v>
      </c>
      <c r="N3990" s="3">
        <v>29134</v>
      </c>
      <c r="O3990" s="3">
        <v>5776.44</v>
      </c>
      <c r="P3990" s="3" t="s">
        <v>69</v>
      </c>
    </row>
    <row r="3991" spans="1:16" x14ac:dyDescent="0.35">
      <c r="A3991" s="3" t="s">
        <v>5428</v>
      </c>
      <c r="B3991" s="3" t="s">
        <v>310</v>
      </c>
      <c r="C3991" s="3" t="s">
        <v>37</v>
      </c>
      <c r="D3991" s="3" t="s">
        <v>90</v>
      </c>
      <c r="E3991" s="3" t="s">
        <v>119</v>
      </c>
      <c r="F3991" s="3" t="s">
        <v>120</v>
      </c>
      <c r="G3991" s="3" t="s">
        <v>41</v>
      </c>
      <c r="H3991" s="3" t="s">
        <v>42</v>
      </c>
      <c r="I3991" s="3" t="s">
        <v>2242</v>
      </c>
      <c r="J3991" s="3" t="s">
        <v>100</v>
      </c>
      <c r="K3991" s="3">
        <v>3</v>
      </c>
      <c r="L3991" s="3">
        <v>41763.86</v>
      </c>
      <c r="M3991" s="3">
        <v>125291.58</v>
      </c>
      <c r="N3991" s="3">
        <v>108655.43</v>
      </c>
      <c r="O3991" s="3">
        <v>16636.150000000001</v>
      </c>
      <c r="P3991" s="3" t="s">
        <v>69</v>
      </c>
    </row>
    <row r="3992" spans="1:16" x14ac:dyDescent="0.35">
      <c r="A3992" s="3" t="s">
        <v>5429</v>
      </c>
      <c r="B3992" s="3" t="s">
        <v>762</v>
      </c>
      <c r="C3992" s="3" t="s">
        <v>137</v>
      </c>
      <c r="D3992" s="3" t="s">
        <v>19</v>
      </c>
      <c r="E3992" s="3" t="s">
        <v>199</v>
      </c>
      <c r="F3992" s="3" t="s">
        <v>200</v>
      </c>
      <c r="G3992" s="3" t="s">
        <v>30</v>
      </c>
      <c r="H3992" s="3" t="s">
        <v>31</v>
      </c>
      <c r="I3992" s="3" t="s">
        <v>2513</v>
      </c>
      <c r="J3992" s="3" t="s">
        <v>106</v>
      </c>
      <c r="K3992" s="3">
        <v>5</v>
      </c>
      <c r="L3992" s="3">
        <v>2692.15</v>
      </c>
      <c r="M3992" s="3">
        <v>13460.75</v>
      </c>
      <c r="N3992" s="3">
        <v>9058.73</v>
      </c>
      <c r="O3992" s="3">
        <v>4402.0200000000004</v>
      </c>
      <c r="P3992" s="3" t="s">
        <v>86</v>
      </c>
    </row>
    <row r="3993" spans="1:16" x14ac:dyDescent="0.35">
      <c r="A3993" s="3" t="s">
        <v>5430</v>
      </c>
      <c r="B3993" s="3" t="s">
        <v>787</v>
      </c>
      <c r="C3993" s="3" t="s">
        <v>37</v>
      </c>
      <c r="D3993" s="3" t="s">
        <v>90</v>
      </c>
      <c r="E3993" s="3" t="s">
        <v>91</v>
      </c>
      <c r="F3993" s="3" t="s">
        <v>92</v>
      </c>
      <c r="G3993" s="3" t="s">
        <v>41</v>
      </c>
      <c r="H3993" s="3" t="s">
        <v>61</v>
      </c>
      <c r="I3993" s="3" t="s">
        <v>193</v>
      </c>
      <c r="J3993" s="3" t="s">
        <v>188</v>
      </c>
      <c r="K3993" s="3">
        <v>7</v>
      </c>
      <c r="L3993" s="3">
        <v>2585.35</v>
      </c>
      <c r="M3993" s="3">
        <v>18097.45</v>
      </c>
      <c r="N3993" s="3">
        <v>11295.99</v>
      </c>
      <c r="O3993" s="3">
        <v>6801.46</v>
      </c>
      <c r="P3993" s="3" t="s">
        <v>45</v>
      </c>
    </row>
    <row r="3994" spans="1:16" x14ac:dyDescent="0.35">
      <c r="A3994" s="3" t="s">
        <v>5431</v>
      </c>
      <c r="B3994" s="3" t="s">
        <v>880</v>
      </c>
      <c r="C3994" s="3" t="s">
        <v>114</v>
      </c>
      <c r="D3994" s="3" t="s">
        <v>19</v>
      </c>
      <c r="E3994" s="3" t="s">
        <v>20</v>
      </c>
      <c r="F3994" s="3" t="s">
        <v>21</v>
      </c>
      <c r="G3994" s="3" t="s">
        <v>30</v>
      </c>
      <c r="H3994" s="3" t="s">
        <v>67</v>
      </c>
      <c r="I3994" s="3" t="s">
        <v>2893</v>
      </c>
      <c r="J3994" s="3" t="s">
        <v>161</v>
      </c>
      <c r="K3994" s="3">
        <v>5</v>
      </c>
      <c r="L3994" s="3">
        <v>9652.9</v>
      </c>
      <c r="M3994" s="3">
        <v>48264.5</v>
      </c>
      <c r="N3994" s="3">
        <v>39893.47</v>
      </c>
      <c r="O3994" s="3">
        <v>8371.0300000000007</v>
      </c>
      <c r="P3994" s="3" t="s">
        <v>45</v>
      </c>
    </row>
    <row r="3995" spans="1:16" x14ac:dyDescent="0.35">
      <c r="A3995" s="3" t="s">
        <v>5432</v>
      </c>
      <c r="B3995" s="3" t="s">
        <v>1337</v>
      </c>
      <c r="C3995" s="3" t="s">
        <v>48</v>
      </c>
      <c r="D3995" s="3" t="s">
        <v>19</v>
      </c>
      <c r="E3995" s="3" t="s">
        <v>199</v>
      </c>
      <c r="F3995" s="3" t="s">
        <v>200</v>
      </c>
      <c r="G3995" s="3" t="s">
        <v>22</v>
      </c>
      <c r="H3995" s="3" t="s">
        <v>23</v>
      </c>
      <c r="I3995" s="3" t="s">
        <v>2267</v>
      </c>
      <c r="J3995" s="3" t="s">
        <v>100</v>
      </c>
      <c r="K3995" s="3">
        <v>6</v>
      </c>
      <c r="L3995" s="3">
        <v>3834.07</v>
      </c>
      <c r="M3995" s="3">
        <v>23004.42</v>
      </c>
      <c r="N3995" s="3">
        <v>12546.49</v>
      </c>
      <c r="O3995" s="3">
        <v>10457.93</v>
      </c>
      <c r="P3995" s="3" t="s">
        <v>45</v>
      </c>
    </row>
    <row r="3996" spans="1:16" x14ac:dyDescent="0.35">
      <c r="A3996" s="3" t="s">
        <v>5433</v>
      </c>
      <c r="B3996" s="3" t="s">
        <v>762</v>
      </c>
      <c r="C3996" s="3" t="s">
        <v>137</v>
      </c>
      <c r="D3996" s="3" t="s">
        <v>90</v>
      </c>
      <c r="E3996" s="3" t="s">
        <v>119</v>
      </c>
      <c r="F3996" s="3" t="s">
        <v>120</v>
      </c>
      <c r="G3996" s="3" t="s">
        <v>30</v>
      </c>
      <c r="H3996" s="3" t="s">
        <v>31</v>
      </c>
      <c r="I3996" s="3" t="s">
        <v>1170</v>
      </c>
      <c r="J3996" s="3" t="s">
        <v>131</v>
      </c>
      <c r="K3996" s="3">
        <v>4</v>
      </c>
      <c r="L3996" s="3">
        <v>2682.99</v>
      </c>
      <c r="M3996" s="3">
        <v>10731.96</v>
      </c>
      <c r="N3996" s="3">
        <v>7390.69</v>
      </c>
      <c r="O3996" s="3">
        <v>3341.27</v>
      </c>
      <c r="P3996" s="3" t="s">
        <v>69</v>
      </c>
    </row>
    <row r="3997" spans="1:16" x14ac:dyDescent="0.35">
      <c r="A3997" s="3" t="s">
        <v>5434</v>
      </c>
      <c r="B3997" s="3" t="s">
        <v>1698</v>
      </c>
      <c r="C3997" s="3" t="s">
        <v>18</v>
      </c>
      <c r="D3997" s="3" t="s">
        <v>58</v>
      </c>
      <c r="E3997" s="3" t="s">
        <v>59</v>
      </c>
      <c r="F3997" s="3" t="s">
        <v>60</v>
      </c>
      <c r="G3997" s="3" t="s">
        <v>22</v>
      </c>
      <c r="H3997" s="3" t="s">
        <v>93</v>
      </c>
      <c r="I3997" s="3" t="s">
        <v>1210</v>
      </c>
      <c r="J3997" s="3" t="s">
        <v>25</v>
      </c>
      <c r="K3997" s="3">
        <v>4</v>
      </c>
      <c r="L3997" s="3">
        <v>7537.23</v>
      </c>
      <c r="M3997" s="3">
        <v>30148.92</v>
      </c>
      <c r="N3997" s="3">
        <v>19173.900000000001</v>
      </c>
      <c r="O3997" s="3">
        <v>10975.02</v>
      </c>
      <c r="P3997" s="3" t="s">
        <v>86</v>
      </c>
    </row>
    <row r="3998" spans="1:16" x14ac:dyDescent="0.35">
      <c r="A3998" s="3" t="s">
        <v>5435</v>
      </c>
      <c r="B3998" s="3" t="s">
        <v>28</v>
      </c>
      <c r="C3998" s="3" t="s">
        <v>29</v>
      </c>
      <c r="D3998" s="3" t="s">
        <v>19</v>
      </c>
      <c r="E3998" s="3" t="s">
        <v>49</v>
      </c>
      <c r="F3998" s="3" t="s">
        <v>50</v>
      </c>
      <c r="G3998" s="3" t="s">
        <v>41</v>
      </c>
      <c r="H3998" s="3" t="s">
        <v>42</v>
      </c>
      <c r="I3998" s="3" t="s">
        <v>2304</v>
      </c>
      <c r="J3998" s="3" t="s">
        <v>131</v>
      </c>
      <c r="K3998" s="3">
        <v>3</v>
      </c>
      <c r="L3998" s="3">
        <v>46271.61</v>
      </c>
      <c r="M3998" s="3">
        <v>138814.82999999999</v>
      </c>
      <c r="N3998" s="3">
        <v>103374.48</v>
      </c>
      <c r="O3998" s="3">
        <v>35440.35</v>
      </c>
      <c r="P3998" s="3" t="s">
        <v>26</v>
      </c>
    </row>
    <row r="3999" spans="1:16" x14ac:dyDescent="0.35">
      <c r="A3999" s="3" t="s">
        <v>5436</v>
      </c>
      <c r="B3999" s="3" t="s">
        <v>420</v>
      </c>
      <c r="C3999" s="3" t="s">
        <v>89</v>
      </c>
      <c r="D3999" s="3" t="s">
        <v>19</v>
      </c>
      <c r="E3999" s="3" t="s">
        <v>20</v>
      </c>
      <c r="F3999" s="3" t="s">
        <v>21</v>
      </c>
      <c r="G3999" s="3" t="s">
        <v>30</v>
      </c>
      <c r="H3999" s="3" t="s">
        <v>73</v>
      </c>
      <c r="I3999" s="3" t="s">
        <v>1808</v>
      </c>
      <c r="J3999" s="3" t="s">
        <v>217</v>
      </c>
      <c r="K3999" s="3">
        <v>7</v>
      </c>
      <c r="L3999" s="3">
        <v>3375.53</v>
      </c>
      <c r="M3999" s="3">
        <v>23628.71</v>
      </c>
      <c r="N3999" s="3">
        <v>16816.03</v>
      </c>
      <c r="O3999" s="3">
        <v>6812.68</v>
      </c>
      <c r="P3999" s="3" t="s">
        <v>86</v>
      </c>
    </row>
    <row r="4000" spans="1:16" x14ac:dyDescent="0.35">
      <c r="A4000" s="3" t="s">
        <v>5437</v>
      </c>
      <c r="B4000" s="3" t="s">
        <v>1504</v>
      </c>
      <c r="C4000" s="3" t="s">
        <v>48</v>
      </c>
      <c r="D4000" s="3" t="s">
        <v>38</v>
      </c>
      <c r="E4000" s="3" t="s">
        <v>109</v>
      </c>
      <c r="F4000" s="3" t="s">
        <v>110</v>
      </c>
      <c r="G4000" s="3" t="s">
        <v>22</v>
      </c>
      <c r="H4000" s="3" t="s">
        <v>23</v>
      </c>
      <c r="I4000" s="3" t="s">
        <v>2128</v>
      </c>
      <c r="J4000" s="3" t="s">
        <v>85</v>
      </c>
      <c r="K4000" s="3">
        <v>2</v>
      </c>
      <c r="L4000" s="3">
        <v>3399.62</v>
      </c>
      <c r="M4000" s="3">
        <v>6799.24</v>
      </c>
      <c r="N4000" s="3">
        <v>4617.51</v>
      </c>
      <c r="O4000" s="3">
        <v>2181.73</v>
      </c>
      <c r="P4000" s="3" t="s">
        <v>69</v>
      </c>
    </row>
    <row r="4001" spans="1:16" x14ac:dyDescent="0.35">
      <c r="A4001" s="3" t="s">
        <v>5438</v>
      </c>
      <c r="B4001" s="3" t="s">
        <v>669</v>
      </c>
      <c r="C4001" s="3" t="s">
        <v>57</v>
      </c>
      <c r="D4001" s="3" t="s">
        <v>90</v>
      </c>
      <c r="E4001" s="3" t="s">
        <v>119</v>
      </c>
      <c r="F4001" s="3" t="s">
        <v>120</v>
      </c>
      <c r="G4001" s="3" t="s">
        <v>22</v>
      </c>
      <c r="H4001" s="3" t="s">
        <v>83</v>
      </c>
      <c r="I4001" s="3" t="s">
        <v>965</v>
      </c>
      <c r="J4001" s="3" t="s">
        <v>79</v>
      </c>
      <c r="K4001" s="3">
        <v>5</v>
      </c>
      <c r="L4001" s="3">
        <v>23051.68</v>
      </c>
      <c r="M4001" s="3">
        <v>115258.4</v>
      </c>
      <c r="N4001" s="3">
        <v>86199.03</v>
      </c>
      <c r="O4001" s="3">
        <v>29059.37</v>
      </c>
      <c r="P4001" s="3" t="s">
        <v>26</v>
      </c>
    </row>
    <row r="4002" spans="1:16" x14ac:dyDescent="0.35">
      <c r="A4002" s="3" t="s">
        <v>5439</v>
      </c>
      <c r="B4002" s="3" t="s">
        <v>257</v>
      </c>
      <c r="C4002" s="3" t="s">
        <v>72</v>
      </c>
      <c r="D4002" s="3" t="s">
        <v>38</v>
      </c>
      <c r="E4002" s="3" t="s">
        <v>104</v>
      </c>
      <c r="F4002" s="3" t="s">
        <v>104</v>
      </c>
      <c r="G4002" s="3" t="s">
        <v>30</v>
      </c>
      <c r="H4002" s="3" t="s">
        <v>73</v>
      </c>
      <c r="I4002" s="3" t="s">
        <v>2151</v>
      </c>
      <c r="J4002" s="3" t="s">
        <v>79</v>
      </c>
      <c r="K4002" s="3">
        <v>8</v>
      </c>
      <c r="L4002" s="3">
        <v>2935.3</v>
      </c>
      <c r="M4002" s="3">
        <v>23482.400000000001</v>
      </c>
      <c r="N4002" s="3">
        <v>18938.080000000002</v>
      </c>
      <c r="O4002" s="3">
        <v>4544.32</v>
      </c>
      <c r="P4002" s="3" t="s">
        <v>69</v>
      </c>
    </row>
    <row r="4003" spans="1:16" x14ac:dyDescent="0.35">
      <c r="A4003" s="3" t="s">
        <v>5440</v>
      </c>
      <c r="B4003" s="3" t="s">
        <v>28</v>
      </c>
      <c r="C4003" s="3" t="s">
        <v>29</v>
      </c>
      <c r="D4003" s="3" t="s">
        <v>19</v>
      </c>
      <c r="E4003" s="3" t="s">
        <v>20</v>
      </c>
      <c r="F4003" s="3" t="s">
        <v>21</v>
      </c>
      <c r="G4003" s="3" t="s">
        <v>30</v>
      </c>
      <c r="H4003" s="3" t="s">
        <v>73</v>
      </c>
      <c r="I4003" s="3" t="s">
        <v>3682</v>
      </c>
      <c r="J4003" s="3" t="s">
        <v>217</v>
      </c>
      <c r="K4003" s="3">
        <v>3</v>
      </c>
      <c r="L4003" s="3">
        <v>3246.77</v>
      </c>
      <c r="M4003" s="3">
        <v>9740.31</v>
      </c>
      <c r="N4003" s="3">
        <v>7213.31</v>
      </c>
      <c r="O4003" s="3">
        <v>2527</v>
      </c>
      <c r="P4003" s="3" t="s">
        <v>34</v>
      </c>
    </row>
    <row r="4004" spans="1:16" x14ac:dyDescent="0.35">
      <c r="A4004" s="3" t="s">
        <v>5441</v>
      </c>
      <c r="B4004" s="3" t="s">
        <v>180</v>
      </c>
      <c r="C4004" s="3" t="s">
        <v>48</v>
      </c>
      <c r="D4004" s="3" t="s">
        <v>90</v>
      </c>
      <c r="E4004" s="3" t="s">
        <v>97</v>
      </c>
      <c r="F4004" s="3" t="s">
        <v>98</v>
      </c>
      <c r="G4004" s="3" t="s">
        <v>22</v>
      </c>
      <c r="H4004" s="3" t="s">
        <v>93</v>
      </c>
      <c r="I4004" s="3" t="s">
        <v>2318</v>
      </c>
      <c r="J4004" s="3" t="s">
        <v>171</v>
      </c>
      <c r="K4004" s="3">
        <v>1</v>
      </c>
      <c r="L4004" s="3">
        <v>7443.88</v>
      </c>
      <c r="M4004" s="3">
        <v>7443.88</v>
      </c>
      <c r="N4004" s="3">
        <v>4805.29</v>
      </c>
      <c r="O4004" s="3">
        <v>2638.59</v>
      </c>
      <c r="P4004" s="3" t="s">
        <v>69</v>
      </c>
    </row>
    <row r="4005" spans="1:16" x14ac:dyDescent="0.35">
      <c r="A4005" s="3" t="s">
        <v>5442</v>
      </c>
      <c r="B4005" s="3" t="s">
        <v>1182</v>
      </c>
      <c r="C4005" s="3" t="s">
        <v>48</v>
      </c>
      <c r="D4005" s="3" t="s">
        <v>58</v>
      </c>
      <c r="E4005" s="3" t="s">
        <v>59</v>
      </c>
      <c r="F4005" s="3" t="s">
        <v>60</v>
      </c>
      <c r="G4005" s="3" t="s">
        <v>41</v>
      </c>
      <c r="H4005" s="3" t="s">
        <v>61</v>
      </c>
      <c r="I4005" s="3" t="s">
        <v>1544</v>
      </c>
      <c r="J4005" s="3" t="s">
        <v>33</v>
      </c>
      <c r="K4005" s="3">
        <v>6</v>
      </c>
      <c r="L4005" s="3">
        <v>2346</v>
      </c>
      <c r="M4005" s="3">
        <v>14076</v>
      </c>
      <c r="N4005" s="3">
        <v>9594.18</v>
      </c>
      <c r="O4005" s="3">
        <v>4481.82</v>
      </c>
      <c r="P4005" s="3" t="s">
        <v>69</v>
      </c>
    </row>
    <row r="4006" spans="1:16" x14ac:dyDescent="0.35">
      <c r="A4006" s="3" t="s">
        <v>5443</v>
      </c>
      <c r="B4006" s="3" t="s">
        <v>321</v>
      </c>
      <c r="C4006" s="3" t="s">
        <v>137</v>
      </c>
      <c r="D4006" s="3" t="s">
        <v>90</v>
      </c>
      <c r="E4006" s="3" t="s">
        <v>97</v>
      </c>
      <c r="F4006" s="3" t="s">
        <v>98</v>
      </c>
      <c r="G4006" s="3" t="s">
        <v>30</v>
      </c>
      <c r="H4006" s="3" t="s">
        <v>67</v>
      </c>
      <c r="I4006" s="3" t="s">
        <v>263</v>
      </c>
      <c r="J4006" s="3" t="s">
        <v>85</v>
      </c>
      <c r="K4006" s="3">
        <v>5</v>
      </c>
      <c r="L4006" s="3">
        <v>8840.66</v>
      </c>
      <c r="M4006" s="3">
        <v>44203.3</v>
      </c>
      <c r="N4006" s="3">
        <v>39547.39</v>
      </c>
      <c r="O4006" s="3">
        <v>4655.91</v>
      </c>
      <c r="P4006" s="3" t="s">
        <v>34</v>
      </c>
    </row>
    <row r="4007" spans="1:16" x14ac:dyDescent="0.35">
      <c r="A4007" s="3" t="s">
        <v>5444</v>
      </c>
      <c r="B4007" s="3" t="s">
        <v>56</v>
      </c>
      <c r="C4007" s="3" t="s">
        <v>57</v>
      </c>
      <c r="D4007" s="3" t="s">
        <v>19</v>
      </c>
      <c r="E4007" s="3" t="s">
        <v>20</v>
      </c>
      <c r="F4007" s="3" t="s">
        <v>21</v>
      </c>
      <c r="G4007" s="3" t="s">
        <v>41</v>
      </c>
      <c r="H4007" s="3" t="s">
        <v>138</v>
      </c>
      <c r="I4007" s="3" t="s">
        <v>829</v>
      </c>
      <c r="J4007" s="3" t="s">
        <v>33</v>
      </c>
      <c r="K4007" s="3">
        <v>1</v>
      </c>
      <c r="L4007" s="3">
        <v>17091.87</v>
      </c>
      <c r="M4007" s="3">
        <v>17091.87</v>
      </c>
      <c r="N4007" s="3">
        <v>13986.62</v>
      </c>
      <c r="O4007" s="3">
        <v>3105.25</v>
      </c>
      <c r="P4007" s="3" t="s">
        <v>26</v>
      </c>
    </row>
    <row r="4008" spans="1:16" x14ac:dyDescent="0.35">
      <c r="A4008" s="3" t="s">
        <v>5445</v>
      </c>
      <c r="B4008" s="3" t="s">
        <v>417</v>
      </c>
      <c r="C4008" s="3" t="s">
        <v>37</v>
      </c>
      <c r="D4008" s="3" t="s">
        <v>90</v>
      </c>
      <c r="E4008" s="3" t="s">
        <v>119</v>
      </c>
      <c r="F4008" s="3" t="s">
        <v>120</v>
      </c>
      <c r="G4008" s="3" t="s">
        <v>51</v>
      </c>
      <c r="H4008" s="3" t="s">
        <v>52</v>
      </c>
      <c r="I4008" s="3" t="s">
        <v>963</v>
      </c>
      <c r="J4008" s="3" t="s">
        <v>100</v>
      </c>
      <c r="K4008" s="3">
        <v>7</v>
      </c>
      <c r="L4008" s="3">
        <v>23.15</v>
      </c>
      <c r="M4008" s="3">
        <v>162.05000000000001</v>
      </c>
      <c r="N4008" s="3">
        <v>70.19</v>
      </c>
      <c r="O4008" s="3">
        <v>91.86</v>
      </c>
      <c r="P4008" s="3" t="s">
        <v>26</v>
      </c>
    </row>
    <row r="4009" spans="1:16" x14ac:dyDescent="0.35">
      <c r="A4009" s="3" t="s">
        <v>5446</v>
      </c>
      <c r="B4009" s="3" t="s">
        <v>222</v>
      </c>
      <c r="C4009" s="3" t="s">
        <v>48</v>
      </c>
      <c r="D4009" s="3" t="s">
        <v>90</v>
      </c>
      <c r="E4009" s="3" t="s">
        <v>91</v>
      </c>
      <c r="F4009" s="3" t="s">
        <v>92</v>
      </c>
      <c r="G4009" s="3" t="s">
        <v>22</v>
      </c>
      <c r="H4009" s="3" t="s">
        <v>93</v>
      </c>
      <c r="I4009" s="3" t="s">
        <v>3248</v>
      </c>
      <c r="J4009" s="3" t="s">
        <v>54</v>
      </c>
      <c r="K4009" s="3">
        <v>4</v>
      </c>
      <c r="L4009" s="3">
        <v>7339.72</v>
      </c>
      <c r="M4009" s="3">
        <v>29358.880000000001</v>
      </c>
      <c r="N4009" s="3">
        <v>19811.63</v>
      </c>
      <c r="O4009" s="3">
        <v>9547.25</v>
      </c>
      <c r="P4009" s="3" t="s">
        <v>26</v>
      </c>
    </row>
    <row r="4010" spans="1:16" x14ac:dyDescent="0.35">
      <c r="A4010" s="3" t="s">
        <v>5447</v>
      </c>
      <c r="B4010" s="3" t="s">
        <v>315</v>
      </c>
      <c r="C4010" s="3" t="s">
        <v>118</v>
      </c>
      <c r="D4010" s="3" t="s">
        <v>58</v>
      </c>
      <c r="E4010" s="3" t="s">
        <v>176</v>
      </c>
      <c r="F4010" s="3" t="s">
        <v>177</v>
      </c>
      <c r="G4010" s="3" t="s">
        <v>51</v>
      </c>
      <c r="H4010" s="3" t="s">
        <v>52</v>
      </c>
      <c r="I4010" s="3" t="s">
        <v>3528</v>
      </c>
      <c r="J4010" s="3" t="s">
        <v>171</v>
      </c>
      <c r="K4010" s="3">
        <v>6</v>
      </c>
      <c r="L4010" s="3">
        <v>27.46</v>
      </c>
      <c r="M4010" s="3">
        <v>164.76</v>
      </c>
      <c r="N4010" s="3">
        <v>57.26</v>
      </c>
      <c r="O4010" s="3">
        <v>107.5</v>
      </c>
      <c r="P4010" s="3" t="s">
        <v>69</v>
      </c>
    </row>
    <row r="4011" spans="1:16" x14ac:dyDescent="0.35">
      <c r="A4011" s="3" t="s">
        <v>5448</v>
      </c>
      <c r="B4011" s="3" t="s">
        <v>1964</v>
      </c>
      <c r="C4011" s="3" t="s">
        <v>57</v>
      </c>
      <c r="D4011" s="3" t="s">
        <v>19</v>
      </c>
      <c r="E4011" s="3" t="s">
        <v>49</v>
      </c>
      <c r="F4011" s="3" t="s">
        <v>50</v>
      </c>
      <c r="G4011" s="3" t="s">
        <v>22</v>
      </c>
      <c r="H4011" s="3" t="s">
        <v>83</v>
      </c>
      <c r="I4011" s="3" t="s">
        <v>632</v>
      </c>
      <c r="J4011" s="3" t="s">
        <v>85</v>
      </c>
      <c r="K4011" s="3">
        <v>6</v>
      </c>
      <c r="L4011" s="3">
        <v>24119.48</v>
      </c>
      <c r="M4011" s="3">
        <v>144716.88</v>
      </c>
      <c r="N4011" s="3">
        <v>101328.53</v>
      </c>
      <c r="O4011" s="3">
        <v>43388.35</v>
      </c>
      <c r="P4011" s="3" t="s">
        <v>69</v>
      </c>
    </row>
    <row r="4012" spans="1:16" x14ac:dyDescent="0.35">
      <c r="A4012" s="3" t="s">
        <v>5449</v>
      </c>
      <c r="B4012" s="3" t="s">
        <v>807</v>
      </c>
      <c r="C4012" s="3" t="s">
        <v>72</v>
      </c>
      <c r="D4012" s="3" t="s">
        <v>19</v>
      </c>
      <c r="E4012" s="3" t="s">
        <v>49</v>
      </c>
      <c r="F4012" s="3" t="s">
        <v>50</v>
      </c>
      <c r="G4012" s="3" t="s">
        <v>51</v>
      </c>
      <c r="H4012" s="3" t="s">
        <v>52</v>
      </c>
      <c r="I4012" s="3" t="s">
        <v>2356</v>
      </c>
      <c r="J4012" s="3" t="s">
        <v>44</v>
      </c>
      <c r="K4012" s="3">
        <v>2</v>
      </c>
      <c r="L4012" s="3">
        <v>24.2</v>
      </c>
      <c r="M4012" s="3">
        <v>48.4</v>
      </c>
      <c r="N4012" s="3">
        <v>19.7</v>
      </c>
      <c r="O4012" s="3">
        <v>28.7</v>
      </c>
      <c r="P4012" s="3" t="s">
        <v>34</v>
      </c>
    </row>
    <row r="4013" spans="1:16" x14ac:dyDescent="0.35">
      <c r="A4013" s="3" t="s">
        <v>5450</v>
      </c>
      <c r="B4013" s="3" t="s">
        <v>1337</v>
      </c>
      <c r="C4013" s="3" t="s">
        <v>48</v>
      </c>
      <c r="D4013" s="3" t="s">
        <v>38</v>
      </c>
      <c r="E4013" s="3" t="s">
        <v>104</v>
      </c>
      <c r="F4013" s="3" t="s">
        <v>104</v>
      </c>
      <c r="G4013" s="3" t="s">
        <v>22</v>
      </c>
      <c r="H4013" s="3" t="s">
        <v>93</v>
      </c>
      <c r="I4013" s="3" t="s">
        <v>3034</v>
      </c>
      <c r="J4013" s="3" t="s">
        <v>188</v>
      </c>
      <c r="K4013" s="3">
        <v>7</v>
      </c>
      <c r="L4013" s="3">
        <v>7351.62</v>
      </c>
      <c r="M4013" s="3">
        <v>51461.34</v>
      </c>
      <c r="N4013" s="3">
        <v>34352.980000000003</v>
      </c>
      <c r="O4013" s="3">
        <v>17108.36</v>
      </c>
      <c r="P4013" s="3" t="s">
        <v>86</v>
      </c>
    </row>
    <row r="4014" spans="1:16" x14ac:dyDescent="0.35">
      <c r="A4014" s="3" t="s">
        <v>5451</v>
      </c>
      <c r="B4014" s="3" t="s">
        <v>621</v>
      </c>
      <c r="C4014" s="3" t="s">
        <v>118</v>
      </c>
      <c r="D4014" s="3" t="s">
        <v>58</v>
      </c>
      <c r="E4014" s="3" t="s">
        <v>59</v>
      </c>
      <c r="F4014" s="3" t="s">
        <v>60</v>
      </c>
      <c r="G4014" s="3" t="s">
        <v>30</v>
      </c>
      <c r="H4014" s="3" t="s">
        <v>73</v>
      </c>
      <c r="I4014" s="3" t="s">
        <v>1563</v>
      </c>
      <c r="J4014" s="3" t="s">
        <v>54</v>
      </c>
      <c r="K4014" s="3">
        <v>3</v>
      </c>
      <c r="L4014" s="3">
        <v>3401.61</v>
      </c>
      <c r="M4014" s="3">
        <v>10204.83</v>
      </c>
      <c r="N4014" s="3">
        <v>6956.7</v>
      </c>
      <c r="O4014" s="3">
        <v>3248.13</v>
      </c>
      <c r="P4014" s="3" t="s">
        <v>34</v>
      </c>
    </row>
    <row r="4015" spans="1:16" x14ac:dyDescent="0.35">
      <c r="A4015" s="3" t="s">
        <v>5452</v>
      </c>
      <c r="B4015" s="3" t="s">
        <v>958</v>
      </c>
      <c r="C4015" s="3" t="s">
        <v>118</v>
      </c>
      <c r="D4015" s="3" t="s">
        <v>58</v>
      </c>
      <c r="E4015" s="3" t="s">
        <v>176</v>
      </c>
      <c r="F4015" s="3" t="s">
        <v>177</v>
      </c>
      <c r="G4015" s="3" t="s">
        <v>41</v>
      </c>
      <c r="H4015" s="3" t="s">
        <v>42</v>
      </c>
      <c r="I4015" s="3" t="s">
        <v>3485</v>
      </c>
      <c r="J4015" s="3" t="s">
        <v>188</v>
      </c>
      <c r="K4015" s="3">
        <v>1</v>
      </c>
      <c r="L4015" s="3">
        <v>45108.35</v>
      </c>
      <c r="M4015" s="3">
        <v>45108.35</v>
      </c>
      <c r="N4015" s="3">
        <v>33940.28</v>
      </c>
      <c r="O4015" s="3">
        <v>11168.07</v>
      </c>
      <c r="P4015" s="3" t="s">
        <v>26</v>
      </c>
    </row>
    <row r="4016" spans="1:16" x14ac:dyDescent="0.35">
      <c r="A4016" s="3" t="s">
        <v>5453</v>
      </c>
      <c r="B4016" s="3" t="s">
        <v>1910</v>
      </c>
      <c r="C4016" s="3" t="s">
        <v>29</v>
      </c>
      <c r="D4016" s="3" t="s">
        <v>58</v>
      </c>
      <c r="E4016" s="3" t="s">
        <v>65</v>
      </c>
      <c r="F4016" s="3" t="s">
        <v>66</v>
      </c>
      <c r="G4016" s="3" t="s">
        <v>51</v>
      </c>
      <c r="H4016" s="3" t="s">
        <v>77</v>
      </c>
      <c r="I4016" s="3" t="s">
        <v>1078</v>
      </c>
      <c r="J4016" s="3" t="s">
        <v>44</v>
      </c>
      <c r="K4016" s="3">
        <v>8</v>
      </c>
      <c r="L4016" s="3">
        <v>12133.63</v>
      </c>
      <c r="M4016" s="3">
        <v>97069.04</v>
      </c>
      <c r="N4016" s="3">
        <v>74365.929999999993</v>
      </c>
      <c r="O4016" s="3">
        <v>22703.11</v>
      </c>
      <c r="P4016" s="3" t="s">
        <v>26</v>
      </c>
    </row>
    <row r="4017" spans="1:16" x14ac:dyDescent="0.35">
      <c r="A4017" s="3" t="s">
        <v>5454</v>
      </c>
      <c r="B4017" s="3" t="s">
        <v>288</v>
      </c>
      <c r="C4017" s="3" t="s">
        <v>118</v>
      </c>
      <c r="D4017" s="3" t="s">
        <v>19</v>
      </c>
      <c r="E4017" s="3" t="s">
        <v>49</v>
      </c>
      <c r="F4017" s="3" t="s">
        <v>50</v>
      </c>
      <c r="G4017" s="3" t="s">
        <v>41</v>
      </c>
      <c r="H4017" s="3" t="s">
        <v>61</v>
      </c>
      <c r="I4017" s="3" t="s">
        <v>2100</v>
      </c>
      <c r="J4017" s="3" t="s">
        <v>161</v>
      </c>
      <c r="K4017" s="3">
        <v>6</v>
      </c>
      <c r="L4017" s="3">
        <v>2385.56</v>
      </c>
      <c r="M4017" s="3">
        <v>14313.36</v>
      </c>
      <c r="N4017" s="3">
        <v>10017.91</v>
      </c>
      <c r="O4017" s="3">
        <v>4295.45</v>
      </c>
      <c r="P4017" s="3" t="s">
        <v>34</v>
      </c>
    </row>
    <row r="4018" spans="1:16" x14ac:dyDescent="0.35">
      <c r="A4018" s="3" t="s">
        <v>5455</v>
      </c>
      <c r="B4018" s="3" t="s">
        <v>1159</v>
      </c>
      <c r="C4018" s="3" t="s">
        <v>29</v>
      </c>
      <c r="D4018" s="3" t="s">
        <v>38</v>
      </c>
      <c r="E4018" s="3" t="s">
        <v>109</v>
      </c>
      <c r="F4018" s="3" t="s">
        <v>110</v>
      </c>
      <c r="G4018" s="3" t="s">
        <v>22</v>
      </c>
      <c r="H4018" s="3" t="s">
        <v>83</v>
      </c>
      <c r="I4018" s="3" t="s">
        <v>2011</v>
      </c>
      <c r="J4018" s="3" t="s">
        <v>131</v>
      </c>
      <c r="K4018" s="3">
        <v>1</v>
      </c>
      <c r="L4018" s="3">
        <v>21925.27</v>
      </c>
      <c r="M4018" s="3">
        <v>21925.27</v>
      </c>
      <c r="N4018" s="3">
        <v>16523.189999999999</v>
      </c>
      <c r="O4018" s="3">
        <v>5402.08</v>
      </c>
      <c r="P4018" s="3" t="s">
        <v>86</v>
      </c>
    </row>
    <row r="4019" spans="1:16" x14ac:dyDescent="0.35">
      <c r="A4019" s="3" t="s">
        <v>5456</v>
      </c>
      <c r="B4019" s="3" t="s">
        <v>206</v>
      </c>
      <c r="C4019" s="3" t="s">
        <v>137</v>
      </c>
      <c r="D4019" s="3" t="s">
        <v>38</v>
      </c>
      <c r="E4019" s="3" t="s">
        <v>104</v>
      </c>
      <c r="F4019" s="3" t="s">
        <v>104</v>
      </c>
      <c r="G4019" s="3" t="s">
        <v>30</v>
      </c>
      <c r="H4019" s="3" t="s">
        <v>31</v>
      </c>
      <c r="I4019" s="3" t="s">
        <v>2649</v>
      </c>
      <c r="J4019" s="3" t="s">
        <v>79</v>
      </c>
      <c r="K4019" s="3">
        <v>3</v>
      </c>
      <c r="L4019" s="3">
        <v>2813.07</v>
      </c>
      <c r="M4019" s="3">
        <v>8439.2099999999991</v>
      </c>
      <c r="N4019" s="3">
        <v>5477.29</v>
      </c>
      <c r="O4019" s="3">
        <v>2961.92</v>
      </c>
      <c r="P4019" s="3" t="s">
        <v>45</v>
      </c>
    </row>
    <row r="4020" spans="1:16" x14ac:dyDescent="0.35">
      <c r="A4020" s="3" t="s">
        <v>5457</v>
      </c>
      <c r="B4020" s="3" t="s">
        <v>1552</v>
      </c>
      <c r="C4020" s="3" t="s">
        <v>114</v>
      </c>
      <c r="D4020" s="3" t="s">
        <v>58</v>
      </c>
      <c r="E4020" s="3" t="s">
        <v>176</v>
      </c>
      <c r="F4020" s="3" t="s">
        <v>177</v>
      </c>
      <c r="G4020" s="3" t="s">
        <v>22</v>
      </c>
      <c r="H4020" s="3" t="s">
        <v>93</v>
      </c>
      <c r="I4020" s="3" t="s">
        <v>1798</v>
      </c>
      <c r="J4020" s="3" t="s">
        <v>44</v>
      </c>
      <c r="K4020" s="3">
        <v>4</v>
      </c>
      <c r="L4020" s="3">
        <v>7303.23</v>
      </c>
      <c r="M4020" s="3">
        <v>29212.92</v>
      </c>
      <c r="N4020" s="3">
        <v>20748.580000000002</v>
      </c>
      <c r="O4020" s="3">
        <v>8464.34</v>
      </c>
      <c r="P4020" s="3" t="s">
        <v>34</v>
      </c>
    </row>
    <row r="4021" spans="1:16" x14ac:dyDescent="0.35">
      <c r="A4021" s="3" t="s">
        <v>5458</v>
      </c>
      <c r="B4021" s="3" t="s">
        <v>209</v>
      </c>
      <c r="C4021" s="3" t="s">
        <v>118</v>
      </c>
      <c r="D4021" s="3" t="s">
        <v>38</v>
      </c>
      <c r="E4021" s="3" t="s">
        <v>39</v>
      </c>
      <c r="F4021" s="3" t="s">
        <v>40</v>
      </c>
      <c r="G4021" s="3" t="s">
        <v>51</v>
      </c>
      <c r="H4021" s="3" t="s">
        <v>77</v>
      </c>
      <c r="I4021" s="3" t="s">
        <v>3027</v>
      </c>
      <c r="J4021" s="3" t="s">
        <v>54</v>
      </c>
      <c r="K4021" s="3">
        <v>7</v>
      </c>
      <c r="L4021" s="3">
        <v>12757.53</v>
      </c>
      <c r="M4021" s="3">
        <v>89302.71</v>
      </c>
      <c r="N4021" s="3">
        <v>62907.18</v>
      </c>
      <c r="O4021" s="3">
        <v>26395.53</v>
      </c>
      <c r="P4021" s="3" t="s">
        <v>34</v>
      </c>
    </row>
    <row r="4022" spans="1:16" x14ac:dyDescent="0.35">
      <c r="A4022" s="3" t="s">
        <v>5459</v>
      </c>
      <c r="B4022" s="3" t="s">
        <v>1823</v>
      </c>
      <c r="C4022" s="3" t="s">
        <v>118</v>
      </c>
      <c r="D4022" s="3" t="s">
        <v>19</v>
      </c>
      <c r="E4022" s="3" t="s">
        <v>199</v>
      </c>
      <c r="F4022" s="3" t="s">
        <v>200</v>
      </c>
      <c r="G4022" s="3" t="s">
        <v>51</v>
      </c>
      <c r="H4022" s="3" t="s">
        <v>52</v>
      </c>
      <c r="I4022" s="3" t="s">
        <v>3183</v>
      </c>
      <c r="J4022" s="3" t="s">
        <v>33</v>
      </c>
      <c r="K4022" s="3">
        <v>2</v>
      </c>
      <c r="L4022" s="3">
        <v>24.5</v>
      </c>
      <c r="M4022" s="3">
        <v>49</v>
      </c>
      <c r="N4022" s="3">
        <v>20.65</v>
      </c>
      <c r="O4022" s="3">
        <v>28.35</v>
      </c>
      <c r="P4022" s="3" t="s">
        <v>34</v>
      </c>
    </row>
    <row r="4023" spans="1:16" x14ac:dyDescent="0.35">
      <c r="A4023" s="3" t="s">
        <v>5460</v>
      </c>
      <c r="B4023" s="3" t="s">
        <v>717</v>
      </c>
      <c r="C4023" s="3" t="s">
        <v>114</v>
      </c>
      <c r="D4023" s="3" t="s">
        <v>90</v>
      </c>
      <c r="E4023" s="3" t="s">
        <v>91</v>
      </c>
      <c r="F4023" s="3" t="s">
        <v>92</v>
      </c>
      <c r="G4023" s="3" t="s">
        <v>22</v>
      </c>
      <c r="H4023" s="3" t="s">
        <v>23</v>
      </c>
      <c r="I4023" s="3" t="s">
        <v>643</v>
      </c>
      <c r="J4023" s="3" t="s">
        <v>131</v>
      </c>
      <c r="K4023" s="3">
        <v>8</v>
      </c>
      <c r="L4023" s="3">
        <v>3581.57</v>
      </c>
      <c r="M4023" s="3">
        <v>28652.560000000001</v>
      </c>
      <c r="N4023" s="3">
        <v>17527.240000000002</v>
      </c>
      <c r="O4023" s="3">
        <v>11125.32</v>
      </c>
      <c r="P4023" s="3" t="s">
        <v>34</v>
      </c>
    </row>
    <row r="4024" spans="1:16" x14ac:dyDescent="0.35">
      <c r="A4024" s="3" t="s">
        <v>5461</v>
      </c>
      <c r="B4024" s="3" t="s">
        <v>1766</v>
      </c>
      <c r="C4024" s="3" t="s">
        <v>48</v>
      </c>
      <c r="D4024" s="3" t="s">
        <v>90</v>
      </c>
      <c r="E4024" s="3" t="s">
        <v>119</v>
      </c>
      <c r="F4024" s="3" t="s">
        <v>120</v>
      </c>
      <c r="G4024" s="3" t="s">
        <v>51</v>
      </c>
      <c r="H4024" s="3" t="s">
        <v>145</v>
      </c>
      <c r="I4024" s="3" t="s">
        <v>2945</v>
      </c>
      <c r="J4024" s="3" t="s">
        <v>147</v>
      </c>
      <c r="K4024" s="3">
        <v>2</v>
      </c>
      <c r="L4024" s="3">
        <v>126.05</v>
      </c>
      <c r="M4024" s="3">
        <v>252.1</v>
      </c>
      <c r="N4024" s="3">
        <v>124.97</v>
      </c>
      <c r="O4024" s="3">
        <v>127.13</v>
      </c>
      <c r="P4024" s="3" t="s">
        <v>26</v>
      </c>
    </row>
    <row r="4025" spans="1:16" x14ac:dyDescent="0.35">
      <c r="A4025" s="3" t="s">
        <v>5462</v>
      </c>
      <c r="B4025" s="3" t="s">
        <v>1755</v>
      </c>
      <c r="C4025" s="3" t="s">
        <v>57</v>
      </c>
      <c r="D4025" s="3" t="s">
        <v>38</v>
      </c>
      <c r="E4025" s="3" t="s">
        <v>39</v>
      </c>
      <c r="F4025" s="3" t="s">
        <v>40</v>
      </c>
      <c r="G4025" s="3" t="s">
        <v>30</v>
      </c>
      <c r="H4025" s="3" t="s">
        <v>73</v>
      </c>
      <c r="I4025" s="3" t="s">
        <v>1253</v>
      </c>
      <c r="J4025" s="3" t="s">
        <v>85</v>
      </c>
      <c r="K4025" s="3">
        <v>7</v>
      </c>
      <c r="L4025" s="3">
        <v>2984.07</v>
      </c>
      <c r="M4025" s="3">
        <v>20888.490000000002</v>
      </c>
      <c r="N4025" s="3">
        <v>16234.69</v>
      </c>
      <c r="O4025" s="3">
        <v>4653.8</v>
      </c>
      <c r="P4025" s="3" t="s">
        <v>69</v>
      </c>
    </row>
    <row r="4026" spans="1:16" x14ac:dyDescent="0.35">
      <c r="A4026" s="3" t="s">
        <v>5463</v>
      </c>
      <c r="B4026" s="3" t="s">
        <v>2688</v>
      </c>
      <c r="C4026" s="3" t="s">
        <v>48</v>
      </c>
      <c r="D4026" s="3" t="s">
        <v>19</v>
      </c>
      <c r="E4026" s="3" t="s">
        <v>20</v>
      </c>
      <c r="F4026" s="3" t="s">
        <v>21</v>
      </c>
      <c r="G4026" s="3" t="s">
        <v>51</v>
      </c>
      <c r="H4026" s="3" t="s">
        <v>52</v>
      </c>
      <c r="I4026" s="3" t="s">
        <v>1279</v>
      </c>
      <c r="J4026" s="3" t="s">
        <v>25</v>
      </c>
      <c r="K4026" s="3">
        <v>7</v>
      </c>
      <c r="L4026" s="3">
        <v>23.72</v>
      </c>
      <c r="M4026" s="3">
        <v>166.04</v>
      </c>
      <c r="N4026" s="3">
        <v>68.02</v>
      </c>
      <c r="O4026" s="3">
        <v>98.02</v>
      </c>
      <c r="P4026" s="3" t="s">
        <v>86</v>
      </c>
    </row>
    <row r="4027" spans="1:16" x14ac:dyDescent="0.35">
      <c r="A4027" s="3" t="s">
        <v>5464</v>
      </c>
      <c r="B4027" s="3" t="s">
        <v>770</v>
      </c>
      <c r="C4027" s="3" t="s">
        <v>72</v>
      </c>
      <c r="D4027" s="3" t="s">
        <v>90</v>
      </c>
      <c r="E4027" s="3" t="s">
        <v>119</v>
      </c>
      <c r="F4027" s="3" t="s">
        <v>120</v>
      </c>
      <c r="G4027" s="3" t="s">
        <v>30</v>
      </c>
      <c r="H4027" s="3" t="s">
        <v>67</v>
      </c>
      <c r="I4027" s="3" t="s">
        <v>3381</v>
      </c>
      <c r="J4027" s="3" t="s">
        <v>33</v>
      </c>
      <c r="K4027" s="3">
        <v>6</v>
      </c>
      <c r="L4027" s="3">
        <v>9447.7099999999991</v>
      </c>
      <c r="M4027" s="3">
        <v>56686.26</v>
      </c>
      <c r="N4027" s="3">
        <v>43752.95</v>
      </c>
      <c r="O4027" s="3">
        <v>12933.31</v>
      </c>
      <c r="P4027" s="3" t="s">
        <v>45</v>
      </c>
    </row>
    <row r="4028" spans="1:16" x14ac:dyDescent="0.35">
      <c r="A4028" s="3" t="s">
        <v>5465</v>
      </c>
      <c r="B4028" s="3" t="s">
        <v>361</v>
      </c>
      <c r="C4028" s="3" t="s">
        <v>137</v>
      </c>
      <c r="D4028" s="3" t="s">
        <v>90</v>
      </c>
      <c r="E4028" s="3" t="s">
        <v>119</v>
      </c>
      <c r="F4028" s="3" t="s">
        <v>120</v>
      </c>
      <c r="G4028" s="3" t="s">
        <v>41</v>
      </c>
      <c r="H4028" s="3" t="s">
        <v>42</v>
      </c>
      <c r="I4028" s="3" t="s">
        <v>1782</v>
      </c>
      <c r="J4028" s="3" t="s">
        <v>147</v>
      </c>
      <c r="K4028" s="3">
        <v>6</v>
      </c>
      <c r="L4028" s="3">
        <v>47010.13</v>
      </c>
      <c r="M4028" s="3">
        <v>282060.78000000003</v>
      </c>
      <c r="N4028" s="3">
        <v>218577.95</v>
      </c>
      <c r="O4028" s="3">
        <v>63482.83</v>
      </c>
      <c r="P4028" s="3" t="s">
        <v>69</v>
      </c>
    </row>
    <row r="4029" spans="1:16" x14ac:dyDescent="0.35">
      <c r="A4029" s="3" t="s">
        <v>5466</v>
      </c>
      <c r="B4029" s="3" t="s">
        <v>279</v>
      </c>
      <c r="C4029" s="3" t="s">
        <v>37</v>
      </c>
      <c r="D4029" s="3" t="s">
        <v>19</v>
      </c>
      <c r="E4029" s="3" t="s">
        <v>49</v>
      </c>
      <c r="F4029" s="3" t="s">
        <v>50</v>
      </c>
      <c r="G4029" s="3" t="s">
        <v>41</v>
      </c>
      <c r="H4029" s="3" t="s">
        <v>42</v>
      </c>
      <c r="I4029" s="3" t="s">
        <v>748</v>
      </c>
      <c r="J4029" s="3" t="s">
        <v>161</v>
      </c>
      <c r="K4029" s="3">
        <v>6</v>
      </c>
      <c r="L4029" s="3">
        <v>47791.54</v>
      </c>
      <c r="M4029" s="3">
        <v>286749.24</v>
      </c>
      <c r="N4029" s="3">
        <v>207905.76</v>
      </c>
      <c r="O4029" s="3">
        <v>78843.48</v>
      </c>
      <c r="P4029" s="3" t="s">
        <v>34</v>
      </c>
    </row>
    <row r="4030" spans="1:16" x14ac:dyDescent="0.35">
      <c r="A4030" s="3" t="s">
        <v>5467</v>
      </c>
      <c r="B4030" s="3" t="s">
        <v>2365</v>
      </c>
      <c r="C4030" s="3" t="s">
        <v>57</v>
      </c>
      <c r="D4030" s="3" t="s">
        <v>90</v>
      </c>
      <c r="E4030" s="3" t="s">
        <v>91</v>
      </c>
      <c r="F4030" s="3" t="s">
        <v>92</v>
      </c>
      <c r="G4030" s="3" t="s">
        <v>22</v>
      </c>
      <c r="H4030" s="3" t="s">
        <v>93</v>
      </c>
      <c r="I4030" s="3" t="s">
        <v>2022</v>
      </c>
      <c r="J4030" s="3" t="s">
        <v>131</v>
      </c>
      <c r="K4030" s="3">
        <v>7</v>
      </c>
      <c r="L4030" s="3">
        <v>7274.6</v>
      </c>
      <c r="M4030" s="3">
        <v>50922.2</v>
      </c>
      <c r="N4030" s="3">
        <v>35347.279999999999</v>
      </c>
      <c r="O4030" s="3">
        <v>15574.92</v>
      </c>
      <c r="P4030" s="3" t="s">
        <v>86</v>
      </c>
    </row>
    <row r="4031" spans="1:16" x14ac:dyDescent="0.35">
      <c r="A4031" s="3" t="s">
        <v>5468</v>
      </c>
      <c r="B4031" s="3" t="s">
        <v>163</v>
      </c>
      <c r="C4031" s="3" t="s">
        <v>137</v>
      </c>
      <c r="D4031" s="3" t="s">
        <v>19</v>
      </c>
      <c r="E4031" s="3" t="s">
        <v>199</v>
      </c>
      <c r="F4031" s="3" t="s">
        <v>200</v>
      </c>
      <c r="G4031" s="3" t="s">
        <v>51</v>
      </c>
      <c r="H4031" s="3" t="s">
        <v>77</v>
      </c>
      <c r="I4031" s="3" t="s">
        <v>845</v>
      </c>
      <c r="J4031" s="3" t="s">
        <v>79</v>
      </c>
      <c r="K4031" s="3">
        <v>8</v>
      </c>
      <c r="L4031" s="3">
        <v>12157.49</v>
      </c>
      <c r="M4031" s="3">
        <v>97259.92</v>
      </c>
      <c r="N4031" s="3">
        <v>74047.17</v>
      </c>
      <c r="O4031" s="3">
        <v>23212.75</v>
      </c>
      <c r="P4031" s="3" t="s">
        <v>26</v>
      </c>
    </row>
    <row r="4032" spans="1:16" x14ac:dyDescent="0.35">
      <c r="A4032" s="3" t="s">
        <v>5469</v>
      </c>
      <c r="B4032" s="3" t="s">
        <v>1912</v>
      </c>
      <c r="C4032" s="3" t="s">
        <v>137</v>
      </c>
      <c r="D4032" s="3" t="s">
        <v>58</v>
      </c>
      <c r="E4032" s="3" t="s">
        <v>176</v>
      </c>
      <c r="F4032" s="3" t="s">
        <v>177</v>
      </c>
      <c r="G4032" s="3" t="s">
        <v>30</v>
      </c>
      <c r="H4032" s="3" t="s">
        <v>73</v>
      </c>
      <c r="I4032" s="3" t="s">
        <v>563</v>
      </c>
      <c r="J4032" s="3" t="s">
        <v>171</v>
      </c>
      <c r="K4032" s="3">
        <v>8</v>
      </c>
      <c r="L4032" s="3">
        <v>3160.8</v>
      </c>
      <c r="M4032" s="3">
        <v>25286.400000000001</v>
      </c>
      <c r="N4032" s="3">
        <v>19008.46</v>
      </c>
      <c r="O4032" s="3">
        <v>6277.94</v>
      </c>
      <c r="P4032" s="3" t="s">
        <v>45</v>
      </c>
    </row>
    <row r="4033" spans="1:16" x14ac:dyDescent="0.35">
      <c r="A4033" s="3" t="s">
        <v>5470</v>
      </c>
      <c r="B4033" s="3" t="s">
        <v>1464</v>
      </c>
      <c r="C4033" s="3" t="s">
        <v>137</v>
      </c>
      <c r="D4033" s="3" t="s">
        <v>38</v>
      </c>
      <c r="E4033" s="3" t="s">
        <v>109</v>
      </c>
      <c r="F4033" s="3" t="s">
        <v>110</v>
      </c>
      <c r="G4033" s="3" t="s">
        <v>30</v>
      </c>
      <c r="H4033" s="3" t="s">
        <v>67</v>
      </c>
      <c r="I4033" s="3" t="s">
        <v>1598</v>
      </c>
      <c r="J4033" s="3" t="s">
        <v>188</v>
      </c>
      <c r="K4033" s="3">
        <v>3</v>
      </c>
      <c r="L4033" s="3">
        <v>9096.32</v>
      </c>
      <c r="M4033" s="3">
        <v>27288.959999999999</v>
      </c>
      <c r="N4033" s="3">
        <v>22896.959999999999</v>
      </c>
      <c r="O4033" s="3">
        <v>4392</v>
      </c>
      <c r="P4033" s="3" t="s">
        <v>86</v>
      </c>
    </row>
    <row r="4034" spans="1:16" x14ac:dyDescent="0.35">
      <c r="A4034" s="3" t="s">
        <v>5471</v>
      </c>
      <c r="B4034" s="3" t="s">
        <v>757</v>
      </c>
      <c r="C4034" s="3" t="s">
        <v>137</v>
      </c>
      <c r="D4034" s="3" t="s">
        <v>38</v>
      </c>
      <c r="E4034" s="3" t="s">
        <v>39</v>
      </c>
      <c r="F4034" s="3" t="s">
        <v>40</v>
      </c>
      <c r="G4034" s="3" t="s">
        <v>41</v>
      </c>
      <c r="H4034" s="3" t="s">
        <v>42</v>
      </c>
      <c r="I4034" s="3" t="s">
        <v>2171</v>
      </c>
      <c r="J4034" s="3" t="s">
        <v>171</v>
      </c>
      <c r="K4034" s="3">
        <v>1</v>
      </c>
      <c r="L4034" s="3">
        <v>43351.6</v>
      </c>
      <c r="M4034" s="3">
        <v>43351.6</v>
      </c>
      <c r="N4034" s="3">
        <v>34458.910000000003</v>
      </c>
      <c r="O4034" s="3">
        <v>8892.69</v>
      </c>
      <c r="P4034" s="3" t="s">
        <v>45</v>
      </c>
    </row>
    <row r="4035" spans="1:16" x14ac:dyDescent="0.35">
      <c r="A4035" s="3" t="s">
        <v>5472</v>
      </c>
      <c r="B4035" s="3" t="s">
        <v>452</v>
      </c>
      <c r="C4035" s="3" t="s">
        <v>114</v>
      </c>
      <c r="D4035" s="3" t="s">
        <v>90</v>
      </c>
      <c r="E4035" s="3" t="s">
        <v>91</v>
      </c>
      <c r="F4035" s="3" t="s">
        <v>92</v>
      </c>
      <c r="G4035" s="3" t="s">
        <v>51</v>
      </c>
      <c r="H4035" s="3" t="s">
        <v>77</v>
      </c>
      <c r="I4035" s="3" t="s">
        <v>1474</v>
      </c>
      <c r="J4035" s="3" t="s">
        <v>100</v>
      </c>
      <c r="K4035" s="3">
        <v>5</v>
      </c>
      <c r="L4035" s="3">
        <v>11507.26</v>
      </c>
      <c r="M4035" s="3">
        <v>57536.3</v>
      </c>
      <c r="N4035" s="3">
        <v>44155.839999999997</v>
      </c>
      <c r="O4035" s="3">
        <v>13380.46</v>
      </c>
      <c r="P4035" s="3" t="s">
        <v>69</v>
      </c>
    </row>
    <row r="4036" spans="1:16" x14ac:dyDescent="0.35">
      <c r="A4036" s="3" t="s">
        <v>5473</v>
      </c>
      <c r="B4036" s="3" t="s">
        <v>1205</v>
      </c>
      <c r="C4036" s="3" t="s">
        <v>114</v>
      </c>
      <c r="D4036" s="3" t="s">
        <v>58</v>
      </c>
      <c r="E4036" s="3" t="s">
        <v>59</v>
      </c>
      <c r="F4036" s="3" t="s">
        <v>60</v>
      </c>
      <c r="G4036" s="3" t="s">
        <v>30</v>
      </c>
      <c r="H4036" s="3" t="s">
        <v>31</v>
      </c>
      <c r="I4036" s="3" t="s">
        <v>2312</v>
      </c>
      <c r="J4036" s="3" t="s">
        <v>33</v>
      </c>
      <c r="K4036" s="3">
        <v>6</v>
      </c>
      <c r="L4036" s="3">
        <v>2985.99</v>
      </c>
      <c r="M4036" s="3">
        <v>17915.939999999999</v>
      </c>
      <c r="N4036" s="3">
        <v>11957.67</v>
      </c>
      <c r="O4036" s="3">
        <v>5958.27</v>
      </c>
      <c r="P4036" s="3" t="s">
        <v>34</v>
      </c>
    </row>
    <row r="4037" spans="1:16" x14ac:dyDescent="0.35">
      <c r="A4037" s="3" t="s">
        <v>5474</v>
      </c>
      <c r="B4037" s="3" t="s">
        <v>2211</v>
      </c>
      <c r="C4037" s="3" t="s">
        <v>72</v>
      </c>
      <c r="D4037" s="3" t="s">
        <v>38</v>
      </c>
      <c r="E4037" s="3" t="s">
        <v>109</v>
      </c>
      <c r="F4037" s="3" t="s">
        <v>110</v>
      </c>
      <c r="G4037" s="3" t="s">
        <v>41</v>
      </c>
      <c r="H4037" s="3" t="s">
        <v>61</v>
      </c>
      <c r="I4037" s="3" t="s">
        <v>3014</v>
      </c>
      <c r="J4037" s="3" t="s">
        <v>188</v>
      </c>
      <c r="K4037" s="3">
        <v>1</v>
      </c>
      <c r="L4037" s="3">
        <v>2343.21</v>
      </c>
      <c r="M4037" s="3">
        <v>2343.21</v>
      </c>
      <c r="N4037" s="3">
        <v>1567.96</v>
      </c>
      <c r="O4037" s="3">
        <v>775.25</v>
      </c>
      <c r="P4037" s="3" t="s">
        <v>26</v>
      </c>
    </row>
    <row r="4038" spans="1:16" x14ac:dyDescent="0.35">
      <c r="A4038" s="3" t="s">
        <v>5475</v>
      </c>
      <c r="B4038" s="3" t="s">
        <v>133</v>
      </c>
      <c r="C4038" s="3" t="s">
        <v>18</v>
      </c>
      <c r="D4038" s="3" t="s">
        <v>38</v>
      </c>
      <c r="E4038" s="3" t="s">
        <v>104</v>
      </c>
      <c r="F4038" s="3" t="s">
        <v>104</v>
      </c>
      <c r="G4038" s="3" t="s">
        <v>41</v>
      </c>
      <c r="H4038" s="3" t="s">
        <v>138</v>
      </c>
      <c r="I4038" s="3" t="s">
        <v>3587</v>
      </c>
      <c r="J4038" s="3" t="s">
        <v>161</v>
      </c>
      <c r="K4038" s="3">
        <v>3</v>
      </c>
      <c r="L4038" s="3">
        <v>18176.060000000001</v>
      </c>
      <c r="M4038" s="3">
        <v>54528.18</v>
      </c>
      <c r="N4038" s="3">
        <v>43147.48</v>
      </c>
      <c r="O4038" s="3">
        <v>11380.7</v>
      </c>
      <c r="P4038" s="3" t="s">
        <v>26</v>
      </c>
    </row>
    <row r="4039" spans="1:16" x14ac:dyDescent="0.35">
      <c r="A4039" s="3" t="s">
        <v>5476</v>
      </c>
      <c r="B4039" s="3" t="s">
        <v>802</v>
      </c>
      <c r="C4039" s="3" t="s">
        <v>118</v>
      </c>
      <c r="D4039" s="3" t="s">
        <v>19</v>
      </c>
      <c r="E4039" s="3" t="s">
        <v>199</v>
      </c>
      <c r="F4039" s="3" t="s">
        <v>200</v>
      </c>
      <c r="G4039" s="3" t="s">
        <v>22</v>
      </c>
      <c r="H4039" s="3" t="s">
        <v>83</v>
      </c>
      <c r="I4039" s="3" t="s">
        <v>4616</v>
      </c>
      <c r="J4039" s="3" t="s">
        <v>106</v>
      </c>
      <c r="K4039" s="3">
        <v>1</v>
      </c>
      <c r="L4039" s="3">
        <v>22517.68</v>
      </c>
      <c r="M4039" s="3">
        <v>22517.68</v>
      </c>
      <c r="N4039" s="3">
        <v>16701.900000000001</v>
      </c>
      <c r="O4039" s="3">
        <v>5815.78</v>
      </c>
      <c r="P4039" s="3" t="s">
        <v>69</v>
      </c>
    </row>
    <row r="4040" spans="1:16" x14ac:dyDescent="0.35">
      <c r="A4040" s="3" t="s">
        <v>5477</v>
      </c>
      <c r="B4040" s="3" t="s">
        <v>1314</v>
      </c>
      <c r="C4040" s="3" t="s">
        <v>48</v>
      </c>
      <c r="D4040" s="3" t="s">
        <v>19</v>
      </c>
      <c r="E4040" s="3" t="s">
        <v>49</v>
      </c>
      <c r="F4040" s="3" t="s">
        <v>50</v>
      </c>
      <c r="G4040" s="3" t="s">
        <v>51</v>
      </c>
      <c r="H4040" s="3" t="s">
        <v>52</v>
      </c>
      <c r="I4040" s="3" t="s">
        <v>2885</v>
      </c>
      <c r="J4040" s="3" t="s">
        <v>154</v>
      </c>
      <c r="K4040" s="3">
        <v>2</v>
      </c>
      <c r="L4040" s="3">
        <v>23.17</v>
      </c>
      <c r="M4040" s="3">
        <v>46.34</v>
      </c>
      <c r="N4040" s="3">
        <v>19.23</v>
      </c>
      <c r="O4040" s="3">
        <v>27.11</v>
      </c>
      <c r="P4040" s="3" t="s">
        <v>86</v>
      </c>
    </row>
    <row r="4041" spans="1:16" x14ac:dyDescent="0.35">
      <c r="A4041" s="3" t="s">
        <v>5478</v>
      </c>
      <c r="B4041" s="3" t="s">
        <v>233</v>
      </c>
      <c r="C4041" s="3" t="s">
        <v>103</v>
      </c>
      <c r="D4041" s="3" t="s">
        <v>58</v>
      </c>
      <c r="E4041" s="3" t="s">
        <v>59</v>
      </c>
      <c r="F4041" s="3" t="s">
        <v>60</v>
      </c>
      <c r="G4041" s="3" t="s">
        <v>41</v>
      </c>
      <c r="H4041" s="3" t="s">
        <v>138</v>
      </c>
      <c r="I4041" s="3" t="s">
        <v>2163</v>
      </c>
      <c r="J4041" s="3" t="s">
        <v>106</v>
      </c>
      <c r="K4041" s="3">
        <v>5</v>
      </c>
      <c r="L4041" s="3">
        <v>16810.12</v>
      </c>
      <c r="M4041" s="3">
        <v>84050.6</v>
      </c>
      <c r="N4041" s="3">
        <v>66654.11</v>
      </c>
      <c r="O4041" s="3">
        <v>17396.490000000002</v>
      </c>
      <c r="P4041" s="3" t="s">
        <v>26</v>
      </c>
    </row>
    <row r="4042" spans="1:16" x14ac:dyDescent="0.35">
      <c r="A4042" s="3" t="s">
        <v>5479</v>
      </c>
      <c r="B4042" s="3" t="s">
        <v>282</v>
      </c>
      <c r="C4042" s="3" t="s">
        <v>114</v>
      </c>
      <c r="D4042" s="3" t="s">
        <v>90</v>
      </c>
      <c r="E4042" s="3" t="s">
        <v>119</v>
      </c>
      <c r="F4042" s="3" t="s">
        <v>120</v>
      </c>
      <c r="G4042" s="3" t="s">
        <v>41</v>
      </c>
      <c r="H4042" s="3" t="s">
        <v>61</v>
      </c>
      <c r="I4042" s="3" t="s">
        <v>3783</v>
      </c>
      <c r="J4042" s="3" t="s">
        <v>100</v>
      </c>
      <c r="K4042" s="3">
        <v>4</v>
      </c>
      <c r="L4042" s="3">
        <v>2368.79</v>
      </c>
      <c r="M4042" s="3">
        <v>9475.16</v>
      </c>
      <c r="N4042" s="3">
        <v>6341.51</v>
      </c>
      <c r="O4042" s="3">
        <v>3133.65</v>
      </c>
      <c r="P4042" s="3" t="s">
        <v>26</v>
      </c>
    </row>
    <row r="4043" spans="1:16" x14ac:dyDescent="0.35">
      <c r="A4043" s="3" t="s">
        <v>5480</v>
      </c>
      <c r="B4043" s="3" t="s">
        <v>580</v>
      </c>
      <c r="C4043" s="3" t="s">
        <v>57</v>
      </c>
      <c r="D4043" s="3" t="s">
        <v>58</v>
      </c>
      <c r="E4043" s="3" t="s">
        <v>65</v>
      </c>
      <c r="F4043" s="3" t="s">
        <v>66</v>
      </c>
      <c r="G4043" s="3" t="s">
        <v>51</v>
      </c>
      <c r="H4043" s="3" t="s">
        <v>52</v>
      </c>
      <c r="I4043" s="3" t="s">
        <v>4683</v>
      </c>
      <c r="J4043" s="3" t="s">
        <v>217</v>
      </c>
      <c r="K4043" s="3">
        <v>6</v>
      </c>
      <c r="L4043" s="3">
        <v>26.45</v>
      </c>
      <c r="M4043" s="3">
        <v>158.69999999999999</v>
      </c>
      <c r="N4043" s="3">
        <v>57.41</v>
      </c>
      <c r="O4043" s="3">
        <v>101.29</v>
      </c>
      <c r="P4043" s="3" t="s">
        <v>34</v>
      </c>
    </row>
    <row r="4044" spans="1:16" x14ac:dyDescent="0.35">
      <c r="A4044" s="3" t="s">
        <v>5481</v>
      </c>
      <c r="B4044" s="3" t="s">
        <v>987</v>
      </c>
      <c r="C4044" s="3" t="s">
        <v>82</v>
      </c>
      <c r="D4044" s="3" t="s">
        <v>38</v>
      </c>
      <c r="E4044" s="3" t="s">
        <v>104</v>
      </c>
      <c r="F4044" s="3" t="s">
        <v>104</v>
      </c>
      <c r="G4044" s="3" t="s">
        <v>22</v>
      </c>
      <c r="H4044" s="3" t="s">
        <v>83</v>
      </c>
      <c r="I4044" s="3" t="s">
        <v>1284</v>
      </c>
      <c r="J4044" s="3" t="s">
        <v>85</v>
      </c>
      <c r="K4044" s="3">
        <v>6</v>
      </c>
      <c r="L4044" s="3">
        <v>22238.560000000001</v>
      </c>
      <c r="M4044" s="3">
        <v>133431.35999999999</v>
      </c>
      <c r="N4044" s="3">
        <v>97147.96</v>
      </c>
      <c r="O4044" s="3">
        <v>36283.4</v>
      </c>
      <c r="P4044" s="3" t="s">
        <v>45</v>
      </c>
    </row>
    <row r="4045" spans="1:16" x14ac:dyDescent="0.35">
      <c r="A4045" s="3" t="s">
        <v>5482</v>
      </c>
      <c r="B4045" s="3" t="s">
        <v>225</v>
      </c>
      <c r="C4045" s="3" t="s">
        <v>89</v>
      </c>
      <c r="D4045" s="3" t="s">
        <v>19</v>
      </c>
      <c r="E4045" s="3" t="s">
        <v>20</v>
      </c>
      <c r="F4045" s="3" t="s">
        <v>21</v>
      </c>
      <c r="G4045" s="3" t="s">
        <v>30</v>
      </c>
      <c r="H4045" s="3" t="s">
        <v>67</v>
      </c>
      <c r="I4045" s="3" t="s">
        <v>937</v>
      </c>
      <c r="J4045" s="3" t="s">
        <v>131</v>
      </c>
      <c r="K4045" s="3">
        <v>2</v>
      </c>
      <c r="L4045" s="3">
        <v>9878.4599999999991</v>
      </c>
      <c r="M4045" s="3">
        <v>19756.919999999998</v>
      </c>
      <c r="N4045" s="3">
        <v>15491.67</v>
      </c>
      <c r="O4045" s="3">
        <v>4265.25</v>
      </c>
      <c r="P4045" s="3" t="s">
        <v>26</v>
      </c>
    </row>
    <row r="4046" spans="1:16" x14ac:dyDescent="0.35">
      <c r="A4046" s="3" t="s">
        <v>5483</v>
      </c>
      <c r="B4046" s="3" t="s">
        <v>921</v>
      </c>
      <c r="C4046" s="3" t="s">
        <v>103</v>
      </c>
      <c r="D4046" s="3" t="s">
        <v>58</v>
      </c>
      <c r="E4046" s="3" t="s">
        <v>176</v>
      </c>
      <c r="F4046" s="3" t="s">
        <v>177</v>
      </c>
      <c r="G4046" s="3" t="s">
        <v>22</v>
      </c>
      <c r="H4046" s="3" t="s">
        <v>93</v>
      </c>
      <c r="I4046" s="3" t="s">
        <v>808</v>
      </c>
      <c r="J4046" s="3" t="s">
        <v>161</v>
      </c>
      <c r="K4046" s="3">
        <v>1</v>
      </c>
      <c r="L4046" s="3">
        <v>7367.74</v>
      </c>
      <c r="M4046" s="3">
        <v>7367.74</v>
      </c>
      <c r="N4046" s="3">
        <v>4826.53</v>
      </c>
      <c r="O4046" s="3">
        <v>2541.21</v>
      </c>
      <c r="P4046" s="3" t="s">
        <v>69</v>
      </c>
    </row>
    <row r="4047" spans="1:16" x14ac:dyDescent="0.35">
      <c r="A4047" s="3" t="s">
        <v>5484</v>
      </c>
      <c r="B4047" s="3" t="s">
        <v>787</v>
      </c>
      <c r="C4047" s="3" t="s">
        <v>37</v>
      </c>
      <c r="D4047" s="3" t="s">
        <v>19</v>
      </c>
      <c r="E4047" s="3" t="s">
        <v>49</v>
      </c>
      <c r="F4047" s="3" t="s">
        <v>50</v>
      </c>
      <c r="G4047" s="3" t="s">
        <v>22</v>
      </c>
      <c r="H4047" s="3" t="s">
        <v>93</v>
      </c>
      <c r="I4047" s="3" t="s">
        <v>4597</v>
      </c>
      <c r="J4047" s="3" t="s">
        <v>171</v>
      </c>
      <c r="K4047" s="3">
        <v>5</v>
      </c>
      <c r="L4047" s="3">
        <v>6833.56</v>
      </c>
      <c r="M4047" s="3">
        <v>34167.800000000003</v>
      </c>
      <c r="N4047" s="3">
        <v>25878.79</v>
      </c>
      <c r="O4047" s="3">
        <v>8289.01</v>
      </c>
      <c r="P4047" s="3" t="s">
        <v>26</v>
      </c>
    </row>
    <row r="4048" spans="1:16" x14ac:dyDescent="0.35">
      <c r="A4048" s="3" t="s">
        <v>5485</v>
      </c>
      <c r="B4048" s="3" t="s">
        <v>443</v>
      </c>
      <c r="C4048" s="3" t="s">
        <v>57</v>
      </c>
      <c r="D4048" s="3" t="s">
        <v>90</v>
      </c>
      <c r="E4048" s="3" t="s">
        <v>91</v>
      </c>
      <c r="F4048" s="3" t="s">
        <v>92</v>
      </c>
      <c r="G4048" s="3" t="s">
        <v>22</v>
      </c>
      <c r="H4048" s="3" t="s">
        <v>93</v>
      </c>
      <c r="I4048" s="3" t="s">
        <v>3615</v>
      </c>
      <c r="J4048" s="3" t="s">
        <v>171</v>
      </c>
      <c r="K4048" s="3">
        <v>4</v>
      </c>
      <c r="L4048" s="3">
        <v>7284.54</v>
      </c>
      <c r="M4048" s="3">
        <v>29138.16</v>
      </c>
      <c r="N4048" s="3">
        <v>20064.82</v>
      </c>
      <c r="O4048" s="3">
        <v>9073.34</v>
      </c>
      <c r="P4048" s="3" t="s">
        <v>34</v>
      </c>
    </row>
    <row r="4049" spans="1:16" x14ac:dyDescent="0.35">
      <c r="A4049" s="3" t="s">
        <v>5486</v>
      </c>
      <c r="B4049" s="3" t="s">
        <v>733</v>
      </c>
      <c r="C4049" s="3" t="s">
        <v>89</v>
      </c>
      <c r="D4049" s="3" t="s">
        <v>38</v>
      </c>
      <c r="E4049" s="3" t="s">
        <v>109</v>
      </c>
      <c r="F4049" s="3" t="s">
        <v>110</v>
      </c>
      <c r="G4049" s="3" t="s">
        <v>22</v>
      </c>
      <c r="H4049" s="3" t="s">
        <v>83</v>
      </c>
      <c r="I4049" s="3" t="s">
        <v>1671</v>
      </c>
      <c r="J4049" s="3" t="s">
        <v>85</v>
      </c>
      <c r="K4049" s="3">
        <v>2</v>
      </c>
      <c r="L4049" s="3">
        <v>23904.13</v>
      </c>
      <c r="M4049" s="3">
        <v>47808.26</v>
      </c>
      <c r="N4049" s="3">
        <v>35670.42</v>
      </c>
      <c r="O4049" s="3">
        <v>12137.84</v>
      </c>
      <c r="P4049" s="3" t="s">
        <v>86</v>
      </c>
    </row>
    <row r="4050" spans="1:16" x14ac:dyDescent="0.35">
      <c r="A4050" s="3" t="s">
        <v>5487</v>
      </c>
      <c r="B4050" s="3" t="s">
        <v>2086</v>
      </c>
      <c r="C4050" s="3" t="s">
        <v>72</v>
      </c>
      <c r="D4050" s="3" t="s">
        <v>38</v>
      </c>
      <c r="E4050" s="3" t="s">
        <v>109</v>
      </c>
      <c r="F4050" s="3" t="s">
        <v>110</v>
      </c>
      <c r="G4050" s="3" t="s">
        <v>30</v>
      </c>
      <c r="H4050" s="3" t="s">
        <v>67</v>
      </c>
      <c r="I4050" s="3" t="s">
        <v>2723</v>
      </c>
      <c r="J4050" s="3" t="s">
        <v>154</v>
      </c>
      <c r="K4050" s="3">
        <v>3</v>
      </c>
      <c r="L4050" s="3">
        <v>10129.57</v>
      </c>
      <c r="M4050" s="3">
        <v>30388.71</v>
      </c>
      <c r="N4050" s="3">
        <v>22686.93</v>
      </c>
      <c r="O4050" s="3">
        <v>7701.78</v>
      </c>
      <c r="P4050" s="3" t="s">
        <v>69</v>
      </c>
    </row>
    <row r="4051" spans="1:16" x14ac:dyDescent="0.35">
      <c r="A4051" s="3" t="s">
        <v>5488</v>
      </c>
      <c r="B4051" s="3" t="s">
        <v>2492</v>
      </c>
      <c r="C4051" s="3" t="s">
        <v>118</v>
      </c>
      <c r="D4051" s="3" t="s">
        <v>58</v>
      </c>
      <c r="E4051" s="3" t="s">
        <v>65</v>
      </c>
      <c r="F4051" s="3" t="s">
        <v>66</v>
      </c>
      <c r="G4051" s="3" t="s">
        <v>30</v>
      </c>
      <c r="H4051" s="3" t="s">
        <v>73</v>
      </c>
      <c r="I4051" s="3" t="s">
        <v>3105</v>
      </c>
      <c r="J4051" s="3" t="s">
        <v>79</v>
      </c>
      <c r="K4051" s="3">
        <v>1</v>
      </c>
      <c r="L4051" s="3">
        <v>3031.95</v>
      </c>
      <c r="M4051" s="3">
        <v>3031.95</v>
      </c>
      <c r="N4051" s="3">
        <v>2288.54</v>
      </c>
      <c r="O4051" s="3">
        <v>743.41</v>
      </c>
      <c r="P4051" s="3" t="s">
        <v>45</v>
      </c>
    </row>
    <row r="4052" spans="1:16" x14ac:dyDescent="0.35">
      <c r="A4052" s="3" t="s">
        <v>5489</v>
      </c>
      <c r="B4052" s="3" t="s">
        <v>877</v>
      </c>
      <c r="C4052" s="3" t="s">
        <v>114</v>
      </c>
      <c r="D4052" s="3" t="s">
        <v>38</v>
      </c>
      <c r="E4052" s="3" t="s">
        <v>109</v>
      </c>
      <c r="F4052" s="3" t="s">
        <v>110</v>
      </c>
      <c r="G4052" s="3" t="s">
        <v>22</v>
      </c>
      <c r="H4052" s="3" t="s">
        <v>93</v>
      </c>
      <c r="I4052" s="3" t="s">
        <v>587</v>
      </c>
      <c r="J4052" s="3" t="s">
        <v>79</v>
      </c>
      <c r="K4052" s="3">
        <v>2</v>
      </c>
      <c r="L4052" s="3">
        <v>7420.93</v>
      </c>
      <c r="M4052" s="3">
        <v>14841.86</v>
      </c>
      <c r="N4052" s="3">
        <v>10203.34</v>
      </c>
      <c r="O4052" s="3">
        <v>4638.5200000000004</v>
      </c>
      <c r="P4052" s="3" t="s">
        <v>69</v>
      </c>
    </row>
    <row r="4053" spans="1:16" x14ac:dyDescent="0.35">
      <c r="A4053" s="3" t="s">
        <v>5490</v>
      </c>
      <c r="B4053" s="3" t="s">
        <v>225</v>
      </c>
      <c r="C4053" s="3" t="s">
        <v>89</v>
      </c>
      <c r="D4053" s="3" t="s">
        <v>19</v>
      </c>
      <c r="E4053" s="3" t="s">
        <v>199</v>
      </c>
      <c r="F4053" s="3" t="s">
        <v>200</v>
      </c>
      <c r="G4053" s="3" t="s">
        <v>22</v>
      </c>
      <c r="H4053" s="3" t="s">
        <v>83</v>
      </c>
      <c r="I4053" s="3" t="s">
        <v>3444</v>
      </c>
      <c r="J4053" s="3" t="s">
        <v>188</v>
      </c>
      <c r="K4053" s="3">
        <v>2</v>
      </c>
      <c r="L4053" s="3">
        <v>20212.93</v>
      </c>
      <c r="M4053" s="3">
        <v>40425.86</v>
      </c>
      <c r="N4053" s="3">
        <v>34139.11</v>
      </c>
      <c r="O4053" s="3">
        <v>6286.75</v>
      </c>
      <c r="P4053" s="3" t="s">
        <v>34</v>
      </c>
    </row>
    <row r="4054" spans="1:16" x14ac:dyDescent="0.35">
      <c r="A4054" s="3" t="s">
        <v>5491</v>
      </c>
      <c r="B4054" s="3" t="s">
        <v>685</v>
      </c>
      <c r="C4054" s="3" t="s">
        <v>137</v>
      </c>
      <c r="D4054" s="3" t="s">
        <v>90</v>
      </c>
      <c r="E4054" s="3" t="s">
        <v>119</v>
      </c>
      <c r="F4054" s="3" t="s">
        <v>120</v>
      </c>
      <c r="G4054" s="3" t="s">
        <v>22</v>
      </c>
      <c r="H4054" s="3" t="s">
        <v>93</v>
      </c>
      <c r="I4054" s="3" t="s">
        <v>563</v>
      </c>
      <c r="J4054" s="3" t="s">
        <v>217</v>
      </c>
      <c r="K4054" s="3">
        <v>6</v>
      </c>
      <c r="L4054" s="3">
        <v>7171.41</v>
      </c>
      <c r="M4054" s="3">
        <v>43028.46</v>
      </c>
      <c r="N4054" s="3">
        <v>31151.26</v>
      </c>
      <c r="O4054" s="3">
        <v>11877.2</v>
      </c>
      <c r="P4054" s="3" t="s">
        <v>86</v>
      </c>
    </row>
    <row r="4055" spans="1:16" x14ac:dyDescent="0.35">
      <c r="A4055" s="3" t="s">
        <v>5492</v>
      </c>
      <c r="B4055" s="3" t="s">
        <v>1910</v>
      </c>
      <c r="C4055" s="3" t="s">
        <v>29</v>
      </c>
      <c r="D4055" s="3" t="s">
        <v>19</v>
      </c>
      <c r="E4055" s="3" t="s">
        <v>49</v>
      </c>
      <c r="F4055" s="3" t="s">
        <v>50</v>
      </c>
      <c r="G4055" s="3" t="s">
        <v>30</v>
      </c>
      <c r="H4055" s="3" t="s">
        <v>31</v>
      </c>
      <c r="I4055" s="3" t="s">
        <v>1685</v>
      </c>
      <c r="J4055" s="3" t="s">
        <v>147</v>
      </c>
      <c r="K4055" s="3">
        <v>8</v>
      </c>
      <c r="L4055" s="3">
        <v>2611.34</v>
      </c>
      <c r="M4055" s="3">
        <v>20890.72</v>
      </c>
      <c r="N4055" s="3">
        <v>14632.87</v>
      </c>
      <c r="O4055" s="3">
        <v>6257.85</v>
      </c>
      <c r="P4055" s="3" t="s">
        <v>69</v>
      </c>
    </row>
    <row r="4056" spans="1:16" x14ac:dyDescent="0.35">
      <c r="A4056" s="3" t="s">
        <v>5493</v>
      </c>
      <c r="B4056" s="3" t="s">
        <v>1269</v>
      </c>
      <c r="C4056" s="3" t="s">
        <v>57</v>
      </c>
      <c r="D4056" s="3" t="s">
        <v>58</v>
      </c>
      <c r="E4056" s="3" t="s">
        <v>176</v>
      </c>
      <c r="F4056" s="3" t="s">
        <v>177</v>
      </c>
      <c r="G4056" s="3" t="s">
        <v>30</v>
      </c>
      <c r="H4056" s="3" t="s">
        <v>31</v>
      </c>
      <c r="I4056" s="3" t="s">
        <v>1493</v>
      </c>
      <c r="J4056" s="3" t="s">
        <v>131</v>
      </c>
      <c r="K4056" s="3">
        <v>1</v>
      </c>
      <c r="L4056" s="3">
        <v>3046.59</v>
      </c>
      <c r="M4056" s="3">
        <v>3046.59</v>
      </c>
      <c r="N4056" s="3">
        <v>1818.97</v>
      </c>
      <c r="O4056" s="3">
        <v>1227.6199999999999</v>
      </c>
      <c r="P4056" s="3" t="s">
        <v>86</v>
      </c>
    </row>
    <row r="4057" spans="1:16" x14ac:dyDescent="0.35">
      <c r="A4057" s="3" t="s">
        <v>5494</v>
      </c>
      <c r="B4057" s="3" t="s">
        <v>575</v>
      </c>
      <c r="C4057" s="3" t="s">
        <v>137</v>
      </c>
      <c r="D4057" s="3" t="s">
        <v>38</v>
      </c>
      <c r="E4057" s="3" t="s">
        <v>39</v>
      </c>
      <c r="F4057" s="3" t="s">
        <v>40</v>
      </c>
      <c r="G4057" s="3" t="s">
        <v>22</v>
      </c>
      <c r="H4057" s="3" t="s">
        <v>93</v>
      </c>
      <c r="I4057" s="3" t="s">
        <v>316</v>
      </c>
      <c r="J4057" s="3" t="s">
        <v>106</v>
      </c>
      <c r="K4057" s="3">
        <v>1</v>
      </c>
      <c r="L4057" s="3">
        <v>7247.91</v>
      </c>
      <c r="M4057" s="3">
        <v>7247.91</v>
      </c>
      <c r="N4057" s="3">
        <v>5147.51</v>
      </c>
      <c r="O4057" s="3">
        <v>2100.4</v>
      </c>
      <c r="P4057" s="3" t="s">
        <v>69</v>
      </c>
    </row>
    <row r="4058" spans="1:16" x14ac:dyDescent="0.35">
      <c r="A4058" s="3" t="s">
        <v>5495</v>
      </c>
      <c r="B4058" s="3" t="s">
        <v>318</v>
      </c>
      <c r="C4058" s="3" t="s">
        <v>37</v>
      </c>
      <c r="D4058" s="3" t="s">
        <v>58</v>
      </c>
      <c r="E4058" s="3" t="s">
        <v>65</v>
      </c>
      <c r="F4058" s="3" t="s">
        <v>66</v>
      </c>
      <c r="G4058" s="3" t="s">
        <v>22</v>
      </c>
      <c r="H4058" s="3" t="s">
        <v>83</v>
      </c>
      <c r="I4058" s="3" t="s">
        <v>2215</v>
      </c>
      <c r="J4058" s="3" t="s">
        <v>147</v>
      </c>
      <c r="K4058" s="3">
        <v>7</v>
      </c>
      <c r="L4058" s="3">
        <v>20813.37</v>
      </c>
      <c r="M4058" s="3">
        <v>145693.59</v>
      </c>
      <c r="N4058" s="3">
        <v>113595.24</v>
      </c>
      <c r="O4058" s="3">
        <v>32098.35</v>
      </c>
      <c r="P4058" s="3" t="s">
        <v>26</v>
      </c>
    </row>
    <row r="4059" spans="1:16" x14ac:dyDescent="0.35">
      <c r="A4059" s="3" t="s">
        <v>5496</v>
      </c>
      <c r="B4059" s="3" t="s">
        <v>634</v>
      </c>
      <c r="C4059" s="3" t="s">
        <v>29</v>
      </c>
      <c r="D4059" s="3" t="s">
        <v>38</v>
      </c>
      <c r="E4059" s="3" t="s">
        <v>109</v>
      </c>
      <c r="F4059" s="3" t="s">
        <v>110</v>
      </c>
      <c r="G4059" s="3" t="s">
        <v>41</v>
      </c>
      <c r="H4059" s="3" t="s">
        <v>61</v>
      </c>
      <c r="I4059" s="3" t="s">
        <v>252</v>
      </c>
      <c r="J4059" s="3" t="s">
        <v>154</v>
      </c>
      <c r="K4059" s="3">
        <v>4</v>
      </c>
      <c r="L4059" s="3">
        <v>2367.14</v>
      </c>
      <c r="M4059" s="3">
        <v>9468.56</v>
      </c>
      <c r="N4059" s="3">
        <v>6672.85</v>
      </c>
      <c r="O4059" s="3">
        <v>2795.71</v>
      </c>
      <c r="P4059" s="3" t="s">
        <v>26</v>
      </c>
    </row>
    <row r="4060" spans="1:16" x14ac:dyDescent="0.35">
      <c r="A4060" s="3" t="s">
        <v>5497</v>
      </c>
      <c r="B4060" s="3" t="s">
        <v>71</v>
      </c>
      <c r="C4060" s="3" t="s">
        <v>72</v>
      </c>
      <c r="D4060" s="3" t="s">
        <v>19</v>
      </c>
      <c r="E4060" s="3" t="s">
        <v>199</v>
      </c>
      <c r="F4060" s="3" t="s">
        <v>200</v>
      </c>
      <c r="G4060" s="3" t="s">
        <v>22</v>
      </c>
      <c r="H4060" s="3" t="s">
        <v>93</v>
      </c>
      <c r="I4060" s="3" t="s">
        <v>74</v>
      </c>
      <c r="J4060" s="3" t="s">
        <v>131</v>
      </c>
      <c r="K4060" s="3">
        <v>1</v>
      </c>
      <c r="L4060" s="3">
        <v>6938.72</v>
      </c>
      <c r="M4060" s="3">
        <v>6938.72</v>
      </c>
      <c r="N4060" s="3">
        <v>5161</v>
      </c>
      <c r="O4060" s="3">
        <v>1777.72</v>
      </c>
      <c r="P4060" s="3" t="s">
        <v>86</v>
      </c>
    </row>
    <row r="4061" spans="1:16" x14ac:dyDescent="0.35">
      <c r="A4061" s="3" t="s">
        <v>5498</v>
      </c>
      <c r="B4061" s="3" t="s">
        <v>1385</v>
      </c>
      <c r="C4061" s="3" t="s">
        <v>29</v>
      </c>
      <c r="D4061" s="3" t="s">
        <v>19</v>
      </c>
      <c r="E4061" s="3" t="s">
        <v>49</v>
      </c>
      <c r="F4061" s="3" t="s">
        <v>50</v>
      </c>
      <c r="G4061" s="3" t="s">
        <v>22</v>
      </c>
      <c r="H4061" s="3" t="s">
        <v>83</v>
      </c>
      <c r="I4061" s="3" t="s">
        <v>980</v>
      </c>
      <c r="J4061" s="3" t="s">
        <v>100</v>
      </c>
      <c r="K4061" s="3">
        <v>7</v>
      </c>
      <c r="L4061" s="3">
        <v>21067.46</v>
      </c>
      <c r="M4061" s="3">
        <v>147472.22</v>
      </c>
      <c r="N4061" s="3">
        <v>116230.94</v>
      </c>
      <c r="O4061" s="3">
        <v>31241.279999999999</v>
      </c>
      <c r="P4061" s="3" t="s">
        <v>69</v>
      </c>
    </row>
    <row r="4062" spans="1:16" x14ac:dyDescent="0.35">
      <c r="A4062" s="3" t="s">
        <v>5499</v>
      </c>
      <c r="B4062" s="3" t="s">
        <v>696</v>
      </c>
      <c r="C4062" s="3" t="s">
        <v>82</v>
      </c>
      <c r="D4062" s="3" t="s">
        <v>58</v>
      </c>
      <c r="E4062" s="3" t="s">
        <v>176</v>
      </c>
      <c r="F4062" s="3" t="s">
        <v>177</v>
      </c>
      <c r="G4062" s="3" t="s">
        <v>30</v>
      </c>
      <c r="H4062" s="3" t="s">
        <v>73</v>
      </c>
      <c r="I4062" s="3" t="s">
        <v>3898</v>
      </c>
      <c r="J4062" s="3" t="s">
        <v>147</v>
      </c>
      <c r="K4062" s="3">
        <v>6</v>
      </c>
      <c r="L4062" s="3">
        <v>3215.94</v>
      </c>
      <c r="M4062" s="3">
        <v>19295.64</v>
      </c>
      <c r="N4062" s="3">
        <v>14481.18</v>
      </c>
      <c r="O4062" s="3">
        <v>4814.46</v>
      </c>
      <c r="P4062" s="3" t="s">
        <v>69</v>
      </c>
    </row>
    <row r="4063" spans="1:16" x14ac:dyDescent="0.35">
      <c r="A4063" s="3" t="s">
        <v>5500</v>
      </c>
      <c r="B4063" s="3" t="s">
        <v>534</v>
      </c>
      <c r="C4063" s="3" t="s">
        <v>29</v>
      </c>
      <c r="D4063" s="3" t="s">
        <v>38</v>
      </c>
      <c r="E4063" s="3" t="s">
        <v>109</v>
      </c>
      <c r="F4063" s="3" t="s">
        <v>110</v>
      </c>
      <c r="G4063" s="3" t="s">
        <v>51</v>
      </c>
      <c r="H4063" s="3" t="s">
        <v>77</v>
      </c>
      <c r="I4063" s="3" t="s">
        <v>3366</v>
      </c>
      <c r="J4063" s="3" t="s">
        <v>33</v>
      </c>
      <c r="K4063" s="3">
        <v>2</v>
      </c>
      <c r="L4063" s="3">
        <v>11662.86</v>
      </c>
      <c r="M4063" s="3">
        <v>23325.72</v>
      </c>
      <c r="N4063" s="3">
        <v>18105.64</v>
      </c>
      <c r="O4063" s="3">
        <v>5220.08</v>
      </c>
      <c r="P4063" s="3" t="s">
        <v>69</v>
      </c>
    </row>
    <row r="4064" spans="1:16" x14ac:dyDescent="0.35">
      <c r="A4064" s="3" t="s">
        <v>5501</v>
      </c>
      <c r="B4064" s="3" t="s">
        <v>1238</v>
      </c>
      <c r="C4064" s="3" t="s">
        <v>82</v>
      </c>
      <c r="D4064" s="3" t="s">
        <v>38</v>
      </c>
      <c r="E4064" s="3" t="s">
        <v>109</v>
      </c>
      <c r="F4064" s="3" t="s">
        <v>110</v>
      </c>
      <c r="G4064" s="3" t="s">
        <v>41</v>
      </c>
      <c r="H4064" s="3" t="s">
        <v>42</v>
      </c>
      <c r="I4064" s="3" t="s">
        <v>2728</v>
      </c>
      <c r="J4064" s="3" t="s">
        <v>85</v>
      </c>
      <c r="K4064" s="3">
        <v>5</v>
      </c>
      <c r="L4064" s="3">
        <v>42574.46</v>
      </c>
      <c r="M4064" s="3">
        <v>212872.3</v>
      </c>
      <c r="N4064" s="3">
        <v>169563.57</v>
      </c>
      <c r="O4064" s="3">
        <v>43308.73</v>
      </c>
      <c r="P4064" s="3" t="s">
        <v>69</v>
      </c>
    </row>
    <row r="4065" spans="1:16" x14ac:dyDescent="0.35">
      <c r="A4065" s="3" t="s">
        <v>5502</v>
      </c>
      <c r="B4065" s="3" t="s">
        <v>743</v>
      </c>
      <c r="C4065" s="3" t="s">
        <v>72</v>
      </c>
      <c r="D4065" s="3" t="s">
        <v>90</v>
      </c>
      <c r="E4065" s="3" t="s">
        <v>91</v>
      </c>
      <c r="F4065" s="3" t="s">
        <v>92</v>
      </c>
      <c r="G4065" s="3" t="s">
        <v>41</v>
      </c>
      <c r="H4065" s="3" t="s">
        <v>42</v>
      </c>
      <c r="I4065" s="3" t="s">
        <v>1325</v>
      </c>
      <c r="J4065" s="3" t="s">
        <v>25</v>
      </c>
      <c r="K4065" s="3">
        <v>2</v>
      </c>
      <c r="L4065" s="3">
        <v>45491.66</v>
      </c>
      <c r="M4065" s="3">
        <v>90983.32</v>
      </c>
      <c r="N4065" s="3">
        <v>70315.27</v>
      </c>
      <c r="O4065" s="3">
        <v>20668.05</v>
      </c>
      <c r="P4065" s="3" t="s">
        <v>26</v>
      </c>
    </row>
    <row r="4066" spans="1:16" x14ac:dyDescent="0.35">
      <c r="A4066" s="3" t="s">
        <v>5503</v>
      </c>
      <c r="B4066" s="3" t="s">
        <v>738</v>
      </c>
      <c r="C4066" s="3" t="s">
        <v>114</v>
      </c>
      <c r="D4066" s="3" t="s">
        <v>90</v>
      </c>
      <c r="E4066" s="3" t="s">
        <v>97</v>
      </c>
      <c r="F4066" s="3" t="s">
        <v>98</v>
      </c>
      <c r="G4066" s="3" t="s">
        <v>51</v>
      </c>
      <c r="H4066" s="3" t="s">
        <v>52</v>
      </c>
      <c r="I4066" s="3" t="s">
        <v>775</v>
      </c>
      <c r="J4066" s="3" t="s">
        <v>79</v>
      </c>
      <c r="K4066" s="3">
        <v>8</v>
      </c>
      <c r="L4066" s="3">
        <v>26.39</v>
      </c>
      <c r="M4066" s="3">
        <v>211.12</v>
      </c>
      <c r="N4066" s="3">
        <v>81.66</v>
      </c>
      <c r="O4066" s="3">
        <v>129.46</v>
      </c>
      <c r="P4066" s="3" t="s">
        <v>34</v>
      </c>
    </row>
    <row r="4067" spans="1:16" x14ac:dyDescent="0.35">
      <c r="A4067" s="3" t="s">
        <v>5504</v>
      </c>
      <c r="B4067" s="3" t="s">
        <v>607</v>
      </c>
      <c r="C4067" s="3" t="s">
        <v>114</v>
      </c>
      <c r="D4067" s="3" t="s">
        <v>19</v>
      </c>
      <c r="E4067" s="3" t="s">
        <v>49</v>
      </c>
      <c r="F4067" s="3" t="s">
        <v>50</v>
      </c>
      <c r="G4067" s="3" t="s">
        <v>41</v>
      </c>
      <c r="H4067" s="3" t="s">
        <v>42</v>
      </c>
      <c r="I4067" s="3" t="s">
        <v>1111</v>
      </c>
      <c r="J4067" s="3" t="s">
        <v>85</v>
      </c>
      <c r="K4067" s="3">
        <v>8</v>
      </c>
      <c r="L4067" s="3">
        <v>47271.94</v>
      </c>
      <c r="M4067" s="3">
        <v>378175.52</v>
      </c>
      <c r="N4067" s="3">
        <v>274450.03000000003</v>
      </c>
      <c r="O4067" s="3">
        <v>103725.49</v>
      </c>
      <c r="P4067" s="3" t="s">
        <v>45</v>
      </c>
    </row>
    <row r="4068" spans="1:16" x14ac:dyDescent="0.35">
      <c r="A4068" s="3" t="s">
        <v>5505</v>
      </c>
      <c r="B4068" s="3" t="s">
        <v>1761</v>
      </c>
      <c r="C4068" s="3" t="s">
        <v>72</v>
      </c>
      <c r="D4068" s="3" t="s">
        <v>90</v>
      </c>
      <c r="E4068" s="3" t="s">
        <v>97</v>
      </c>
      <c r="F4068" s="3" t="s">
        <v>98</v>
      </c>
      <c r="G4068" s="3" t="s">
        <v>51</v>
      </c>
      <c r="H4068" s="3" t="s">
        <v>77</v>
      </c>
      <c r="I4068" s="3" t="s">
        <v>943</v>
      </c>
      <c r="J4068" s="3" t="s">
        <v>161</v>
      </c>
      <c r="K4068" s="3">
        <v>2</v>
      </c>
      <c r="L4068" s="3">
        <v>11731.45</v>
      </c>
      <c r="M4068" s="3">
        <v>23462.9</v>
      </c>
      <c r="N4068" s="3">
        <v>17234.22</v>
      </c>
      <c r="O4068" s="3">
        <v>6228.68</v>
      </c>
      <c r="P4068" s="3" t="s">
        <v>86</v>
      </c>
    </row>
    <row r="4069" spans="1:16" x14ac:dyDescent="0.35">
      <c r="A4069" s="3" t="s">
        <v>5506</v>
      </c>
      <c r="B4069" s="3" t="s">
        <v>136</v>
      </c>
      <c r="C4069" s="3" t="s">
        <v>137</v>
      </c>
      <c r="D4069" s="3" t="s">
        <v>38</v>
      </c>
      <c r="E4069" s="3" t="s">
        <v>104</v>
      </c>
      <c r="F4069" s="3" t="s">
        <v>104</v>
      </c>
      <c r="G4069" s="3" t="s">
        <v>30</v>
      </c>
      <c r="H4069" s="3" t="s">
        <v>67</v>
      </c>
      <c r="I4069" s="3" t="s">
        <v>2467</v>
      </c>
      <c r="J4069" s="3" t="s">
        <v>147</v>
      </c>
      <c r="K4069" s="3">
        <v>8</v>
      </c>
      <c r="L4069" s="3">
        <v>9584.64</v>
      </c>
      <c r="M4069" s="3">
        <v>76677.119999999995</v>
      </c>
      <c r="N4069" s="3">
        <v>60547.54</v>
      </c>
      <c r="O4069" s="3">
        <v>16129.58</v>
      </c>
      <c r="P4069" s="3" t="s">
        <v>45</v>
      </c>
    </row>
    <row r="4070" spans="1:16" x14ac:dyDescent="0.35">
      <c r="A4070" s="3" t="s">
        <v>5507</v>
      </c>
      <c r="B4070" s="3" t="s">
        <v>958</v>
      </c>
      <c r="C4070" s="3" t="s">
        <v>118</v>
      </c>
      <c r="D4070" s="3" t="s">
        <v>38</v>
      </c>
      <c r="E4070" s="3" t="s">
        <v>39</v>
      </c>
      <c r="F4070" s="3" t="s">
        <v>40</v>
      </c>
      <c r="G4070" s="3" t="s">
        <v>41</v>
      </c>
      <c r="H4070" s="3" t="s">
        <v>138</v>
      </c>
      <c r="I4070" s="3" t="s">
        <v>1817</v>
      </c>
      <c r="J4070" s="3" t="s">
        <v>100</v>
      </c>
      <c r="K4070" s="3">
        <v>2</v>
      </c>
      <c r="L4070" s="3">
        <v>19534.04</v>
      </c>
      <c r="M4070" s="3">
        <v>39068.080000000002</v>
      </c>
      <c r="N4070" s="3">
        <v>28454.32</v>
      </c>
      <c r="O4070" s="3">
        <v>10613.76</v>
      </c>
      <c r="P4070" s="3" t="s">
        <v>26</v>
      </c>
    </row>
    <row r="4071" spans="1:16" x14ac:dyDescent="0.35">
      <c r="A4071" s="3" t="s">
        <v>5508</v>
      </c>
      <c r="B4071" s="3" t="s">
        <v>1021</v>
      </c>
      <c r="C4071" s="3" t="s">
        <v>82</v>
      </c>
      <c r="D4071" s="3" t="s">
        <v>38</v>
      </c>
      <c r="E4071" s="3" t="s">
        <v>104</v>
      </c>
      <c r="F4071" s="3" t="s">
        <v>104</v>
      </c>
      <c r="G4071" s="3" t="s">
        <v>41</v>
      </c>
      <c r="H4071" s="3" t="s">
        <v>42</v>
      </c>
      <c r="I4071" s="3" t="s">
        <v>1607</v>
      </c>
      <c r="J4071" s="3" t="s">
        <v>44</v>
      </c>
      <c r="K4071" s="3">
        <v>1</v>
      </c>
      <c r="L4071" s="3">
        <v>48419.64</v>
      </c>
      <c r="M4071" s="3">
        <v>48419.64</v>
      </c>
      <c r="N4071" s="3">
        <v>34372.82</v>
      </c>
      <c r="O4071" s="3">
        <v>14046.82</v>
      </c>
      <c r="P4071" s="3" t="s">
        <v>86</v>
      </c>
    </row>
    <row r="4072" spans="1:16" x14ac:dyDescent="0.35">
      <c r="A4072" s="3" t="s">
        <v>5509</v>
      </c>
      <c r="B4072" s="3" t="s">
        <v>1187</v>
      </c>
      <c r="C4072" s="3" t="s">
        <v>18</v>
      </c>
      <c r="D4072" s="3" t="s">
        <v>19</v>
      </c>
      <c r="E4072" s="3" t="s">
        <v>49</v>
      </c>
      <c r="F4072" s="3" t="s">
        <v>50</v>
      </c>
      <c r="G4072" s="3" t="s">
        <v>51</v>
      </c>
      <c r="H4072" s="3" t="s">
        <v>77</v>
      </c>
      <c r="I4072" s="3" t="s">
        <v>1233</v>
      </c>
      <c r="J4072" s="3" t="s">
        <v>154</v>
      </c>
      <c r="K4072" s="3">
        <v>6</v>
      </c>
      <c r="L4072" s="3">
        <v>12153.89</v>
      </c>
      <c r="M4072" s="3">
        <v>72923.34</v>
      </c>
      <c r="N4072" s="3">
        <v>53484.92</v>
      </c>
      <c r="O4072" s="3">
        <v>19438.419999999998</v>
      </c>
      <c r="P4072" s="3" t="s">
        <v>34</v>
      </c>
    </row>
    <row r="4073" spans="1:16" x14ac:dyDescent="0.35">
      <c r="A4073" s="3" t="s">
        <v>5510</v>
      </c>
      <c r="B4073" s="3" t="s">
        <v>1594</v>
      </c>
      <c r="C4073" s="3" t="s">
        <v>48</v>
      </c>
      <c r="D4073" s="3" t="s">
        <v>90</v>
      </c>
      <c r="E4073" s="3" t="s">
        <v>91</v>
      </c>
      <c r="F4073" s="3" t="s">
        <v>92</v>
      </c>
      <c r="G4073" s="3" t="s">
        <v>30</v>
      </c>
      <c r="H4073" s="3" t="s">
        <v>73</v>
      </c>
      <c r="I4073" s="3" t="s">
        <v>1651</v>
      </c>
      <c r="J4073" s="3" t="s">
        <v>25</v>
      </c>
      <c r="K4073" s="3">
        <v>7</v>
      </c>
      <c r="L4073" s="3">
        <v>2892.3</v>
      </c>
      <c r="M4073" s="3">
        <v>20246.099999999999</v>
      </c>
      <c r="N4073" s="3">
        <v>16562.169999999998</v>
      </c>
      <c r="O4073" s="3">
        <v>3683.93</v>
      </c>
      <c r="P4073" s="3" t="s">
        <v>45</v>
      </c>
    </row>
    <row r="4074" spans="1:16" x14ac:dyDescent="0.35">
      <c r="A4074" s="3" t="s">
        <v>5511</v>
      </c>
      <c r="B4074" s="3" t="s">
        <v>666</v>
      </c>
      <c r="C4074" s="3" t="s">
        <v>37</v>
      </c>
      <c r="D4074" s="3" t="s">
        <v>90</v>
      </c>
      <c r="E4074" s="3" t="s">
        <v>119</v>
      </c>
      <c r="F4074" s="3" t="s">
        <v>120</v>
      </c>
      <c r="G4074" s="3" t="s">
        <v>41</v>
      </c>
      <c r="H4074" s="3" t="s">
        <v>138</v>
      </c>
      <c r="I4074" s="3" t="s">
        <v>755</v>
      </c>
      <c r="J4074" s="3" t="s">
        <v>54</v>
      </c>
      <c r="K4074" s="3">
        <v>8</v>
      </c>
      <c r="L4074" s="3">
        <v>18351.28</v>
      </c>
      <c r="M4074" s="3">
        <v>146810.23999999999</v>
      </c>
      <c r="N4074" s="3">
        <v>115820.53</v>
      </c>
      <c r="O4074" s="3">
        <v>30989.71</v>
      </c>
      <c r="P4074" s="3" t="s">
        <v>26</v>
      </c>
    </row>
    <row r="4075" spans="1:16" x14ac:dyDescent="0.35">
      <c r="A4075" s="3" t="s">
        <v>5512</v>
      </c>
      <c r="B4075" s="3" t="s">
        <v>1337</v>
      </c>
      <c r="C4075" s="3" t="s">
        <v>48</v>
      </c>
      <c r="D4075" s="3" t="s">
        <v>58</v>
      </c>
      <c r="E4075" s="3" t="s">
        <v>176</v>
      </c>
      <c r="F4075" s="3" t="s">
        <v>177</v>
      </c>
      <c r="G4075" s="3" t="s">
        <v>30</v>
      </c>
      <c r="H4075" s="3" t="s">
        <v>67</v>
      </c>
      <c r="I4075" s="3" t="s">
        <v>1210</v>
      </c>
      <c r="J4075" s="3" t="s">
        <v>25</v>
      </c>
      <c r="K4075" s="3">
        <v>6</v>
      </c>
      <c r="L4075" s="3">
        <v>9420.9500000000007</v>
      </c>
      <c r="M4075" s="3">
        <v>56525.7</v>
      </c>
      <c r="N4075" s="3">
        <v>46987.56</v>
      </c>
      <c r="O4075" s="3">
        <v>9538.14</v>
      </c>
      <c r="P4075" s="3" t="s">
        <v>86</v>
      </c>
    </row>
    <row r="4076" spans="1:16" x14ac:dyDescent="0.35">
      <c r="A4076" s="3" t="s">
        <v>5513</v>
      </c>
      <c r="B4076" s="3" t="s">
        <v>136</v>
      </c>
      <c r="C4076" s="3" t="s">
        <v>137</v>
      </c>
      <c r="D4076" s="3" t="s">
        <v>58</v>
      </c>
      <c r="E4076" s="3" t="s">
        <v>65</v>
      </c>
      <c r="F4076" s="3" t="s">
        <v>66</v>
      </c>
      <c r="G4076" s="3" t="s">
        <v>30</v>
      </c>
      <c r="H4076" s="3" t="s">
        <v>31</v>
      </c>
      <c r="I4076" s="3" t="s">
        <v>1739</v>
      </c>
      <c r="J4076" s="3" t="s">
        <v>217</v>
      </c>
      <c r="K4076" s="3">
        <v>6</v>
      </c>
      <c r="L4076" s="3">
        <v>2971.37</v>
      </c>
      <c r="M4076" s="3">
        <v>17828.22</v>
      </c>
      <c r="N4076" s="3">
        <v>10837.83</v>
      </c>
      <c r="O4076" s="3">
        <v>6990.39</v>
      </c>
      <c r="P4076" s="3" t="s">
        <v>86</v>
      </c>
    </row>
    <row r="4077" spans="1:16" x14ac:dyDescent="0.35">
      <c r="A4077" s="3" t="s">
        <v>5514</v>
      </c>
      <c r="B4077" s="3" t="s">
        <v>936</v>
      </c>
      <c r="C4077" s="3" t="s">
        <v>89</v>
      </c>
      <c r="D4077" s="3" t="s">
        <v>58</v>
      </c>
      <c r="E4077" s="3" t="s">
        <v>59</v>
      </c>
      <c r="F4077" s="3" t="s">
        <v>60</v>
      </c>
      <c r="G4077" s="3" t="s">
        <v>51</v>
      </c>
      <c r="H4077" s="3" t="s">
        <v>77</v>
      </c>
      <c r="I4077" s="3" t="s">
        <v>1601</v>
      </c>
      <c r="J4077" s="3" t="s">
        <v>154</v>
      </c>
      <c r="K4077" s="3">
        <v>1</v>
      </c>
      <c r="L4077" s="3">
        <v>10873.81</v>
      </c>
      <c r="M4077" s="3">
        <v>10873.81</v>
      </c>
      <c r="N4077" s="3">
        <v>8756.8700000000008</v>
      </c>
      <c r="O4077" s="3">
        <v>2116.94</v>
      </c>
      <c r="P4077" s="3" t="s">
        <v>26</v>
      </c>
    </row>
    <row r="4078" spans="1:16" x14ac:dyDescent="0.35">
      <c r="A4078" s="3" t="s">
        <v>5515</v>
      </c>
      <c r="B4078" s="3" t="s">
        <v>871</v>
      </c>
      <c r="C4078" s="3" t="s">
        <v>103</v>
      </c>
      <c r="D4078" s="3" t="s">
        <v>38</v>
      </c>
      <c r="E4078" s="3" t="s">
        <v>109</v>
      </c>
      <c r="F4078" s="3" t="s">
        <v>110</v>
      </c>
      <c r="G4078" s="3" t="s">
        <v>30</v>
      </c>
      <c r="H4078" s="3" t="s">
        <v>67</v>
      </c>
      <c r="I4078" s="3" t="s">
        <v>2875</v>
      </c>
      <c r="J4078" s="3" t="s">
        <v>100</v>
      </c>
      <c r="K4078" s="3">
        <v>6</v>
      </c>
      <c r="L4078" s="3">
        <v>8972.4500000000007</v>
      </c>
      <c r="M4078" s="3">
        <v>53834.7</v>
      </c>
      <c r="N4078" s="3">
        <v>45311.14</v>
      </c>
      <c r="O4078" s="3">
        <v>8523.56</v>
      </c>
      <c r="P4078" s="3" t="s">
        <v>69</v>
      </c>
    </row>
    <row r="4079" spans="1:16" x14ac:dyDescent="0.35">
      <c r="A4079" s="3" t="s">
        <v>5516</v>
      </c>
      <c r="B4079" s="3" t="s">
        <v>974</v>
      </c>
      <c r="C4079" s="3" t="s">
        <v>29</v>
      </c>
      <c r="D4079" s="3" t="s">
        <v>19</v>
      </c>
      <c r="E4079" s="3" t="s">
        <v>20</v>
      </c>
      <c r="F4079" s="3" t="s">
        <v>21</v>
      </c>
      <c r="G4079" s="3" t="s">
        <v>41</v>
      </c>
      <c r="H4079" s="3" t="s">
        <v>138</v>
      </c>
      <c r="I4079" s="3" t="s">
        <v>3615</v>
      </c>
      <c r="J4079" s="3" t="s">
        <v>131</v>
      </c>
      <c r="K4079" s="3">
        <v>1</v>
      </c>
      <c r="L4079" s="3">
        <v>16795.39</v>
      </c>
      <c r="M4079" s="3">
        <v>16795.39</v>
      </c>
      <c r="N4079" s="3">
        <v>14542.18</v>
      </c>
      <c r="O4079" s="3">
        <v>2253.21</v>
      </c>
      <c r="P4079" s="3" t="s">
        <v>26</v>
      </c>
    </row>
    <row r="4080" spans="1:16" x14ac:dyDescent="0.35">
      <c r="A4080" s="3" t="s">
        <v>5517</v>
      </c>
      <c r="B4080" s="3" t="s">
        <v>260</v>
      </c>
      <c r="C4080" s="3" t="s">
        <v>37</v>
      </c>
      <c r="D4080" s="3" t="s">
        <v>58</v>
      </c>
      <c r="E4080" s="3" t="s">
        <v>176</v>
      </c>
      <c r="F4080" s="3" t="s">
        <v>177</v>
      </c>
      <c r="G4080" s="3" t="s">
        <v>22</v>
      </c>
      <c r="H4080" s="3" t="s">
        <v>93</v>
      </c>
      <c r="I4080" s="3" t="s">
        <v>2623</v>
      </c>
      <c r="J4080" s="3" t="s">
        <v>85</v>
      </c>
      <c r="K4080" s="3">
        <v>8</v>
      </c>
      <c r="L4080" s="3">
        <v>6346.88</v>
      </c>
      <c r="M4080" s="3">
        <v>50775.040000000001</v>
      </c>
      <c r="N4080" s="3">
        <v>38462.9</v>
      </c>
      <c r="O4080" s="3">
        <v>12312.14</v>
      </c>
      <c r="P4080" s="3" t="s">
        <v>69</v>
      </c>
    </row>
    <row r="4081" spans="1:16" x14ac:dyDescent="0.35">
      <c r="A4081" s="3" t="s">
        <v>5518</v>
      </c>
      <c r="B4081" s="3" t="s">
        <v>1600</v>
      </c>
      <c r="C4081" s="3" t="s">
        <v>103</v>
      </c>
      <c r="D4081" s="3" t="s">
        <v>19</v>
      </c>
      <c r="E4081" s="3" t="s">
        <v>49</v>
      </c>
      <c r="F4081" s="3" t="s">
        <v>50</v>
      </c>
      <c r="G4081" s="3" t="s">
        <v>41</v>
      </c>
      <c r="H4081" s="3" t="s">
        <v>138</v>
      </c>
      <c r="I4081" s="3" t="s">
        <v>2392</v>
      </c>
      <c r="J4081" s="3" t="s">
        <v>79</v>
      </c>
      <c r="K4081" s="3">
        <v>4</v>
      </c>
      <c r="L4081" s="3">
        <v>19581.54</v>
      </c>
      <c r="M4081" s="3">
        <v>78326.16</v>
      </c>
      <c r="N4081" s="3">
        <v>57936.63</v>
      </c>
      <c r="O4081" s="3">
        <v>20389.53</v>
      </c>
      <c r="P4081" s="3" t="s">
        <v>34</v>
      </c>
    </row>
    <row r="4082" spans="1:16" x14ac:dyDescent="0.35">
      <c r="A4082" s="3" t="s">
        <v>5519</v>
      </c>
      <c r="B4082" s="3" t="s">
        <v>1552</v>
      </c>
      <c r="C4082" s="3" t="s">
        <v>114</v>
      </c>
      <c r="D4082" s="3" t="s">
        <v>58</v>
      </c>
      <c r="E4082" s="3" t="s">
        <v>59</v>
      </c>
      <c r="F4082" s="3" t="s">
        <v>60</v>
      </c>
      <c r="G4082" s="3" t="s">
        <v>22</v>
      </c>
      <c r="H4082" s="3" t="s">
        <v>23</v>
      </c>
      <c r="I4082" s="3" t="s">
        <v>2782</v>
      </c>
      <c r="J4082" s="3" t="s">
        <v>147</v>
      </c>
      <c r="K4082" s="3">
        <v>7</v>
      </c>
      <c r="L4082" s="3">
        <v>3361.94</v>
      </c>
      <c r="M4082" s="3">
        <v>23533.58</v>
      </c>
      <c r="N4082" s="3">
        <v>14733.69</v>
      </c>
      <c r="O4082" s="3">
        <v>8799.89</v>
      </c>
      <c r="P4082" s="3" t="s">
        <v>34</v>
      </c>
    </row>
    <row r="4083" spans="1:16" x14ac:dyDescent="0.35">
      <c r="A4083" s="3" t="s">
        <v>5520</v>
      </c>
      <c r="B4083" s="3" t="s">
        <v>458</v>
      </c>
      <c r="C4083" s="3" t="s">
        <v>18</v>
      </c>
      <c r="D4083" s="3" t="s">
        <v>19</v>
      </c>
      <c r="E4083" s="3" t="s">
        <v>49</v>
      </c>
      <c r="F4083" s="3" t="s">
        <v>50</v>
      </c>
      <c r="G4083" s="3" t="s">
        <v>51</v>
      </c>
      <c r="H4083" s="3" t="s">
        <v>52</v>
      </c>
      <c r="I4083" s="3" t="s">
        <v>845</v>
      </c>
      <c r="J4083" s="3" t="s">
        <v>161</v>
      </c>
      <c r="K4083" s="3">
        <v>8</v>
      </c>
      <c r="L4083" s="3">
        <v>27.05</v>
      </c>
      <c r="M4083" s="3">
        <v>216.4</v>
      </c>
      <c r="N4083" s="3">
        <v>83.68</v>
      </c>
      <c r="O4083" s="3">
        <v>132.72</v>
      </c>
      <c r="P4083" s="3" t="s">
        <v>69</v>
      </c>
    </row>
    <row r="4084" spans="1:16" x14ac:dyDescent="0.35">
      <c r="A4084" s="3" t="s">
        <v>5521</v>
      </c>
      <c r="B4084" s="3" t="s">
        <v>699</v>
      </c>
      <c r="C4084" s="3" t="s">
        <v>137</v>
      </c>
      <c r="D4084" s="3" t="s">
        <v>58</v>
      </c>
      <c r="E4084" s="3" t="s">
        <v>176</v>
      </c>
      <c r="F4084" s="3" t="s">
        <v>177</v>
      </c>
      <c r="G4084" s="3" t="s">
        <v>22</v>
      </c>
      <c r="H4084" s="3" t="s">
        <v>23</v>
      </c>
      <c r="I4084" s="3" t="s">
        <v>2076</v>
      </c>
      <c r="J4084" s="3" t="s">
        <v>85</v>
      </c>
      <c r="K4084" s="3">
        <v>5</v>
      </c>
      <c r="L4084" s="3">
        <v>3592.22</v>
      </c>
      <c r="M4084" s="3">
        <v>17961.099999999999</v>
      </c>
      <c r="N4084" s="3">
        <v>11522.27</v>
      </c>
      <c r="O4084" s="3">
        <v>6438.83</v>
      </c>
      <c r="P4084" s="3" t="s">
        <v>69</v>
      </c>
    </row>
    <row r="4085" spans="1:16" x14ac:dyDescent="0.35">
      <c r="A4085" s="3" t="s">
        <v>5522</v>
      </c>
      <c r="B4085" s="3" t="s">
        <v>1182</v>
      </c>
      <c r="C4085" s="3" t="s">
        <v>48</v>
      </c>
      <c r="D4085" s="3" t="s">
        <v>90</v>
      </c>
      <c r="E4085" s="3" t="s">
        <v>97</v>
      </c>
      <c r="F4085" s="3" t="s">
        <v>98</v>
      </c>
      <c r="G4085" s="3" t="s">
        <v>22</v>
      </c>
      <c r="H4085" s="3" t="s">
        <v>23</v>
      </c>
      <c r="I4085" s="3" t="s">
        <v>662</v>
      </c>
      <c r="J4085" s="3" t="s">
        <v>54</v>
      </c>
      <c r="K4085" s="3">
        <v>1</v>
      </c>
      <c r="L4085" s="3">
        <v>3617.67</v>
      </c>
      <c r="M4085" s="3">
        <v>3617.67</v>
      </c>
      <c r="N4085" s="3">
        <v>2134.4499999999998</v>
      </c>
      <c r="O4085" s="3">
        <v>1483.22</v>
      </c>
      <c r="P4085" s="3" t="s">
        <v>86</v>
      </c>
    </row>
    <row r="4086" spans="1:16" x14ac:dyDescent="0.35">
      <c r="A4086" s="3" t="s">
        <v>5523</v>
      </c>
      <c r="B4086" s="3" t="s">
        <v>1695</v>
      </c>
      <c r="C4086" s="3" t="s">
        <v>89</v>
      </c>
      <c r="D4086" s="3" t="s">
        <v>38</v>
      </c>
      <c r="E4086" s="3" t="s">
        <v>109</v>
      </c>
      <c r="F4086" s="3" t="s">
        <v>110</v>
      </c>
      <c r="G4086" s="3" t="s">
        <v>41</v>
      </c>
      <c r="H4086" s="3" t="s">
        <v>138</v>
      </c>
      <c r="I4086" s="3" t="s">
        <v>878</v>
      </c>
      <c r="J4086" s="3" t="s">
        <v>131</v>
      </c>
      <c r="K4086" s="3">
        <v>2</v>
      </c>
      <c r="L4086" s="3">
        <v>18299.830000000002</v>
      </c>
      <c r="M4086" s="3">
        <v>36599.660000000003</v>
      </c>
      <c r="N4086" s="3">
        <v>27989.53</v>
      </c>
      <c r="O4086" s="3">
        <v>8610.1299999999992</v>
      </c>
      <c r="P4086" s="3" t="s">
        <v>69</v>
      </c>
    </row>
    <row r="4087" spans="1:16" x14ac:dyDescent="0.35">
      <c r="A4087" s="3" t="s">
        <v>5524</v>
      </c>
      <c r="B4087" s="3" t="s">
        <v>1964</v>
      </c>
      <c r="C4087" s="3" t="s">
        <v>57</v>
      </c>
      <c r="D4087" s="3" t="s">
        <v>58</v>
      </c>
      <c r="E4087" s="3" t="s">
        <v>59</v>
      </c>
      <c r="F4087" s="3" t="s">
        <v>60</v>
      </c>
      <c r="G4087" s="3" t="s">
        <v>51</v>
      </c>
      <c r="H4087" s="3" t="s">
        <v>145</v>
      </c>
      <c r="I4087" s="3" t="s">
        <v>3617</v>
      </c>
      <c r="J4087" s="3" t="s">
        <v>154</v>
      </c>
      <c r="K4087" s="3">
        <v>4</v>
      </c>
      <c r="L4087" s="3">
        <v>129.13</v>
      </c>
      <c r="M4087" s="3">
        <v>516.52</v>
      </c>
      <c r="N4087" s="3">
        <v>250.43</v>
      </c>
      <c r="O4087" s="3">
        <v>266.08999999999997</v>
      </c>
      <c r="P4087" s="3" t="s">
        <v>45</v>
      </c>
    </row>
    <row r="4088" spans="1:16" x14ac:dyDescent="0.35">
      <c r="A4088" s="3" t="s">
        <v>5525</v>
      </c>
      <c r="B4088" s="3" t="s">
        <v>1999</v>
      </c>
      <c r="C4088" s="3" t="s">
        <v>114</v>
      </c>
      <c r="D4088" s="3" t="s">
        <v>90</v>
      </c>
      <c r="E4088" s="3" t="s">
        <v>91</v>
      </c>
      <c r="F4088" s="3" t="s">
        <v>92</v>
      </c>
      <c r="G4088" s="3" t="s">
        <v>51</v>
      </c>
      <c r="H4088" s="3" t="s">
        <v>145</v>
      </c>
      <c r="I4088" s="3" t="s">
        <v>953</v>
      </c>
      <c r="J4088" s="3" t="s">
        <v>106</v>
      </c>
      <c r="K4088" s="3">
        <v>2</v>
      </c>
      <c r="L4088" s="3">
        <v>112.64</v>
      </c>
      <c r="M4088" s="3">
        <v>225.28</v>
      </c>
      <c r="N4088" s="3">
        <v>121.69</v>
      </c>
      <c r="O4088" s="3">
        <v>103.59</v>
      </c>
      <c r="P4088" s="3" t="s">
        <v>86</v>
      </c>
    </row>
    <row r="4089" spans="1:16" x14ac:dyDescent="0.35">
      <c r="A4089" s="3" t="s">
        <v>5526</v>
      </c>
      <c r="B4089" s="3" t="s">
        <v>1594</v>
      </c>
      <c r="C4089" s="3" t="s">
        <v>48</v>
      </c>
      <c r="D4089" s="3" t="s">
        <v>38</v>
      </c>
      <c r="E4089" s="3" t="s">
        <v>39</v>
      </c>
      <c r="F4089" s="3" t="s">
        <v>40</v>
      </c>
      <c r="G4089" s="3" t="s">
        <v>41</v>
      </c>
      <c r="H4089" s="3" t="s">
        <v>61</v>
      </c>
      <c r="I4089" s="3" t="s">
        <v>2108</v>
      </c>
      <c r="J4089" s="3" t="s">
        <v>54</v>
      </c>
      <c r="K4089" s="3">
        <v>3</v>
      </c>
      <c r="L4089" s="3">
        <v>2738.52</v>
      </c>
      <c r="M4089" s="3">
        <v>8215.56</v>
      </c>
      <c r="N4089" s="3">
        <v>4760</v>
      </c>
      <c r="O4089" s="3">
        <v>3455.56</v>
      </c>
      <c r="P4089" s="3" t="s">
        <v>86</v>
      </c>
    </row>
    <row r="4090" spans="1:16" x14ac:dyDescent="0.35">
      <c r="A4090" s="3" t="s">
        <v>5527</v>
      </c>
      <c r="B4090" s="3" t="s">
        <v>294</v>
      </c>
      <c r="C4090" s="3" t="s">
        <v>103</v>
      </c>
      <c r="D4090" s="3" t="s">
        <v>19</v>
      </c>
      <c r="E4090" s="3" t="s">
        <v>20</v>
      </c>
      <c r="F4090" s="3" t="s">
        <v>21</v>
      </c>
      <c r="G4090" s="3" t="s">
        <v>51</v>
      </c>
      <c r="H4090" s="3" t="s">
        <v>77</v>
      </c>
      <c r="I4090" s="3" t="s">
        <v>1284</v>
      </c>
      <c r="J4090" s="3" t="s">
        <v>147</v>
      </c>
      <c r="K4090" s="3">
        <v>8</v>
      </c>
      <c r="L4090" s="3">
        <v>13088.72</v>
      </c>
      <c r="M4090" s="3">
        <v>104709.75999999999</v>
      </c>
      <c r="N4090" s="3">
        <v>73355.62</v>
      </c>
      <c r="O4090" s="3">
        <v>31354.14</v>
      </c>
      <c r="P4090" s="3" t="s">
        <v>45</v>
      </c>
    </row>
    <row r="4091" spans="1:16" x14ac:dyDescent="0.35">
      <c r="A4091" s="3" t="s">
        <v>5528</v>
      </c>
      <c r="B4091" s="3" t="s">
        <v>1269</v>
      </c>
      <c r="C4091" s="3" t="s">
        <v>57</v>
      </c>
      <c r="D4091" s="3" t="s">
        <v>90</v>
      </c>
      <c r="E4091" s="3" t="s">
        <v>119</v>
      </c>
      <c r="F4091" s="3" t="s">
        <v>120</v>
      </c>
      <c r="G4091" s="3" t="s">
        <v>30</v>
      </c>
      <c r="H4091" s="3" t="s">
        <v>73</v>
      </c>
      <c r="I4091" s="3" t="s">
        <v>3061</v>
      </c>
      <c r="J4091" s="3" t="s">
        <v>25</v>
      </c>
      <c r="K4091" s="3">
        <v>6</v>
      </c>
      <c r="L4091" s="3">
        <v>2967.29</v>
      </c>
      <c r="M4091" s="3">
        <v>17803.740000000002</v>
      </c>
      <c r="N4091" s="3">
        <v>14663.06</v>
      </c>
      <c r="O4091" s="3">
        <v>3140.68</v>
      </c>
      <c r="P4091" s="3" t="s">
        <v>69</v>
      </c>
    </row>
    <row r="4092" spans="1:16" x14ac:dyDescent="0.35">
      <c r="A4092" s="3" t="s">
        <v>5529</v>
      </c>
      <c r="B4092" s="3" t="s">
        <v>2211</v>
      </c>
      <c r="C4092" s="3" t="s">
        <v>72</v>
      </c>
      <c r="D4092" s="3" t="s">
        <v>90</v>
      </c>
      <c r="E4092" s="3" t="s">
        <v>91</v>
      </c>
      <c r="F4092" s="3" t="s">
        <v>92</v>
      </c>
      <c r="G4092" s="3" t="s">
        <v>41</v>
      </c>
      <c r="H4092" s="3" t="s">
        <v>138</v>
      </c>
      <c r="I4092" s="3" t="s">
        <v>1162</v>
      </c>
      <c r="J4092" s="3" t="s">
        <v>33</v>
      </c>
      <c r="K4092" s="3">
        <v>8</v>
      </c>
      <c r="L4092" s="3">
        <v>18717.12</v>
      </c>
      <c r="M4092" s="3">
        <v>149736.95999999999</v>
      </c>
      <c r="N4092" s="3">
        <v>114213.03</v>
      </c>
      <c r="O4092" s="3">
        <v>35523.93</v>
      </c>
      <c r="P4092" s="3" t="s">
        <v>69</v>
      </c>
    </row>
    <row r="4093" spans="1:16" x14ac:dyDescent="0.35">
      <c r="A4093" s="3" t="s">
        <v>5530</v>
      </c>
      <c r="B4093" s="3" t="s">
        <v>832</v>
      </c>
      <c r="C4093" s="3" t="s">
        <v>72</v>
      </c>
      <c r="D4093" s="3" t="s">
        <v>38</v>
      </c>
      <c r="E4093" s="3" t="s">
        <v>39</v>
      </c>
      <c r="F4093" s="3" t="s">
        <v>40</v>
      </c>
      <c r="G4093" s="3" t="s">
        <v>41</v>
      </c>
      <c r="H4093" s="3" t="s">
        <v>42</v>
      </c>
      <c r="I4093" s="3" t="s">
        <v>325</v>
      </c>
      <c r="J4093" s="3" t="s">
        <v>106</v>
      </c>
      <c r="K4093" s="3">
        <v>8</v>
      </c>
      <c r="L4093" s="3">
        <v>47576.78</v>
      </c>
      <c r="M4093" s="3">
        <v>380614.24</v>
      </c>
      <c r="N4093" s="3">
        <v>271117.37</v>
      </c>
      <c r="O4093" s="3">
        <v>109496.87</v>
      </c>
      <c r="P4093" s="3" t="s">
        <v>45</v>
      </c>
    </row>
    <row r="4094" spans="1:16" x14ac:dyDescent="0.35">
      <c r="A4094" s="3" t="s">
        <v>5531</v>
      </c>
      <c r="B4094" s="3" t="s">
        <v>344</v>
      </c>
      <c r="C4094" s="3" t="s">
        <v>48</v>
      </c>
      <c r="D4094" s="3" t="s">
        <v>38</v>
      </c>
      <c r="E4094" s="3" t="s">
        <v>104</v>
      </c>
      <c r="F4094" s="3" t="s">
        <v>104</v>
      </c>
      <c r="G4094" s="3" t="s">
        <v>51</v>
      </c>
      <c r="H4094" s="3" t="s">
        <v>52</v>
      </c>
      <c r="I4094" s="3" t="s">
        <v>1295</v>
      </c>
      <c r="J4094" s="3" t="s">
        <v>147</v>
      </c>
      <c r="K4094" s="3">
        <v>2</v>
      </c>
      <c r="L4094" s="3">
        <v>26.66</v>
      </c>
      <c r="M4094" s="3">
        <v>53.32</v>
      </c>
      <c r="N4094" s="3">
        <v>20.63</v>
      </c>
      <c r="O4094" s="3">
        <v>32.69</v>
      </c>
      <c r="P4094" s="3" t="s">
        <v>45</v>
      </c>
    </row>
    <row r="4095" spans="1:16" x14ac:dyDescent="0.35">
      <c r="A4095" s="3" t="s">
        <v>5532</v>
      </c>
      <c r="B4095" s="3" t="s">
        <v>449</v>
      </c>
      <c r="C4095" s="3" t="s">
        <v>37</v>
      </c>
      <c r="D4095" s="3" t="s">
        <v>19</v>
      </c>
      <c r="E4095" s="3" t="s">
        <v>199</v>
      </c>
      <c r="F4095" s="3" t="s">
        <v>200</v>
      </c>
      <c r="G4095" s="3" t="s">
        <v>51</v>
      </c>
      <c r="H4095" s="3" t="s">
        <v>145</v>
      </c>
      <c r="I4095" s="3" t="s">
        <v>2601</v>
      </c>
      <c r="J4095" s="3" t="s">
        <v>25</v>
      </c>
      <c r="K4095" s="3">
        <v>6</v>
      </c>
      <c r="L4095" s="3">
        <v>119.71</v>
      </c>
      <c r="M4095" s="3">
        <v>718.26</v>
      </c>
      <c r="N4095" s="3">
        <v>347.39</v>
      </c>
      <c r="O4095" s="3">
        <v>370.87</v>
      </c>
      <c r="P4095" s="3" t="s">
        <v>86</v>
      </c>
    </row>
    <row r="4096" spans="1:16" x14ac:dyDescent="0.35">
      <c r="A4096" s="3" t="s">
        <v>5533</v>
      </c>
      <c r="B4096" s="3" t="s">
        <v>1567</v>
      </c>
      <c r="C4096" s="3" t="s">
        <v>82</v>
      </c>
      <c r="D4096" s="3" t="s">
        <v>58</v>
      </c>
      <c r="E4096" s="3" t="s">
        <v>59</v>
      </c>
      <c r="F4096" s="3" t="s">
        <v>60</v>
      </c>
      <c r="G4096" s="3" t="s">
        <v>51</v>
      </c>
      <c r="H4096" s="3" t="s">
        <v>52</v>
      </c>
      <c r="I4096" s="3" t="s">
        <v>1365</v>
      </c>
      <c r="J4096" s="3" t="s">
        <v>85</v>
      </c>
      <c r="K4096" s="3">
        <v>4</v>
      </c>
      <c r="L4096" s="3">
        <v>23.6</v>
      </c>
      <c r="M4096" s="3">
        <v>94.4</v>
      </c>
      <c r="N4096" s="3">
        <v>40.659999999999997</v>
      </c>
      <c r="O4096" s="3">
        <v>53.74</v>
      </c>
      <c r="P4096" s="3" t="s">
        <v>26</v>
      </c>
    </row>
    <row r="4097" spans="1:16" x14ac:dyDescent="0.35">
      <c r="A4097" s="3" t="s">
        <v>5534</v>
      </c>
      <c r="B4097" s="3" t="s">
        <v>866</v>
      </c>
      <c r="C4097" s="3" t="s">
        <v>72</v>
      </c>
      <c r="D4097" s="3" t="s">
        <v>58</v>
      </c>
      <c r="E4097" s="3" t="s">
        <v>59</v>
      </c>
      <c r="F4097" s="3" t="s">
        <v>60</v>
      </c>
      <c r="G4097" s="3" t="s">
        <v>41</v>
      </c>
      <c r="H4097" s="3" t="s">
        <v>138</v>
      </c>
      <c r="I4097" s="3" t="s">
        <v>3499</v>
      </c>
      <c r="J4097" s="3" t="s">
        <v>33</v>
      </c>
      <c r="K4097" s="3">
        <v>2</v>
      </c>
      <c r="L4097" s="3">
        <v>19332.96</v>
      </c>
      <c r="M4097" s="3">
        <v>38665.919999999998</v>
      </c>
      <c r="N4097" s="3">
        <v>28947.98</v>
      </c>
      <c r="O4097" s="3">
        <v>9717.94</v>
      </c>
      <c r="P4097" s="3" t="s">
        <v>34</v>
      </c>
    </row>
    <row r="4098" spans="1:16" x14ac:dyDescent="0.35">
      <c r="A4098" s="3" t="s">
        <v>5535</v>
      </c>
      <c r="B4098" s="3" t="s">
        <v>478</v>
      </c>
      <c r="C4098" s="3" t="s">
        <v>82</v>
      </c>
      <c r="D4098" s="3" t="s">
        <v>90</v>
      </c>
      <c r="E4098" s="3" t="s">
        <v>97</v>
      </c>
      <c r="F4098" s="3" t="s">
        <v>98</v>
      </c>
      <c r="G4098" s="3" t="s">
        <v>22</v>
      </c>
      <c r="H4098" s="3" t="s">
        <v>83</v>
      </c>
      <c r="I4098" s="3" t="s">
        <v>2108</v>
      </c>
      <c r="J4098" s="3" t="s">
        <v>106</v>
      </c>
      <c r="K4098" s="3">
        <v>2</v>
      </c>
      <c r="L4098" s="3">
        <v>22934.95</v>
      </c>
      <c r="M4098" s="3">
        <v>45869.9</v>
      </c>
      <c r="N4098" s="3">
        <v>34185.86</v>
      </c>
      <c r="O4098" s="3">
        <v>11684.04</v>
      </c>
      <c r="P4098" s="3" t="s">
        <v>34</v>
      </c>
    </row>
    <row r="4099" spans="1:16" x14ac:dyDescent="0.35">
      <c r="A4099" s="3" t="s">
        <v>5536</v>
      </c>
      <c r="B4099" s="3" t="s">
        <v>994</v>
      </c>
      <c r="C4099" s="3" t="s">
        <v>29</v>
      </c>
      <c r="D4099" s="3" t="s">
        <v>19</v>
      </c>
      <c r="E4099" s="3" t="s">
        <v>20</v>
      </c>
      <c r="F4099" s="3" t="s">
        <v>21</v>
      </c>
      <c r="G4099" s="3" t="s">
        <v>51</v>
      </c>
      <c r="H4099" s="3" t="s">
        <v>52</v>
      </c>
      <c r="I4099" s="3" t="s">
        <v>486</v>
      </c>
      <c r="J4099" s="3" t="s">
        <v>154</v>
      </c>
      <c r="K4099" s="3">
        <v>8</v>
      </c>
      <c r="L4099" s="3">
        <v>25</v>
      </c>
      <c r="M4099" s="3">
        <v>200</v>
      </c>
      <c r="N4099" s="3">
        <v>76.23</v>
      </c>
      <c r="O4099" s="3">
        <v>123.77</v>
      </c>
      <c r="P4099" s="3" t="s">
        <v>34</v>
      </c>
    </row>
    <row r="4100" spans="1:16" x14ac:dyDescent="0.35">
      <c r="A4100" s="3" t="s">
        <v>5537</v>
      </c>
      <c r="B4100" s="3" t="s">
        <v>994</v>
      </c>
      <c r="C4100" s="3" t="s">
        <v>29</v>
      </c>
      <c r="D4100" s="3" t="s">
        <v>19</v>
      </c>
      <c r="E4100" s="3" t="s">
        <v>49</v>
      </c>
      <c r="F4100" s="3" t="s">
        <v>50</v>
      </c>
      <c r="G4100" s="3" t="s">
        <v>41</v>
      </c>
      <c r="H4100" s="3" t="s">
        <v>61</v>
      </c>
      <c r="I4100" s="3" t="s">
        <v>1561</v>
      </c>
      <c r="J4100" s="3" t="s">
        <v>154</v>
      </c>
      <c r="K4100" s="3">
        <v>6</v>
      </c>
      <c r="L4100" s="3">
        <v>2266.0700000000002</v>
      </c>
      <c r="M4100" s="3">
        <v>13596.42</v>
      </c>
      <c r="N4100" s="3">
        <v>9462.42</v>
      </c>
      <c r="O4100" s="3">
        <v>4134</v>
      </c>
      <c r="P4100" s="3" t="s">
        <v>45</v>
      </c>
    </row>
    <row r="4101" spans="1:16" x14ac:dyDescent="0.35">
      <c r="A4101" s="3" t="s">
        <v>5538</v>
      </c>
      <c r="B4101" s="3" t="s">
        <v>71</v>
      </c>
      <c r="C4101" s="3" t="s">
        <v>72</v>
      </c>
      <c r="D4101" s="3" t="s">
        <v>58</v>
      </c>
      <c r="E4101" s="3" t="s">
        <v>176</v>
      </c>
      <c r="F4101" s="3" t="s">
        <v>177</v>
      </c>
      <c r="G4101" s="3" t="s">
        <v>41</v>
      </c>
      <c r="H4101" s="3" t="s">
        <v>138</v>
      </c>
      <c r="I4101" s="3" t="s">
        <v>2254</v>
      </c>
      <c r="J4101" s="3" t="s">
        <v>217</v>
      </c>
      <c r="K4101" s="3">
        <v>4</v>
      </c>
      <c r="L4101" s="3">
        <v>19450.439999999999</v>
      </c>
      <c r="M4101" s="3">
        <v>77801.759999999995</v>
      </c>
      <c r="N4101" s="3">
        <v>57697.73</v>
      </c>
      <c r="O4101" s="3">
        <v>20104.03</v>
      </c>
      <c r="P4101" s="3" t="s">
        <v>86</v>
      </c>
    </row>
    <row r="4102" spans="1:16" x14ac:dyDescent="0.35">
      <c r="A4102" s="3" t="s">
        <v>5539</v>
      </c>
      <c r="B4102" s="3" t="s">
        <v>1392</v>
      </c>
      <c r="C4102" s="3" t="s">
        <v>103</v>
      </c>
      <c r="D4102" s="3" t="s">
        <v>58</v>
      </c>
      <c r="E4102" s="3" t="s">
        <v>176</v>
      </c>
      <c r="F4102" s="3" t="s">
        <v>177</v>
      </c>
      <c r="G4102" s="3" t="s">
        <v>41</v>
      </c>
      <c r="H4102" s="3" t="s">
        <v>61</v>
      </c>
      <c r="I4102" s="3" t="s">
        <v>2583</v>
      </c>
      <c r="J4102" s="3" t="s">
        <v>171</v>
      </c>
      <c r="K4102" s="3">
        <v>8</v>
      </c>
      <c r="L4102" s="3">
        <v>2335.13</v>
      </c>
      <c r="M4102" s="3">
        <v>18681.04</v>
      </c>
      <c r="N4102" s="3">
        <v>13318.31</v>
      </c>
      <c r="O4102" s="3">
        <v>5362.73</v>
      </c>
      <c r="P4102" s="3" t="s">
        <v>34</v>
      </c>
    </row>
    <row r="4103" spans="1:16" x14ac:dyDescent="0.35">
      <c r="A4103" s="3" t="s">
        <v>5540</v>
      </c>
      <c r="B4103" s="3" t="s">
        <v>417</v>
      </c>
      <c r="C4103" s="3" t="s">
        <v>37</v>
      </c>
      <c r="D4103" s="3" t="s">
        <v>90</v>
      </c>
      <c r="E4103" s="3" t="s">
        <v>119</v>
      </c>
      <c r="F4103" s="3" t="s">
        <v>120</v>
      </c>
      <c r="G4103" s="3" t="s">
        <v>51</v>
      </c>
      <c r="H4103" s="3" t="s">
        <v>77</v>
      </c>
      <c r="I4103" s="3" t="s">
        <v>5541</v>
      </c>
      <c r="J4103" s="3" t="s">
        <v>131</v>
      </c>
      <c r="K4103" s="3">
        <v>2</v>
      </c>
      <c r="L4103" s="3">
        <v>10948.09</v>
      </c>
      <c r="M4103" s="3">
        <v>21896.18</v>
      </c>
      <c r="N4103" s="3">
        <v>17316.22</v>
      </c>
      <c r="O4103" s="3">
        <v>4579.96</v>
      </c>
      <c r="P4103" s="3" t="s">
        <v>45</v>
      </c>
    </row>
    <row r="4104" spans="1:16" x14ac:dyDescent="0.35">
      <c r="A4104" s="3" t="s">
        <v>5542</v>
      </c>
      <c r="B4104" s="3" t="s">
        <v>1823</v>
      </c>
      <c r="C4104" s="3" t="s">
        <v>118</v>
      </c>
      <c r="D4104" s="3" t="s">
        <v>90</v>
      </c>
      <c r="E4104" s="3" t="s">
        <v>91</v>
      </c>
      <c r="F4104" s="3" t="s">
        <v>92</v>
      </c>
      <c r="G4104" s="3" t="s">
        <v>51</v>
      </c>
      <c r="H4104" s="3" t="s">
        <v>77</v>
      </c>
      <c r="I4104" s="3" t="s">
        <v>2443</v>
      </c>
      <c r="J4104" s="3" t="s">
        <v>188</v>
      </c>
      <c r="K4104" s="3">
        <v>8</v>
      </c>
      <c r="L4104" s="3">
        <v>12029.17</v>
      </c>
      <c r="M4104" s="3">
        <v>96233.36</v>
      </c>
      <c r="N4104" s="3">
        <v>73313.17</v>
      </c>
      <c r="O4104" s="3">
        <v>22920.19</v>
      </c>
      <c r="P4104" s="3" t="s">
        <v>69</v>
      </c>
    </row>
    <row r="4105" spans="1:16" x14ac:dyDescent="0.35">
      <c r="A4105" s="3" t="s">
        <v>5543</v>
      </c>
      <c r="B4105" s="3" t="s">
        <v>690</v>
      </c>
      <c r="C4105" s="3" t="s">
        <v>82</v>
      </c>
      <c r="D4105" s="3" t="s">
        <v>19</v>
      </c>
      <c r="E4105" s="3" t="s">
        <v>20</v>
      </c>
      <c r="F4105" s="3" t="s">
        <v>21</v>
      </c>
      <c r="G4105" s="3" t="s">
        <v>51</v>
      </c>
      <c r="H4105" s="3" t="s">
        <v>77</v>
      </c>
      <c r="I4105" s="3" t="s">
        <v>934</v>
      </c>
      <c r="J4105" s="3" t="s">
        <v>79</v>
      </c>
      <c r="K4105" s="3">
        <v>5</v>
      </c>
      <c r="L4105" s="3">
        <v>12929.89</v>
      </c>
      <c r="M4105" s="3">
        <v>64649.45</v>
      </c>
      <c r="N4105" s="3">
        <v>47190.07</v>
      </c>
      <c r="O4105" s="3">
        <v>17459.38</v>
      </c>
      <c r="P4105" s="3" t="s">
        <v>86</v>
      </c>
    </row>
    <row r="4106" spans="1:16" x14ac:dyDescent="0.35">
      <c r="A4106" s="3" t="s">
        <v>5544</v>
      </c>
      <c r="B4106" s="3" t="s">
        <v>1299</v>
      </c>
      <c r="C4106" s="3" t="s">
        <v>82</v>
      </c>
      <c r="D4106" s="3" t="s">
        <v>38</v>
      </c>
      <c r="E4106" s="3" t="s">
        <v>104</v>
      </c>
      <c r="F4106" s="3" t="s">
        <v>104</v>
      </c>
      <c r="G4106" s="3" t="s">
        <v>30</v>
      </c>
      <c r="H4106" s="3" t="s">
        <v>31</v>
      </c>
      <c r="I4106" s="3" t="s">
        <v>3165</v>
      </c>
      <c r="J4106" s="3" t="s">
        <v>25</v>
      </c>
      <c r="K4106" s="3">
        <v>4</v>
      </c>
      <c r="L4106" s="3">
        <v>2950.82</v>
      </c>
      <c r="M4106" s="3">
        <v>11803.28</v>
      </c>
      <c r="N4106" s="3">
        <v>7682.43</v>
      </c>
      <c r="O4106" s="3">
        <v>4120.8500000000004</v>
      </c>
      <c r="P4106" s="3" t="s">
        <v>45</v>
      </c>
    </row>
    <row r="4107" spans="1:16" x14ac:dyDescent="0.35">
      <c r="A4107" s="3" t="s">
        <v>5545</v>
      </c>
      <c r="B4107" s="3" t="s">
        <v>488</v>
      </c>
      <c r="C4107" s="3" t="s">
        <v>29</v>
      </c>
      <c r="D4107" s="3" t="s">
        <v>38</v>
      </c>
      <c r="E4107" s="3" t="s">
        <v>109</v>
      </c>
      <c r="F4107" s="3" t="s">
        <v>110</v>
      </c>
      <c r="G4107" s="3" t="s">
        <v>41</v>
      </c>
      <c r="H4107" s="3" t="s">
        <v>138</v>
      </c>
      <c r="I4107" s="3" t="s">
        <v>2525</v>
      </c>
      <c r="J4107" s="3" t="s">
        <v>33</v>
      </c>
      <c r="K4107" s="3">
        <v>8</v>
      </c>
      <c r="L4107" s="3">
        <v>16882.36</v>
      </c>
      <c r="M4107" s="3">
        <v>135058.88</v>
      </c>
      <c r="N4107" s="3">
        <v>109170.26</v>
      </c>
      <c r="O4107" s="3">
        <v>25888.62</v>
      </c>
      <c r="P4107" s="3" t="s">
        <v>86</v>
      </c>
    </row>
    <row r="4108" spans="1:16" x14ac:dyDescent="0.35">
      <c r="A4108" s="3" t="s">
        <v>5546</v>
      </c>
      <c r="B4108" s="3" t="s">
        <v>699</v>
      </c>
      <c r="C4108" s="3" t="s">
        <v>137</v>
      </c>
      <c r="D4108" s="3" t="s">
        <v>38</v>
      </c>
      <c r="E4108" s="3" t="s">
        <v>39</v>
      </c>
      <c r="F4108" s="3" t="s">
        <v>40</v>
      </c>
      <c r="G4108" s="3" t="s">
        <v>51</v>
      </c>
      <c r="H4108" s="3" t="s">
        <v>77</v>
      </c>
      <c r="I4108" s="3" t="s">
        <v>2315</v>
      </c>
      <c r="J4108" s="3" t="s">
        <v>54</v>
      </c>
      <c r="K4108" s="3">
        <v>2</v>
      </c>
      <c r="L4108" s="3">
        <v>12753.26</v>
      </c>
      <c r="M4108" s="3">
        <v>25506.52</v>
      </c>
      <c r="N4108" s="3">
        <v>17425.400000000001</v>
      </c>
      <c r="O4108" s="3">
        <v>8081.12</v>
      </c>
      <c r="P4108" s="3" t="s">
        <v>45</v>
      </c>
    </row>
    <row r="4109" spans="1:16" x14ac:dyDescent="0.35">
      <c r="A4109" s="3" t="s">
        <v>5547</v>
      </c>
      <c r="B4109" s="3" t="s">
        <v>299</v>
      </c>
      <c r="C4109" s="3" t="s">
        <v>89</v>
      </c>
      <c r="D4109" s="3" t="s">
        <v>38</v>
      </c>
      <c r="E4109" s="3" t="s">
        <v>104</v>
      </c>
      <c r="F4109" s="3" t="s">
        <v>104</v>
      </c>
      <c r="G4109" s="3" t="s">
        <v>22</v>
      </c>
      <c r="H4109" s="3" t="s">
        <v>83</v>
      </c>
      <c r="I4109" s="3" t="s">
        <v>713</v>
      </c>
      <c r="J4109" s="3" t="s">
        <v>131</v>
      </c>
      <c r="K4109" s="3">
        <v>2</v>
      </c>
      <c r="L4109" s="3">
        <v>23473.88</v>
      </c>
      <c r="M4109" s="3">
        <v>46947.76</v>
      </c>
      <c r="N4109" s="3">
        <v>34408.1</v>
      </c>
      <c r="O4109" s="3">
        <v>12539.66</v>
      </c>
      <c r="P4109" s="3" t="s">
        <v>69</v>
      </c>
    </row>
    <row r="4110" spans="1:16" x14ac:dyDescent="0.35">
      <c r="A4110" s="3" t="s">
        <v>5548</v>
      </c>
      <c r="B4110" s="3" t="s">
        <v>1755</v>
      </c>
      <c r="C4110" s="3" t="s">
        <v>57</v>
      </c>
      <c r="D4110" s="3" t="s">
        <v>58</v>
      </c>
      <c r="E4110" s="3" t="s">
        <v>176</v>
      </c>
      <c r="F4110" s="3" t="s">
        <v>177</v>
      </c>
      <c r="G4110" s="3" t="s">
        <v>22</v>
      </c>
      <c r="H4110" s="3" t="s">
        <v>23</v>
      </c>
      <c r="I4110" s="3" t="s">
        <v>945</v>
      </c>
      <c r="J4110" s="3" t="s">
        <v>217</v>
      </c>
      <c r="K4110" s="3">
        <v>7</v>
      </c>
      <c r="L4110" s="3">
        <v>3663.99</v>
      </c>
      <c r="M4110" s="3">
        <v>25647.93</v>
      </c>
      <c r="N4110" s="3">
        <v>15718.51</v>
      </c>
      <c r="O4110" s="3">
        <v>9929.42</v>
      </c>
      <c r="P4110" s="3" t="s">
        <v>26</v>
      </c>
    </row>
    <row r="4111" spans="1:16" x14ac:dyDescent="0.35">
      <c r="A4111" s="3" t="s">
        <v>5549</v>
      </c>
      <c r="B4111" s="3" t="s">
        <v>847</v>
      </c>
      <c r="C4111" s="3" t="s">
        <v>89</v>
      </c>
      <c r="D4111" s="3" t="s">
        <v>38</v>
      </c>
      <c r="E4111" s="3" t="s">
        <v>104</v>
      </c>
      <c r="F4111" s="3" t="s">
        <v>104</v>
      </c>
      <c r="G4111" s="3" t="s">
        <v>30</v>
      </c>
      <c r="H4111" s="3" t="s">
        <v>67</v>
      </c>
      <c r="I4111" s="3" t="s">
        <v>425</v>
      </c>
      <c r="J4111" s="3" t="s">
        <v>85</v>
      </c>
      <c r="K4111" s="3">
        <v>1</v>
      </c>
      <c r="L4111" s="3">
        <v>8778.0400000000009</v>
      </c>
      <c r="M4111" s="3">
        <v>8778.0400000000009</v>
      </c>
      <c r="N4111" s="3">
        <v>7295.49</v>
      </c>
      <c r="O4111" s="3">
        <v>1482.55</v>
      </c>
      <c r="P4111" s="3" t="s">
        <v>26</v>
      </c>
    </row>
    <row r="4112" spans="1:16" x14ac:dyDescent="0.35">
      <c r="A4112" s="3" t="s">
        <v>5550</v>
      </c>
      <c r="B4112" s="3" t="s">
        <v>458</v>
      </c>
      <c r="C4112" s="3" t="s">
        <v>18</v>
      </c>
      <c r="D4112" s="3" t="s">
        <v>58</v>
      </c>
      <c r="E4112" s="3" t="s">
        <v>59</v>
      </c>
      <c r="F4112" s="3" t="s">
        <v>60</v>
      </c>
      <c r="G4112" s="3" t="s">
        <v>51</v>
      </c>
      <c r="H4112" s="3" t="s">
        <v>145</v>
      </c>
      <c r="I4112" s="3" t="s">
        <v>3034</v>
      </c>
      <c r="J4112" s="3" t="s">
        <v>154</v>
      </c>
      <c r="K4112" s="3">
        <v>8</v>
      </c>
      <c r="L4112" s="3">
        <v>109.18</v>
      </c>
      <c r="M4112" s="3">
        <v>873.44</v>
      </c>
      <c r="N4112" s="3">
        <v>499.21</v>
      </c>
      <c r="O4112" s="3">
        <v>374.23</v>
      </c>
      <c r="P4112" s="3" t="s">
        <v>86</v>
      </c>
    </row>
    <row r="4113" spans="1:16" x14ac:dyDescent="0.35">
      <c r="A4113" s="3" t="s">
        <v>5551</v>
      </c>
      <c r="B4113" s="3" t="s">
        <v>1525</v>
      </c>
      <c r="C4113" s="3" t="s">
        <v>57</v>
      </c>
      <c r="D4113" s="3" t="s">
        <v>58</v>
      </c>
      <c r="E4113" s="3" t="s">
        <v>65</v>
      </c>
      <c r="F4113" s="3" t="s">
        <v>66</v>
      </c>
      <c r="G4113" s="3" t="s">
        <v>41</v>
      </c>
      <c r="H4113" s="3" t="s">
        <v>42</v>
      </c>
      <c r="I4113" s="3" t="s">
        <v>1145</v>
      </c>
      <c r="J4113" s="3" t="s">
        <v>100</v>
      </c>
      <c r="K4113" s="3">
        <v>6</v>
      </c>
      <c r="L4113" s="3">
        <v>47615.87</v>
      </c>
      <c r="M4113" s="3">
        <v>285695.21999999997</v>
      </c>
      <c r="N4113" s="3">
        <v>216213.84</v>
      </c>
      <c r="O4113" s="3">
        <v>69481.38</v>
      </c>
      <c r="P4113" s="3" t="s">
        <v>69</v>
      </c>
    </row>
    <row r="4114" spans="1:16" x14ac:dyDescent="0.35">
      <c r="A4114" s="3" t="s">
        <v>5552</v>
      </c>
      <c r="B4114" s="3" t="s">
        <v>1858</v>
      </c>
      <c r="C4114" s="3" t="s">
        <v>89</v>
      </c>
      <c r="D4114" s="3" t="s">
        <v>58</v>
      </c>
      <c r="E4114" s="3" t="s">
        <v>59</v>
      </c>
      <c r="F4114" s="3" t="s">
        <v>60</v>
      </c>
      <c r="G4114" s="3" t="s">
        <v>41</v>
      </c>
      <c r="H4114" s="3" t="s">
        <v>42</v>
      </c>
      <c r="I4114" s="3" t="s">
        <v>1973</v>
      </c>
      <c r="J4114" s="3" t="s">
        <v>161</v>
      </c>
      <c r="K4114" s="3">
        <v>8</v>
      </c>
      <c r="L4114" s="3">
        <v>47660.24</v>
      </c>
      <c r="M4114" s="3">
        <v>381281.92</v>
      </c>
      <c r="N4114" s="3">
        <v>287292.87</v>
      </c>
      <c r="O4114" s="3">
        <v>93989.05</v>
      </c>
      <c r="P4114" s="3" t="s">
        <v>86</v>
      </c>
    </row>
    <row r="4115" spans="1:16" x14ac:dyDescent="0.35">
      <c r="A4115" s="3" t="s">
        <v>5553</v>
      </c>
      <c r="B4115" s="3" t="s">
        <v>539</v>
      </c>
      <c r="C4115" s="3" t="s">
        <v>89</v>
      </c>
      <c r="D4115" s="3" t="s">
        <v>38</v>
      </c>
      <c r="E4115" s="3" t="s">
        <v>109</v>
      </c>
      <c r="F4115" s="3" t="s">
        <v>110</v>
      </c>
      <c r="G4115" s="3" t="s">
        <v>41</v>
      </c>
      <c r="H4115" s="3" t="s">
        <v>61</v>
      </c>
      <c r="I4115" s="3" t="s">
        <v>780</v>
      </c>
      <c r="J4115" s="3" t="s">
        <v>171</v>
      </c>
      <c r="K4115" s="3">
        <v>2</v>
      </c>
      <c r="L4115" s="3">
        <v>2250.4499999999998</v>
      </c>
      <c r="M4115" s="3">
        <v>4500.8999999999996</v>
      </c>
      <c r="N4115" s="3">
        <v>3321</v>
      </c>
      <c r="O4115" s="3">
        <v>1179.9000000000001</v>
      </c>
      <c r="P4115" s="3" t="s">
        <v>34</v>
      </c>
    </row>
    <row r="4116" spans="1:16" x14ac:dyDescent="0.35">
      <c r="A4116" s="3" t="s">
        <v>5554</v>
      </c>
      <c r="B4116" s="3" t="s">
        <v>251</v>
      </c>
      <c r="C4116" s="3" t="s">
        <v>37</v>
      </c>
      <c r="D4116" s="3" t="s">
        <v>38</v>
      </c>
      <c r="E4116" s="3" t="s">
        <v>104</v>
      </c>
      <c r="F4116" s="3" t="s">
        <v>104</v>
      </c>
      <c r="G4116" s="3" t="s">
        <v>51</v>
      </c>
      <c r="H4116" s="3" t="s">
        <v>52</v>
      </c>
      <c r="I4116" s="3" t="s">
        <v>768</v>
      </c>
      <c r="J4116" s="3" t="s">
        <v>100</v>
      </c>
      <c r="K4116" s="3">
        <v>2</v>
      </c>
      <c r="L4116" s="3">
        <v>25.8</v>
      </c>
      <c r="M4116" s="3">
        <v>51.6</v>
      </c>
      <c r="N4116" s="3">
        <v>19.079999999999998</v>
      </c>
      <c r="O4116" s="3">
        <v>32.520000000000003</v>
      </c>
      <c r="P4116" s="3" t="s">
        <v>45</v>
      </c>
    </row>
    <row r="4117" spans="1:16" x14ac:dyDescent="0.35">
      <c r="A4117" s="3" t="s">
        <v>5555</v>
      </c>
      <c r="B4117" s="3" t="s">
        <v>1761</v>
      </c>
      <c r="C4117" s="3" t="s">
        <v>72</v>
      </c>
      <c r="D4117" s="3" t="s">
        <v>90</v>
      </c>
      <c r="E4117" s="3" t="s">
        <v>91</v>
      </c>
      <c r="F4117" s="3" t="s">
        <v>92</v>
      </c>
      <c r="G4117" s="3" t="s">
        <v>22</v>
      </c>
      <c r="H4117" s="3" t="s">
        <v>83</v>
      </c>
      <c r="I4117" s="3" t="s">
        <v>319</v>
      </c>
      <c r="J4117" s="3" t="s">
        <v>44</v>
      </c>
      <c r="K4117" s="3">
        <v>4</v>
      </c>
      <c r="L4117" s="3">
        <v>21621.55</v>
      </c>
      <c r="M4117" s="3">
        <v>86486.2</v>
      </c>
      <c r="N4117" s="3">
        <v>70375.12</v>
      </c>
      <c r="O4117" s="3">
        <v>16111.08</v>
      </c>
      <c r="P4117" s="3" t="s">
        <v>45</v>
      </c>
    </row>
    <row r="4118" spans="1:16" x14ac:dyDescent="0.35">
      <c r="A4118" s="3" t="s">
        <v>5556</v>
      </c>
      <c r="B4118" s="3" t="s">
        <v>2343</v>
      </c>
      <c r="C4118" s="3" t="s">
        <v>103</v>
      </c>
      <c r="D4118" s="3" t="s">
        <v>58</v>
      </c>
      <c r="E4118" s="3" t="s">
        <v>65</v>
      </c>
      <c r="F4118" s="3" t="s">
        <v>66</v>
      </c>
      <c r="G4118" s="3" t="s">
        <v>30</v>
      </c>
      <c r="H4118" s="3" t="s">
        <v>31</v>
      </c>
      <c r="I4118" s="3" t="s">
        <v>2283</v>
      </c>
      <c r="J4118" s="3" t="s">
        <v>161</v>
      </c>
      <c r="K4118" s="3">
        <v>1</v>
      </c>
      <c r="L4118" s="3">
        <v>2647.47</v>
      </c>
      <c r="M4118" s="3">
        <v>2647.47</v>
      </c>
      <c r="N4118" s="3">
        <v>1944.99</v>
      </c>
      <c r="O4118" s="3">
        <v>702.48</v>
      </c>
      <c r="P4118" s="3" t="s">
        <v>26</v>
      </c>
    </row>
    <row r="4119" spans="1:16" x14ac:dyDescent="0.35">
      <c r="A4119" s="3" t="s">
        <v>5557</v>
      </c>
      <c r="B4119" s="3" t="s">
        <v>682</v>
      </c>
      <c r="C4119" s="3" t="s">
        <v>114</v>
      </c>
      <c r="D4119" s="3" t="s">
        <v>58</v>
      </c>
      <c r="E4119" s="3" t="s">
        <v>176</v>
      </c>
      <c r="F4119" s="3" t="s">
        <v>177</v>
      </c>
      <c r="G4119" s="3" t="s">
        <v>30</v>
      </c>
      <c r="H4119" s="3" t="s">
        <v>67</v>
      </c>
      <c r="I4119" s="3" t="s">
        <v>4339</v>
      </c>
      <c r="J4119" s="3" t="s">
        <v>188</v>
      </c>
      <c r="K4119" s="3">
        <v>3</v>
      </c>
      <c r="L4119" s="3">
        <v>8680.41</v>
      </c>
      <c r="M4119" s="3">
        <v>26041.23</v>
      </c>
      <c r="N4119" s="3">
        <v>23643.79</v>
      </c>
      <c r="O4119" s="3">
        <v>2397.44</v>
      </c>
      <c r="P4119" s="3" t="s">
        <v>86</v>
      </c>
    </row>
    <row r="4120" spans="1:16" x14ac:dyDescent="0.35">
      <c r="A4120" s="3" t="s">
        <v>5558</v>
      </c>
      <c r="B4120" s="3" t="s">
        <v>2801</v>
      </c>
      <c r="C4120" s="3" t="s">
        <v>29</v>
      </c>
      <c r="D4120" s="3" t="s">
        <v>19</v>
      </c>
      <c r="E4120" s="3" t="s">
        <v>49</v>
      </c>
      <c r="F4120" s="3" t="s">
        <v>50</v>
      </c>
      <c r="G4120" s="3" t="s">
        <v>22</v>
      </c>
      <c r="H4120" s="3" t="s">
        <v>23</v>
      </c>
      <c r="I4120" s="3" t="s">
        <v>1167</v>
      </c>
      <c r="J4120" s="3" t="s">
        <v>171</v>
      </c>
      <c r="K4120" s="3">
        <v>7</v>
      </c>
      <c r="L4120" s="3">
        <v>3203.05</v>
      </c>
      <c r="M4120" s="3">
        <v>22421.35</v>
      </c>
      <c r="N4120" s="3">
        <v>16099.24</v>
      </c>
      <c r="O4120" s="3">
        <v>6322.11</v>
      </c>
      <c r="P4120" s="3" t="s">
        <v>86</v>
      </c>
    </row>
    <row r="4121" spans="1:16" x14ac:dyDescent="0.35">
      <c r="A4121" s="3" t="s">
        <v>5559</v>
      </c>
      <c r="B4121" s="3" t="s">
        <v>373</v>
      </c>
      <c r="C4121" s="3" t="s">
        <v>137</v>
      </c>
      <c r="D4121" s="3" t="s">
        <v>58</v>
      </c>
      <c r="E4121" s="3" t="s">
        <v>65</v>
      </c>
      <c r="F4121" s="3" t="s">
        <v>66</v>
      </c>
      <c r="G4121" s="3" t="s">
        <v>30</v>
      </c>
      <c r="H4121" s="3" t="s">
        <v>67</v>
      </c>
      <c r="I4121" s="3" t="s">
        <v>1814</v>
      </c>
      <c r="J4121" s="3" t="s">
        <v>44</v>
      </c>
      <c r="K4121" s="3">
        <v>2</v>
      </c>
      <c r="L4121" s="3">
        <v>9254.14</v>
      </c>
      <c r="M4121" s="3">
        <v>18508.28</v>
      </c>
      <c r="N4121" s="3">
        <v>15138.44</v>
      </c>
      <c r="O4121" s="3">
        <v>3369.84</v>
      </c>
      <c r="P4121" s="3" t="s">
        <v>69</v>
      </c>
    </row>
    <row r="4122" spans="1:16" x14ac:dyDescent="0.35">
      <c r="A4122" s="3" t="s">
        <v>5560</v>
      </c>
      <c r="B4122" s="3" t="s">
        <v>1140</v>
      </c>
      <c r="C4122" s="3" t="s">
        <v>48</v>
      </c>
      <c r="D4122" s="3" t="s">
        <v>19</v>
      </c>
      <c r="E4122" s="3" t="s">
        <v>199</v>
      </c>
      <c r="F4122" s="3" t="s">
        <v>200</v>
      </c>
      <c r="G4122" s="3" t="s">
        <v>51</v>
      </c>
      <c r="H4122" s="3" t="s">
        <v>52</v>
      </c>
      <c r="I4122" s="3" t="s">
        <v>1447</v>
      </c>
      <c r="J4122" s="3" t="s">
        <v>79</v>
      </c>
      <c r="K4122" s="3">
        <v>6</v>
      </c>
      <c r="L4122" s="3">
        <v>23.6</v>
      </c>
      <c r="M4122" s="3">
        <v>141.6</v>
      </c>
      <c r="N4122" s="3">
        <v>57.11</v>
      </c>
      <c r="O4122" s="3">
        <v>84.49</v>
      </c>
      <c r="P4122" s="3" t="s">
        <v>45</v>
      </c>
    </row>
    <row r="4123" spans="1:16" x14ac:dyDescent="0.35">
      <c r="A4123" s="3" t="s">
        <v>5561</v>
      </c>
      <c r="B4123" s="3" t="s">
        <v>373</v>
      </c>
      <c r="C4123" s="3" t="s">
        <v>137</v>
      </c>
      <c r="D4123" s="3" t="s">
        <v>90</v>
      </c>
      <c r="E4123" s="3" t="s">
        <v>97</v>
      </c>
      <c r="F4123" s="3" t="s">
        <v>98</v>
      </c>
      <c r="G4123" s="3" t="s">
        <v>41</v>
      </c>
      <c r="H4123" s="3" t="s">
        <v>61</v>
      </c>
      <c r="I4123" s="3" t="s">
        <v>210</v>
      </c>
      <c r="J4123" s="3" t="s">
        <v>188</v>
      </c>
      <c r="K4123" s="3">
        <v>3</v>
      </c>
      <c r="L4123" s="3">
        <v>2368.84</v>
      </c>
      <c r="M4123" s="3">
        <v>7106.52</v>
      </c>
      <c r="N4123" s="3">
        <v>4816.2</v>
      </c>
      <c r="O4123" s="3">
        <v>2290.3200000000002</v>
      </c>
      <c r="P4123" s="3" t="s">
        <v>26</v>
      </c>
    </row>
    <row r="4124" spans="1:16" x14ac:dyDescent="0.35">
      <c r="A4124" s="3" t="s">
        <v>5562</v>
      </c>
      <c r="B4124" s="3" t="s">
        <v>1322</v>
      </c>
      <c r="C4124" s="3" t="s">
        <v>72</v>
      </c>
      <c r="D4124" s="3" t="s">
        <v>38</v>
      </c>
      <c r="E4124" s="3" t="s">
        <v>104</v>
      </c>
      <c r="F4124" s="3" t="s">
        <v>104</v>
      </c>
      <c r="G4124" s="3" t="s">
        <v>41</v>
      </c>
      <c r="H4124" s="3" t="s">
        <v>138</v>
      </c>
      <c r="I4124" s="3" t="s">
        <v>405</v>
      </c>
      <c r="J4124" s="3" t="s">
        <v>54</v>
      </c>
      <c r="K4124" s="3">
        <v>3</v>
      </c>
      <c r="L4124" s="3">
        <v>17125.79</v>
      </c>
      <c r="M4124" s="3">
        <v>51377.37</v>
      </c>
      <c r="N4124" s="3">
        <v>40329.870000000003</v>
      </c>
      <c r="O4124" s="3">
        <v>11047.5</v>
      </c>
      <c r="P4124" s="3" t="s">
        <v>45</v>
      </c>
    </row>
    <row r="4125" spans="1:16" x14ac:dyDescent="0.35">
      <c r="A4125" s="3" t="s">
        <v>5563</v>
      </c>
      <c r="B4125" s="3" t="s">
        <v>1301</v>
      </c>
      <c r="C4125" s="3" t="s">
        <v>18</v>
      </c>
      <c r="D4125" s="3" t="s">
        <v>38</v>
      </c>
      <c r="E4125" s="3" t="s">
        <v>104</v>
      </c>
      <c r="F4125" s="3" t="s">
        <v>104</v>
      </c>
      <c r="G4125" s="3" t="s">
        <v>30</v>
      </c>
      <c r="H4125" s="3" t="s">
        <v>73</v>
      </c>
      <c r="I4125" s="3" t="s">
        <v>2158</v>
      </c>
      <c r="J4125" s="3" t="s">
        <v>171</v>
      </c>
      <c r="K4125" s="3">
        <v>1</v>
      </c>
      <c r="L4125" s="3">
        <v>2990.49</v>
      </c>
      <c r="M4125" s="3">
        <v>2990.49</v>
      </c>
      <c r="N4125" s="3">
        <v>2288.48</v>
      </c>
      <c r="O4125" s="3">
        <v>702.01</v>
      </c>
      <c r="P4125" s="3" t="s">
        <v>86</v>
      </c>
    </row>
    <row r="4126" spans="1:16" x14ac:dyDescent="0.35">
      <c r="A4126" s="3" t="s">
        <v>5564</v>
      </c>
      <c r="B4126" s="3" t="s">
        <v>871</v>
      </c>
      <c r="C4126" s="3" t="s">
        <v>103</v>
      </c>
      <c r="D4126" s="3" t="s">
        <v>58</v>
      </c>
      <c r="E4126" s="3" t="s">
        <v>65</v>
      </c>
      <c r="F4126" s="3" t="s">
        <v>66</v>
      </c>
      <c r="G4126" s="3" t="s">
        <v>30</v>
      </c>
      <c r="H4126" s="3" t="s">
        <v>67</v>
      </c>
      <c r="I4126" s="3" t="s">
        <v>1282</v>
      </c>
      <c r="J4126" s="3" t="s">
        <v>100</v>
      </c>
      <c r="K4126" s="3">
        <v>8</v>
      </c>
      <c r="L4126" s="3">
        <v>10226.09</v>
      </c>
      <c r="M4126" s="3">
        <v>81808.72</v>
      </c>
      <c r="N4126" s="3">
        <v>63724.66</v>
      </c>
      <c r="O4126" s="3">
        <v>18084.060000000001</v>
      </c>
      <c r="P4126" s="3" t="s">
        <v>34</v>
      </c>
    </row>
    <row r="4127" spans="1:16" x14ac:dyDescent="0.35">
      <c r="A4127" s="3" t="s">
        <v>5565</v>
      </c>
      <c r="B4127" s="3" t="s">
        <v>344</v>
      </c>
      <c r="C4127" s="3" t="s">
        <v>48</v>
      </c>
      <c r="D4127" s="3" t="s">
        <v>58</v>
      </c>
      <c r="E4127" s="3" t="s">
        <v>59</v>
      </c>
      <c r="F4127" s="3" t="s">
        <v>60</v>
      </c>
      <c r="G4127" s="3" t="s">
        <v>51</v>
      </c>
      <c r="H4127" s="3" t="s">
        <v>77</v>
      </c>
      <c r="I4127" s="3" t="s">
        <v>961</v>
      </c>
      <c r="J4127" s="3" t="s">
        <v>154</v>
      </c>
      <c r="K4127" s="3">
        <v>2</v>
      </c>
      <c r="L4127" s="3">
        <v>11807.35</v>
      </c>
      <c r="M4127" s="3">
        <v>23614.7</v>
      </c>
      <c r="N4127" s="3">
        <v>17955.02</v>
      </c>
      <c r="O4127" s="3">
        <v>5659.68</v>
      </c>
      <c r="P4127" s="3" t="s">
        <v>69</v>
      </c>
    </row>
    <row r="4128" spans="1:16" x14ac:dyDescent="0.35">
      <c r="A4128" s="3" t="s">
        <v>5566</v>
      </c>
      <c r="B4128" s="3" t="s">
        <v>248</v>
      </c>
      <c r="C4128" s="3" t="s">
        <v>82</v>
      </c>
      <c r="D4128" s="3" t="s">
        <v>38</v>
      </c>
      <c r="E4128" s="3" t="s">
        <v>39</v>
      </c>
      <c r="F4128" s="3" t="s">
        <v>40</v>
      </c>
      <c r="G4128" s="3" t="s">
        <v>51</v>
      </c>
      <c r="H4128" s="3" t="s">
        <v>77</v>
      </c>
      <c r="I4128" s="3" t="s">
        <v>1397</v>
      </c>
      <c r="J4128" s="3" t="s">
        <v>106</v>
      </c>
      <c r="K4128" s="3">
        <v>7</v>
      </c>
      <c r="L4128" s="3">
        <v>12129.61</v>
      </c>
      <c r="M4128" s="3">
        <v>84907.27</v>
      </c>
      <c r="N4128" s="3">
        <v>62391.15</v>
      </c>
      <c r="O4128" s="3">
        <v>22516.12</v>
      </c>
      <c r="P4128" s="3" t="s">
        <v>45</v>
      </c>
    </row>
    <row r="4129" spans="1:16" x14ac:dyDescent="0.35">
      <c r="A4129" s="3" t="s">
        <v>5567</v>
      </c>
      <c r="B4129" s="3" t="s">
        <v>1255</v>
      </c>
      <c r="C4129" s="3" t="s">
        <v>72</v>
      </c>
      <c r="D4129" s="3" t="s">
        <v>90</v>
      </c>
      <c r="E4129" s="3" t="s">
        <v>119</v>
      </c>
      <c r="F4129" s="3" t="s">
        <v>120</v>
      </c>
      <c r="G4129" s="3" t="s">
        <v>41</v>
      </c>
      <c r="H4129" s="3" t="s">
        <v>138</v>
      </c>
      <c r="I4129" s="3" t="s">
        <v>2763</v>
      </c>
      <c r="J4129" s="3" t="s">
        <v>188</v>
      </c>
      <c r="K4129" s="3">
        <v>7</v>
      </c>
      <c r="L4129" s="3">
        <v>19260.38</v>
      </c>
      <c r="M4129" s="3">
        <v>134822.66</v>
      </c>
      <c r="N4129" s="3">
        <v>98629.68</v>
      </c>
      <c r="O4129" s="3">
        <v>36192.980000000003</v>
      </c>
      <c r="P4129" s="3" t="s">
        <v>45</v>
      </c>
    </row>
    <row r="4130" spans="1:16" x14ac:dyDescent="0.35">
      <c r="A4130" s="3" t="s">
        <v>5568</v>
      </c>
      <c r="B4130" s="3" t="s">
        <v>531</v>
      </c>
      <c r="C4130" s="3" t="s">
        <v>137</v>
      </c>
      <c r="D4130" s="3" t="s">
        <v>38</v>
      </c>
      <c r="E4130" s="3" t="s">
        <v>109</v>
      </c>
      <c r="F4130" s="3" t="s">
        <v>110</v>
      </c>
      <c r="G4130" s="3" t="s">
        <v>41</v>
      </c>
      <c r="H4130" s="3" t="s">
        <v>42</v>
      </c>
      <c r="I4130" s="3" t="s">
        <v>1325</v>
      </c>
      <c r="J4130" s="3" t="s">
        <v>79</v>
      </c>
      <c r="K4130" s="3">
        <v>8</v>
      </c>
      <c r="L4130" s="3">
        <v>48426.22</v>
      </c>
      <c r="M4130" s="3">
        <v>387409.76</v>
      </c>
      <c r="N4130" s="3">
        <v>280042.37</v>
      </c>
      <c r="O4130" s="3">
        <v>107367.39</v>
      </c>
      <c r="P4130" s="3" t="s">
        <v>69</v>
      </c>
    </row>
    <row r="4131" spans="1:16" x14ac:dyDescent="0.35">
      <c r="A4131" s="3" t="s">
        <v>5569</v>
      </c>
      <c r="B4131" s="3" t="s">
        <v>738</v>
      </c>
      <c r="C4131" s="3" t="s">
        <v>114</v>
      </c>
      <c r="D4131" s="3" t="s">
        <v>90</v>
      </c>
      <c r="E4131" s="3" t="s">
        <v>97</v>
      </c>
      <c r="F4131" s="3" t="s">
        <v>98</v>
      </c>
      <c r="G4131" s="3" t="s">
        <v>30</v>
      </c>
      <c r="H4131" s="3" t="s">
        <v>31</v>
      </c>
      <c r="I4131" s="3" t="s">
        <v>1870</v>
      </c>
      <c r="J4131" s="3" t="s">
        <v>131</v>
      </c>
      <c r="K4131" s="3">
        <v>4</v>
      </c>
      <c r="L4131" s="3">
        <v>2855.38</v>
      </c>
      <c r="M4131" s="3">
        <v>11421.52</v>
      </c>
      <c r="N4131" s="3">
        <v>7551.28</v>
      </c>
      <c r="O4131" s="3">
        <v>3870.24</v>
      </c>
      <c r="P4131" s="3" t="s">
        <v>26</v>
      </c>
    </row>
    <row r="4132" spans="1:16" x14ac:dyDescent="0.35">
      <c r="A4132" s="3" t="s">
        <v>5570</v>
      </c>
      <c r="B4132" s="3" t="s">
        <v>254</v>
      </c>
      <c r="C4132" s="3" t="s">
        <v>82</v>
      </c>
      <c r="D4132" s="3" t="s">
        <v>58</v>
      </c>
      <c r="E4132" s="3" t="s">
        <v>65</v>
      </c>
      <c r="F4132" s="3" t="s">
        <v>66</v>
      </c>
      <c r="G4132" s="3" t="s">
        <v>51</v>
      </c>
      <c r="H4132" s="3" t="s">
        <v>77</v>
      </c>
      <c r="I4132" s="3" t="s">
        <v>2567</v>
      </c>
      <c r="J4132" s="3" t="s">
        <v>33</v>
      </c>
      <c r="K4132" s="3">
        <v>1</v>
      </c>
      <c r="L4132" s="3">
        <v>11225.52</v>
      </c>
      <c r="M4132" s="3">
        <v>11225.52</v>
      </c>
      <c r="N4132" s="3">
        <v>8904.9</v>
      </c>
      <c r="O4132" s="3">
        <v>2320.62</v>
      </c>
      <c r="P4132" s="3" t="s">
        <v>45</v>
      </c>
    </row>
    <row r="4133" spans="1:16" x14ac:dyDescent="0.35">
      <c r="A4133" s="3" t="s">
        <v>5571</v>
      </c>
      <c r="B4133" s="3" t="s">
        <v>893</v>
      </c>
      <c r="C4133" s="3" t="s">
        <v>89</v>
      </c>
      <c r="D4133" s="3" t="s">
        <v>19</v>
      </c>
      <c r="E4133" s="3" t="s">
        <v>199</v>
      </c>
      <c r="F4133" s="3" t="s">
        <v>200</v>
      </c>
      <c r="G4133" s="3" t="s">
        <v>41</v>
      </c>
      <c r="H4133" s="3" t="s">
        <v>42</v>
      </c>
      <c r="I4133" s="3" t="s">
        <v>3633</v>
      </c>
      <c r="J4133" s="3" t="s">
        <v>161</v>
      </c>
      <c r="K4133" s="3">
        <v>3</v>
      </c>
      <c r="L4133" s="3">
        <v>43925.3</v>
      </c>
      <c r="M4133" s="3">
        <v>131775.9</v>
      </c>
      <c r="N4133" s="3">
        <v>108279.41</v>
      </c>
      <c r="O4133" s="3">
        <v>23496.49</v>
      </c>
      <c r="P4133" s="3" t="s">
        <v>69</v>
      </c>
    </row>
    <row r="4134" spans="1:16" x14ac:dyDescent="0.35">
      <c r="A4134" s="3" t="s">
        <v>5572</v>
      </c>
      <c r="B4134" s="3" t="s">
        <v>740</v>
      </c>
      <c r="C4134" s="3" t="s">
        <v>29</v>
      </c>
      <c r="D4134" s="3" t="s">
        <v>58</v>
      </c>
      <c r="E4134" s="3" t="s">
        <v>176</v>
      </c>
      <c r="F4134" s="3" t="s">
        <v>177</v>
      </c>
      <c r="G4134" s="3" t="s">
        <v>22</v>
      </c>
      <c r="H4134" s="3" t="s">
        <v>93</v>
      </c>
      <c r="I4134" s="3" t="s">
        <v>2681</v>
      </c>
      <c r="J4134" s="3" t="s">
        <v>100</v>
      </c>
      <c r="K4134" s="3">
        <v>6</v>
      </c>
      <c r="L4134" s="3">
        <v>6717.96</v>
      </c>
      <c r="M4134" s="3">
        <v>40307.760000000002</v>
      </c>
      <c r="N4134" s="3">
        <v>29228.62</v>
      </c>
      <c r="O4134" s="3">
        <v>11079.14</v>
      </c>
      <c r="P4134" s="3" t="s">
        <v>34</v>
      </c>
    </row>
    <row r="4135" spans="1:16" x14ac:dyDescent="0.35">
      <c r="A4135" s="3" t="s">
        <v>5573</v>
      </c>
      <c r="B4135" s="3" t="s">
        <v>816</v>
      </c>
      <c r="C4135" s="3" t="s">
        <v>57</v>
      </c>
      <c r="D4135" s="3" t="s">
        <v>58</v>
      </c>
      <c r="E4135" s="3" t="s">
        <v>65</v>
      </c>
      <c r="F4135" s="3" t="s">
        <v>66</v>
      </c>
      <c r="G4135" s="3" t="s">
        <v>22</v>
      </c>
      <c r="H4135" s="3" t="s">
        <v>23</v>
      </c>
      <c r="I4135" s="3" t="s">
        <v>1948</v>
      </c>
      <c r="J4135" s="3" t="s">
        <v>131</v>
      </c>
      <c r="K4135" s="3">
        <v>5</v>
      </c>
      <c r="L4135" s="3">
        <v>3716.5</v>
      </c>
      <c r="M4135" s="3">
        <v>18582.5</v>
      </c>
      <c r="N4135" s="3">
        <v>11466.48</v>
      </c>
      <c r="O4135" s="3">
        <v>7116.02</v>
      </c>
      <c r="P4135" s="3" t="s">
        <v>34</v>
      </c>
    </row>
    <row r="4136" spans="1:16" x14ac:dyDescent="0.35">
      <c r="A4136" s="3" t="s">
        <v>5574</v>
      </c>
      <c r="B4136" s="3" t="s">
        <v>2492</v>
      </c>
      <c r="C4136" s="3" t="s">
        <v>118</v>
      </c>
      <c r="D4136" s="3" t="s">
        <v>19</v>
      </c>
      <c r="E4136" s="3" t="s">
        <v>199</v>
      </c>
      <c r="F4136" s="3" t="s">
        <v>200</v>
      </c>
      <c r="G4136" s="3" t="s">
        <v>51</v>
      </c>
      <c r="H4136" s="3" t="s">
        <v>145</v>
      </c>
      <c r="I4136" s="3" t="s">
        <v>1929</v>
      </c>
      <c r="J4136" s="3" t="s">
        <v>154</v>
      </c>
      <c r="K4136" s="3">
        <v>4</v>
      </c>
      <c r="L4136" s="3">
        <v>122.1</v>
      </c>
      <c r="M4136" s="3">
        <v>488.4</v>
      </c>
      <c r="N4136" s="3">
        <v>229.19</v>
      </c>
      <c r="O4136" s="3">
        <v>259.20999999999998</v>
      </c>
      <c r="P4136" s="3" t="s">
        <v>69</v>
      </c>
    </row>
    <row r="4137" spans="1:16" x14ac:dyDescent="0.35">
      <c r="A4137" s="3" t="s">
        <v>5575</v>
      </c>
      <c r="B4137" s="3" t="s">
        <v>904</v>
      </c>
      <c r="C4137" s="3" t="s">
        <v>118</v>
      </c>
      <c r="D4137" s="3" t="s">
        <v>90</v>
      </c>
      <c r="E4137" s="3" t="s">
        <v>119</v>
      </c>
      <c r="F4137" s="3" t="s">
        <v>120</v>
      </c>
      <c r="G4137" s="3" t="s">
        <v>51</v>
      </c>
      <c r="H4137" s="3" t="s">
        <v>77</v>
      </c>
      <c r="I4137" s="3" t="s">
        <v>4342</v>
      </c>
      <c r="J4137" s="3" t="s">
        <v>25</v>
      </c>
      <c r="K4137" s="3">
        <v>6</v>
      </c>
      <c r="L4137" s="3">
        <v>11151.95</v>
      </c>
      <c r="M4137" s="3">
        <v>66911.7</v>
      </c>
      <c r="N4137" s="3">
        <v>54939.35</v>
      </c>
      <c r="O4137" s="3">
        <v>11972.35</v>
      </c>
      <c r="P4137" s="3" t="s">
        <v>34</v>
      </c>
    </row>
    <row r="4138" spans="1:16" x14ac:dyDescent="0.35">
      <c r="A4138" s="3" t="s">
        <v>5576</v>
      </c>
      <c r="B4138" s="3" t="s">
        <v>260</v>
      </c>
      <c r="C4138" s="3" t="s">
        <v>37</v>
      </c>
      <c r="D4138" s="3" t="s">
        <v>19</v>
      </c>
      <c r="E4138" s="3" t="s">
        <v>20</v>
      </c>
      <c r="F4138" s="3" t="s">
        <v>21</v>
      </c>
      <c r="G4138" s="3" t="s">
        <v>51</v>
      </c>
      <c r="H4138" s="3" t="s">
        <v>52</v>
      </c>
      <c r="I4138" s="3" t="s">
        <v>1356</v>
      </c>
      <c r="J4138" s="3" t="s">
        <v>131</v>
      </c>
      <c r="K4138" s="3">
        <v>7</v>
      </c>
      <c r="L4138" s="3">
        <v>26.92</v>
      </c>
      <c r="M4138" s="3">
        <v>188.44</v>
      </c>
      <c r="N4138" s="3">
        <v>69.040000000000006</v>
      </c>
      <c r="O4138" s="3">
        <v>119.4</v>
      </c>
      <c r="P4138" s="3" t="s">
        <v>34</v>
      </c>
    </row>
    <row r="4139" spans="1:16" x14ac:dyDescent="0.35">
      <c r="A4139" s="3" t="s">
        <v>5577</v>
      </c>
      <c r="B4139" s="3" t="s">
        <v>133</v>
      </c>
      <c r="C4139" s="3" t="s">
        <v>18</v>
      </c>
      <c r="D4139" s="3" t="s">
        <v>58</v>
      </c>
      <c r="E4139" s="3" t="s">
        <v>65</v>
      </c>
      <c r="F4139" s="3" t="s">
        <v>66</v>
      </c>
      <c r="G4139" s="3" t="s">
        <v>41</v>
      </c>
      <c r="H4139" s="3" t="s">
        <v>61</v>
      </c>
      <c r="I4139" s="3" t="s">
        <v>181</v>
      </c>
      <c r="J4139" s="3" t="s">
        <v>131</v>
      </c>
      <c r="K4139" s="3">
        <v>5</v>
      </c>
      <c r="L4139" s="3">
        <v>2529.33</v>
      </c>
      <c r="M4139" s="3">
        <v>12646.65</v>
      </c>
      <c r="N4139" s="3">
        <v>8371.23</v>
      </c>
      <c r="O4139" s="3">
        <v>4275.42</v>
      </c>
      <c r="P4139" s="3" t="s">
        <v>45</v>
      </c>
    </row>
    <row r="4140" spans="1:16" x14ac:dyDescent="0.35">
      <c r="A4140" s="3" t="s">
        <v>5578</v>
      </c>
      <c r="B4140" s="3" t="s">
        <v>36</v>
      </c>
      <c r="C4140" s="3" t="s">
        <v>37</v>
      </c>
      <c r="D4140" s="3" t="s">
        <v>90</v>
      </c>
      <c r="E4140" s="3" t="s">
        <v>91</v>
      </c>
      <c r="F4140" s="3" t="s">
        <v>92</v>
      </c>
      <c r="G4140" s="3" t="s">
        <v>51</v>
      </c>
      <c r="H4140" s="3" t="s">
        <v>52</v>
      </c>
      <c r="I4140" s="3" t="s">
        <v>686</v>
      </c>
      <c r="J4140" s="3" t="s">
        <v>171</v>
      </c>
      <c r="K4140" s="3">
        <v>3</v>
      </c>
      <c r="L4140" s="3">
        <v>24.47</v>
      </c>
      <c r="M4140" s="3">
        <v>73.41</v>
      </c>
      <c r="N4140" s="3">
        <v>30.23</v>
      </c>
      <c r="O4140" s="3">
        <v>43.18</v>
      </c>
      <c r="P4140" s="3" t="s">
        <v>34</v>
      </c>
    </row>
    <row r="4141" spans="1:16" x14ac:dyDescent="0.35">
      <c r="A4141" s="3" t="s">
        <v>5579</v>
      </c>
      <c r="B4141" s="3" t="s">
        <v>1755</v>
      </c>
      <c r="C4141" s="3" t="s">
        <v>57</v>
      </c>
      <c r="D4141" s="3" t="s">
        <v>38</v>
      </c>
      <c r="E4141" s="3" t="s">
        <v>109</v>
      </c>
      <c r="F4141" s="3" t="s">
        <v>110</v>
      </c>
      <c r="G4141" s="3" t="s">
        <v>30</v>
      </c>
      <c r="H4141" s="3" t="s">
        <v>73</v>
      </c>
      <c r="I4141" s="3" t="s">
        <v>3904</v>
      </c>
      <c r="J4141" s="3" t="s">
        <v>54</v>
      </c>
      <c r="K4141" s="3">
        <v>6</v>
      </c>
      <c r="L4141" s="3">
        <v>2961.18</v>
      </c>
      <c r="M4141" s="3">
        <v>17767.080000000002</v>
      </c>
      <c r="N4141" s="3">
        <v>15087.49</v>
      </c>
      <c r="O4141" s="3">
        <v>2679.59</v>
      </c>
      <c r="P4141" s="3" t="s">
        <v>26</v>
      </c>
    </row>
    <row r="4142" spans="1:16" x14ac:dyDescent="0.35">
      <c r="A4142" s="3" t="s">
        <v>5580</v>
      </c>
      <c r="B4142" s="3" t="s">
        <v>2480</v>
      </c>
      <c r="C4142" s="3" t="s">
        <v>37</v>
      </c>
      <c r="D4142" s="3" t="s">
        <v>38</v>
      </c>
      <c r="E4142" s="3" t="s">
        <v>104</v>
      </c>
      <c r="F4142" s="3" t="s">
        <v>104</v>
      </c>
      <c r="G4142" s="3" t="s">
        <v>41</v>
      </c>
      <c r="H4142" s="3" t="s">
        <v>42</v>
      </c>
      <c r="I4142" s="3" t="s">
        <v>2567</v>
      </c>
      <c r="J4142" s="3" t="s">
        <v>106</v>
      </c>
      <c r="K4142" s="3">
        <v>8</v>
      </c>
      <c r="L4142" s="3">
        <v>43530.5</v>
      </c>
      <c r="M4142" s="3">
        <v>348244</v>
      </c>
      <c r="N4142" s="3">
        <v>291381.39</v>
      </c>
      <c r="O4142" s="3">
        <v>56862.61</v>
      </c>
      <c r="P4142" s="3" t="s">
        <v>34</v>
      </c>
    </row>
    <row r="4143" spans="1:16" x14ac:dyDescent="0.35">
      <c r="A4143" s="3" t="s">
        <v>5581</v>
      </c>
      <c r="B4143" s="3" t="s">
        <v>1292</v>
      </c>
      <c r="C4143" s="3" t="s">
        <v>57</v>
      </c>
      <c r="D4143" s="3" t="s">
        <v>38</v>
      </c>
      <c r="E4143" s="3" t="s">
        <v>104</v>
      </c>
      <c r="F4143" s="3" t="s">
        <v>104</v>
      </c>
      <c r="G4143" s="3" t="s">
        <v>22</v>
      </c>
      <c r="H4143" s="3" t="s">
        <v>23</v>
      </c>
      <c r="I4143" s="3" t="s">
        <v>1472</v>
      </c>
      <c r="J4143" s="3" t="s">
        <v>161</v>
      </c>
      <c r="K4143" s="3">
        <v>6</v>
      </c>
      <c r="L4143" s="3">
        <v>3731.37</v>
      </c>
      <c r="M4143" s="3">
        <v>22388.22</v>
      </c>
      <c r="N4143" s="3">
        <v>12631.39</v>
      </c>
      <c r="O4143" s="3">
        <v>9756.83</v>
      </c>
      <c r="P4143" s="3" t="s">
        <v>26</v>
      </c>
    </row>
    <row r="4144" spans="1:16" x14ac:dyDescent="0.35">
      <c r="A4144" s="3" t="s">
        <v>5582</v>
      </c>
      <c r="B4144" s="3" t="s">
        <v>198</v>
      </c>
      <c r="C4144" s="3" t="s">
        <v>29</v>
      </c>
      <c r="D4144" s="3" t="s">
        <v>19</v>
      </c>
      <c r="E4144" s="3" t="s">
        <v>20</v>
      </c>
      <c r="F4144" s="3" t="s">
        <v>21</v>
      </c>
      <c r="G4144" s="3" t="s">
        <v>30</v>
      </c>
      <c r="H4144" s="3" t="s">
        <v>73</v>
      </c>
      <c r="I4144" s="3" t="s">
        <v>522</v>
      </c>
      <c r="J4144" s="3" t="s">
        <v>100</v>
      </c>
      <c r="K4144" s="3">
        <v>4</v>
      </c>
      <c r="L4144" s="3">
        <v>2978.04</v>
      </c>
      <c r="M4144" s="3">
        <v>11912.16</v>
      </c>
      <c r="N4144" s="3">
        <v>9195.7800000000007</v>
      </c>
      <c r="O4144" s="3">
        <v>2716.38</v>
      </c>
      <c r="P4144" s="3" t="s">
        <v>34</v>
      </c>
    </row>
    <row r="4145" spans="1:16" x14ac:dyDescent="0.35">
      <c r="A4145" s="3" t="s">
        <v>5583</v>
      </c>
      <c r="B4145" s="3" t="s">
        <v>81</v>
      </c>
      <c r="C4145" s="3" t="s">
        <v>82</v>
      </c>
      <c r="D4145" s="3" t="s">
        <v>38</v>
      </c>
      <c r="E4145" s="3" t="s">
        <v>104</v>
      </c>
      <c r="F4145" s="3" t="s">
        <v>104</v>
      </c>
      <c r="G4145" s="3" t="s">
        <v>30</v>
      </c>
      <c r="H4145" s="3" t="s">
        <v>31</v>
      </c>
      <c r="I4145" s="3" t="s">
        <v>2219</v>
      </c>
      <c r="J4145" s="3" t="s">
        <v>54</v>
      </c>
      <c r="K4145" s="3">
        <v>3</v>
      </c>
      <c r="L4145" s="3">
        <v>2700.77</v>
      </c>
      <c r="M4145" s="3">
        <v>8102.31</v>
      </c>
      <c r="N4145" s="3">
        <v>5555.21</v>
      </c>
      <c r="O4145" s="3">
        <v>2547.1</v>
      </c>
      <c r="P4145" s="3" t="s">
        <v>45</v>
      </c>
    </row>
    <row r="4146" spans="1:16" x14ac:dyDescent="0.35">
      <c r="A4146" s="3" t="s">
        <v>5584</v>
      </c>
      <c r="B4146" s="3" t="s">
        <v>485</v>
      </c>
      <c r="C4146" s="3" t="s">
        <v>114</v>
      </c>
      <c r="D4146" s="3" t="s">
        <v>90</v>
      </c>
      <c r="E4146" s="3" t="s">
        <v>91</v>
      </c>
      <c r="F4146" s="3" t="s">
        <v>92</v>
      </c>
      <c r="G4146" s="3" t="s">
        <v>30</v>
      </c>
      <c r="H4146" s="3" t="s">
        <v>31</v>
      </c>
      <c r="I4146" s="3" t="s">
        <v>3002</v>
      </c>
      <c r="J4146" s="3" t="s">
        <v>161</v>
      </c>
      <c r="K4146" s="3">
        <v>2</v>
      </c>
      <c r="L4146" s="3">
        <v>2803.43</v>
      </c>
      <c r="M4146" s="3">
        <v>5606.86</v>
      </c>
      <c r="N4146" s="3">
        <v>3611</v>
      </c>
      <c r="O4146" s="3">
        <v>1995.86</v>
      </c>
      <c r="P4146" s="3" t="s">
        <v>34</v>
      </c>
    </row>
    <row r="4147" spans="1:16" x14ac:dyDescent="0.35">
      <c r="A4147" s="3" t="s">
        <v>5585</v>
      </c>
      <c r="B4147" s="3" t="s">
        <v>816</v>
      </c>
      <c r="C4147" s="3" t="s">
        <v>57</v>
      </c>
      <c r="D4147" s="3" t="s">
        <v>90</v>
      </c>
      <c r="E4147" s="3" t="s">
        <v>97</v>
      </c>
      <c r="F4147" s="3" t="s">
        <v>98</v>
      </c>
      <c r="G4147" s="3" t="s">
        <v>51</v>
      </c>
      <c r="H4147" s="3" t="s">
        <v>145</v>
      </c>
      <c r="I4147" s="3" t="s">
        <v>1330</v>
      </c>
      <c r="J4147" s="3" t="s">
        <v>33</v>
      </c>
      <c r="K4147" s="3">
        <v>4</v>
      </c>
      <c r="L4147" s="3">
        <v>120.76</v>
      </c>
      <c r="M4147" s="3">
        <v>483.04</v>
      </c>
      <c r="N4147" s="3">
        <v>244.93</v>
      </c>
      <c r="O4147" s="3">
        <v>238.11</v>
      </c>
      <c r="P4147" s="3" t="s">
        <v>26</v>
      </c>
    </row>
    <row r="4148" spans="1:16" x14ac:dyDescent="0.35">
      <c r="A4148" s="3" t="s">
        <v>5586</v>
      </c>
      <c r="B4148" s="3" t="s">
        <v>599</v>
      </c>
      <c r="C4148" s="3" t="s">
        <v>82</v>
      </c>
      <c r="D4148" s="3" t="s">
        <v>90</v>
      </c>
      <c r="E4148" s="3" t="s">
        <v>119</v>
      </c>
      <c r="F4148" s="3" t="s">
        <v>120</v>
      </c>
      <c r="G4148" s="3" t="s">
        <v>22</v>
      </c>
      <c r="H4148" s="3" t="s">
        <v>93</v>
      </c>
      <c r="I4148" s="3" t="s">
        <v>1277</v>
      </c>
      <c r="J4148" s="3" t="s">
        <v>147</v>
      </c>
      <c r="K4148" s="3">
        <v>4</v>
      </c>
      <c r="L4148" s="3">
        <v>6319.72</v>
      </c>
      <c r="M4148" s="3">
        <v>25278.880000000001</v>
      </c>
      <c r="N4148" s="3">
        <v>20625.29</v>
      </c>
      <c r="O4148" s="3">
        <v>4653.59</v>
      </c>
      <c r="P4148" s="3" t="s">
        <v>26</v>
      </c>
    </row>
    <row r="4149" spans="1:16" x14ac:dyDescent="0.35">
      <c r="A4149" s="3" t="s">
        <v>5587</v>
      </c>
      <c r="B4149" s="3" t="s">
        <v>828</v>
      </c>
      <c r="C4149" s="3" t="s">
        <v>89</v>
      </c>
      <c r="D4149" s="3" t="s">
        <v>19</v>
      </c>
      <c r="E4149" s="3" t="s">
        <v>199</v>
      </c>
      <c r="F4149" s="3" t="s">
        <v>200</v>
      </c>
      <c r="G4149" s="3" t="s">
        <v>51</v>
      </c>
      <c r="H4149" s="3" t="s">
        <v>52</v>
      </c>
      <c r="I4149" s="3" t="s">
        <v>1404</v>
      </c>
      <c r="J4149" s="3" t="s">
        <v>25</v>
      </c>
      <c r="K4149" s="3">
        <v>5</v>
      </c>
      <c r="L4149" s="3">
        <v>23.27</v>
      </c>
      <c r="M4149" s="3">
        <v>116.35</v>
      </c>
      <c r="N4149" s="3">
        <v>51.85</v>
      </c>
      <c r="O4149" s="3">
        <v>64.5</v>
      </c>
      <c r="P4149" s="3" t="s">
        <v>45</v>
      </c>
    </row>
    <row r="4150" spans="1:16" x14ac:dyDescent="0.35">
      <c r="A4150" s="3" t="s">
        <v>5588</v>
      </c>
      <c r="B4150" s="3" t="s">
        <v>381</v>
      </c>
      <c r="C4150" s="3" t="s">
        <v>18</v>
      </c>
      <c r="D4150" s="3" t="s">
        <v>19</v>
      </c>
      <c r="E4150" s="3" t="s">
        <v>199</v>
      </c>
      <c r="F4150" s="3" t="s">
        <v>200</v>
      </c>
      <c r="G4150" s="3" t="s">
        <v>30</v>
      </c>
      <c r="H4150" s="3" t="s">
        <v>67</v>
      </c>
      <c r="I4150" s="3" t="s">
        <v>2436</v>
      </c>
      <c r="J4150" s="3" t="s">
        <v>131</v>
      </c>
      <c r="K4150" s="3">
        <v>6</v>
      </c>
      <c r="L4150" s="3">
        <v>9907.61</v>
      </c>
      <c r="M4150" s="3">
        <v>59445.66</v>
      </c>
      <c r="N4150" s="3">
        <v>46520.02</v>
      </c>
      <c r="O4150" s="3">
        <v>12925.64</v>
      </c>
      <c r="P4150" s="3" t="s">
        <v>45</v>
      </c>
    </row>
    <row r="4151" spans="1:16" x14ac:dyDescent="0.35">
      <c r="A4151" s="3" t="s">
        <v>5589</v>
      </c>
      <c r="B4151" s="3" t="s">
        <v>699</v>
      </c>
      <c r="C4151" s="3" t="s">
        <v>137</v>
      </c>
      <c r="D4151" s="3" t="s">
        <v>38</v>
      </c>
      <c r="E4151" s="3" t="s">
        <v>39</v>
      </c>
      <c r="F4151" s="3" t="s">
        <v>40</v>
      </c>
      <c r="G4151" s="3" t="s">
        <v>22</v>
      </c>
      <c r="H4151" s="3" t="s">
        <v>93</v>
      </c>
      <c r="I4151" s="3" t="s">
        <v>1379</v>
      </c>
      <c r="J4151" s="3" t="s">
        <v>154</v>
      </c>
      <c r="K4151" s="3">
        <v>3</v>
      </c>
      <c r="L4151" s="3">
        <v>6927.9</v>
      </c>
      <c r="M4151" s="3">
        <v>20783.7</v>
      </c>
      <c r="N4151" s="3">
        <v>15451.14</v>
      </c>
      <c r="O4151" s="3">
        <v>5332.56</v>
      </c>
      <c r="P4151" s="3" t="s">
        <v>86</v>
      </c>
    </row>
    <row r="4152" spans="1:16" x14ac:dyDescent="0.35">
      <c r="A4152" s="3" t="s">
        <v>5590</v>
      </c>
      <c r="B4152" s="3" t="s">
        <v>76</v>
      </c>
      <c r="C4152" s="3" t="s">
        <v>48</v>
      </c>
      <c r="D4152" s="3" t="s">
        <v>90</v>
      </c>
      <c r="E4152" s="3" t="s">
        <v>97</v>
      </c>
      <c r="F4152" s="3" t="s">
        <v>98</v>
      </c>
      <c r="G4152" s="3" t="s">
        <v>51</v>
      </c>
      <c r="H4152" s="3" t="s">
        <v>145</v>
      </c>
      <c r="I4152" s="3" t="s">
        <v>2973</v>
      </c>
      <c r="J4152" s="3" t="s">
        <v>188</v>
      </c>
      <c r="K4152" s="3">
        <v>6</v>
      </c>
      <c r="L4152" s="3">
        <v>108.19</v>
      </c>
      <c r="M4152" s="3">
        <v>649.14</v>
      </c>
      <c r="N4152" s="3">
        <v>344.41</v>
      </c>
      <c r="O4152" s="3">
        <v>304.73</v>
      </c>
      <c r="P4152" s="3" t="s">
        <v>45</v>
      </c>
    </row>
    <row r="4153" spans="1:16" x14ac:dyDescent="0.35">
      <c r="A4153" s="3" t="s">
        <v>5591</v>
      </c>
      <c r="B4153" s="3" t="s">
        <v>64</v>
      </c>
      <c r="C4153" s="3" t="s">
        <v>57</v>
      </c>
      <c r="D4153" s="3" t="s">
        <v>38</v>
      </c>
      <c r="E4153" s="3" t="s">
        <v>109</v>
      </c>
      <c r="F4153" s="3" t="s">
        <v>110</v>
      </c>
      <c r="G4153" s="3" t="s">
        <v>51</v>
      </c>
      <c r="H4153" s="3" t="s">
        <v>77</v>
      </c>
      <c r="I4153" s="3" t="s">
        <v>522</v>
      </c>
      <c r="J4153" s="3" t="s">
        <v>147</v>
      </c>
      <c r="K4153" s="3">
        <v>7</v>
      </c>
      <c r="L4153" s="3">
        <v>11093.73</v>
      </c>
      <c r="M4153" s="3">
        <v>77656.11</v>
      </c>
      <c r="N4153" s="3">
        <v>65648.710000000006</v>
      </c>
      <c r="O4153" s="3">
        <v>12007.4</v>
      </c>
      <c r="P4153" s="3" t="s">
        <v>45</v>
      </c>
    </row>
    <row r="4154" spans="1:16" x14ac:dyDescent="0.35">
      <c r="A4154" s="3" t="s">
        <v>5592</v>
      </c>
      <c r="B4154" s="3" t="s">
        <v>1269</v>
      </c>
      <c r="C4154" s="3" t="s">
        <v>57</v>
      </c>
      <c r="D4154" s="3" t="s">
        <v>90</v>
      </c>
      <c r="E4154" s="3" t="s">
        <v>91</v>
      </c>
      <c r="F4154" s="3" t="s">
        <v>92</v>
      </c>
      <c r="G4154" s="3" t="s">
        <v>30</v>
      </c>
      <c r="H4154" s="3" t="s">
        <v>73</v>
      </c>
      <c r="I4154" s="3" t="s">
        <v>1256</v>
      </c>
      <c r="J4154" s="3" t="s">
        <v>161</v>
      </c>
      <c r="K4154" s="3">
        <v>3</v>
      </c>
      <c r="L4154" s="3">
        <v>3114.11</v>
      </c>
      <c r="M4154" s="3">
        <v>9342.33</v>
      </c>
      <c r="N4154" s="3">
        <v>7256.74</v>
      </c>
      <c r="O4154" s="3">
        <v>2085.59</v>
      </c>
      <c r="P4154" s="3" t="s">
        <v>69</v>
      </c>
    </row>
    <row r="4155" spans="1:16" x14ac:dyDescent="0.35">
      <c r="A4155" s="3" t="s">
        <v>5593</v>
      </c>
      <c r="B4155" s="3" t="s">
        <v>310</v>
      </c>
      <c r="C4155" s="3" t="s">
        <v>37</v>
      </c>
      <c r="D4155" s="3" t="s">
        <v>38</v>
      </c>
      <c r="E4155" s="3" t="s">
        <v>104</v>
      </c>
      <c r="F4155" s="3" t="s">
        <v>104</v>
      </c>
      <c r="G4155" s="3" t="s">
        <v>41</v>
      </c>
      <c r="H4155" s="3" t="s">
        <v>42</v>
      </c>
      <c r="I4155" s="3" t="s">
        <v>2608</v>
      </c>
      <c r="J4155" s="3" t="s">
        <v>161</v>
      </c>
      <c r="K4155" s="3">
        <v>1</v>
      </c>
      <c r="L4155" s="3">
        <v>47707.46</v>
      </c>
      <c r="M4155" s="3">
        <v>47707.46</v>
      </c>
      <c r="N4155" s="3">
        <v>34114.769999999997</v>
      </c>
      <c r="O4155" s="3">
        <v>13592.69</v>
      </c>
      <c r="P4155" s="3" t="s">
        <v>86</v>
      </c>
    </row>
    <row r="4156" spans="1:16" x14ac:dyDescent="0.35">
      <c r="A4156" s="3" t="s">
        <v>5594</v>
      </c>
      <c r="B4156" s="3" t="s">
        <v>1337</v>
      </c>
      <c r="C4156" s="3" t="s">
        <v>48</v>
      </c>
      <c r="D4156" s="3" t="s">
        <v>38</v>
      </c>
      <c r="E4156" s="3" t="s">
        <v>39</v>
      </c>
      <c r="F4156" s="3" t="s">
        <v>40</v>
      </c>
      <c r="G4156" s="3" t="s">
        <v>22</v>
      </c>
      <c r="H4156" s="3" t="s">
        <v>93</v>
      </c>
      <c r="I4156" s="3" t="s">
        <v>322</v>
      </c>
      <c r="J4156" s="3" t="s">
        <v>154</v>
      </c>
      <c r="K4156" s="3">
        <v>5</v>
      </c>
      <c r="L4156" s="3">
        <v>6328.05</v>
      </c>
      <c r="M4156" s="3">
        <v>31640.25</v>
      </c>
      <c r="N4156" s="3">
        <v>24430.65</v>
      </c>
      <c r="O4156" s="3">
        <v>7209.6</v>
      </c>
      <c r="P4156" s="3" t="s">
        <v>26</v>
      </c>
    </row>
    <row r="4157" spans="1:16" x14ac:dyDescent="0.35">
      <c r="A4157" s="3" t="s">
        <v>5595</v>
      </c>
      <c r="B4157" s="3" t="s">
        <v>1435</v>
      </c>
      <c r="C4157" s="3" t="s">
        <v>137</v>
      </c>
      <c r="D4157" s="3" t="s">
        <v>19</v>
      </c>
      <c r="E4157" s="3" t="s">
        <v>199</v>
      </c>
      <c r="F4157" s="3" t="s">
        <v>200</v>
      </c>
      <c r="G4157" s="3" t="s">
        <v>22</v>
      </c>
      <c r="H4157" s="3" t="s">
        <v>93</v>
      </c>
      <c r="I4157" s="3" t="s">
        <v>1374</v>
      </c>
      <c r="J4157" s="3" t="s">
        <v>25</v>
      </c>
      <c r="K4157" s="3">
        <v>8</v>
      </c>
      <c r="L4157" s="3">
        <v>6515.27</v>
      </c>
      <c r="M4157" s="3">
        <v>52122.16</v>
      </c>
      <c r="N4157" s="3">
        <v>38650.61</v>
      </c>
      <c r="O4157" s="3">
        <v>13471.55</v>
      </c>
      <c r="P4157" s="3" t="s">
        <v>34</v>
      </c>
    </row>
    <row r="4158" spans="1:16" x14ac:dyDescent="0.35">
      <c r="A4158" s="3" t="s">
        <v>5596</v>
      </c>
      <c r="B4158" s="3" t="s">
        <v>1320</v>
      </c>
      <c r="C4158" s="3" t="s">
        <v>37</v>
      </c>
      <c r="D4158" s="3" t="s">
        <v>19</v>
      </c>
      <c r="E4158" s="3" t="s">
        <v>49</v>
      </c>
      <c r="F4158" s="3" t="s">
        <v>50</v>
      </c>
      <c r="G4158" s="3" t="s">
        <v>22</v>
      </c>
      <c r="H4158" s="3" t="s">
        <v>23</v>
      </c>
      <c r="I4158" s="3" t="s">
        <v>4947</v>
      </c>
      <c r="J4158" s="3" t="s">
        <v>217</v>
      </c>
      <c r="K4158" s="3">
        <v>4</v>
      </c>
      <c r="L4158" s="3">
        <v>3515.39</v>
      </c>
      <c r="M4158" s="3">
        <v>14061.56</v>
      </c>
      <c r="N4158" s="3">
        <v>8443.5300000000007</v>
      </c>
      <c r="O4158" s="3">
        <v>5618.03</v>
      </c>
      <c r="P4158" s="3" t="s">
        <v>45</v>
      </c>
    </row>
    <row r="4159" spans="1:16" x14ac:dyDescent="0.35">
      <c r="A4159" s="3" t="s">
        <v>5597</v>
      </c>
      <c r="B4159" s="3" t="s">
        <v>230</v>
      </c>
      <c r="C4159" s="3" t="s">
        <v>118</v>
      </c>
      <c r="D4159" s="3" t="s">
        <v>19</v>
      </c>
      <c r="E4159" s="3" t="s">
        <v>49</v>
      </c>
      <c r="F4159" s="3" t="s">
        <v>50</v>
      </c>
      <c r="G4159" s="3" t="s">
        <v>22</v>
      </c>
      <c r="H4159" s="3" t="s">
        <v>93</v>
      </c>
      <c r="I4159" s="3" t="s">
        <v>4552</v>
      </c>
      <c r="J4159" s="3" t="s">
        <v>85</v>
      </c>
      <c r="K4159" s="3">
        <v>7</v>
      </c>
      <c r="L4159" s="3">
        <v>7381.01</v>
      </c>
      <c r="M4159" s="3">
        <v>51667.07</v>
      </c>
      <c r="N4159" s="3">
        <v>33344.480000000003</v>
      </c>
      <c r="O4159" s="3">
        <v>18322.59</v>
      </c>
      <c r="P4159" s="3" t="s">
        <v>86</v>
      </c>
    </row>
    <row r="4160" spans="1:16" x14ac:dyDescent="0.35">
      <c r="A4160" s="3" t="s">
        <v>5598</v>
      </c>
      <c r="B4160" s="3" t="s">
        <v>757</v>
      </c>
      <c r="C4160" s="3" t="s">
        <v>137</v>
      </c>
      <c r="D4160" s="3" t="s">
        <v>19</v>
      </c>
      <c r="E4160" s="3" t="s">
        <v>49</v>
      </c>
      <c r="F4160" s="3" t="s">
        <v>50</v>
      </c>
      <c r="G4160" s="3" t="s">
        <v>22</v>
      </c>
      <c r="H4160" s="3" t="s">
        <v>23</v>
      </c>
      <c r="I4160" s="3" t="s">
        <v>3381</v>
      </c>
      <c r="J4160" s="3" t="s">
        <v>154</v>
      </c>
      <c r="K4160" s="3">
        <v>5</v>
      </c>
      <c r="L4160" s="3">
        <v>3458.69</v>
      </c>
      <c r="M4160" s="3">
        <v>17293.45</v>
      </c>
      <c r="N4160" s="3">
        <v>10962.96</v>
      </c>
      <c r="O4160" s="3">
        <v>6330.49</v>
      </c>
      <c r="P4160" s="3" t="s">
        <v>34</v>
      </c>
    </row>
    <row r="4161" spans="1:16" x14ac:dyDescent="0.35">
      <c r="A4161" s="3" t="s">
        <v>5599</v>
      </c>
      <c r="B4161" s="3" t="s">
        <v>599</v>
      </c>
      <c r="C4161" s="3" t="s">
        <v>82</v>
      </c>
      <c r="D4161" s="3" t="s">
        <v>19</v>
      </c>
      <c r="E4161" s="3" t="s">
        <v>20</v>
      </c>
      <c r="F4161" s="3" t="s">
        <v>21</v>
      </c>
      <c r="G4161" s="3" t="s">
        <v>41</v>
      </c>
      <c r="H4161" s="3" t="s">
        <v>61</v>
      </c>
      <c r="I4161" s="3" t="s">
        <v>519</v>
      </c>
      <c r="J4161" s="3" t="s">
        <v>131</v>
      </c>
      <c r="K4161" s="3">
        <v>4</v>
      </c>
      <c r="L4161" s="3">
        <v>2493.37</v>
      </c>
      <c r="M4161" s="3">
        <v>9973.48</v>
      </c>
      <c r="N4161" s="3">
        <v>6436.86</v>
      </c>
      <c r="O4161" s="3">
        <v>3536.62</v>
      </c>
      <c r="P4161" s="3" t="s">
        <v>45</v>
      </c>
    </row>
    <row r="4162" spans="1:16" x14ac:dyDescent="0.35">
      <c r="A4162" s="3" t="s">
        <v>5600</v>
      </c>
      <c r="B4162" s="3" t="s">
        <v>507</v>
      </c>
      <c r="C4162" s="3" t="s">
        <v>118</v>
      </c>
      <c r="D4162" s="3" t="s">
        <v>19</v>
      </c>
      <c r="E4162" s="3" t="s">
        <v>199</v>
      </c>
      <c r="F4162" s="3" t="s">
        <v>200</v>
      </c>
      <c r="G4162" s="3" t="s">
        <v>22</v>
      </c>
      <c r="H4162" s="3" t="s">
        <v>93</v>
      </c>
      <c r="I4162" s="3" t="s">
        <v>692</v>
      </c>
      <c r="J4162" s="3" t="s">
        <v>33</v>
      </c>
      <c r="K4162" s="3">
        <v>8</v>
      </c>
      <c r="L4162" s="3">
        <v>6802.48</v>
      </c>
      <c r="M4162" s="3">
        <v>54419.839999999997</v>
      </c>
      <c r="N4162" s="3">
        <v>41012.44</v>
      </c>
      <c r="O4162" s="3">
        <v>13407.4</v>
      </c>
      <c r="P4162" s="3" t="s">
        <v>34</v>
      </c>
    </row>
    <row r="4163" spans="1:16" x14ac:dyDescent="0.35">
      <c r="A4163" s="3" t="s">
        <v>5601</v>
      </c>
      <c r="B4163" s="3" t="s">
        <v>1140</v>
      </c>
      <c r="C4163" s="3" t="s">
        <v>48</v>
      </c>
      <c r="D4163" s="3" t="s">
        <v>90</v>
      </c>
      <c r="E4163" s="3" t="s">
        <v>119</v>
      </c>
      <c r="F4163" s="3" t="s">
        <v>120</v>
      </c>
      <c r="G4163" s="3" t="s">
        <v>41</v>
      </c>
      <c r="H4163" s="3" t="s">
        <v>42</v>
      </c>
      <c r="I4163" s="3" t="s">
        <v>1147</v>
      </c>
      <c r="J4163" s="3" t="s">
        <v>217</v>
      </c>
      <c r="K4163" s="3">
        <v>5</v>
      </c>
      <c r="L4163" s="3">
        <v>49480.33</v>
      </c>
      <c r="M4163" s="3">
        <v>247401.65</v>
      </c>
      <c r="N4163" s="3">
        <v>167697.41</v>
      </c>
      <c r="O4163" s="3">
        <v>79704.240000000005</v>
      </c>
      <c r="P4163" s="3" t="s">
        <v>45</v>
      </c>
    </row>
    <row r="4164" spans="1:16" x14ac:dyDescent="0.35">
      <c r="A4164" s="3" t="s">
        <v>5602</v>
      </c>
      <c r="B4164" s="3" t="s">
        <v>941</v>
      </c>
      <c r="C4164" s="3" t="s">
        <v>118</v>
      </c>
      <c r="D4164" s="3" t="s">
        <v>58</v>
      </c>
      <c r="E4164" s="3" t="s">
        <v>59</v>
      </c>
      <c r="F4164" s="3" t="s">
        <v>60</v>
      </c>
      <c r="G4164" s="3" t="s">
        <v>30</v>
      </c>
      <c r="H4164" s="3" t="s">
        <v>73</v>
      </c>
      <c r="I4164" s="3" t="s">
        <v>1605</v>
      </c>
      <c r="J4164" s="3" t="s">
        <v>154</v>
      </c>
      <c r="K4164" s="3">
        <v>1</v>
      </c>
      <c r="L4164" s="3">
        <v>3209.54</v>
      </c>
      <c r="M4164" s="3">
        <v>3209.54</v>
      </c>
      <c r="N4164" s="3">
        <v>2294.56</v>
      </c>
      <c r="O4164" s="3">
        <v>914.98</v>
      </c>
      <c r="P4164" s="3" t="s">
        <v>86</v>
      </c>
    </row>
    <row r="4165" spans="1:16" x14ac:dyDescent="0.35">
      <c r="A4165" s="3" t="s">
        <v>5603</v>
      </c>
      <c r="B4165" s="3" t="s">
        <v>1464</v>
      </c>
      <c r="C4165" s="3" t="s">
        <v>137</v>
      </c>
      <c r="D4165" s="3" t="s">
        <v>38</v>
      </c>
      <c r="E4165" s="3" t="s">
        <v>39</v>
      </c>
      <c r="F4165" s="3" t="s">
        <v>40</v>
      </c>
      <c r="G4165" s="3" t="s">
        <v>51</v>
      </c>
      <c r="H4165" s="3" t="s">
        <v>145</v>
      </c>
      <c r="I4165" s="3" t="s">
        <v>848</v>
      </c>
      <c r="J4165" s="3" t="s">
        <v>188</v>
      </c>
      <c r="K4165" s="3">
        <v>5</v>
      </c>
      <c r="L4165" s="3">
        <v>110.01</v>
      </c>
      <c r="M4165" s="3">
        <v>550.04999999999995</v>
      </c>
      <c r="N4165" s="3">
        <v>313.89</v>
      </c>
      <c r="O4165" s="3">
        <v>236.16</v>
      </c>
      <c r="P4165" s="3" t="s">
        <v>26</v>
      </c>
    </row>
    <row r="4166" spans="1:16" x14ac:dyDescent="0.35">
      <c r="A4166" s="3" t="s">
        <v>5604</v>
      </c>
      <c r="B4166" s="3" t="s">
        <v>583</v>
      </c>
      <c r="C4166" s="3" t="s">
        <v>89</v>
      </c>
      <c r="D4166" s="3" t="s">
        <v>58</v>
      </c>
      <c r="E4166" s="3" t="s">
        <v>176</v>
      </c>
      <c r="F4166" s="3" t="s">
        <v>177</v>
      </c>
      <c r="G4166" s="3" t="s">
        <v>51</v>
      </c>
      <c r="H4166" s="3" t="s">
        <v>52</v>
      </c>
      <c r="I4166" s="3" t="s">
        <v>1834</v>
      </c>
      <c r="J4166" s="3" t="s">
        <v>100</v>
      </c>
      <c r="K4166" s="3">
        <v>5</v>
      </c>
      <c r="L4166" s="3">
        <v>26.95</v>
      </c>
      <c r="M4166" s="3">
        <v>134.75</v>
      </c>
      <c r="N4166" s="3">
        <v>49.51</v>
      </c>
      <c r="O4166" s="3">
        <v>85.24</v>
      </c>
      <c r="P4166" s="3" t="s">
        <v>26</v>
      </c>
    </row>
    <row r="4167" spans="1:16" x14ac:dyDescent="0.35">
      <c r="A4167" s="3" t="s">
        <v>5605</v>
      </c>
      <c r="B4167" s="3" t="s">
        <v>656</v>
      </c>
      <c r="C4167" s="3" t="s">
        <v>89</v>
      </c>
      <c r="D4167" s="3" t="s">
        <v>38</v>
      </c>
      <c r="E4167" s="3" t="s">
        <v>109</v>
      </c>
      <c r="F4167" s="3" t="s">
        <v>110</v>
      </c>
      <c r="G4167" s="3" t="s">
        <v>22</v>
      </c>
      <c r="H4167" s="3" t="s">
        <v>23</v>
      </c>
      <c r="I4167" s="3" t="s">
        <v>1851</v>
      </c>
      <c r="J4167" s="3" t="s">
        <v>25</v>
      </c>
      <c r="K4167" s="3">
        <v>8</v>
      </c>
      <c r="L4167" s="3">
        <v>3518.1</v>
      </c>
      <c r="M4167" s="3">
        <v>28144.799999999999</v>
      </c>
      <c r="N4167" s="3">
        <v>16919.93</v>
      </c>
      <c r="O4167" s="3">
        <v>11224.87</v>
      </c>
      <c r="P4167" s="3" t="s">
        <v>45</v>
      </c>
    </row>
    <row r="4168" spans="1:16" x14ac:dyDescent="0.35">
      <c r="A4168" s="3" t="s">
        <v>5606</v>
      </c>
      <c r="B4168" s="3" t="s">
        <v>723</v>
      </c>
      <c r="C4168" s="3" t="s">
        <v>137</v>
      </c>
      <c r="D4168" s="3" t="s">
        <v>90</v>
      </c>
      <c r="E4168" s="3" t="s">
        <v>97</v>
      </c>
      <c r="F4168" s="3" t="s">
        <v>98</v>
      </c>
      <c r="G4168" s="3" t="s">
        <v>51</v>
      </c>
      <c r="H4168" s="3" t="s">
        <v>145</v>
      </c>
      <c r="I4168" s="3" t="s">
        <v>2176</v>
      </c>
      <c r="J4168" s="3" t="s">
        <v>188</v>
      </c>
      <c r="K4168" s="3">
        <v>6</v>
      </c>
      <c r="L4168" s="3">
        <v>116.88</v>
      </c>
      <c r="M4168" s="3">
        <v>701.28</v>
      </c>
      <c r="N4168" s="3">
        <v>372.52</v>
      </c>
      <c r="O4168" s="3">
        <v>328.76</v>
      </c>
      <c r="P4168" s="3" t="s">
        <v>69</v>
      </c>
    </row>
    <row r="4169" spans="1:16" x14ac:dyDescent="0.35">
      <c r="A4169" s="3" t="s">
        <v>5607</v>
      </c>
      <c r="B4169" s="3" t="s">
        <v>1092</v>
      </c>
      <c r="C4169" s="3" t="s">
        <v>103</v>
      </c>
      <c r="D4169" s="3" t="s">
        <v>38</v>
      </c>
      <c r="E4169" s="3" t="s">
        <v>39</v>
      </c>
      <c r="F4169" s="3" t="s">
        <v>40</v>
      </c>
      <c r="G4169" s="3" t="s">
        <v>30</v>
      </c>
      <c r="H4169" s="3" t="s">
        <v>73</v>
      </c>
      <c r="I4169" s="3" t="s">
        <v>808</v>
      </c>
      <c r="J4169" s="3" t="s">
        <v>131</v>
      </c>
      <c r="K4169" s="3">
        <v>8</v>
      </c>
      <c r="L4169" s="3">
        <v>3478.76</v>
      </c>
      <c r="M4169" s="3">
        <v>27830.080000000002</v>
      </c>
      <c r="N4169" s="3">
        <v>18776.849999999999</v>
      </c>
      <c r="O4169" s="3">
        <v>9053.23</v>
      </c>
      <c r="P4169" s="3" t="s">
        <v>26</v>
      </c>
    </row>
    <row r="4170" spans="1:16" x14ac:dyDescent="0.35">
      <c r="A4170" s="3" t="s">
        <v>5608</v>
      </c>
      <c r="B4170" s="3" t="s">
        <v>1299</v>
      </c>
      <c r="C4170" s="3" t="s">
        <v>82</v>
      </c>
      <c r="D4170" s="3" t="s">
        <v>19</v>
      </c>
      <c r="E4170" s="3" t="s">
        <v>20</v>
      </c>
      <c r="F4170" s="3" t="s">
        <v>21</v>
      </c>
      <c r="G4170" s="3" t="s">
        <v>51</v>
      </c>
      <c r="H4170" s="3" t="s">
        <v>145</v>
      </c>
      <c r="I4170" s="3" t="s">
        <v>2119</v>
      </c>
      <c r="J4170" s="3" t="s">
        <v>147</v>
      </c>
      <c r="K4170" s="3">
        <v>5</v>
      </c>
      <c r="L4170" s="3">
        <v>127.28</v>
      </c>
      <c r="M4170" s="3">
        <v>636.4</v>
      </c>
      <c r="N4170" s="3">
        <v>310.64999999999998</v>
      </c>
      <c r="O4170" s="3">
        <v>325.75</v>
      </c>
      <c r="P4170" s="3" t="s">
        <v>45</v>
      </c>
    </row>
    <row r="4171" spans="1:16" x14ac:dyDescent="0.35">
      <c r="A4171" s="3" t="s">
        <v>5609</v>
      </c>
      <c r="B4171" s="3" t="s">
        <v>1667</v>
      </c>
      <c r="C4171" s="3" t="s">
        <v>48</v>
      </c>
      <c r="D4171" s="3" t="s">
        <v>58</v>
      </c>
      <c r="E4171" s="3" t="s">
        <v>59</v>
      </c>
      <c r="F4171" s="3" t="s">
        <v>60</v>
      </c>
      <c r="G4171" s="3" t="s">
        <v>41</v>
      </c>
      <c r="H4171" s="3" t="s">
        <v>42</v>
      </c>
      <c r="I4171" s="3" t="s">
        <v>3766</v>
      </c>
      <c r="J4171" s="3" t="s">
        <v>161</v>
      </c>
      <c r="K4171" s="3">
        <v>5</v>
      </c>
      <c r="L4171" s="3">
        <v>44535.49</v>
      </c>
      <c r="M4171" s="3">
        <v>222677.45</v>
      </c>
      <c r="N4171" s="3">
        <v>172224.68</v>
      </c>
      <c r="O4171" s="3">
        <v>50452.77</v>
      </c>
      <c r="P4171" s="3" t="s">
        <v>86</v>
      </c>
    </row>
    <row r="4172" spans="1:16" x14ac:dyDescent="0.35">
      <c r="A4172" s="3" t="s">
        <v>5610</v>
      </c>
      <c r="B4172" s="3" t="s">
        <v>527</v>
      </c>
      <c r="C4172" s="3" t="s">
        <v>82</v>
      </c>
      <c r="D4172" s="3" t="s">
        <v>19</v>
      </c>
      <c r="E4172" s="3" t="s">
        <v>20</v>
      </c>
      <c r="F4172" s="3" t="s">
        <v>21</v>
      </c>
      <c r="G4172" s="3" t="s">
        <v>30</v>
      </c>
      <c r="H4172" s="3" t="s">
        <v>67</v>
      </c>
      <c r="I4172" s="3" t="s">
        <v>2344</v>
      </c>
      <c r="J4172" s="3" t="s">
        <v>147</v>
      </c>
      <c r="K4172" s="3">
        <v>8</v>
      </c>
      <c r="L4172" s="3">
        <v>9119.16</v>
      </c>
      <c r="M4172" s="3">
        <v>72953.279999999999</v>
      </c>
      <c r="N4172" s="3">
        <v>57911.65</v>
      </c>
      <c r="O4172" s="3">
        <v>15041.63</v>
      </c>
      <c r="P4172" s="3" t="s">
        <v>34</v>
      </c>
    </row>
    <row r="4173" spans="1:16" x14ac:dyDescent="0.35">
      <c r="A4173" s="3" t="s">
        <v>5611</v>
      </c>
      <c r="B4173" s="3" t="s">
        <v>672</v>
      </c>
      <c r="C4173" s="3" t="s">
        <v>118</v>
      </c>
      <c r="D4173" s="3" t="s">
        <v>38</v>
      </c>
      <c r="E4173" s="3" t="s">
        <v>104</v>
      </c>
      <c r="F4173" s="3" t="s">
        <v>104</v>
      </c>
      <c r="G4173" s="3" t="s">
        <v>41</v>
      </c>
      <c r="H4173" s="3" t="s">
        <v>42</v>
      </c>
      <c r="I4173" s="3" t="s">
        <v>848</v>
      </c>
      <c r="J4173" s="3" t="s">
        <v>161</v>
      </c>
      <c r="K4173" s="3">
        <v>2</v>
      </c>
      <c r="L4173" s="3">
        <v>46299.14</v>
      </c>
      <c r="M4173" s="3">
        <v>92598.28</v>
      </c>
      <c r="N4173" s="3">
        <v>68949.36</v>
      </c>
      <c r="O4173" s="3">
        <v>23648.92</v>
      </c>
      <c r="P4173" s="3" t="s">
        <v>69</v>
      </c>
    </row>
    <row r="4174" spans="1:16" x14ac:dyDescent="0.35">
      <c r="A4174" s="3" t="s">
        <v>5612</v>
      </c>
      <c r="B4174" s="3" t="s">
        <v>1314</v>
      </c>
      <c r="C4174" s="3" t="s">
        <v>48</v>
      </c>
      <c r="D4174" s="3" t="s">
        <v>58</v>
      </c>
      <c r="E4174" s="3" t="s">
        <v>59</v>
      </c>
      <c r="F4174" s="3" t="s">
        <v>60</v>
      </c>
      <c r="G4174" s="3" t="s">
        <v>51</v>
      </c>
      <c r="H4174" s="3" t="s">
        <v>145</v>
      </c>
      <c r="I4174" s="3" t="s">
        <v>2242</v>
      </c>
      <c r="J4174" s="3" t="s">
        <v>171</v>
      </c>
      <c r="K4174" s="3">
        <v>3</v>
      </c>
      <c r="L4174" s="3">
        <v>114.72</v>
      </c>
      <c r="M4174" s="3">
        <v>344.16</v>
      </c>
      <c r="N4174" s="3">
        <v>182.25</v>
      </c>
      <c r="O4174" s="3">
        <v>161.91</v>
      </c>
      <c r="P4174" s="3" t="s">
        <v>26</v>
      </c>
    </row>
    <row r="4175" spans="1:16" x14ac:dyDescent="0.35">
      <c r="A4175" s="3" t="s">
        <v>5613</v>
      </c>
      <c r="B4175" s="3" t="s">
        <v>209</v>
      </c>
      <c r="C4175" s="3" t="s">
        <v>118</v>
      </c>
      <c r="D4175" s="3" t="s">
        <v>19</v>
      </c>
      <c r="E4175" s="3" t="s">
        <v>20</v>
      </c>
      <c r="F4175" s="3" t="s">
        <v>21</v>
      </c>
      <c r="G4175" s="3" t="s">
        <v>41</v>
      </c>
      <c r="H4175" s="3" t="s">
        <v>61</v>
      </c>
      <c r="I4175" s="3" t="s">
        <v>2387</v>
      </c>
      <c r="J4175" s="3" t="s">
        <v>217</v>
      </c>
      <c r="K4175" s="3">
        <v>1</v>
      </c>
      <c r="L4175" s="3">
        <v>2337.98</v>
      </c>
      <c r="M4175" s="3">
        <v>2337.98</v>
      </c>
      <c r="N4175" s="3">
        <v>1520.63</v>
      </c>
      <c r="O4175" s="3">
        <v>817.35</v>
      </c>
      <c r="P4175" s="3" t="s">
        <v>34</v>
      </c>
    </row>
    <row r="4176" spans="1:16" x14ac:dyDescent="0.35">
      <c r="A4176" s="3" t="s">
        <v>5614</v>
      </c>
      <c r="B4176" s="3" t="s">
        <v>228</v>
      </c>
      <c r="C4176" s="3" t="s">
        <v>114</v>
      </c>
      <c r="D4176" s="3" t="s">
        <v>90</v>
      </c>
      <c r="E4176" s="3" t="s">
        <v>119</v>
      </c>
      <c r="F4176" s="3" t="s">
        <v>120</v>
      </c>
      <c r="G4176" s="3" t="s">
        <v>41</v>
      </c>
      <c r="H4176" s="3" t="s">
        <v>42</v>
      </c>
      <c r="I4176" s="3" t="s">
        <v>2472</v>
      </c>
      <c r="J4176" s="3" t="s">
        <v>131</v>
      </c>
      <c r="K4176" s="3">
        <v>2</v>
      </c>
      <c r="L4176" s="3">
        <v>49499.59</v>
      </c>
      <c r="M4176" s="3">
        <v>98999.18</v>
      </c>
      <c r="N4176" s="3">
        <v>73406.73</v>
      </c>
      <c r="O4176" s="3">
        <v>25592.45</v>
      </c>
      <c r="P4176" s="3" t="s">
        <v>86</v>
      </c>
    </row>
    <row r="4177" spans="1:16" x14ac:dyDescent="0.35">
      <c r="A4177" s="3" t="s">
        <v>5615</v>
      </c>
      <c r="B4177" s="3" t="s">
        <v>1053</v>
      </c>
      <c r="C4177" s="3" t="s">
        <v>82</v>
      </c>
      <c r="D4177" s="3" t="s">
        <v>58</v>
      </c>
      <c r="E4177" s="3" t="s">
        <v>176</v>
      </c>
      <c r="F4177" s="3" t="s">
        <v>177</v>
      </c>
      <c r="G4177" s="3" t="s">
        <v>30</v>
      </c>
      <c r="H4177" s="3" t="s">
        <v>31</v>
      </c>
      <c r="I4177" s="3" t="s">
        <v>1883</v>
      </c>
      <c r="J4177" s="3" t="s">
        <v>188</v>
      </c>
      <c r="K4177" s="3">
        <v>4</v>
      </c>
      <c r="L4177" s="3">
        <v>2881.17</v>
      </c>
      <c r="M4177" s="3">
        <v>11524.68</v>
      </c>
      <c r="N4177" s="3">
        <v>7519.67</v>
      </c>
      <c r="O4177" s="3">
        <v>4005.01</v>
      </c>
      <c r="P4177" s="3" t="s">
        <v>34</v>
      </c>
    </row>
    <row r="4178" spans="1:16" x14ac:dyDescent="0.35">
      <c r="A4178" s="3" t="s">
        <v>5616</v>
      </c>
      <c r="B4178" s="3" t="s">
        <v>524</v>
      </c>
      <c r="C4178" s="3" t="s">
        <v>89</v>
      </c>
      <c r="D4178" s="3" t="s">
        <v>19</v>
      </c>
      <c r="E4178" s="3" t="s">
        <v>49</v>
      </c>
      <c r="F4178" s="3" t="s">
        <v>50</v>
      </c>
      <c r="G4178" s="3" t="s">
        <v>51</v>
      </c>
      <c r="H4178" s="3" t="s">
        <v>52</v>
      </c>
      <c r="I4178" s="3" t="s">
        <v>2278</v>
      </c>
      <c r="J4178" s="3" t="s">
        <v>54</v>
      </c>
      <c r="K4178" s="3">
        <v>4</v>
      </c>
      <c r="L4178" s="3">
        <v>26.38</v>
      </c>
      <c r="M4178" s="3">
        <v>105.52</v>
      </c>
      <c r="N4178" s="3">
        <v>41.84</v>
      </c>
      <c r="O4178" s="3">
        <v>63.68</v>
      </c>
      <c r="P4178" s="3" t="s">
        <v>86</v>
      </c>
    </row>
    <row r="4179" spans="1:16" x14ac:dyDescent="0.35">
      <c r="A4179" s="3" t="s">
        <v>5617</v>
      </c>
      <c r="B4179" s="3" t="s">
        <v>117</v>
      </c>
      <c r="C4179" s="3" t="s">
        <v>118</v>
      </c>
      <c r="D4179" s="3" t="s">
        <v>38</v>
      </c>
      <c r="E4179" s="3" t="s">
        <v>104</v>
      </c>
      <c r="F4179" s="3" t="s">
        <v>104</v>
      </c>
      <c r="G4179" s="3" t="s">
        <v>30</v>
      </c>
      <c r="H4179" s="3" t="s">
        <v>73</v>
      </c>
      <c r="I4179" s="3" t="s">
        <v>2360</v>
      </c>
      <c r="J4179" s="3" t="s">
        <v>188</v>
      </c>
      <c r="K4179" s="3">
        <v>8</v>
      </c>
      <c r="L4179" s="3">
        <v>3447.22</v>
      </c>
      <c r="M4179" s="3">
        <v>27577.759999999998</v>
      </c>
      <c r="N4179" s="3">
        <v>18526.32</v>
      </c>
      <c r="O4179" s="3">
        <v>9051.44</v>
      </c>
      <c r="P4179" s="3" t="s">
        <v>86</v>
      </c>
    </row>
    <row r="4180" spans="1:16" x14ac:dyDescent="0.35">
      <c r="A4180" s="3" t="s">
        <v>5618</v>
      </c>
      <c r="B4180" s="3" t="s">
        <v>979</v>
      </c>
      <c r="C4180" s="3" t="s">
        <v>103</v>
      </c>
      <c r="D4180" s="3" t="s">
        <v>58</v>
      </c>
      <c r="E4180" s="3" t="s">
        <v>65</v>
      </c>
      <c r="F4180" s="3" t="s">
        <v>66</v>
      </c>
      <c r="G4180" s="3" t="s">
        <v>22</v>
      </c>
      <c r="H4180" s="3" t="s">
        <v>93</v>
      </c>
      <c r="I4180" s="3" t="s">
        <v>2409</v>
      </c>
      <c r="J4180" s="3" t="s">
        <v>100</v>
      </c>
      <c r="K4180" s="3">
        <v>5</v>
      </c>
      <c r="L4180" s="3">
        <v>7356.84</v>
      </c>
      <c r="M4180" s="3">
        <v>36784.199999999997</v>
      </c>
      <c r="N4180" s="3">
        <v>25895.35</v>
      </c>
      <c r="O4180" s="3">
        <v>10888.85</v>
      </c>
      <c r="P4180" s="3" t="s">
        <v>34</v>
      </c>
    </row>
    <row r="4181" spans="1:16" x14ac:dyDescent="0.35">
      <c r="A4181" s="3" t="s">
        <v>5619</v>
      </c>
      <c r="B4181" s="3" t="s">
        <v>1698</v>
      </c>
      <c r="C4181" s="3" t="s">
        <v>18</v>
      </c>
      <c r="D4181" s="3" t="s">
        <v>90</v>
      </c>
      <c r="E4181" s="3" t="s">
        <v>97</v>
      </c>
      <c r="F4181" s="3" t="s">
        <v>98</v>
      </c>
      <c r="G4181" s="3" t="s">
        <v>22</v>
      </c>
      <c r="H4181" s="3" t="s">
        <v>93</v>
      </c>
      <c r="I4181" s="3" t="s">
        <v>146</v>
      </c>
      <c r="J4181" s="3" t="s">
        <v>85</v>
      </c>
      <c r="K4181" s="3">
        <v>5</v>
      </c>
      <c r="L4181" s="3">
        <v>6936.43</v>
      </c>
      <c r="M4181" s="3">
        <v>34682.15</v>
      </c>
      <c r="N4181" s="3">
        <v>23909.59</v>
      </c>
      <c r="O4181" s="3">
        <v>10772.56</v>
      </c>
      <c r="P4181" s="3" t="s">
        <v>69</v>
      </c>
    </row>
    <row r="4182" spans="1:16" x14ac:dyDescent="0.35">
      <c r="A4182" s="3" t="s">
        <v>5620</v>
      </c>
      <c r="B4182" s="3" t="s">
        <v>225</v>
      </c>
      <c r="C4182" s="3" t="s">
        <v>89</v>
      </c>
      <c r="D4182" s="3" t="s">
        <v>19</v>
      </c>
      <c r="E4182" s="3" t="s">
        <v>49</v>
      </c>
      <c r="F4182" s="3" t="s">
        <v>50</v>
      </c>
      <c r="G4182" s="3" t="s">
        <v>30</v>
      </c>
      <c r="H4182" s="3" t="s">
        <v>73</v>
      </c>
      <c r="I4182" s="3" t="s">
        <v>4244</v>
      </c>
      <c r="J4182" s="3" t="s">
        <v>217</v>
      </c>
      <c r="K4182" s="3">
        <v>2</v>
      </c>
      <c r="L4182" s="3">
        <v>2967.25</v>
      </c>
      <c r="M4182" s="3">
        <v>5934.5</v>
      </c>
      <c r="N4182" s="3">
        <v>4851.0600000000004</v>
      </c>
      <c r="O4182" s="3">
        <v>1083.44</v>
      </c>
      <c r="P4182" s="3" t="s">
        <v>45</v>
      </c>
    </row>
    <row r="4183" spans="1:16" x14ac:dyDescent="0.35">
      <c r="A4183" s="3" t="s">
        <v>5621</v>
      </c>
      <c r="B4183" s="3" t="s">
        <v>443</v>
      </c>
      <c r="C4183" s="3" t="s">
        <v>57</v>
      </c>
      <c r="D4183" s="3" t="s">
        <v>19</v>
      </c>
      <c r="E4183" s="3" t="s">
        <v>20</v>
      </c>
      <c r="F4183" s="3" t="s">
        <v>21</v>
      </c>
      <c r="G4183" s="3" t="s">
        <v>41</v>
      </c>
      <c r="H4183" s="3" t="s">
        <v>42</v>
      </c>
      <c r="I4183" s="3" t="s">
        <v>1487</v>
      </c>
      <c r="J4183" s="3" t="s">
        <v>147</v>
      </c>
      <c r="K4183" s="3">
        <v>4</v>
      </c>
      <c r="L4183" s="3">
        <v>47715.25</v>
      </c>
      <c r="M4183" s="3">
        <v>190861</v>
      </c>
      <c r="N4183" s="3">
        <v>139569.38</v>
      </c>
      <c r="O4183" s="3">
        <v>51291.62</v>
      </c>
      <c r="P4183" s="3" t="s">
        <v>26</v>
      </c>
    </row>
    <row r="4184" spans="1:16" x14ac:dyDescent="0.35">
      <c r="A4184" s="3" t="s">
        <v>5622</v>
      </c>
      <c r="B4184" s="3" t="s">
        <v>236</v>
      </c>
      <c r="C4184" s="3" t="s">
        <v>18</v>
      </c>
      <c r="D4184" s="3" t="s">
        <v>58</v>
      </c>
      <c r="E4184" s="3" t="s">
        <v>59</v>
      </c>
      <c r="F4184" s="3" t="s">
        <v>60</v>
      </c>
      <c r="G4184" s="3" t="s">
        <v>41</v>
      </c>
      <c r="H4184" s="3" t="s">
        <v>42</v>
      </c>
      <c r="I4184" s="3" t="s">
        <v>115</v>
      </c>
      <c r="J4184" s="3" t="s">
        <v>106</v>
      </c>
      <c r="K4184" s="3">
        <v>3</v>
      </c>
      <c r="L4184" s="3">
        <v>43839.71</v>
      </c>
      <c r="M4184" s="3">
        <v>131519.13</v>
      </c>
      <c r="N4184" s="3">
        <v>109472.11</v>
      </c>
      <c r="O4184" s="3">
        <v>22047.02</v>
      </c>
      <c r="P4184" s="3" t="s">
        <v>86</v>
      </c>
    </row>
    <row r="4185" spans="1:16" x14ac:dyDescent="0.35">
      <c r="A4185" s="3" t="s">
        <v>5623</v>
      </c>
      <c r="B4185" s="3" t="s">
        <v>291</v>
      </c>
      <c r="C4185" s="3" t="s">
        <v>48</v>
      </c>
      <c r="D4185" s="3" t="s">
        <v>90</v>
      </c>
      <c r="E4185" s="3" t="s">
        <v>97</v>
      </c>
      <c r="F4185" s="3" t="s">
        <v>98</v>
      </c>
      <c r="G4185" s="3" t="s">
        <v>41</v>
      </c>
      <c r="H4185" s="3" t="s">
        <v>61</v>
      </c>
      <c r="I4185" s="3" t="s">
        <v>1029</v>
      </c>
      <c r="J4185" s="3" t="s">
        <v>217</v>
      </c>
      <c r="K4185" s="3">
        <v>2</v>
      </c>
      <c r="L4185" s="3">
        <v>2483.58</v>
      </c>
      <c r="M4185" s="3">
        <v>4967.16</v>
      </c>
      <c r="N4185" s="3">
        <v>3066.35</v>
      </c>
      <c r="O4185" s="3">
        <v>1900.81</v>
      </c>
      <c r="P4185" s="3" t="s">
        <v>45</v>
      </c>
    </row>
    <row r="4186" spans="1:16" x14ac:dyDescent="0.35">
      <c r="A4186" s="3" t="s">
        <v>5624</v>
      </c>
      <c r="B4186" s="3" t="s">
        <v>1136</v>
      </c>
      <c r="C4186" s="3" t="s">
        <v>118</v>
      </c>
      <c r="D4186" s="3" t="s">
        <v>19</v>
      </c>
      <c r="E4186" s="3" t="s">
        <v>20</v>
      </c>
      <c r="F4186" s="3" t="s">
        <v>21</v>
      </c>
      <c r="G4186" s="3" t="s">
        <v>51</v>
      </c>
      <c r="H4186" s="3" t="s">
        <v>52</v>
      </c>
      <c r="I4186" s="3" t="s">
        <v>822</v>
      </c>
      <c r="J4186" s="3" t="s">
        <v>161</v>
      </c>
      <c r="K4186" s="3">
        <v>2</v>
      </c>
      <c r="L4186" s="3">
        <v>27.08</v>
      </c>
      <c r="M4186" s="3">
        <v>54.16</v>
      </c>
      <c r="N4186" s="3">
        <v>20.190000000000001</v>
      </c>
      <c r="O4186" s="3">
        <v>33.97</v>
      </c>
      <c r="P4186" s="3" t="s">
        <v>45</v>
      </c>
    </row>
    <row r="4187" spans="1:16" x14ac:dyDescent="0.35">
      <c r="A4187" s="3" t="s">
        <v>5625</v>
      </c>
      <c r="B4187" s="3" t="s">
        <v>1053</v>
      </c>
      <c r="C4187" s="3" t="s">
        <v>82</v>
      </c>
      <c r="D4187" s="3" t="s">
        <v>19</v>
      </c>
      <c r="E4187" s="3" t="s">
        <v>49</v>
      </c>
      <c r="F4187" s="3" t="s">
        <v>50</v>
      </c>
      <c r="G4187" s="3" t="s">
        <v>41</v>
      </c>
      <c r="H4187" s="3" t="s">
        <v>61</v>
      </c>
      <c r="I4187" s="3" t="s">
        <v>2563</v>
      </c>
      <c r="J4187" s="3" t="s">
        <v>217</v>
      </c>
      <c r="K4187" s="3">
        <v>6</v>
      </c>
      <c r="L4187" s="3">
        <v>2356.2800000000002</v>
      </c>
      <c r="M4187" s="3">
        <v>14137.68</v>
      </c>
      <c r="N4187" s="3">
        <v>9647.23</v>
      </c>
      <c r="O4187" s="3">
        <v>4490.45</v>
      </c>
      <c r="P4187" s="3" t="s">
        <v>86</v>
      </c>
    </row>
    <row r="4188" spans="1:16" x14ac:dyDescent="0.35">
      <c r="A4188" s="3" t="s">
        <v>5626</v>
      </c>
      <c r="B4188" s="3" t="s">
        <v>782</v>
      </c>
      <c r="C4188" s="3" t="s">
        <v>114</v>
      </c>
      <c r="D4188" s="3" t="s">
        <v>58</v>
      </c>
      <c r="E4188" s="3" t="s">
        <v>176</v>
      </c>
      <c r="F4188" s="3" t="s">
        <v>177</v>
      </c>
      <c r="G4188" s="3" t="s">
        <v>30</v>
      </c>
      <c r="H4188" s="3" t="s">
        <v>31</v>
      </c>
      <c r="I4188" s="3" t="s">
        <v>1210</v>
      </c>
      <c r="J4188" s="3" t="s">
        <v>85</v>
      </c>
      <c r="K4188" s="3">
        <v>4</v>
      </c>
      <c r="L4188" s="3">
        <v>3074.04</v>
      </c>
      <c r="M4188" s="3">
        <v>12296.16</v>
      </c>
      <c r="N4188" s="3">
        <v>7381.83</v>
      </c>
      <c r="O4188" s="3">
        <v>4914.33</v>
      </c>
      <c r="P4188" s="3" t="s">
        <v>34</v>
      </c>
    </row>
    <row r="4189" spans="1:16" x14ac:dyDescent="0.35">
      <c r="A4189" s="3" t="s">
        <v>5627</v>
      </c>
      <c r="B4189" s="3" t="s">
        <v>1306</v>
      </c>
      <c r="C4189" s="3" t="s">
        <v>57</v>
      </c>
      <c r="D4189" s="3" t="s">
        <v>38</v>
      </c>
      <c r="E4189" s="3" t="s">
        <v>104</v>
      </c>
      <c r="F4189" s="3" t="s">
        <v>104</v>
      </c>
      <c r="G4189" s="3" t="s">
        <v>22</v>
      </c>
      <c r="H4189" s="3" t="s">
        <v>93</v>
      </c>
      <c r="I4189" s="3" t="s">
        <v>3027</v>
      </c>
      <c r="J4189" s="3" t="s">
        <v>25</v>
      </c>
      <c r="K4189" s="3">
        <v>1</v>
      </c>
      <c r="L4189" s="3">
        <v>7046.25</v>
      </c>
      <c r="M4189" s="3">
        <v>7046.25</v>
      </c>
      <c r="N4189" s="3">
        <v>5063.4399999999996</v>
      </c>
      <c r="O4189" s="3">
        <v>1982.81</v>
      </c>
      <c r="P4189" s="3" t="s">
        <v>26</v>
      </c>
    </row>
    <row r="4190" spans="1:16" x14ac:dyDescent="0.35">
      <c r="A4190" s="3" t="s">
        <v>5628</v>
      </c>
      <c r="B4190" s="3" t="s">
        <v>2492</v>
      </c>
      <c r="C4190" s="3" t="s">
        <v>118</v>
      </c>
      <c r="D4190" s="3" t="s">
        <v>38</v>
      </c>
      <c r="E4190" s="3" t="s">
        <v>109</v>
      </c>
      <c r="F4190" s="3" t="s">
        <v>110</v>
      </c>
      <c r="G4190" s="3" t="s">
        <v>30</v>
      </c>
      <c r="H4190" s="3" t="s">
        <v>31</v>
      </c>
      <c r="I4190" s="3" t="s">
        <v>1673</v>
      </c>
      <c r="J4190" s="3" t="s">
        <v>188</v>
      </c>
      <c r="K4190" s="3">
        <v>1</v>
      </c>
      <c r="L4190" s="3">
        <v>2901.07</v>
      </c>
      <c r="M4190" s="3">
        <v>2901.07</v>
      </c>
      <c r="N4190" s="3">
        <v>1944.49</v>
      </c>
      <c r="O4190" s="3">
        <v>956.58</v>
      </c>
      <c r="P4190" s="3" t="s">
        <v>86</v>
      </c>
    </row>
    <row r="4191" spans="1:16" x14ac:dyDescent="0.35">
      <c r="A4191" s="3" t="s">
        <v>5629</v>
      </c>
      <c r="B4191" s="3" t="s">
        <v>1348</v>
      </c>
      <c r="C4191" s="3" t="s">
        <v>57</v>
      </c>
      <c r="D4191" s="3" t="s">
        <v>58</v>
      </c>
      <c r="E4191" s="3" t="s">
        <v>59</v>
      </c>
      <c r="F4191" s="3" t="s">
        <v>60</v>
      </c>
      <c r="G4191" s="3" t="s">
        <v>41</v>
      </c>
      <c r="H4191" s="3" t="s">
        <v>61</v>
      </c>
      <c r="I4191" s="3" t="s">
        <v>4175</v>
      </c>
      <c r="J4191" s="3" t="s">
        <v>44</v>
      </c>
      <c r="K4191" s="3">
        <v>5</v>
      </c>
      <c r="L4191" s="3">
        <v>2664.6</v>
      </c>
      <c r="M4191" s="3">
        <v>13323</v>
      </c>
      <c r="N4191" s="3">
        <v>7882.04</v>
      </c>
      <c r="O4191" s="3">
        <v>5440.96</v>
      </c>
      <c r="P4191" s="3" t="s">
        <v>26</v>
      </c>
    </row>
    <row r="4192" spans="1:16" x14ac:dyDescent="0.35">
      <c r="A4192" s="3" t="s">
        <v>5630</v>
      </c>
      <c r="B4192" s="3" t="s">
        <v>156</v>
      </c>
      <c r="C4192" s="3" t="s">
        <v>103</v>
      </c>
      <c r="D4192" s="3" t="s">
        <v>90</v>
      </c>
      <c r="E4192" s="3" t="s">
        <v>97</v>
      </c>
      <c r="F4192" s="3" t="s">
        <v>98</v>
      </c>
      <c r="G4192" s="3" t="s">
        <v>51</v>
      </c>
      <c r="H4192" s="3" t="s">
        <v>145</v>
      </c>
      <c r="I4192" s="3" t="s">
        <v>1456</v>
      </c>
      <c r="J4192" s="3" t="s">
        <v>54</v>
      </c>
      <c r="K4192" s="3">
        <v>2</v>
      </c>
      <c r="L4192" s="3">
        <v>128.49</v>
      </c>
      <c r="M4192" s="3">
        <v>256.98</v>
      </c>
      <c r="N4192" s="3">
        <v>114.43</v>
      </c>
      <c r="O4192" s="3">
        <v>142.55000000000001</v>
      </c>
      <c r="P4192" s="3" t="s">
        <v>34</v>
      </c>
    </row>
    <row r="4193" spans="1:16" x14ac:dyDescent="0.35">
      <c r="A4193" s="3" t="s">
        <v>5631</v>
      </c>
      <c r="B4193" s="3" t="s">
        <v>123</v>
      </c>
      <c r="C4193" s="3" t="s">
        <v>18</v>
      </c>
      <c r="D4193" s="3" t="s">
        <v>19</v>
      </c>
      <c r="E4193" s="3" t="s">
        <v>199</v>
      </c>
      <c r="F4193" s="3" t="s">
        <v>200</v>
      </c>
      <c r="G4193" s="3" t="s">
        <v>51</v>
      </c>
      <c r="H4193" s="3" t="s">
        <v>52</v>
      </c>
      <c r="I4193" s="3" t="s">
        <v>342</v>
      </c>
      <c r="J4193" s="3" t="s">
        <v>154</v>
      </c>
      <c r="K4193" s="3">
        <v>4</v>
      </c>
      <c r="L4193" s="3">
        <v>25.39</v>
      </c>
      <c r="M4193" s="3">
        <v>101.56</v>
      </c>
      <c r="N4193" s="3">
        <v>39.299999999999997</v>
      </c>
      <c r="O4193" s="3">
        <v>62.26</v>
      </c>
      <c r="P4193" s="3" t="s">
        <v>86</v>
      </c>
    </row>
    <row r="4194" spans="1:16" x14ac:dyDescent="0.35">
      <c r="A4194" s="3" t="s">
        <v>5632</v>
      </c>
      <c r="B4194" s="3" t="s">
        <v>349</v>
      </c>
      <c r="C4194" s="3" t="s">
        <v>72</v>
      </c>
      <c r="D4194" s="3" t="s">
        <v>38</v>
      </c>
      <c r="E4194" s="3" t="s">
        <v>39</v>
      </c>
      <c r="F4194" s="3" t="s">
        <v>40</v>
      </c>
      <c r="G4194" s="3" t="s">
        <v>41</v>
      </c>
      <c r="H4194" s="3" t="s">
        <v>61</v>
      </c>
      <c r="I4194" s="3" t="s">
        <v>436</v>
      </c>
      <c r="J4194" s="3" t="s">
        <v>100</v>
      </c>
      <c r="K4194" s="3">
        <v>7</v>
      </c>
      <c r="L4194" s="3">
        <v>2482.1</v>
      </c>
      <c r="M4194" s="3">
        <v>17374.7</v>
      </c>
      <c r="N4194" s="3">
        <v>11478.58</v>
      </c>
      <c r="O4194" s="3">
        <v>5896.12</v>
      </c>
      <c r="P4194" s="3" t="s">
        <v>34</v>
      </c>
    </row>
    <row r="4195" spans="1:16" x14ac:dyDescent="0.35">
      <c r="A4195" s="3" t="s">
        <v>5633</v>
      </c>
      <c r="B4195" s="3" t="s">
        <v>1464</v>
      </c>
      <c r="C4195" s="3" t="s">
        <v>137</v>
      </c>
      <c r="D4195" s="3" t="s">
        <v>19</v>
      </c>
      <c r="E4195" s="3" t="s">
        <v>199</v>
      </c>
      <c r="F4195" s="3" t="s">
        <v>200</v>
      </c>
      <c r="G4195" s="3" t="s">
        <v>51</v>
      </c>
      <c r="H4195" s="3" t="s">
        <v>52</v>
      </c>
      <c r="I4195" s="3" t="s">
        <v>5634</v>
      </c>
      <c r="J4195" s="3" t="s">
        <v>33</v>
      </c>
      <c r="K4195" s="3">
        <v>7</v>
      </c>
      <c r="L4195" s="3">
        <v>25.19</v>
      </c>
      <c r="M4195" s="3">
        <v>176.33</v>
      </c>
      <c r="N4195" s="3">
        <v>66.53</v>
      </c>
      <c r="O4195" s="3">
        <v>109.8</v>
      </c>
      <c r="P4195" s="3" t="s">
        <v>86</v>
      </c>
    </row>
    <row r="4196" spans="1:16" x14ac:dyDescent="0.35">
      <c r="A4196" s="3" t="s">
        <v>5635</v>
      </c>
      <c r="B4196" s="3" t="s">
        <v>889</v>
      </c>
      <c r="C4196" s="3" t="s">
        <v>82</v>
      </c>
      <c r="D4196" s="3" t="s">
        <v>90</v>
      </c>
      <c r="E4196" s="3" t="s">
        <v>119</v>
      </c>
      <c r="F4196" s="3" t="s">
        <v>120</v>
      </c>
      <c r="G4196" s="3" t="s">
        <v>22</v>
      </c>
      <c r="H4196" s="3" t="s">
        <v>93</v>
      </c>
      <c r="I4196" s="3" t="s">
        <v>3965</v>
      </c>
      <c r="J4196" s="3" t="s">
        <v>154</v>
      </c>
      <c r="K4196" s="3">
        <v>3</v>
      </c>
      <c r="L4196" s="3">
        <v>7141.56</v>
      </c>
      <c r="M4196" s="3">
        <v>21424.68</v>
      </c>
      <c r="N4196" s="3">
        <v>14613.02</v>
      </c>
      <c r="O4196" s="3">
        <v>6811.66</v>
      </c>
      <c r="P4196" s="3" t="s">
        <v>86</v>
      </c>
    </row>
    <row r="4197" spans="1:16" x14ac:dyDescent="0.35">
      <c r="A4197" s="3" t="s">
        <v>5636</v>
      </c>
      <c r="B4197" s="3" t="s">
        <v>163</v>
      </c>
      <c r="C4197" s="3" t="s">
        <v>137</v>
      </c>
      <c r="D4197" s="3" t="s">
        <v>58</v>
      </c>
      <c r="E4197" s="3" t="s">
        <v>176</v>
      </c>
      <c r="F4197" s="3" t="s">
        <v>177</v>
      </c>
      <c r="G4197" s="3" t="s">
        <v>41</v>
      </c>
      <c r="H4197" s="3" t="s">
        <v>42</v>
      </c>
      <c r="I4197" s="3" t="s">
        <v>1607</v>
      </c>
      <c r="J4197" s="3" t="s">
        <v>33</v>
      </c>
      <c r="K4197" s="3">
        <v>1</v>
      </c>
      <c r="L4197" s="3">
        <v>41008.32</v>
      </c>
      <c r="M4197" s="3">
        <v>41008.32</v>
      </c>
      <c r="N4197" s="3">
        <v>33674.019999999997</v>
      </c>
      <c r="O4197" s="3">
        <v>7334.3</v>
      </c>
      <c r="P4197" s="3" t="s">
        <v>26</v>
      </c>
    </row>
    <row r="4198" spans="1:16" x14ac:dyDescent="0.35">
      <c r="A4198" s="3" t="s">
        <v>5637</v>
      </c>
      <c r="B4198" s="3" t="s">
        <v>1499</v>
      </c>
      <c r="C4198" s="3" t="s">
        <v>103</v>
      </c>
      <c r="D4198" s="3" t="s">
        <v>90</v>
      </c>
      <c r="E4198" s="3" t="s">
        <v>97</v>
      </c>
      <c r="F4198" s="3" t="s">
        <v>98</v>
      </c>
      <c r="G4198" s="3" t="s">
        <v>51</v>
      </c>
      <c r="H4198" s="3" t="s">
        <v>52</v>
      </c>
      <c r="I4198" s="3" t="s">
        <v>1647</v>
      </c>
      <c r="J4198" s="3" t="s">
        <v>100</v>
      </c>
      <c r="K4198" s="3">
        <v>7</v>
      </c>
      <c r="L4198" s="3">
        <v>24.54</v>
      </c>
      <c r="M4198" s="3">
        <v>171.78</v>
      </c>
      <c r="N4198" s="3">
        <v>70.45</v>
      </c>
      <c r="O4198" s="3">
        <v>101.33</v>
      </c>
      <c r="P4198" s="3" t="s">
        <v>26</v>
      </c>
    </row>
    <row r="4199" spans="1:16" x14ac:dyDescent="0.35">
      <c r="A4199" s="3" t="s">
        <v>5638</v>
      </c>
      <c r="B4199" s="3" t="s">
        <v>455</v>
      </c>
      <c r="C4199" s="3" t="s">
        <v>18</v>
      </c>
      <c r="D4199" s="3" t="s">
        <v>58</v>
      </c>
      <c r="E4199" s="3" t="s">
        <v>59</v>
      </c>
      <c r="F4199" s="3" t="s">
        <v>60</v>
      </c>
      <c r="G4199" s="3" t="s">
        <v>22</v>
      </c>
      <c r="H4199" s="3" t="s">
        <v>83</v>
      </c>
      <c r="I4199" s="3" t="s">
        <v>2061</v>
      </c>
      <c r="J4199" s="3" t="s">
        <v>54</v>
      </c>
      <c r="K4199" s="3">
        <v>1</v>
      </c>
      <c r="L4199" s="3">
        <v>23187.82</v>
      </c>
      <c r="M4199" s="3">
        <v>23187.82</v>
      </c>
      <c r="N4199" s="3">
        <v>17668.25</v>
      </c>
      <c r="O4199" s="3">
        <v>5519.57</v>
      </c>
      <c r="P4199" s="3" t="s">
        <v>86</v>
      </c>
    </row>
    <row r="4200" spans="1:16" x14ac:dyDescent="0.35">
      <c r="A4200" s="3" t="s">
        <v>5639</v>
      </c>
      <c r="B4200" s="3" t="s">
        <v>271</v>
      </c>
      <c r="C4200" s="3" t="s">
        <v>82</v>
      </c>
      <c r="D4200" s="3" t="s">
        <v>58</v>
      </c>
      <c r="E4200" s="3" t="s">
        <v>176</v>
      </c>
      <c r="F4200" s="3" t="s">
        <v>177</v>
      </c>
      <c r="G4200" s="3" t="s">
        <v>22</v>
      </c>
      <c r="H4200" s="3" t="s">
        <v>83</v>
      </c>
      <c r="I4200" s="3" t="s">
        <v>1123</v>
      </c>
      <c r="J4200" s="3" t="s">
        <v>217</v>
      </c>
      <c r="K4200" s="3">
        <v>5</v>
      </c>
      <c r="L4200" s="3">
        <v>23250.35</v>
      </c>
      <c r="M4200" s="3">
        <v>116251.75</v>
      </c>
      <c r="N4200" s="3">
        <v>87044.2</v>
      </c>
      <c r="O4200" s="3">
        <v>29207.55</v>
      </c>
      <c r="P4200" s="3" t="s">
        <v>69</v>
      </c>
    </row>
    <row r="4201" spans="1:16" x14ac:dyDescent="0.35">
      <c r="A4201" s="3" t="s">
        <v>5640</v>
      </c>
      <c r="B4201" s="3" t="s">
        <v>144</v>
      </c>
      <c r="C4201" s="3" t="s">
        <v>37</v>
      </c>
      <c r="D4201" s="3" t="s">
        <v>90</v>
      </c>
      <c r="E4201" s="3" t="s">
        <v>91</v>
      </c>
      <c r="F4201" s="3" t="s">
        <v>92</v>
      </c>
      <c r="G4201" s="3" t="s">
        <v>51</v>
      </c>
      <c r="H4201" s="3" t="s">
        <v>145</v>
      </c>
      <c r="I4201" s="3" t="s">
        <v>486</v>
      </c>
      <c r="J4201" s="3" t="s">
        <v>171</v>
      </c>
      <c r="K4201" s="3">
        <v>1</v>
      </c>
      <c r="L4201" s="3">
        <v>115.62</v>
      </c>
      <c r="M4201" s="3">
        <v>115.62</v>
      </c>
      <c r="N4201" s="3">
        <v>62.61</v>
      </c>
      <c r="O4201" s="3">
        <v>53.01</v>
      </c>
      <c r="P4201" s="3" t="s">
        <v>45</v>
      </c>
    </row>
    <row r="4202" spans="1:16" x14ac:dyDescent="0.35">
      <c r="A4202" s="3" t="s">
        <v>5641</v>
      </c>
      <c r="B4202" s="3" t="s">
        <v>36</v>
      </c>
      <c r="C4202" s="3" t="s">
        <v>37</v>
      </c>
      <c r="D4202" s="3" t="s">
        <v>58</v>
      </c>
      <c r="E4202" s="3" t="s">
        <v>65</v>
      </c>
      <c r="F4202" s="3" t="s">
        <v>66</v>
      </c>
      <c r="G4202" s="3" t="s">
        <v>41</v>
      </c>
      <c r="H4202" s="3" t="s">
        <v>61</v>
      </c>
      <c r="I4202" s="3" t="s">
        <v>491</v>
      </c>
      <c r="J4202" s="3" t="s">
        <v>44</v>
      </c>
      <c r="K4202" s="3">
        <v>3</v>
      </c>
      <c r="L4202" s="3">
        <v>2250.06</v>
      </c>
      <c r="M4202" s="3">
        <v>6750.18</v>
      </c>
      <c r="N4202" s="3">
        <v>4855.8900000000003</v>
      </c>
      <c r="O4202" s="3">
        <v>1894.29</v>
      </c>
      <c r="P4202" s="3" t="s">
        <v>69</v>
      </c>
    </row>
    <row r="4203" spans="1:16" x14ac:dyDescent="0.35">
      <c r="A4203" s="3" t="s">
        <v>5642</v>
      </c>
      <c r="B4203" s="3" t="s">
        <v>141</v>
      </c>
      <c r="C4203" s="3" t="s">
        <v>57</v>
      </c>
      <c r="D4203" s="3" t="s">
        <v>19</v>
      </c>
      <c r="E4203" s="3" t="s">
        <v>199</v>
      </c>
      <c r="F4203" s="3" t="s">
        <v>200</v>
      </c>
      <c r="G4203" s="3" t="s">
        <v>41</v>
      </c>
      <c r="H4203" s="3" t="s">
        <v>42</v>
      </c>
      <c r="I4203" s="3" t="s">
        <v>286</v>
      </c>
      <c r="J4203" s="3" t="s">
        <v>131</v>
      </c>
      <c r="K4203" s="3">
        <v>4</v>
      </c>
      <c r="L4203" s="3">
        <v>48603.68</v>
      </c>
      <c r="M4203" s="3">
        <v>194414.72</v>
      </c>
      <c r="N4203" s="3">
        <v>141496.69</v>
      </c>
      <c r="O4203" s="3">
        <v>52918.03</v>
      </c>
      <c r="P4203" s="3" t="s">
        <v>45</v>
      </c>
    </row>
    <row r="4204" spans="1:16" x14ac:dyDescent="0.35">
      <c r="A4204" s="3" t="s">
        <v>5643</v>
      </c>
      <c r="B4204" s="3" t="s">
        <v>1455</v>
      </c>
      <c r="C4204" s="3" t="s">
        <v>103</v>
      </c>
      <c r="D4204" s="3" t="s">
        <v>90</v>
      </c>
      <c r="E4204" s="3" t="s">
        <v>97</v>
      </c>
      <c r="F4204" s="3" t="s">
        <v>98</v>
      </c>
      <c r="G4204" s="3" t="s">
        <v>41</v>
      </c>
      <c r="H4204" s="3" t="s">
        <v>42</v>
      </c>
      <c r="I4204" s="3" t="s">
        <v>4351</v>
      </c>
      <c r="J4204" s="3" t="s">
        <v>85</v>
      </c>
      <c r="K4204" s="3">
        <v>8</v>
      </c>
      <c r="L4204" s="3">
        <v>46968.61</v>
      </c>
      <c r="M4204" s="3">
        <v>375748.88</v>
      </c>
      <c r="N4204" s="3">
        <v>291285.39</v>
      </c>
      <c r="O4204" s="3">
        <v>84463.49</v>
      </c>
      <c r="P4204" s="3" t="s">
        <v>86</v>
      </c>
    </row>
    <row r="4205" spans="1:16" x14ac:dyDescent="0.35">
      <c r="A4205" s="3" t="s">
        <v>5644</v>
      </c>
      <c r="B4205" s="3" t="s">
        <v>446</v>
      </c>
      <c r="C4205" s="3" t="s">
        <v>29</v>
      </c>
      <c r="D4205" s="3" t="s">
        <v>90</v>
      </c>
      <c r="E4205" s="3" t="s">
        <v>97</v>
      </c>
      <c r="F4205" s="3" t="s">
        <v>98</v>
      </c>
      <c r="G4205" s="3" t="s">
        <v>41</v>
      </c>
      <c r="H4205" s="3" t="s">
        <v>61</v>
      </c>
      <c r="I4205" s="3" t="s">
        <v>1603</v>
      </c>
      <c r="J4205" s="3" t="s">
        <v>188</v>
      </c>
      <c r="K4205" s="3">
        <v>6</v>
      </c>
      <c r="L4205" s="3">
        <v>2645.62</v>
      </c>
      <c r="M4205" s="3">
        <v>15873.72</v>
      </c>
      <c r="N4205" s="3">
        <v>9849.9599999999991</v>
      </c>
      <c r="O4205" s="3">
        <v>6023.76</v>
      </c>
      <c r="P4205" s="3" t="s">
        <v>26</v>
      </c>
    </row>
    <row r="4206" spans="1:16" x14ac:dyDescent="0.35">
      <c r="A4206" s="3" t="s">
        <v>5645</v>
      </c>
      <c r="B4206" s="3" t="s">
        <v>570</v>
      </c>
      <c r="C4206" s="3" t="s">
        <v>18</v>
      </c>
      <c r="D4206" s="3" t="s">
        <v>90</v>
      </c>
      <c r="E4206" s="3" t="s">
        <v>97</v>
      </c>
      <c r="F4206" s="3" t="s">
        <v>98</v>
      </c>
      <c r="G4206" s="3" t="s">
        <v>30</v>
      </c>
      <c r="H4206" s="3" t="s">
        <v>31</v>
      </c>
      <c r="I4206" s="3" t="s">
        <v>2344</v>
      </c>
      <c r="J4206" s="3" t="s">
        <v>154</v>
      </c>
      <c r="K4206" s="3">
        <v>5</v>
      </c>
      <c r="L4206" s="3">
        <v>2901.9</v>
      </c>
      <c r="M4206" s="3">
        <v>14509.5</v>
      </c>
      <c r="N4206" s="3">
        <v>9409.4</v>
      </c>
      <c r="O4206" s="3">
        <v>5100.1000000000004</v>
      </c>
      <c r="P4206" s="3" t="s">
        <v>34</v>
      </c>
    </row>
    <row r="4207" spans="1:16" x14ac:dyDescent="0.35">
      <c r="A4207" s="3" t="s">
        <v>5646</v>
      </c>
      <c r="B4207" s="3" t="s">
        <v>215</v>
      </c>
      <c r="C4207" s="3" t="s">
        <v>37</v>
      </c>
      <c r="D4207" s="3" t="s">
        <v>19</v>
      </c>
      <c r="E4207" s="3" t="s">
        <v>199</v>
      </c>
      <c r="F4207" s="3" t="s">
        <v>200</v>
      </c>
      <c r="G4207" s="3" t="s">
        <v>51</v>
      </c>
      <c r="H4207" s="3" t="s">
        <v>77</v>
      </c>
      <c r="I4207" s="3" t="s">
        <v>1111</v>
      </c>
      <c r="J4207" s="3" t="s">
        <v>44</v>
      </c>
      <c r="K4207" s="3">
        <v>5</v>
      </c>
      <c r="L4207" s="3">
        <v>12543.11</v>
      </c>
      <c r="M4207" s="3">
        <v>62715.55</v>
      </c>
      <c r="N4207" s="3">
        <v>43077.48</v>
      </c>
      <c r="O4207" s="3">
        <v>19638.07</v>
      </c>
      <c r="P4207" s="3" t="s">
        <v>86</v>
      </c>
    </row>
    <row r="4208" spans="1:16" x14ac:dyDescent="0.35">
      <c r="A4208" s="3" t="s">
        <v>5647</v>
      </c>
      <c r="B4208" s="3" t="s">
        <v>913</v>
      </c>
      <c r="C4208" s="3" t="s">
        <v>48</v>
      </c>
      <c r="D4208" s="3" t="s">
        <v>38</v>
      </c>
      <c r="E4208" s="3" t="s">
        <v>104</v>
      </c>
      <c r="F4208" s="3" t="s">
        <v>104</v>
      </c>
      <c r="G4208" s="3" t="s">
        <v>41</v>
      </c>
      <c r="H4208" s="3" t="s">
        <v>42</v>
      </c>
      <c r="I4208" s="3" t="s">
        <v>3718</v>
      </c>
      <c r="J4208" s="3" t="s">
        <v>44</v>
      </c>
      <c r="K4208" s="3">
        <v>2</v>
      </c>
      <c r="L4208" s="3">
        <v>48391.86</v>
      </c>
      <c r="M4208" s="3">
        <v>96783.72</v>
      </c>
      <c r="N4208" s="3">
        <v>68737.100000000006</v>
      </c>
      <c r="O4208" s="3">
        <v>28046.62</v>
      </c>
      <c r="P4208" s="3" t="s">
        <v>34</v>
      </c>
    </row>
    <row r="4209" spans="1:16" x14ac:dyDescent="0.35">
      <c r="A4209" s="3" t="s">
        <v>5648</v>
      </c>
      <c r="B4209" s="3" t="s">
        <v>1155</v>
      </c>
      <c r="C4209" s="3" t="s">
        <v>89</v>
      </c>
      <c r="D4209" s="3" t="s">
        <v>90</v>
      </c>
      <c r="E4209" s="3" t="s">
        <v>119</v>
      </c>
      <c r="F4209" s="3" t="s">
        <v>120</v>
      </c>
      <c r="G4209" s="3" t="s">
        <v>41</v>
      </c>
      <c r="H4209" s="3" t="s">
        <v>138</v>
      </c>
      <c r="I4209" s="3" t="s">
        <v>1143</v>
      </c>
      <c r="J4209" s="3" t="s">
        <v>44</v>
      </c>
      <c r="K4209" s="3">
        <v>7</v>
      </c>
      <c r="L4209" s="3">
        <v>18915.21</v>
      </c>
      <c r="M4209" s="3">
        <v>132406.47</v>
      </c>
      <c r="N4209" s="3">
        <v>99663.55</v>
      </c>
      <c r="O4209" s="3">
        <v>32742.92</v>
      </c>
      <c r="P4209" s="3" t="s">
        <v>26</v>
      </c>
    </row>
    <row r="4210" spans="1:16" x14ac:dyDescent="0.35">
      <c r="A4210" s="3" t="s">
        <v>5649</v>
      </c>
      <c r="B4210" s="3" t="s">
        <v>330</v>
      </c>
      <c r="C4210" s="3" t="s">
        <v>18</v>
      </c>
      <c r="D4210" s="3" t="s">
        <v>19</v>
      </c>
      <c r="E4210" s="3" t="s">
        <v>20</v>
      </c>
      <c r="F4210" s="3" t="s">
        <v>21</v>
      </c>
      <c r="G4210" s="3" t="s">
        <v>41</v>
      </c>
      <c r="H4210" s="3" t="s">
        <v>138</v>
      </c>
      <c r="I4210" s="3" t="s">
        <v>2649</v>
      </c>
      <c r="J4210" s="3" t="s">
        <v>54</v>
      </c>
      <c r="K4210" s="3">
        <v>6</v>
      </c>
      <c r="L4210" s="3">
        <v>18412.919999999998</v>
      </c>
      <c r="M4210" s="3">
        <v>110477.52</v>
      </c>
      <c r="N4210" s="3">
        <v>82955.72</v>
      </c>
      <c r="O4210" s="3">
        <v>27521.8</v>
      </c>
      <c r="P4210" s="3" t="s">
        <v>86</v>
      </c>
    </row>
    <row r="4211" spans="1:16" x14ac:dyDescent="0.35">
      <c r="A4211" s="3" t="s">
        <v>5650</v>
      </c>
      <c r="B4211" s="3" t="s">
        <v>1406</v>
      </c>
      <c r="C4211" s="3" t="s">
        <v>137</v>
      </c>
      <c r="D4211" s="3" t="s">
        <v>19</v>
      </c>
      <c r="E4211" s="3" t="s">
        <v>199</v>
      </c>
      <c r="F4211" s="3" t="s">
        <v>200</v>
      </c>
      <c r="G4211" s="3" t="s">
        <v>41</v>
      </c>
      <c r="H4211" s="3" t="s">
        <v>138</v>
      </c>
      <c r="I4211" s="3" t="s">
        <v>1256</v>
      </c>
      <c r="J4211" s="3" t="s">
        <v>188</v>
      </c>
      <c r="K4211" s="3">
        <v>4</v>
      </c>
      <c r="L4211" s="3">
        <v>18177.2</v>
      </c>
      <c r="M4211" s="3">
        <v>72708.800000000003</v>
      </c>
      <c r="N4211" s="3">
        <v>53270.85</v>
      </c>
      <c r="O4211" s="3">
        <v>19437.95</v>
      </c>
      <c r="P4211" s="3" t="s">
        <v>86</v>
      </c>
    </row>
    <row r="4212" spans="1:16" x14ac:dyDescent="0.35">
      <c r="A4212" s="3" t="s">
        <v>5651</v>
      </c>
      <c r="B4212" s="3" t="s">
        <v>1092</v>
      </c>
      <c r="C4212" s="3" t="s">
        <v>103</v>
      </c>
      <c r="D4212" s="3" t="s">
        <v>90</v>
      </c>
      <c r="E4212" s="3" t="s">
        <v>91</v>
      </c>
      <c r="F4212" s="3" t="s">
        <v>92</v>
      </c>
      <c r="G4212" s="3" t="s">
        <v>51</v>
      </c>
      <c r="H4212" s="3" t="s">
        <v>52</v>
      </c>
      <c r="I4212" s="3" t="s">
        <v>1012</v>
      </c>
      <c r="J4212" s="3" t="s">
        <v>33</v>
      </c>
      <c r="K4212" s="3">
        <v>3</v>
      </c>
      <c r="L4212" s="3">
        <v>23.87</v>
      </c>
      <c r="M4212" s="3">
        <v>71.61</v>
      </c>
      <c r="N4212" s="3">
        <v>29.57</v>
      </c>
      <c r="O4212" s="3">
        <v>42.04</v>
      </c>
      <c r="P4212" s="3" t="s">
        <v>34</v>
      </c>
    </row>
    <row r="4213" spans="1:16" x14ac:dyDescent="0.35">
      <c r="A4213" s="3" t="s">
        <v>5652</v>
      </c>
      <c r="B4213" s="3" t="s">
        <v>1600</v>
      </c>
      <c r="C4213" s="3" t="s">
        <v>103</v>
      </c>
      <c r="D4213" s="3" t="s">
        <v>19</v>
      </c>
      <c r="E4213" s="3" t="s">
        <v>199</v>
      </c>
      <c r="F4213" s="3" t="s">
        <v>200</v>
      </c>
      <c r="G4213" s="3" t="s">
        <v>41</v>
      </c>
      <c r="H4213" s="3" t="s">
        <v>138</v>
      </c>
      <c r="I4213" s="3" t="s">
        <v>2056</v>
      </c>
      <c r="J4213" s="3" t="s">
        <v>85</v>
      </c>
      <c r="K4213" s="3">
        <v>1</v>
      </c>
      <c r="L4213" s="3">
        <v>18461.97</v>
      </c>
      <c r="M4213" s="3">
        <v>18461.97</v>
      </c>
      <c r="N4213" s="3">
        <v>13854.82</v>
      </c>
      <c r="O4213" s="3">
        <v>4607.1499999999996</v>
      </c>
      <c r="P4213" s="3" t="s">
        <v>86</v>
      </c>
    </row>
    <row r="4214" spans="1:16" x14ac:dyDescent="0.35">
      <c r="A4214" s="3" t="s">
        <v>5653</v>
      </c>
      <c r="B4214" s="3" t="s">
        <v>840</v>
      </c>
      <c r="C4214" s="3" t="s">
        <v>57</v>
      </c>
      <c r="D4214" s="3" t="s">
        <v>19</v>
      </c>
      <c r="E4214" s="3" t="s">
        <v>20</v>
      </c>
      <c r="F4214" s="3" t="s">
        <v>21</v>
      </c>
      <c r="G4214" s="3" t="s">
        <v>41</v>
      </c>
      <c r="H4214" s="3" t="s">
        <v>42</v>
      </c>
      <c r="I4214" s="3" t="s">
        <v>3282</v>
      </c>
      <c r="J4214" s="3" t="s">
        <v>100</v>
      </c>
      <c r="K4214" s="3">
        <v>7</v>
      </c>
      <c r="L4214" s="3">
        <v>44322.53</v>
      </c>
      <c r="M4214" s="3">
        <v>310257.71000000002</v>
      </c>
      <c r="N4214" s="3">
        <v>233265.64</v>
      </c>
      <c r="O4214" s="3">
        <v>76992.070000000007</v>
      </c>
      <c r="P4214" s="3" t="s">
        <v>26</v>
      </c>
    </row>
    <row r="4215" spans="1:16" x14ac:dyDescent="0.35">
      <c r="A4215" s="3" t="s">
        <v>5654</v>
      </c>
      <c r="B4215" s="3" t="s">
        <v>1072</v>
      </c>
      <c r="C4215" s="3" t="s">
        <v>18</v>
      </c>
      <c r="D4215" s="3" t="s">
        <v>90</v>
      </c>
      <c r="E4215" s="3" t="s">
        <v>91</v>
      </c>
      <c r="F4215" s="3" t="s">
        <v>92</v>
      </c>
      <c r="G4215" s="3" t="s">
        <v>30</v>
      </c>
      <c r="H4215" s="3" t="s">
        <v>31</v>
      </c>
      <c r="I4215" s="3" t="s">
        <v>3199</v>
      </c>
      <c r="J4215" s="3" t="s">
        <v>100</v>
      </c>
      <c r="K4215" s="3">
        <v>5</v>
      </c>
      <c r="L4215" s="3">
        <v>2567.4699999999998</v>
      </c>
      <c r="M4215" s="3">
        <v>12837.35</v>
      </c>
      <c r="N4215" s="3">
        <v>9705.69</v>
      </c>
      <c r="O4215" s="3">
        <v>3131.66</v>
      </c>
      <c r="P4215" s="3" t="s">
        <v>26</v>
      </c>
    </row>
    <row r="4216" spans="1:16" x14ac:dyDescent="0.35">
      <c r="A4216" s="3" t="s">
        <v>5655</v>
      </c>
      <c r="B4216" s="3" t="s">
        <v>1644</v>
      </c>
      <c r="C4216" s="3" t="s">
        <v>118</v>
      </c>
      <c r="D4216" s="3" t="s">
        <v>90</v>
      </c>
      <c r="E4216" s="3" t="s">
        <v>97</v>
      </c>
      <c r="F4216" s="3" t="s">
        <v>98</v>
      </c>
      <c r="G4216" s="3" t="s">
        <v>22</v>
      </c>
      <c r="H4216" s="3" t="s">
        <v>23</v>
      </c>
      <c r="I4216" s="3" t="s">
        <v>74</v>
      </c>
      <c r="J4216" s="3" t="s">
        <v>25</v>
      </c>
      <c r="K4216" s="3">
        <v>4</v>
      </c>
      <c r="L4216" s="3">
        <v>3635.43</v>
      </c>
      <c r="M4216" s="3">
        <v>14541.72</v>
      </c>
      <c r="N4216" s="3">
        <v>8506.52</v>
      </c>
      <c r="O4216" s="3">
        <v>6035.2</v>
      </c>
      <c r="P4216" s="3" t="s">
        <v>26</v>
      </c>
    </row>
    <row r="4217" spans="1:16" x14ac:dyDescent="0.35">
      <c r="A4217" s="3" t="s">
        <v>5656</v>
      </c>
      <c r="B4217" s="3" t="s">
        <v>877</v>
      </c>
      <c r="C4217" s="3" t="s">
        <v>114</v>
      </c>
      <c r="D4217" s="3" t="s">
        <v>19</v>
      </c>
      <c r="E4217" s="3" t="s">
        <v>20</v>
      </c>
      <c r="F4217" s="3" t="s">
        <v>21</v>
      </c>
      <c r="G4217" s="3" t="s">
        <v>51</v>
      </c>
      <c r="H4217" s="3" t="s">
        <v>77</v>
      </c>
      <c r="I4217" s="3" t="s">
        <v>3876</v>
      </c>
      <c r="J4217" s="3" t="s">
        <v>100</v>
      </c>
      <c r="K4217" s="3">
        <v>3</v>
      </c>
      <c r="L4217" s="3">
        <v>11045.99</v>
      </c>
      <c r="M4217" s="3">
        <v>33137.97</v>
      </c>
      <c r="N4217" s="3">
        <v>27997.01</v>
      </c>
      <c r="O4217" s="3">
        <v>5140.96</v>
      </c>
      <c r="P4217" s="3" t="s">
        <v>34</v>
      </c>
    </row>
    <row r="4218" spans="1:16" x14ac:dyDescent="0.35">
      <c r="A4218" s="3" t="s">
        <v>5657</v>
      </c>
      <c r="B4218" s="3" t="s">
        <v>518</v>
      </c>
      <c r="C4218" s="3" t="s">
        <v>89</v>
      </c>
      <c r="D4218" s="3" t="s">
        <v>19</v>
      </c>
      <c r="E4218" s="3" t="s">
        <v>199</v>
      </c>
      <c r="F4218" s="3" t="s">
        <v>200</v>
      </c>
      <c r="G4218" s="3" t="s">
        <v>51</v>
      </c>
      <c r="H4218" s="3" t="s">
        <v>52</v>
      </c>
      <c r="I4218" s="3" t="s">
        <v>3859</v>
      </c>
      <c r="J4218" s="3" t="s">
        <v>161</v>
      </c>
      <c r="K4218" s="3">
        <v>7</v>
      </c>
      <c r="L4218" s="3">
        <v>24.12</v>
      </c>
      <c r="M4218" s="3">
        <v>168.84</v>
      </c>
      <c r="N4218" s="3">
        <v>67.83</v>
      </c>
      <c r="O4218" s="3">
        <v>101.01</v>
      </c>
      <c r="P4218" s="3" t="s">
        <v>26</v>
      </c>
    </row>
    <row r="4219" spans="1:16" x14ac:dyDescent="0.35">
      <c r="A4219" s="3" t="s">
        <v>5658</v>
      </c>
      <c r="B4219" s="3" t="s">
        <v>133</v>
      </c>
      <c r="C4219" s="3" t="s">
        <v>18</v>
      </c>
      <c r="D4219" s="3" t="s">
        <v>90</v>
      </c>
      <c r="E4219" s="3" t="s">
        <v>97</v>
      </c>
      <c r="F4219" s="3" t="s">
        <v>98</v>
      </c>
      <c r="G4219" s="3" t="s">
        <v>41</v>
      </c>
      <c r="H4219" s="3" t="s">
        <v>138</v>
      </c>
      <c r="I4219" s="3" t="s">
        <v>1338</v>
      </c>
      <c r="J4219" s="3" t="s">
        <v>79</v>
      </c>
      <c r="K4219" s="3">
        <v>5</v>
      </c>
      <c r="L4219" s="3">
        <v>18661.740000000002</v>
      </c>
      <c r="M4219" s="3">
        <v>93308.7</v>
      </c>
      <c r="N4219" s="3">
        <v>67794.12</v>
      </c>
      <c r="O4219" s="3">
        <v>25514.58</v>
      </c>
      <c r="P4219" s="3" t="s">
        <v>34</v>
      </c>
    </row>
    <row r="4220" spans="1:16" x14ac:dyDescent="0.35">
      <c r="A4220" s="3" t="s">
        <v>5659</v>
      </c>
      <c r="B4220" s="3" t="s">
        <v>1294</v>
      </c>
      <c r="C4220" s="3" t="s">
        <v>118</v>
      </c>
      <c r="D4220" s="3" t="s">
        <v>90</v>
      </c>
      <c r="E4220" s="3" t="s">
        <v>97</v>
      </c>
      <c r="F4220" s="3" t="s">
        <v>98</v>
      </c>
      <c r="G4220" s="3" t="s">
        <v>51</v>
      </c>
      <c r="H4220" s="3" t="s">
        <v>145</v>
      </c>
      <c r="I4220" s="3" t="s">
        <v>1075</v>
      </c>
      <c r="J4220" s="3" t="s">
        <v>106</v>
      </c>
      <c r="K4220" s="3">
        <v>1</v>
      </c>
      <c r="L4220" s="3">
        <v>130.09</v>
      </c>
      <c r="M4220" s="3">
        <v>130.09</v>
      </c>
      <c r="N4220" s="3">
        <v>58.83</v>
      </c>
      <c r="O4220" s="3">
        <v>71.260000000000005</v>
      </c>
      <c r="P4220" s="3" t="s">
        <v>34</v>
      </c>
    </row>
    <row r="4221" spans="1:16" x14ac:dyDescent="0.35">
      <c r="A4221" s="3" t="s">
        <v>5660</v>
      </c>
      <c r="B4221" s="3" t="s">
        <v>1427</v>
      </c>
      <c r="C4221" s="3" t="s">
        <v>29</v>
      </c>
      <c r="D4221" s="3" t="s">
        <v>19</v>
      </c>
      <c r="E4221" s="3" t="s">
        <v>49</v>
      </c>
      <c r="F4221" s="3" t="s">
        <v>50</v>
      </c>
      <c r="G4221" s="3" t="s">
        <v>22</v>
      </c>
      <c r="H4221" s="3" t="s">
        <v>83</v>
      </c>
      <c r="I4221" s="3" t="s">
        <v>4308</v>
      </c>
      <c r="J4221" s="3" t="s">
        <v>85</v>
      </c>
      <c r="K4221" s="3">
        <v>5</v>
      </c>
      <c r="L4221" s="3">
        <v>22842.99</v>
      </c>
      <c r="M4221" s="3">
        <v>114214.95</v>
      </c>
      <c r="N4221" s="3">
        <v>83002.2</v>
      </c>
      <c r="O4221" s="3">
        <v>31212.75</v>
      </c>
      <c r="P4221" s="3" t="s">
        <v>45</v>
      </c>
    </row>
    <row r="4222" spans="1:16" x14ac:dyDescent="0.35">
      <c r="A4222" s="3" t="s">
        <v>5661</v>
      </c>
      <c r="B4222" s="3" t="s">
        <v>1423</v>
      </c>
      <c r="C4222" s="3" t="s">
        <v>37</v>
      </c>
      <c r="D4222" s="3" t="s">
        <v>38</v>
      </c>
      <c r="E4222" s="3" t="s">
        <v>39</v>
      </c>
      <c r="F4222" s="3" t="s">
        <v>40</v>
      </c>
      <c r="G4222" s="3" t="s">
        <v>41</v>
      </c>
      <c r="H4222" s="3" t="s">
        <v>42</v>
      </c>
      <c r="I4222" s="3" t="s">
        <v>1825</v>
      </c>
      <c r="J4222" s="3" t="s">
        <v>44</v>
      </c>
      <c r="K4222" s="3">
        <v>1</v>
      </c>
      <c r="L4222" s="3">
        <v>46311.46</v>
      </c>
      <c r="M4222" s="3">
        <v>46311.46</v>
      </c>
      <c r="N4222" s="3">
        <v>34830.35</v>
      </c>
      <c r="O4222" s="3">
        <v>11481.11</v>
      </c>
      <c r="P4222" s="3" t="s">
        <v>26</v>
      </c>
    </row>
    <row r="4223" spans="1:16" x14ac:dyDescent="0.35">
      <c r="A4223" s="3" t="s">
        <v>5662</v>
      </c>
      <c r="B4223" s="3" t="s">
        <v>47</v>
      </c>
      <c r="C4223" s="3" t="s">
        <v>48</v>
      </c>
      <c r="D4223" s="3" t="s">
        <v>58</v>
      </c>
      <c r="E4223" s="3" t="s">
        <v>65</v>
      </c>
      <c r="F4223" s="3" t="s">
        <v>66</v>
      </c>
      <c r="G4223" s="3" t="s">
        <v>22</v>
      </c>
      <c r="H4223" s="3" t="s">
        <v>93</v>
      </c>
      <c r="I4223" s="3" t="s">
        <v>495</v>
      </c>
      <c r="J4223" s="3" t="s">
        <v>106</v>
      </c>
      <c r="K4223" s="3">
        <v>1</v>
      </c>
      <c r="L4223" s="3">
        <v>6466.45</v>
      </c>
      <c r="M4223" s="3">
        <v>6466.45</v>
      </c>
      <c r="N4223" s="3">
        <v>5171.12</v>
      </c>
      <c r="O4223" s="3">
        <v>1295.33</v>
      </c>
      <c r="P4223" s="3" t="s">
        <v>86</v>
      </c>
    </row>
    <row r="4224" spans="1:16" x14ac:dyDescent="0.35">
      <c r="A4224" s="3" t="s">
        <v>5663</v>
      </c>
      <c r="B4224" s="3" t="s">
        <v>446</v>
      </c>
      <c r="C4224" s="3" t="s">
        <v>29</v>
      </c>
      <c r="D4224" s="3" t="s">
        <v>19</v>
      </c>
      <c r="E4224" s="3" t="s">
        <v>199</v>
      </c>
      <c r="F4224" s="3" t="s">
        <v>200</v>
      </c>
      <c r="G4224" s="3" t="s">
        <v>41</v>
      </c>
      <c r="H4224" s="3" t="s">
        <v>61</v>
      </c>
      <c r="I4224" s="3" t="s">
        <v>1700</v>
      </c>
      <c r="J4224" s="3" t="s">
        <v>79</v>
      </c>
      <c r="K4224" s="3">
        <v>8</v>
      </c>
      <c r="L4224" s="3">
        <v>2445.8000000000002</v>
      </c>
      <c r="M4224" s="3">
        <v>19566.400000000001</v>
      </c>
      <c r="N4224" s="3">
        <v>12805.3</v>
      </c>
      <c r="O4224" s="3">
        <v>6761.1</v>
      </c>
      <c r="P4224" s="3" t="s">
        <v>34</v>
      </c>
    </row>
    <row r="4225" spans="1:16" x14ac:dyDescent="0.35">
      <c r="A4225" s="3" t="s">
        <v>5664</v>
      </c>
      <c r="B4225" s="3" t="s">
        <v>333</v>
      </c>
      <c r="C4225" s="3" t="s">
        <v>118</v>
      </c>
      <c r="D4225" s="3" t="s">
        <v>58</v>
      </c>
      <c r="E4225" s="3" t="s">
        <v>176</v>
      </c>
      <c r="F4225" s="3" t="s">
        <v>177</v>
      </c>
      <c r="G4225" s="3" t="s">
        <v>51</v>
      </c>
      <c r="H4225" s="3" t="s">
        <v>52</v>
      </c>
      <c r="I4225" s="3" t="s">
        <v>1208</v>
      </c>
      <c r="J4225" s="3" t="s">
        <v>171</v>
      </c>
      <c r="K4225" s="3">
        <v>1</v>
      </c>
      <c r="L4225" s="3">
        <v>23.02</v>
      </c>
      <c r="M4225" s="3">
        <v>23.02</v>
      </c>
      <c r="N4225" s="3">
        <v>9.84</v>
      </c>
      <c r="O4225" s="3">
        <v>13.18</v>
      </c>
      <c r="P4225" s="3" t="s">
        <v>45</v>
      </c>
    </row>
    <row r="4226" spans="1:16" x14ac:dyDescent="0.35">
      <c r="A4226" s="3" t="s">
        <v>5665</v>
      </c>
      <c r="B4226" s="3" t="s">
        <v>485</v>
      </c>
      <c r="C4226" s="3" t="s">
        <v>114</v>
      </c>
      <c r="D4226" s="3" t="s">
        <v>90</v>
      </c>
      <c r="E4226" s="3" t="s">
        <v>119</v>
      </c>
      <c r="F4226" s="3" t="s">
        <v>120</v>
      </c>
      <c r="G4226" s="3" t="s">
        <v>22</v>
      </c>
      <c r="H4226" s="3" t="s">
        <v>83</v>
      </c>
      <c r="I4226" s="3" t="s">
        <v>1658</v>
      </c>
      <c r="J4226" s="3" t="s">
        <v>85</v>
      </c>
      <c r="K4226" s="3">
        <v>5</v>
      </c>
      <c r="L4226" s="3">
        <v>21835.4</v>
      </c>
      <c r="M4226" s="3">
        <v>109177</v>
      </c>
      <c r="N4226" s="3">
        <v>86334.02</v>
      </c>
      <c r="O4226" s="3">
        <v>22842.98</v>
      </c>
      <c r="P4226" s="3" t="s">
        <v>26</v>
      </c>
    </row>
    <row r="4227" spans="1:16" x14ac:dyDescent="0.35">
      <c r="A4227" s="3" t="s">
        <v>5666</v>
      </c>
      <c r="B4227" s="3" t="s">
        <v>233</v>
      </c>
      <c r="C4227" s="3" t="s">
        <v>103</v>
      </c>
      <c r="D4227" s="3" t="s">
        <v>90</v>
      </c>
      <c r="E4227" s="3" t="s">
        <v>119</v>
      </c>
      <c r="F4227" s="3" t="s">
        <v>120</v>
      </c>
      <c r="G4227" s="3" t="s">
        <v>41</v>
      </c>
      <c r="H4227" s="3" t="s">
        <v>138</v>
      </c>
      <c r="I4227" s="3" t="s">
        <v>1837</v>
      </c>
      <c r="J4227" s="3" t="s">
        <v>44</v>
      </c>
      <c r="K4227" s="3">
        <v>6</v>
      </c>
      <c r="L4227" s="3">
        <v>17437.099999999999</v>
      </c>
      <c r="M4227" s="3">
        <v>104622.6</v>
      </c>
      <c r="N4227" s="3">
        <v>83618.740000000005</v>
      </c>
      <c r="O4227" s="3">
        <v>21003.86</v>
      </c>
      <c r="P4227" s="3" t="s">
        <v>86</v>
      </c>
    </row>
    <row r="4228" spans="1:16" x14ac:dyDescent="0.35">
      <c r="A4228" s="3" t="s">
        <v>5667</v>
      </c>
      <c r="B4228" s="3" t="s">
        <v>1461</v>
      </c>
      <c r="C4228" s="3" t="s">
        <v>72</v>
      </c>
      <c r="D4228" s="3" t="s">
        <v>90</v>
      </c>
      <c r="E4228" s="3" t="s">
        <v>119</v>
      </c>
      <c r="F4228" s="3" t="s">
        <v>120</v>
      </c>
      <c r="G4228" s="3" t="s">
        <v>41</v>
      </c>
      <c r="H4228" s="3" t="s">
        <v>61</v>
      </c>
      <c r="I4228" s="3" t="s">
        <v>1381</v>
      </c>
      <c r="J4228" s="3" t="s">
        <v>100</v>
      </c>
      <c r="K4228" s="3">
        <v>1</v>
      </c>
      <c r="L4228" s="3">
        <v>2317.61</v>
      </c>
      <c r="M4228" s="3">
        <v>2317.61</v>
      </c>
      <c r="N4228" s="3">
        <v>1649.19</v>
      </c>
      <c r="O4228" s="3">
        <v>668.42</v>
      </c>
      <c r="P4228" s="3" t="s">
        <v>69</v>
      </c>
    </row>
    <row r="4229" spans="1:16" x14ac:dyDescent="0.35">
      <c r="A4229" s="3" t="s">
        <v>5668</v>
      </c>
      <c r="B4229" s="3" t="s">
        <v>832</v>
      </c>
      <c r="C4229" s="3" t="s">
        <v>72</v>
      </c>
      <c r="D4229" s="3" t="s">
        <v>38</v>
      </c>
      <c r="E4229" s="3" t="s">
        <v>39</v>
      </c>
      <c r="F4229" s="3" t="s">
        <v>40</v>
      </c>
      <c r="G4229" s="3" t="s">
        <v>22</v>
      </c>
      <c r="H4229" s="3" t="s">
        <v>23</v>
      </c>
      <c r="I4229" s="3" t="s">
        <v>3004</v>
      </c>
      <c r="J4229" s="3" t="s">
        <v>44</v>
      </c>
      <c r="K4229" s="3">
        <v>5</v>
      </c>
      <c r="L4229" s="3">
        <v>3420.39</v>
      </c>
      <c r="M4229" s="3">
        <v>17101.95</v>
      </c>
      <c r="N4229" s="3">
        <v>11453.8</v>
      </c>
      <c r="O4229" s="3">
        <v>5648.15</v>
      </c>
      <c r="P4229" s="3" t="s">
        <v>45</v>
      </c>
    </row>
    <row r="4230" spans="1:16" x14ac:dyDescent="0.35">
      <c r="A4230" s="3" t="s">
        <v>5669</v>
      </c>
      <c r="B4230" s="3" t="s">
        <v>1089</v>
      </c>
      <c r="C4230" s="3" t="s">
        <v>48</v>
      </c>
      <c r="D4230" s="3" t="s">
        <v>90</v>
      </c>
      <c r="E4230" s="3" t="s">
        <v>97</v>
      </c>
      <c r="F4230" s="3" t="s">
        <v>98</v>
      </c>
      <c r="G4230" s="3" t="s">
        <v>41</v>
      </c>
      <c r="H4230" s="3" t="s">
        <v>138</v>
      </c>
      <c r="I4230" s="3" t="s">
        <v>703</v>
      </c>
      <c r="J4230" s="3" t="s">
        <v>79</v>
      </c>
      <c r="K4230" s="3">
        <v>7</v>
      </c>
      <c r="L4230" s="3">
        <v>19037.669999999998</v>
      </c>
      <c r="M4230" s="3">
        <v>133263.69</v>
      </c>
      <c r="N4230" s="3">
        <v>102241.66</v>
      </c>
      <c r="O4230" s="3">
        <v>31022.03</v>
      </c>
      <c r="P4230" s="3" t="s">
        <v>45</v>
      </c>
    </row>
    <row r="4231" spans="1:16" x14ac:dyDescent="0.35">
      <c r="A4231" s="3" t="s">
        <v>5670</v>
      </c>
      <c r="B4231" s="3" t="s">
        <v>559</v>
      </c>
      <c r="C4231" s="3" t="s">
        <v>89</v>
      </c>
      <c r="D4231" s="3" t="s">
        <v>38</v>
      </c>
      <c r="E4231" s="3" t="s">
        <v>109</v>
      </c>
      <c r="F4231" s="3" t="s">
        <v>110</v>
      </c>
      <c r="G4231" s="3" t="s">
        <v>41</v>
      </c>
      <c r="H4231" s="3" t="s">
        <v>61</v>
      </c>
      <c r="I4231" s="3" t="s">
        <v>3682</v>
      </c>
      <c r="J4231" s="3" t="s">
        <v>106</v>
      </c>
      <c r="K4231" s="3">
        <v>8</v>
      </c>
      <c r="L4231" s="3">
        <v>2475.34</v>
      </c>
      <c r="M4231" s="3">
        <v>19802.72</v>
      </c>
      <c r="N4231" s="3">
        <v>13388.54</v>
      </c>
      <c r="O4231" s="3">
        <v>6414.18</v>
      </c>
      <c r="P4231" s="3" t="s">
        <v>26</v>
      </c>
    </row>
    <row r="4232" spans="1:16" x14ac:dyDescent="0.35">
      <c r="A4232" s="3" t="s">
        <v>5671</v>
      </c>
      <c r="B4232" s="3" t="s">
        <v>565</v>
      </c>
      <c r="C4232" s="3" t="s">
        <v>137</v>
      </c>
      <c r="D4232" s="3" t="s">
        <v>38</v>
      </c>
      <c r="E4232" s="3" t="s">
        <v>39</v>
      </c>
      <c r="F4232" s="3" t="s">
        <v>40</v>
      </c>
      <c r="G4232" s="3" t="s">
        <v>22</v>
      </c>
      <c r="H4232" s="3" t="s">
        <v>93</v>
      </c>
      <c r="I4232" s="3" t="s">
        <v>4823</v>
      </c>
      <c r="J4232" s="3" t="s">
        <v>188</v>
      </c>
      <c r="K4232" s="3">
        <v>8</v>
      </c>
      <c r="L4232" s="3">
        <v>6538.2</v>
      </c>
      <c r="M4232" s="3">
        <v>52305.599999999999</v>
      </c>
      <c r="N4232" s="3">
        <v>39087.230000000003</v>
      </c>
      <c r="O4232" s="3">
        <v>13218.37</v>
      </c>
      <c r="P4232" s="3" t="s">
        <v>86</v>
      </c>
    </row>
    <row r="4233" spans="1:16" x14ac:dyDescent="0.35">
      <c r="A4233" s="3" t="s">
        <v>5672</v>
      </c>
      <c r="B4233" s="3" t="s">
        <v>795</v>
      </c>
      <c r="C4233" s="3" t="s">
        <v>82</v>
      </c>
      <c r="D4233" s="3" t="s">
        <v>58</v>
      </c>
      <c r="E4233" s="3" t="s">
        <v>59</v>
      </c>
      <c r="F4233" s="3" t="s">
        <v>60</v>
      </c>
      <c r="G4233" s="3" t="s">
        <v>41</v>
      </c>
      <c r="H4233" s="3" t="s">
        <v>138</v>
      </c>
      <c r="I4233" s="3" t="s">
        <v>5673</v>
      </c>
      <c r="J4233" s="3" t="s">
        <v>217</v>
      </c>
      <c r="K4233" s="3">
        <v>1</v>
      </c>
      <c r="L4233" s="3">
        <v>18930.63</v>
      </c>
      <c r="M4233" s="3">
        <v>18930.63</v>
      </c>
      <c r="N4233" s="3">
        <v>14113.02</v>
      </c>
      <c r="O4233" s="3">
        <v>4817.6099999999997</v>
      </c>
      <c r="P4233" s="3" t="s">
        <v>34</v>
      </c>
    </row>
    <row r="4234" spans="1:16" x14ac:dyDescent="0.35">
      <c r="A4234" s="3" t="s">
        <v>5674</v>
      </c>
      <c r="B4234" s="3" t="s">
        <v>552</v>
      </c>
      <c r="C4234" s="3" t="s">
        <v>89</v>
      </c>
      <c r="D4234" s="3" t="s">
        <v>19</v>
      </c>
      <c r="E4234" s="3" t="s">
        <v>49</v>
      </c>
      <c r="F4234" s="3" t="s">
        <v>50</v>
      </c>
      <c r="G4234" s="3" t="s">
        <v>41</v>
      </c>
      <c r="H4234" s="3" t="s">
        <v>61</v>
      </c>
      <c r="I4234" s="3" t="s">
        <v>2115</v>
      </c>
      <c r="J4234" s="3" t="s">
        <v>100</v>
      </c>
      <c r="K4234" s="3">
        <v>5</v>
      </c>
      <c r="L4234" s="3">
        <v>2455.84</v>
      </c>
      <c r="M4234" s="3">
        <v>12279.2</v>
      </c>
      <c r="N4234" s="3">
        <v>8222.5400000000009</v>
      </c>
      <c r="O4234" s="3">
        <v>4056.66</v>
      </c>
      <c r="P4234" s="3" t="s">
        <v>26</v>
      </c>
    </row>
    <row r="4235" spans="1:16" x14ac:dyDescent="0.35">
      <c r="A4235" s="3" t="s">
        <v>5675</v>
      </c>
      <c r="B4235" s="3" t="s">
        <v>562</v>
      </c>
      <c r="C4235" s="3" t="s">
        <v>82</v>
      </c>
      <c r="D4235" s="3" t="s">
        <v>58</v>
      </c>
      <c r="E4235" s="3" t="s">
        <v>65</v>
      </c>
      <c r="F4235" s="3" t="s">
        <v>66</v>
      </c>
      <c r="G4235" s="3" t="s">
        <v>51</v>
      </c>
      <c r="H4235" s="3" t="s">
        <v>145</v>
      </c>
      <c r="I4235" s="3" t="s">
        <v>322</v>
      </c>
      <c r="J4235" s="3" t="s">
        <v>85</v>
      </c>
      <c r="K4235" s="3">
        <v>5</v>
      </c>
      <c r="L4235" s="3">
        <v>130.66999999999999</v>
      </c>
      <c r="M4235" s="3">
        <v>653.35</v>
      </c>
      <c r="N4235" s="3">
        <v>308.51</v>
      </c>
      <c r="O4235" s="3">
        <v>344.84</v>
      </c>
      <c r="P4235" s="3" t="s">
        <v>26</v>
      </c>
    </row>
    <row r="4236" spans="1:16" x14ac:dyDescent="0.35">
      <c r="A4236" s="3" t="s">
        <v>5676</v>
      </c>
      <c r="B4236" s="3" t="s">
        <v>163</v>
      </c>
      <c r="C4236" s="3" t="s">
        <v>137</v>
      </c>
      <c r="D4236" s="3" t="s">
        <v>90</v>
      </c>
      <c r="E4236" s="3" t="s">
        <v>91</v>
      </c>
      <c r="F4236" s="3" t="s">
        <v>92</v>
      </c>
      <c r="G4236" s="3" t="s">
        <v>41</v>
      </c>
      <c r="H4236" s="3" t="s">
        <v>61</v>
      </c>
      <c r="I4236" s="3" t="s">
        <v>1054</v>
      </c>
      <c r="J4236" s="3" t="s">
        <v>100</v>
      </c>
      <c r="K4236" s="3">
        <v>1</v>
      </c>
      <c r="L4236" s="3">
        <v>2648.73</v>
      </c>
      <c r="M4236" s="3">
        <v>2648.73</v>
      </c>
      <c r="N4236" s="3">
        <v>1561.56</v>
      </c>
      <c r="O4236" s="3">
        <v>1087.17</v>
      </c>
      <c r="P4236" s="3" t="s">
        <v>45</v>
      </c>
    </row>
    <row r="4237" spans="1:16" x14ac:dyDescent="0.35">
      <c r="A4237" s="3" t="s">
        <v>5677</v>
      </c>
      <c r="B4237" s="3" t="s">
        <v>1733</v>
      </c>
      <c r="C4237" s="3" t="s">
        <v>137</v>
      </c>
      <c r="D4237" s="3" t="s">
        <v>58</v>
      </c>
      <c r="E4237" s="3" t="s">
        <v>65</v>
      </c>
      <c r="F4237" s="3" t="s">
        <v>66</v>
      </c>
      <c r="G4237" s="3" t="s">
        <v>30</v>
      </c>
      <c r="H4237" s="3" t="s">
        <v>73</v>
      </c>
      <c r="I4237" s="3" t="s">
        <v>340</v>
      </c>
      <c r="J4237" s="3" t="s">
        <v>100</v>
      </c>
      <c r="K4237" s="3">
        <v>3</v>
      </c>
      <c r="L4237" s="3">
        <v>3205.77</v>
      </c>
      <c r="M4237" s="3">
        <v>9617.31</v>
      </c>
      <c r="N4237" s="3">
        <v>7159.6</v>
      </c>
      <c r="O4237" s="3">
        <v>2457.71</v>
      </c>
      <c r="P4237" s="3" t="s">
        <v>69</v>
      </c>
    </row>
    <row r="4238" spans="1:16" x14ac:dyDescent="0.35">
      <c r="A4238" s="3" t="s">
        <v>5678</v>
      </c>
      <c r="B4238" s="3" t="s">
        <v>2117</v>
      </c>
      <c r="C4238" s="3" t="s">
        <v>37</v>
      </c>
      <c r="D4238" s="3" t="s">
        <v>38</v>
      </c>
      <c r="E4238" s="3" t="s">
        <v>109</v>
      </c>
      <c r="F4238" s="3" t="s">
        <v>110</v>
      </c>
      <c r="G4238" s="3" t="s">
        <v>41</v>
      </c>
      <c r="H4238" s="3" t="s">
        <v>61</v>
      </c>
      <c r="I4238" s="3" t="s">
        <v>405</v>
      </c>
      <c r="J4238" s="3" t="s">
        <v>54</v>
      </c>
      <c r="K4238" s="3">
        <v>2</v>
      </c>
      <c r="L4238" s="3">
        <v>2476.81</v>
      </c>
      <c r="M4238" s="3">
        <v>4953.62</v>
      </c>
      <c r="N4238" s="3">
        <v>3138.95</v>
      </c>
      <c r="O4238" s="3">
        <v>1814.67</v>
      </c>
      <c r="P4238" s="3" t="s">
        <v>45</v>
      </c>
    </row>
    <row r="4239" spans="1:16" x14ac:dyDescent="0.35">
      <c r="A4239" s="3" t="s">
        <v>5679</v>
      </c>
      <c r="B4239" s="3" t="s">
        <v>324</v>
      </c>
      <c r="C4239" s="3" t="s">
        <v>29</v>
      </c>
      <c r="D4239" s="3" t="s">
        <v>90</v>
      </c>
      <c r="E4239" s="3" t="s">
        <v>119</v>
      </c>
      <c r="F4239" s="3" t="s">
        <v>120</v>
      </c>
      <c r="G4239" s="3" t="s">
        <v>22</v>
      </c>
      <c r="H4239" s="3" t="s">
        <v>93</v>
      </c>
      <c r="I4239" s="3" t="s">
        <v>640</v>
      </c>
      <c r="J4239" s="3" t="s">
        <v>188</v>
      </c>
      <c r="K4239" s="3">
        <v>4</v>
      </c>
      <c r="L4239" s="3">
        <v>7305.88</v>
      </c>
      <c r="M4239" s="3">
        <v>29223.52</v>
      </c>
      <c r="N4239" s="3">
        <v>20599.41</v>
      </c>
      <c r="O4239" s="3">
        <v>8624.11</v>
      </c>
      <c r="P4239" s="3" t="s">
        <v>34</v>
      </c>
    </row>
    <row r="4240" spans="1:16" x14ac:dyDescent="0.35">
      <c r="A4240" s="3" t="s">
        <v>5680</v>
      </c>
      <c r="B4240" s="3" t="s">
        <v>126</v>
      </c>
      <c r="C4240" s="3" t="s">
        <v>103</v>
      </c>
      <c r="D4240" s="3" t="s">
        <v>38</v>
      </c>
      <c r="E4240" s="3" t="s">
        <v>104</v>
      </c>
      <c r="F4240" s="3" t="s">
        <v>104</v>
      </c>
      <c r="G4240" s="3" t="s">
        <v>51</v>
      </c>
      <c r="H4240" s="3" t="s">
        <v>52</v>
      </c>
      <c r="I4240" s="3" t="s">
        <v>869</v>
      </c>
      <c r="J4240" s="3" t="s">
        <v>154</v>
      </c>
      <c r="K4240" s="3">
        <v>3</v>
      </c>
      <c r="L4240" s="3">
        <v>27.01</v>
      </c>
      <c r="M4240" s="3">
        <v>81.03</v>
      </c>
      <c r="N4240" s="3">
        <v>29.92</v>
      </c>
      <c r="O4240" s="3">
        <v>51.11</v>
      </c>
      <c r="P4240" s="3" t="s">
        <v>45</v>
      </c>
    </row>
    <row r="4241" spans="1:16" x14ac:dyDescent="0.35">
      <c r="A4241" s="3" t="s">
        <v>5681</v>
      </c>
      <c r="B4241" s="3" t="s">
        <v>96</v>
      </c>
      <c r="C4241" s="3" t="s">
        <v>48</v>
      </c>
      <c r="D4241" s="3" t="s">
        <v>38</v>
      </c>
      <c r="E4241" s="3" t="s">
        <v>39</v>
      </c>
      <c r="F4241" s="3" t="s">
        <v>40</v>
      </c>
      <c r="G4241" s="3" t="s">
        <v>22</v>
      </c>
      <c r="H4241" s="3" t="s">
        <v>23</v>
      </c>
      <c r="I4241" s="3" t="s">
        <v>1967</v>
      </c>
      <c r="J4241" s="3" t="s">
        <v>106</v>
      </c>
      <c r="K4241" s="3">
        <v>2</v>
      </c>
      <c r="L4241" s="3">
        <v>3253.12</v>
      </c>
      <c r="M4241" s="3">
        <v>6506.24</v>
      </c>
      <c r="N4241" s="3">
        <v>4241.51</v>
      </c>
      <c r="O4241" s="3">
        <v>2264.73</v>
      </c>
      <c r="P4241" s="3" t="s">
        <v>69</v>
      </c>
    </row>
    <row r="4242" spans="1:16" x14ac:dyDescent="0.35">
      <c r="A4242" s="3" t="s">
        <v>5682</v>
      </c>
      <c r="B4242" s="3" t="s">
        <v>712</v>
      </c>
      <c r="C4242" s="3" t="s">
        <v>37</v>
      </c>
      <c r="D4242" s="3" t="s">
        <v>19</v>
      </c>
      <c r="E4242" s="3" t="s">
        <v>199</v>
      </c>
      <c r="F4242" s="3" t="s">
        <v>200</v>
      </c>
      <c r="G4242" s="3" t="s">
        <v>51</v>
      </c>
      <c r="H4242" s="3" t="s">
        <v>77</v>
      </c>
      <c r="I4242" s="3" t="s">
        <v>2925</v>
      </c>
      <c r="J4242" s="3" t="s">
        <v>106</v>
      </c>
      <c r="K4242" s="3">
        <v>7</v>
      </c>
      <c r="L4242" s="3">
        <v>11331.94</v>
      </c>
      <c r="M4242" s="3">
        <v>79323.58</v>
      </c>
      <c r="N4242" s="3">
        <v>60481.65</v>
      </c>
      <c r="O4242" s="3">
        <v>18841.93</v>
      </c>
      <c r="P4242" s="3" t="s">
        <v>34</v>
      </c>
    </row>
    <row r="4243" spans="1:16" x14ac:dyDescent="0.35">
      <c r="A4243" s="3" t="s">
        <v>5683</v>
      </c>
      <c r="B4243" s="3" t="s">
        <v>2280</v>
      </c>
      <c r="C4243" s="3" t="s">
        <v>89</v>
      </c>
      <c r="D4243" s="3" t="s">
        <v>58</v>
      </c>
      <c r="E4243" s="3" t="s">
        <v>65</v>
      </c>
      <c r="F4243" s="3" t="s">
        <v>66</v>
      </c>
      <c r="G4243" s="3" t="s">
        <v>51</v>
      </c>
      <c r="H4243" s="3" t="s">
        <v>52</v>
      </c>
      <c r="I4243" s="3" t="s">
        <v>3199</v>
      </c>
      <c r="J4243" s="3" t="s">
        <v>106</v>
      </c>
      <c r="K4243" s="3">
        <v>4</v>
      </c>
      <c r="L4243" s="3">
        <v>24.13</v>
      </c>
      <c r="M4243" s="3">
        <v>96.52</v>
      </c>
      <c r="N4243" s="3">
        <v>39.14</v>
      </c>
      <c r="O4243" s="3">
        <v>57.38</v>
      </c>
      <c r="P4243" s="3" t="s">
        <v>86</v>
      </c>
    </row>
    <row r="4244" spans="1:16" x14ac:dyDescent="0.35">
      <c r="A4244" s="3" t="s">
        <v>5684</v>
      </c>
      <c r="B4244" s="3" t="s">
        <v>108</v>
      </c>
      <c r="C4244" s="3" t="s">
        <v>72</v>
      </c>
      <c r="D4244" s="3" t="s">
        <v>58</v>
      </c>
      <c r="E4244" s="3" t="s">
        <v>59</v>
      </c>
      <c r="F4244" s="3" t="s">
        <v>60</v>
      </c>
      <c r="G4244" s="3" t="s">
        <v>41</v>
      </c>
      <c r="H4244" s="3" t="s">
        <v>61</v>
      </c>
      <c r="I4244" s="3" t="s">
        <v>331</v>
      </c>
      <c r="J4244" s="3" t="s">
        <v>33</v>
      </c>
      <c r="K4244" s="3">
        <v>4</v>
      </c>
      <c r="L4244" s="3">
        <v>2407.29</v>
      </c>
      <c r="M4244" s="3">
        <v>9629.16</v>
      </c>
      <c r="N4244" s="3">
        <v>6473.4</v>
      </c>
      <c r="O4244" s="3">
        <v>3155.76</v>
      </c>
      <c r="P4244" s="3" t="s">
        <v>45</v>
      </c>
    </row>
    <row r="4245" spans="1:16" x14ac:dyDescent="0.35">
      <c r="A4245" s="3" t="s">
        <v>5685</v>
      </c>
      <c r="B4245" s="3" t="s">
        <v>733</v>
      </c>
      <c r="C4245" s="3" t="s">
        <v>89</v>
      </c>
      <c r="D4245" s="3" t="s">
        <v>19</v>
      </c>
      <c r="E4245" s="3" t="s">
        <v>49</v>
      </c>
      <c r="F4245" s="3" t="s">
        <v>50</v>
      </c>
      <c r="G4245" s="3" t="s">
        <v>22</v>
      </c>
      <c r="H4245" s="3" t="s">
        <v>93</v>
      </c>
      <c r="I4245" s="3" t="s">
        <v>1931</v>
      </c>
      <c r="J4245" s="3" t="s">
        <v>217</v>
      </c>
      <c r="K4245" s="3">
        <v>2</v>
      </c>
      <c r="L4245" s="3">
        <v>6524.88</v>
      </c>
      <c r="M4245" s="3">
        <v>13049.76</v>
      </c>
      <c r="N4245" s="3">
        <v>10427.81</v>
      </c>
      <c r="O4245" s="3">
        <v>2621.95</v>
      </c>
      <c r="P4245" s="3" t="s">
        <v>86</v>
      </c>
    </row>
    <row r="4246" spans="1:16" x14ac:dyDescent="0.35">
      <c r="A4246" s="3" t="s">
        <v>5686</v>
      </c>
      <c r="B4246" s="3" t="s">
        <v>1504</v>
      </c>
      <c r="C4246" s="3" t="s">
        <v>48</v>
      </c>
      <c r="D4246" s="3" t="s">
        <v>90</v>
      </c>
      <c r="E4246" s="3" t="s">
        <v>91</v>
      </c>
      <c r="F4246" s="3" t="s">
        <v>92</v>
      </c>
      <c r="G4246" s="3" t="s">
        <v>30</v>
      </c>
      <c r="H4246" s="3" t="s">
        <v>67</v>
      </c>
      <c r="I4246" s="3" t="s">
        <v>2777</v>
      </c>
      <c r="J4246" s="3" t="s">
        <v>188</v>
      </c>
      <c r="K4246" s="3">
        <v>7</v>
      </c>
      <c r="L4246" s="3">
        <v>10199.41</v>
      </c>
      <c r="M4246" s="3">
        <v>71395.87</v>
      </c>
      <c r="N4246" s="3">
        <v>52023.72</v>
      </c>
      <c r="O4246" s="3">
        <v>19372.150000000001</v>
      </c>
      <c r="P4246" s="3" t="s">
        <v>86</v>
      </c>
    </row>
    <row r="4247" spans="1:16" x14ac:dyDescent="0.35">
      <c r="A4247" s="3" t="s">
        <v>5687</v>
      </c>
      <c r="B4247" s="3" t="s">
        <v>1670</v>
      </c>
      <c r="C4247" s="3" t="s">
        <v>114</v>
      </c>
      <c r="D4247" s="3" t="s">
        <v>90</v>
      </c>
      <c r="E4247" s="3" t="s">
        <v>97</v>
      </c>
      <c r="F4247" s="3" t="s">
        <v>98</v>
      </c>
      <c r="G4247" s="3" t="s">
        <v>51</v>
      </c>
      <c r="H4247" s="3" t="s">
        <v>77</v>
      </c>
      <c r="I4247" s="3" t="s">
        <v>820</v>
      </c>
      <c r="J4247" s="3" t="s">
        <v>79</v>
      </c>
      <c r="K4247" s="3">
        <v>7</v>
      </c>
      <c r="L4247" s="3">
        <v>12326.57</v>
      </c>
      <c r="M4247" s="3">
        <v>86285.99</v>
      </c>
      <c r="N4247" s="3">
        <v>64620.81</v>
      </c>
      <c r="O4247" s="3">
        <v>21665.18</v>
      </c>
      <c r="P4247" s="3" t="s">
        <v>26</v>
      </c>
    </row>
    <row r="4248" spans="1:16" x14ac:dyDescent="0.35">
      <c r="A4248" s="3" t="s">
        <v>5688</v>
      </c>
      <c r="B4248" s="3" t="s">
        <v>1226</v>
      </c>
      <c r="C4248" s="3" t="s">
        <v>29</v>
      </c>
      <c r="D4248" s="3" t="s">
        <v>58</v>
      </c>
      <c r="E4248" s="3" t="s">
        <v>59</v>
      </c>
      <c r="F4248" s="3" t="s">
        <v>60</v>
      </c>
      <c r="G4248" s="3" t="s">
        <v>30</v>
      </c>
      <c r="H4248" s="3" t="s">
        <v>67</v>
      </c>
      <c r="I4248" s="3" t="s">
        <v>3374</v>
      </c>
      <c r="J4248" s="3" t="s">
        <v>161</v>
      </c>
      <c r="K4248" s="3">
        <v>5</v>
      </c>
      <c r="L4248" s="3">
        <v>9347.14</v>
      </c>
      <c r="M4248" s="3">
        <v>46735.7</v>
      </c>
      <c r="N4248" s="3">
        <v>38400.89</v>
      </c>
      <c r="O4248" s="3">
        <v>8334.81</v>
      </c>
      <c r="P4248" s="3" t="s">
        <v>45</v>
      </c>
    </row>
    <row r="4249" spans="1:16" x14ac:dyDescent="0.35">
      <c r="A4249" s="3" t="s">
        <v>5689</v>
      </c>
      <c r="B4249" s="3" t="s">
        <v>136</v>
      </c>
      <c r="C4249" s="3" t="s">
        <v>137</v>
      </c>
      <c r="D4249" s="3" t="s">
        <v>90</v>
      </c>
      <c r="E4249" s="3" t="s">
        <v>97</v>
      </c>
      <c r="F4249" s="3" t="s">
        <v>98</v>
      </c>
      <c r="G4249" s="3" t="s">
        <v>41</v>
      </c>
      <c r="H4249" s="3" t="s">
        <v>61</v>
      </c>
      <c r="I4249" s="3" t="s">
        <v>542</v>
      </c>
      <c r="J4249" s="3" t="s">
        <v>147</v>
      </c>
      <c r="K4249" s="3">
        <v>8</v>
      </c>
      <c r="L4249" s="3">
        <v>2661.1</v>
      </c>
      <c r="M4249" s="3">
        <v>21288.799999999999</v>
      </c>
      <c r="N4249" s="3">
        <v>12590.01</v>
      </c>
      <c r="O4249" s="3">
        <v>8698.7900000000009</v>
      </c>
      <c r="P4249" s="3" t="s">
        <v>26</v>
      </c>
    </row>
    <row r="4250" spans="1:16" x14ac:dyDescent="0.35">
      <c r="A4250" s="3" t="s">
        <v>5690</v>
      </c>
      <c r="B4250" s="3" t="s">
        <v>989</v>
      </c>
      <c r="C4250" s="3" t="s">
        <v>29</v>
      </c>
      <c r="D4250" s="3" t="s">
        <v>38</v>
      </c>
      <c r="E4250" s="3" t="s">
        <v>39</v>
      </c>
      <c r="F4250" s="3" t="s">
        <v>40</v>
      </c>
      <c r="G4250" s="3" t="s">
        <v>51</v>
      </c>
      <c r="H4250" s="3" t="s">
        <v>145</v>
      </c>
      <c r="I4250" s="3" t="s">
        <v>2732</v>
      </c>
      <c r="J4250" s="3" t="s">
        <v>44</v>
      </c>
      <c r="K4250" s="3">
        <v>6</v>
      </c>
      <c r="L4250" s="3">
        <v>125.96</v>
      </c>
      <c r="M4250" s="3">
        <v>755.76</v>
      </c>
      <c r="N4250" s="3">
        <v>348.5</v>
      </c>
      <c r="O4250" s="3">
        <v>407.26</v>
      </c>
      <c r="P4250" s="3" t="s">
        <v>34</v>
      </c>
    </row>
    <row r="4251" spans="1:16" x14ac:dyDescent="0.35">
      <c r="A4251" s="3" t="s">
        <v>5691</v>
      </c>
      <c r="B4251" s="3" t="s">
        <v>507</v>
      </c>
      <c r="C4251" s="3" t="s">
        <v>118</v>
      </c>
      <c r="D4251" s="3" t="s">
        <v>19</v>
      </c>
      <c r="E4251" s="3" t="s">
        <v>20</v>
      </c>
      <c r="F4251" s="3" t="s">
        <v>21</v>
      </c>
      <c r="G4251" s="3" t="s">
        <v>30</v>
      </c>
      <c r="H4251" s="3" t="s">
        <v>31</v>
      </c>
      <c r="I4251" s="3" t="s">
        <v>2407</v>
      </c>
      <c r="J4251" s="3" t="s">
        <v>33</v>
      </c>
      <c r="K4251" s="3">
        <v>3</v>
      </c>
      <c r="L4251" s="3">
        <v>2829.62</v>
      </c>
      <c r="M4251" s="3">
        <v>8488.86</v>
      </c>
      <c r="N4251" s="3">
        <v>5527.27</v>
      </c>
      <c r="O4251" s="3">
        <v>2961.59</v>
      </c>
      <c r="P4251" s="3" t="s">
        <v>69</v>
      </c>
    </row>
    <row r="4252" spans="1:16" x14ac:dyDescent="0.35">
      <c r="A4252" s="3" t="s">
        <v>5692</v>
      </c>
      <c r="B4252" s="3" t="s">
        <v>330</v>
      </c>
      <c r="C4252" s="3" t="s">
        <v>18</v>
      </c>
      <c r="D4252" s="3" t="s">
        <v>58</v>
      </c>
      <c r="E4252" s="3" t="s">
        <v>65</v>
      </c>
      <c r="F4252" s="3" t="s">
        <v>66</v>
      </c>
      <c r="G4252" s="3" t="s">
        <v>51</v>
      </c>
      <c r="H4252" s="3" t="s">
        <v>52</v>
      </c>
      <c r="I4252" s="3" t="s">
        <v>234</v>
      </c>
      <c r="J4252" s="3" t="s">
        <v>85</v>
      </c>
      <c r="K4252" s="3">
        <v>7</v>
      </c>
      <c r="L4252" s="3">
        <v>24.61</v>
      </c>
      <c r="M4252" s="3">
        <v>172.27</v>
      </c>
      <c r="N4252" s="3">
        <v>69.64</v>
      </c>
      <c r="O4252" s="3">
        <v>102.63</v>
      </c>
      <c r="P4252" s="3" t="s">
        <v>34</v>
      </c>
    </row>
    <row r="4253" spans="1:16" x14ac:dyDescent="0.35">
      <c r="A4253" s="3" t="s">
        <v>5693</v>
      </c>
      <c r="B4253" s="3" t="s">
        <v>349</v>
      </c>
      <c r="C4253" s="3" t="s">
        <v>72</v>
      </c>
      <c r="D4253" s="3" t="s">
        <v>19</v>
      </c>
      <c r="E4253" s="3" t="s">
        <v>49</v>
      </c>
      <c r="F4253" s="3" t="s">
        <v>50</v>
      </c>
      <c r="G4253" s="3" t="s">
        <v>41</v>
      </c>
      <c r="H4253" s="3" t="s">
        <v>138</v>
      </c>
      <c r="I4253" s="3" t="s">
        <v>2732</v>
      </c>
      <c r="J4253" s="3" t="s">
        <v>188</v>
      </c>
      <c r="K4253" s="3">
        <v>1</v>
      </c>
      <c r="L4253" s="3">
        <v>18401.509999999998</v>
      </c>
      <c r="M4253" s="3">
        <v>18401.509999999998</v>
      </c>
      <c r="N4253" s="3">
        <v>13635.6</v>
      </c>
      <c r="O4253" s="3">
        <v>4765.91</v>
      </c>
      <c r="P4253" s="3" t="s">
        <v>26</v>
      </c>
    </row>
    <row r="4254" spans="1:16" x14ac:dyDescent="0.35">
      <c r="A4254" s="3" t="s">
        <v>5694</v>
      </c>
      <c r="B4254" s="3" t="s">
        <v>3482</v>
      </c>
      <c r="C4254" s="3" t="s">
        <v>57</v>
      </c>
      <c r="D4254" s="3" t="s">
        <v>38</v>
      </c>
      <c r="E4254" s="3" t="s">
        <v>104</v>
      </c>
      <c r="F4254" s="3" t="s">
        <v>104</v>
      </c>
      <c r="G4254" s="3" t="s">
        <v>41</v>
      </c>
      <c r="H4254" s="3" t="s">
        <v>61</v>
      </c>
      <c r="I4254" s="3" t="s">
        <v>196</v>
      </c>
      <c r="J4254" s="3" t="s">
        <v>154</v>
      </c>
      <c r="K4254" s="3">
        <v>5</v>
      </c>
      <c r="L4254" s="3">
        <v>2587.7800000000002</v>
      </c>
      <c r="M4254" s="3">
        <v>12938.9</v>
      </c>
      <c r="N4254" s="3">
        <v>8191.89</v>
      </c>
      <c r="O4254" s="3">
        <v>4747.01</v>
      </c>
      <c r="P4254" s="3" t="s">
        <v>45</v>
      </c>
    </row>
    <row r="4255" spans="1:16" x14ac:dyDescent="0.35">
      <c r="A4255" s="3" t="s">
        <v>5695</v>
      </c>
      <c r="B4255" s="3" t="s">
        <v>562</v>
      </c>
      <c r="C4255" s="3" t="s">
        <v>82</v>
      </c>
      <c r="D4255" s="3" t="s">
        <v>58</v>
      </c>
      <c r="E4255" s="3" t="s">
        <v>65</v>
      </c>
      <c r="F4255" s="3" t="s">
        <v>66</v>
      </c>
      <c r="G4255" s="3" t="s">
        <v>30</v>
      </c>
      <c r="H4255" s="3" t="s">
        <v>67</v>
      </c>
      <c r="I4255" s="3" t="s">
        <v>4597</v>
      </c>
      <c r="J4255" s="3" t="s">
        <v>188</v>
      </c>
      <c r="K4255" s="3">
        <v>8</v>
      </c>
      <c r="L4255" s="3">
        <v>10147.99</v>
      </c>
      <c r="M4255" s="3">
        <v>81183.92</v>
      </c>
      <c r="N4255" s="3">
        <v>58297.37</v>
      </c>
      <c r="O4255" s="3">
        <v>22886.55</v>
      </c>
      <c r="P4255" s="3" t="s">
        <v>86</v>
      </c>
    </row>
    <row r="4256" spans="1:16" x14ac:dyDescent="0.35">
      <c r="A4256" s="3" t="s">
        <v>5696</v>
      </c>
      <c r="B4256" s="3" t="s">
        <v>141</v>
      </c>
      <c r="C4256" s="3" t="s">
        <v>57</v>
      </c>
      <c r="D4256" s="3" t="s">
        <v>90</v>
      </c>
      <c r="E4256" s="3" t="s">
        <v>91</v>
      </c>
      <c r="F4256" s="3" t="s">
        <v>92</v>
      </c>
      <c r="G4256" s="3" t="s">
        <v>41</v>
      </c>
      <c r="H4256" s="3" t="s">
        <v>42</v>
      </c>
      <c r="I4256" s="3" t="s">
        <v>3631</v>
      </c>
      <c r="J4256" s="3" t="s">
        <v>100</v>
      </c>
      <c r="K4256" s="3">
        <v>5</v>
      </c>
      <c r="L4256" s="3">
        <v>47135.39</v>
      </c>
      <c r="M4256" s="3">
        <v>235676.95</v>
      </c>
      <c r="N4256" s="3">
        <v>181030.49</v>
      </c>
      <c r="O4256" s="3">
        <v>54646.46</v>
      </c>
      <c r="P4256" s="3" t="s">
        <v>45</v>
      </c>
    </row>
    <row r="4257" spans="1:16" x14ac:dyDescent="0.35">
      <c r="A4257" s="3" t="s">
        <v>5697</v>
      </c>
      <c r="B4257" s="3" t="s">
        <v>1392</v>
      </c>
      <c r="C4257" s="3" t="s">
        <v>103</v>
      </c>
      <c r="D4257" s="3" t="s">
        <v>58</v>
      </c>
      <c r="E4257" s="3" t="s">
        <v>65</v>
      </c>
      <c r="F4257" s="3" t="s">
        <v>66</v>
      </c>
      <c r="G4257" s="3" t="s">
        <v>51</v>
      </c>
      <c r="H4257" s="3" t="s">
        <v>77</v>
      </c>
      <c r="I4257" s="3" t="s">
        <v>2002</v>
      </c>
      <c r="J4257" s="3" t="s">
        <v>44</v>
      </c>
      <c r="K4257" s="3">
        <v>7</v>
      </c>
      <c r="L4257" s="3">
        <v>11410.46</v>
      </c>
      <c r="M4257" s="3">
        <v>79873.22</v>
      </c>
      <c r="N4257" s="3">
        <v>62430.91</v>
      </c>
      <c r="O4257" s="3">
        <v>17442.310000000001</v>
      </c>
      <c r="P4257" s="3" t="s">
        <v>26</v>
      </c>
    </row>
    <row r="4258" spans="1:16" x14ac:dyDescent="0.35">
      <c r="A4258" s="3" t="s">
        <v>5698</v>
      </c>
      <c r="B4258" s="3" t="s">
        <v>392</v>
      </c>
      <c r="C4258" s="3" t="s">
        <v>103</v>
      </c>
      <c r="D4258" s="3" t="s">
        <v>90</v>
      </c>
      <c r="E4258" s="3" t="s">
        <v>97</v>
      </c>
      <c r="F4258" s="3" t="s">
        <v>98</v>
      </c>
      <c r="G4258" s="3" t="s">
        <v>22</v>
      </c>
      <c r="H4258" s="3" t="s">
        <v>93</v>
      </c>
      <c r="I4258" s="3" t="s">
        <v>1681</v>
      </c>
      <c r="J4258" s="3" t="s">
        <v>33</v>
      </c>
      <c r="K4258" s="3">
        <v>3</v>
      </c>
      <c r="L4258" s="3">
        <v>6981.54</v>
      </c>
      <c r="M4258" s="3">
        <v>20944.62</v>
      </c>
      <c r="N4258" s="3">
        <v>15664</v>
      </c>
      <c r="O4258" s="3">
        <v>5280.62</v>
      </c>
      <c r="P4258" s="3" t="s">
        <v>69</v>
      </c>
    </row>
    <row r="4259" spans="1:16" x14ac:dyDescent="0.35">
      <c r="A4259" s="3" t="s">
        <v>5699</v>
      </c>
      <c r="B4259" s="3" t="s">
        <v>1205</v>
      </c>
      <c r="C4259" s="3" t="s">
        <v>114</v>
      </c>
      <c r="D4259" s="3" t="s">
        <v>19</v>
      </c>
      <c r="E4259" s="3" t="s">
        <v>49</v>
      </c>
      <c r="F4259" s="3" t="s">
        <v>50</v>
      </c>
      <c r="G4259" s="3" t="s">
        <v>22</v>
      </c>
      <c r="H4259" s="3" t="s">
        <v>83</v>
      </c>
      <c r="I4259" s="3" t="s">
        <v>1172</v>
      </c>
      <c r="J4259" s="3" t="s">
        <v>100</v>
      </c>
      <c r="K4259" s="3">
        <v>3</v>
      </c>
      <c r="L4259" s="3">
        <v>19827.93</v>
      </c>
      <c r="M4259" s="3">
        <v>59483.79</v>
      </c>
      <c r="N4259" s="3">
        <v>50791.62</v>
      </c>
      <c r="O4259" s="3">
        <v>8692.17</v>
      </c>
      <c r="P4259" s="3" t="s">
        <v>45</v>
      </c>
    </row>
    <row r="4260" spans="1:16" x14ac:dyDescent="0.35">
      <c r="A4260" s="3" t="s">
        <v>5700</v>
      </c>
      <c r="B4260" s="3" t="s">
        <v>634</v>
      </c>
      <c r="C4260" s="3" t="s">
        <v>29</v>
      </c>
      <c r="D4260" s="3" t="s">
        <v>58</v>
      </c>
      <c r="E4260" s="3" t="s">
        <v>59</v>
      </c>
      <c r="F4260" s="3" t="s">
        <v>60</v>
      </c>
      <c r="G4260" s="3" t="s">
        <v>22</v>
      </c>
      <c r="H4260" s="3" t="s">
        <v>83</v>
      </c>
      <c r="I4260" s="3" t="s">
        <v>3783</v>
      </c>
      <c r="J4260" s="3" t="s">
        <v>171</v>
      </c>
      <c r="K4260" s="3">
        <v>3</v>
      </c>
      <c r="L4260" s="3">
        <v>23362.09</v>
      </c>
      <c r="M4260" s="3">
        <v>70086.27</v>
      </c>
      <c r="N4260" s="3">
        <v>51804.56</v>
      </c>
      <c r="O4260" s="3">
        <v>18281.71</v>
      </c>
      <c r="P4260" s="3" t="s">
        <v>69</v>
      </c>
    </row>
    <row r="4261" spans="1:16" x14ac:dyDescent="0.35">
      <c r="A4261" s="3" t="s">
        <v>5701</v>
      </c>
      <c r="B4261" s="3" t="s">
        <v>318</v>
      </c>
      <c r="C4261" s="3" t="s">
        <v>37</v>
      </c>
      <c r="D4261" s="3" t="s">
        <v>90</v>
      </c>
      <c r="E4261" s="3" t="s">
        <v>119</v>
      </c>
      <c r="F4261" s="3" t="s">
        <v>120</v>
      </c>
      <c r="G4261" s="3" t="s">
        <v>41</v>
      </c>
      <c r="H4261" s="3" t="s">
        <v>138</v>
      </c>
      <c r="I4261" s="3" t="s">
        <v>1796</v>
      </c>
      <c r="J4261" s="3" t="s">
        <v>54</v>
      </c>
      <c r="K4261" s="3">
        <v>4</v>
      </c>
      <c r="L4261" s="3">
        <v>16899.939999999999</v>
      </c>
      <c r="M4261" s="3">
        <v>67599.759999999995</v>
      </c>
      <c r="N4261" s="3">
        <v>57659.06</v>
      </c>
      <c r="O4261" s="3">
        <v>9940.7000000000007</v>
      </c>
      <c r="P4261" s="3" t="s">
        <v>86</v>
      </c>
    </row>
    <row r="4262" spans="1:16" x14ac:dyDescent="0.35">
      <c r="A4262" s="3" t="s">
        <v>5702</v>
      </c>
      <c r="B4262" s="3" t="s">
        <v>1667</v>
      </c>
      <c r="C4262" s="3" t="s">
        <v>48</v>
      </c>
      <c r="D4262" s="3" t="s">
        <v>38</v>
      </c>
      <c r="E4262" s="3" t="s">
        <v>104</v>
      </c>
      <c r="F4262" s="3" t="s">
        <v>104</v>
      </c>
      <c r="G4262" s="3" t="s">
        <v>30</v>
      </c>
      <c r="H4262" s="3" t="s">
        <v>73</v>
      </c>
      <c r="I4262" s="3" t="s">
        <v>2525</v>
      </c>
      <c r="J4262" s="3" t="s">
        <v>33</v>
      </c>
      <c r="K4262" s="3">
        <v>3</v>
      </c>
      <c r="L4262" s="3">
        <v>2981</v>
      </c>
      <c r="M4262" s="3">
        <v>8943</v>
      </c>
      <c r="N4262" s="3">
        <v>7106.98</v>
      </c>
      <c r="O4262" s="3">
        <v>1836.02</v>
      </c>
      <c r="P4262" s="3" t="s">
        <v>86</v>
      </c>
    </row>
    <row r="4263" spans="1:16" x14ac:dyDescent="0.35">
      <c r="A4263" s="3" t="s">
        <v>5703</v>
      </c>
      <c r="B4263" s="3" t="s">
        <v>1552</v>
      </c>
      <c r="C4263" s="3" t="s">
        <v>114</v>
      </c>
      <c r="D4263" s="3" t="s">
        <v>19</v>
      </c>
      <c r="E4263" s="3" t="s">
        <v>20</v>
      </c>
      <c r="F4263" s="3" t="s">
        <v>21</v>
      </c>
      <c r="G4263" s="3" t="s">
        <v>22</v>
      </c>
      <c r="H4263" s="3" t="s">
        <v>93</v>
      </c>
      <c r="I4263" s="3" t="s">
        <v>352</v>
      </c>
      <c r="J4263" s="3" t="s">
        <v>171</v>
      </c>
      <c r="K4263" s="3">
        <v>5</v>
      </c>
      <c r="L4263" s="3">
        <v>6700.88</v>
      </c>
      <c r="M4263" s="3">
        <v>33504.400000000001</v>
      </c>
      <c r="N4263" s="3">
        <v>25167.39</v>
      </c>
      <c r="O4263" s="3">
        <v>8337.01</v>
      </c>
      <c r="P4263" s="3" t="s">
        <v>45</v>
      </c>
    </row>
    <row r="4264" spans="1:16" x14ac:dyDescent="0.35">
      <c r="A4264" s="3" t="s">
        <v>5704</v>
      </c>
      <c r="B4264" s="3" t="s">
        <v>2127</v>
      </c>
      <c r="C4264" s="3" t="s">
        <v>48</v>
      </c>
      <c r="D4264" s="3" t="s">
        <v>58</v>
      </c>
      <c r="E4264" s="3" t="s">
        <v>59</v>
      </c>
      <c r="F4264" s="3" t="s">
        <v>60</v>
      </c>
      <c r="G4264" s="3" t="s">
        <v>30</v>
      </c>
      <c r="H4264" s="3" t="s">
        <v>31</v>
      </c>
      <c r="I4264" s="3" t="s">
        <v>1830</v>
      </c>
      <c r="J4264" s="3" t="s">
        <v>161</v>
      </c>
      <c r="K4264" s="3">
        <v>8</v>
      </c>
      <c r="L4264" s="3">
        <v>2551.4</v>
      </c>
      <c r="M4264" s="3">
        <v>20411.2</v>
      </c>
      <c r="N4264" s="3">
        <v>15294.56</v>
      </c>
      <c r="O4264" s="3">
        <v>5116.6400000000003</v>
      </c>
      <c r="P4264" s="3" t="s">
        <v>69</v>
      </c>
    </row>
    <row r="4265" spans="1:16" x14ac:dyDescent="0.35">
      <c r="A4265" s="3" t="s">
        <v>5705</v>
      </c>
      <c r="B4265" s="3" t="s">
        <v>438</v>
      </c>
      <c r="C4265" s="3" t="s">
        <v>89</v>
      </c>
      <c r="D4265" s="3" t="s">
        <v>90</v>
      </c>
      <c r="E4265" s="3" t="s">
        <v>97</v>
      </c>
      <c r="F4265" s="3" t="s">
        <v>98</v>
      </c>
      <c r="G4265" s="3" t="s">
        <v>41</v>
      </c>
      <c r="H4265" s="3" t="s">
        <v>61</v>
      </c>
      <c r="I4265" s="3" t="s">
        <v>1068</v>
      </c>
      <c r="J4265" s="3" t="s">
        <v>100</v>
      </c>
      <c r="K4265" s="3">
        <v>5</v>
      </c>
      <c r="L4265" s="3">
        <v>2589.5500000000002</v>
      </c>
      <c r="M4265" s="3">
        <v>12947.75</v>
      </c>
      <c r="N4265" s="3">
        <v>7936.83</v>
      </c>
      <c r="O4265" s="3">
        <v>5010.92</v>
      </c>
      <c r="P4265" s="3" t="s">
        <v>86</v>
      </c>
    </row>
    <row r="4266" spans="1:16" x14ac:dyDescent="0.35">
      <c r="A4266" s="3" t="s">
        <v>5706</v>
      </c>
      <c r="B4266" s="3" t="s">
        <v>424</v>
      </c>
      <c r="C4266" s="3" t="s">
        <v>72</v>
      </c>
      <c r="D4266" s="3" t="s">
        <v>90</v>
      </c>
      <c r="E4266" s="3" t="s">
        <v>119</v>
      </c>
      <c r="F4266" s="3" t="s">
        <v>120</v>
      </c>
      <c r="G4266" s="3" t="s">
        <v>51</v>
      </c>
      <c r="H4266" s="3" t="s">
        <v>52</v>
      </c>
      <c r="I4266" s="3" t="s">
        <v>731</v>
      </c>
      <c r="J4266" s="3" t="s">
        <v>44</v>
      </c>
      <c r="K4266" s="3">
        <v>3</v>
      </c>
      <c r="L4266" s="3">
        <v>25.69</v>
      </c>
      <c r="M4266" s="3">
        <v>77.069999999999993</v>
      </c>
      <c r="N4266" s="3">
        <v>31.08</v>
      </c>
      <c r="O4266" s="3">
        <v>45.99</v>
      </c>
      <c r="P4266" s="3" t="s">
        <v>86</v>
      </c>
    </row>
    <row r="4267" spans="1:16" x14ac:dyDescent="0.35">
      <c r="A4267" s="3" t="s">
        <v>5707</v>
      </c>
      <c r="B4267" s="3" t="s">
        <v>1578</v>
      </c>
      <c r="C4267" s="3" t="s">
        <v>137</v>
      </c>
      <c r="D4267" s="3" t="s">
        <v>19</v>
      </c>
      <c r="E4267" s="3" t="s">
        <v>20</v>
      </c>
      <c r="F4267" s="3" t="s">
        <v>21</v>
      </c>
      <c r="G4267" s="3" t="s">
        <v>41</v>
      </c>
      <c r="H4267" s="3" t="s">
        <v>61</v>
      </c>
      <c r="I4267" s="3" t="s">
        <v>1555</v>
      </c>
      <c r="J4267" s="3" t="s">
        <v>100</v>
      </c>
      <c r="K4267" s="3">
        <v>4</v>
      </c>
      <c r="L4267" s="3">
        <v>2529.5</v>
      </c>
      <c r="M4267" s="3">
        <v>10118</v>
      </c>
      <c r="N4267" s="3">
        <v>6518.21</v>
      </c>
      <c r="O4267" s="3">
        <v>3599.79</v>
      </c>
      <c r="P4267" s="3" t="s">
        <v>45</v>
      </c>
    </row>
    <row r="4268" spans="1:16" x14ac:dyDescent="0.35">
      <c r="A4268" s="3" t="s">
        <v>5708</v>
      </c>
      <c r="B4268" s="3" t="s">
        <v>415</v>
      </c>
      <c r="C4268" s="3" t="s">
        <v>18</v>
      </c>
      <c r="D4268" s="3" t="s">
        <v>58</v>
      </c>
      <c r="E4268" s="3" t="s">
        <v>176</v>
      </c>
      <c r="F4268" s="3" t="s">
        <v>177</v>
      </c>
      <c r="G4268" s="3" t="s">
        <v>41</v>
      </c>
      <c r="H4268" s="3" t="s">
        <v>61</v>
      </c>
      <c r="I4268" s="3" t="s">
        <v>2422</v>
      </c>
      <c r="J4268" s="3" t="s">
        <v>33</v>
      </c>
      <c r="K4268" s="3">
        <v>4</v>
      </c>
      <c r="L4268" s="3">
        <v>2342.77</v>
      </c>
      <c r="M4268" s="3">
        <v>9371.08</v>
      </c>
      <c r="N4268" s="3">
        <v>6415.15</v>
      </c>
      <c r="O4268" s="3">
        <v>2955.93</v>
      </c>
      <c r="P4268" s="3" t="s">
        <v>34</v>
      </c>
    </row>
    <row r="4269" spans="1:16" x14ac:dyDescent="0.35">
      <c r="A4269" s="3" t="s">
        <v>5709</v>
      </c>
      <c r="B4269" s="3" t="s">
        <v>688</v>
      </c>
      <c r="C4269" s="3" t="s">
        <v>118</v>
      </c>
      <c r="D4269" s="3" t="s">
        <v>19</v>
      </c>
      <c r="E4269" s="3" t="s">
        <v>20</v>
      </c>
      <c r="F4269" s="3" t="s">
        <v>21</v>
      </c>
      <c r="G4269" s="3" t="s">
        <v>51</v>
      </c>
      <c r="H4269" s="3" t="s">
        <v>77</v>
      </c>
      <c r="I4269" s="3" t="s">
        <v>1354</v>
      </c>
      <c r="J4269" s="3" t="s">
        <v>217</v>
      </c>
      <c r="K4269" s="3">
        <v>3</v>
      </c>
      <c r="L4269" s="3">
        <v>12233.58</v>
      </c>
      <c r="M4269" s="3">
        <v>36700.74</v>
      </c>
      <c r="N4269" s="3">
        <v>25698.7</v>
      </c>
      <c r="O4269" s="3">
        <v>11002.04</v>
      </c>
      <c r="P4269" s="3" t="s">
        <v>34</v>
      </c>
    </row>
    <row r="4270" spans="1:16" x14ac:dyDescent="0.35">
      <c r="A4270" s="3" t="s">
        <v>5710</v>
      </c>
      <c r="B4270" s="3" t="s">
        <v>291</v>
      </c>
      <c r="C4270" s="3" t="s">
        <v>48</v>
      </c>
      <c r="D4270" s="3" t="s">
        <v>19</v>
      </c>
      <c r="E4270" s="3" t="s">
        <v>199</v>
      </c>
      <c r="F4270" s="3" t="s">
        <v>200</v>
      </c>
      <c r="G4270" s="3" t="s">
        <v>30</v>
      </c>
      <c r="H4270" s="3" t="s">
        <v>67</v>
      </c>
      <c r="I4270" s="3" t="s">
        <v>356</v>
      </c>
      <c r="J4270" s="3" t="s">
        <v>33</v>
      </c>
      <c r="K4270" s="3">
        <v>2</v>
      </c>
      <c r="L4270" s="3">
        <v>9700.0400000000009</v>
      </c>
      <c r="M4270" s="3">
        <v>19400.080000000002</v>
      </c>
      <c r="N4270" s="3">
        <v>15097.32</v>
      </c>
      <c r="O4270" s="3">
        <v>4302.76</v>
      </c>
      <c r="P4270" s="3" t="s">
        <v>69</v>
      </c>
    </row>
    <row r="4271" spans="1:16" x14ac:dyDescent="0.35">
      <c r="A4271" s="3" t="s">
        <v>5711</v>
      </c>
      <c r="B4271" s="3" t="s">
        <v>285</v>
      </c>
      <c r="C4271" s="3" t="s">
        <v>18</v>
      </c>
      <c r="D4271" s="3" t="s">
        <v>19</v>
      </c>
      <c r="E4271" s="3" t="s">
        <v>199</v>
      </c>
      <c r="F4271" s="3" t="s">
        <v>200</v>
      </c>
      <c r="G4271" s="3" t="s">
        <v>22</v>
      </c>
      <c r="H4271" s="3" t="s">
        <v>83</v>
      </c>
      <c r="I4271" s="3" t="s">
        <v>697</v>
      </c>
      <c r="J4271" s="3" t="s">
        <v>154</v>
      </c>
      <c r="K4271" s="3">
        <v>7</v>
      </c>
      <c r="L4271" s="3">
        <v>20847.46</v>
      </c>
      <c r="M4271" s="3">
        <v>145932.22</v>
      </c>
      <c r="N4271" s="3">
        <v>120191.81</v>
      </c>
      <c r="O4271" s="3">
        <v>25740.41</v>
      </c>
      <c r="P4271" s="3" t="s">
        <v>45</v>
      </c>
    </row>
    <row r="4272" spans="1:16" x14ac:dyDescent="0.35">
      <c r="A4272" s="3" t="s">
        <v>5712</v>
      </c>
      <c r="B4272" s="3" t="s">
        <v>1427</v>
      </c>
      <c r="C4272" s="3" t="s">
        <v>29</v>
      </c>
      <c r="D4272" s="3" t="s">
        <v>38</v>
      </c>
      <c r="E4272" s="3" t="s">
        <v>104</v>
      </c>
      <c r="F4272" s="3" t="s">
        <v>104</v>
      </c>
      <c r="G4272" s="3" t="s">
        <v>41</v>
      </c>
      <c r="H4272" s="3" t="s">
        <v>138</v>
      </c>
      <c r="I4272" s="3" t="s">
        <v>741</v>
      </c>
      <c r="J4272" s="3" t="s">
        <v>33</v>
      </c>
      <c r="K4272" s="3">
        <v>4</v>
      </c>
      <c r="L4272" s="3">
        <v>18332.900000000001</v>
      </c>
      <c r="M4272" s="3">
        <v>73331.600000000006</v>
      </c>
      <c r="N4272" s="3">
        <v>53320.25</v>
      </c>
      <c r="O4272" s="3">
        <v>20011.349999999999</v>
      </c>
      <c r="P4272" s="3" t="s">
        <v>26</v>
      </c>
    </row>
    <row r="4273" spans="1:16" x14ac:dyDescent="0.35">
      <c r="A4273" s="3" t="s">
        <v>5713</v>
      </c>
      <c r="B4273" s="3" t="s">
        <v>518</v>
      </c>
      <c r="C4273" s="3" t="s">
        <v>89</v>
      </c>
      <c r="D4273" s="3" t="s">
        <v>90</v>
      </c>
      <c r="E4273" s="3" t="s">
        <v>119</v>
      </c>
      <c r="F4273" s="3" t="s">
        <v>120</v>
      </c>
      <c r="G4273" s="3" t="s">
        <v>30</v>
      </c>
      <c r="H4273" s="3" t="s">
        <v>31</v>
      </c>
      <c r="I4273" s="3" t="s">
        <v>887</v>
      </c>
      <c r="J4273" s="3" t="s">
        <v>25</v>
      </c>
      <c r="K4273" s="3">
        <v>8</v>
      </c>
      <c r="L4273" s="3">
        <v>3047.67</v>
      </c>
      <c r="M4273" s="3">
        <v>24381.360000000001</v>
      </c>
      <c r="N4273" s="3">
        <v>14670.13</v>
      </c>
      <c r="O4273" s="3">
        <v>9711.23</v>
      </c>
      <c r="P4273" s="3" t="s">
        <v>34</v>
      </c>
    </row>
    <row r="4274" spans="1:16" x14ac:dyDescent="0.35">
      <c r="A4274" s="3" t="s">
        <v>5714</v>
      </c>
      <c r="B4274" s="3" t="s">
        <v>612</v>
      </c>
      <c r="C4274" s="3" t="s">
        <v>57</v>
      </c>
      <c r="D4274" s="3" t="s">
        <v>38</v>
      </c>
      <c r="E4274" s="3" t="s">
        <v>109</v>
      </c>
      <c r="F4274" s="3" t="s">
        <v>110</v>
      </c>
      <c r="G4274" s="3" t="s">
        <v>22</v>
      </c>
      <c r="H4274" s="3" t="s">
        <v>23</v>
      </c>
      <c r="I4274" s="3" t="s">
        <v>1397</v>
      </c>
      <c r="J4274" s="3" t="s">
        <v>44</v>
      </c>
      <c r="K4274" s="3">
        <v>1</v>
      </c>
      <c r="L4274" s="3">
        <v>3759.08</v>
      </c>
      <c r="M4274" s="3">
        <v>3759.08</v>
      </c>
      <c r="N4274" s="3">
        <v>2122.7800000000002</v>
      </c>
      <c r="O4274" s="3">
        <v>1636.3</v>
      </c>
      <c r="P4274" s="3" t="s">
        <v>45</v>
      </c>
    </row>
    <row r="4275" spans="1:16" x14ac:dyDescent="0.35">
      <c r="A4275" s="3" t="s">
        <v>5715</v>
      </c>
      <c r="B4275" s="3" t="s">
        <v>271</v>
      </c>
      <c r="C4275" s="3" t="s">
        <v>82</v>
      </c>
      <c r="D4275" s="3" t="s">
        <v>19</v>
      </c>
      <c r="E4275" s="3" t="s">
        <v>49</v>
      </c>
      <c r="F4275" s="3" t="s">
        <v>50</v>
      </c>
      <c r="G4275" s="3" t="s">
        <v>51</v>
      </c>
      <c r="H4275" s="3" t="s">
        <v>145</v>
      </c>
      <c r="I4275" s="3" t="s">
        <v>563</v>
      </c>
      <c r="J4275" s="3" t="s">
        <v>154</v>
      </c>
      <c r="K4275" s="3">
        <v>8</v>
      </c>
      <c r="L4275" s="3">
        <v>124.63</v>
      </c>
      <c r="M4275" s="3">
        <v>997.04</v>
      </c>
      <c r="N4275" s="3">
        <v>486</v>
      </c>
      <c r="O4275" s="3">
        <v>511.04</v>
      </c>
      <c r="P4275" s="3" t="s">
        <v>69</v>
      </c>
    </row>
    <row r="4276" spans="1:16" x14ac:dyDescent="0.35">
      <c r="A4276" s="3" t="s">
        <v>5716</v>
      </c>
      <c r="B4276" s="3" t="s">
        <v>156</v>
      </c>
      <c r="C4276" s="3" t="s">
        <v>103</v>
      </c>
      <c r="D4276" s="3" t="s">
        <v>38</v>
      </c>
      <c r="E4276" s="3" t="s">
        <v>39</v>
      </c>
      <c r="F4276" s="3" t="s">
        <v>40</v>
      </c>
      <c r="G4276" s="3" t="s">
        <v>51</v>
      </c>
      <c r="H4276" s="3" t="s">
        <v>145</v>
      </c>
      <c r="I4276" s="3" t="s">
        <v>2171</v>
      </c>
      <c r="J4276" s="3" t="s">
        <v>147</v>
      </c>
      <c r="K4276" s="3">
        <v>7</v>
      </c>
      <c r="L4276" s="3">
        <v>114.32</v>
      </c>
      <c r="M4276" s="3">
        <v>800.24</v>
      </c>
      <c r="N4276" s="3">
        <v>410.73</v>
      </c>
      <c r="O4276" s="3">
        <v>389.51</v>
      </c>
      <c r="P4276" s="3" t="s">
        <v>26</v>
      </c>
    </row>
    <row r="4277" spans="1:16" x14ac:dyDescent="0.35">
      <c r="A4277" s="3" t="s">
        <v>5717</v>
      </c>
      <c r="B4277" s="3" t="s">
        <v>555</v>
      </c>
      <c r="C4277" s="3" t="s">
        <v>137</v>
      </c>
      <c r="D4277" s="3" t="s">
        <v>19</v>
      </c>
      <c r="E4277" s="3" t="s">
        <v>49</v>
      </c>
      <c r="F4277" s="3" t="s">
        <v>50</v>
      </c>
      <c r="G4277" s="3" t="s">
        <v>30</v>
      </c>
      <c r="H4277" s="3" t="s">
        <v>73</v>
      </c>
      <c r="I4277" s="3" t="s">
        <v>2286</v>
      </c>
      <c r="J4277" s="3" t="s">
        <v>131</v>
      </c>
      <c r="K4277" s="3">
        <v>2</v>
      </c>
      <c r="L4277" s="3">
        <v>3348.68</v>
      </c>
      <c r="M4277" s="3">
        <v>6697.36</v>
      </c>
      <c r="N4277" s="3">
        <v>5030.05</v>
      </c>
      <c r="O4277" s="3">
        <v>1667.31</v>
      </c>
      <c r="P4277" s="3" t="s">
        <v>45</v>
      </c>
    </row>
    <row r="4278" spans="1:16" x14ac:dyDescent="0.35">
      <c r="A4278" s="3" t="s">
        <v>5718</v>
      </c>
      <c r="B4278" s="3" t="s">
        <v>1429</v>
      </c>
      <c r="C4278" s="3" t="s">
        <v>89</v>
      </c>
      <c r="D4278" s="3" t="s">
        <v>19</v>
      </c>
      <c r="E4278" s="3" t="s">
        <v>20</v>
      </c>
      <c r="F4278" s="3" t="s">
        <v>21</v>
      </c>
      <c r="G4278" s="3" t="s">
        <v>30</v>
      </c>
      <c r="H4278" s="3" t="s">
        <v>31</v>
      </c>
      <c r="I4278" s="3" t="s">
        <v>1303</v>
      </c>
      <c r="J4278" s="3" t="s">
        <v>106</v>
      </c>
      <c r="K4278" s="3">
        <v>2</v>
      </c>
      <c r="L4278" s="3">
        <v>2550.2199999999998</v>
      </c>
      <c r="M4278" s="3">
        <v>5100.4399999999996</v>
      </c>
      <c r="N4278" s="3">
        <v>3826.21</v>
      </c>
      <c r="O4278" s="3">
        <v>1274.23</v>
      </c>
      <c r="P4278" s="3" t="s">
        <v>26</v>
      </c>
    </row>
    <row r="4279" spans="1:16" x14ac:dyDescent="0.35">
      <c r="A4279" s="3" t="s">
        <v>5719</v>
      </c>
      <c r="B4279" s="3" t="s">
        <v>452</v>
      </c>
      <c r="C4279" s="3" t="s">
        <v>114</v>
      </c>
      <c r="D4279" s="3" t="s">
        <v>38</v>
      </c>
      <c r="E4279" s="3" t="s">
        <v>104</v>
      </c>
      <c r="F4279" s="3" t="s">
        <v>104</v>
      </c>
      <c r="G4279" s="3" t="s">
        <v>22</v>
      </c>
      <c r="H4279" s="3" t="s">
        <v>93</v>
      </c>
      <c r="I4279" s="3" t="s">
        <v>1387</v>
      </c>
      <c r="J4279" s="3" t="s">
        <v>79</v>
      </c>
      <c r="K4279" s="3">
        <v>3</v>
      </c>
      <c r="L4279" s="3">
        <v>6711.28</v>
      </c>
      <c r="M4279" s="3">
        <v>20133.84</v>
      </c>
      <c r="N4279" s="3">
        <v>14347.94</v>
      </c>
      <c r="O4279" s="3">
        <v>5785.9</v>
      </c>
      <c r="P4279" s="3" t="s">
        <v>45</v>
      </c>
    </row>
    <row r="4280" spans="1:16" x14ac:dyDescent="0.35">
      <c r="A4280" s="3" t="s">
        <v>5720</v>
      </c>
      <c r="B4280" s="3" t="s">
        <v>1898</v>
      </c>
      <c r="C4280" s="3" t="s">
        <v>29</v>
      </c>
      <c r="D4280" s="3" t="s">
        <v>19</v>
      </c>
      <c r="E4280" s="3" t="s">
        <v>49</v>
      </c>
      <c r="F4280" s="3" t="s">
        <v>50</v>
      </c>
      <c r="G4280" s="3" t="s">
        <v>30</v>
      </c>
      <c r="H4280" s="3" t="s">
        <v>67</v>
      </c>
      <c r="I4280" s="3" t="s">
        <v>1941</v>
      </c>
      <c r="J4280" s="3" t="s">
        <v>25</v>
      </c>
      <c r="K4280" s="3">
        <v>8</v>
      </c>
      <c r="L4280" s="3">
        <v>9956.65</v>
      </c>
      <c r="M4280" s="3">
        <v>79653.2</v>
      </c>
      <c r="N4280" s="3">
        <v>62147.28</v>
      </c>
      <c r="O4280" s="3">
        <v>17505.919999999998</v>
      </c>
      <c r="P4280" s="3" t="s">
        <v>45</v>
      </c>
    </row>
    <row r="4281" spans="1:16" x14ac:dyDescent="0.35">
      <c r="A4281" s="3" t="s">
        <v>5721</v>
      </c>
      <c r="B4281" s="3" t="s">
        <v>999</v>
      </c>
      <c r="C4281" s="3" t="s">
        <v>103</v>
      </c>
      <c r="D4281" s="3" t="s">
        <v>90</v>
      </c>
      <c r="E4281" s="3" t="s">
        <v>119</v>
      </c>
      <c r="F4281" s="3" t="s">
        <v>120</v>
      </c>
      <c r="G4281" s="3" t="s">
        <v>51</v>
      </c>
      <c r="H4281" s="3" t="s">
        <v>52</v>
      </c>
      <c r="I4281" s="3" t="s">
        <v>2510</v>
      </c>
      <c r="J4281" s="3" t="s">
        <v>44</v>
      </c>
      <c r="K4281" s="3">
        <v>8</v>
      </c>
      <c r="L4281" s="3">
        <v>27.26</v>
      </c>
      <c r="M4281" s="3">
        <v>218.08</v>
      </c>
      <c r="N4281" s="3">
        <v>82.87</v>
      </c>
      <c r="O4281" s="3">
        <v>135.21</v>
      </c>
      <c r="P4281" s="3" t="s">
        <v>26</v>
      </c>
    </row>
    <row r="4282" spans="1:16" x14ac:dyDescent="0.35">
      <c r="A4282" s="3" t="s">
        <v>5722</v>
      </c>
      <c r="B4282" s="3" t="s">
        <v>2801</v>
      </c>
      <c r="C4282" s="3" t="s">
        <v>29</v>
      </c>
      <c r="D4282" s="3" t="s">
        <v>58</v>
      </c>
      <c r="E4282" s="3" t="s">
        <v>176</v>
      </c>
      <c r="F4282" s="3" t="s">
        <v>177</v>
      </c>
      <c r="G4282" s="3" t="s">
        <v>41</v>
      </c>
      <c r="H4282" s="3" t="s">
        <v>61</v>
      </c>
      <c r="I4282" s="3" t="s">
        <v>2863</v>
      </c>
      <c r="J4282" s="3" t="s">
        <v>100</v>
      </c>
      <c r="K4282" s="3">
        <v>6</v>
      </c>
      <c r="L4282" s="3">
        <v>2336.75</v>
      </c>
      <c r="M4282" s="3">
        <v>14020.5</v>
      </c>
      <c r="N4282" s="3">
        <v>9317.18</v>
      </c>
      <c r="O4282" s="3">
        <v>4703.32</v>
      </c>
      <c r="P4282" s="3" t="s">
        <v>86</v>
      </c>
    </row>
    <row r="4283" spans="1:16" x14ac:dyDescent="0.35">
      <c r="A4283" s="3" t="s">
        <v>5723</v>
      </c>
      <c r="B4283" s="3" t="s">
        <v>629</v>
      </c>
      <c r="C4283" s="3" t="s">
        <v>29</v>
      </c>
      <c r="D4283" s="3" t="s">
        <v>38</v>
      </c>
      <c r="E4283" s="3" t="s">
        <v>39</v>
      </c>
      <c r="F4283" s="3" t="s">
        <v>40</v>
      </c>
      <c r="G4283" s="3" t="s">
        <v>22</v>
      </c>
      <c r="H4283" s="3" t="s">
        <v>23</v>
      </c>
      <c r="I4283" s="3" t="s">
        <v>441</v>
      </c>
      <c r="J4283" s="3" t="s">
        <v>161</v>
      </c>
      <c r="K4283" s="3">
        <v>1</v>
      </c>
      <c r="L4283" s="3">
        <v>3436.22</v>
      </c>
      <c r="M4283" s="3">
        <v>3436.22</v>
      </c>
      <c r="N4283" s="3">
        <v>2201.33</v>
      </c>
      <c r="O4283" s="3">
        <v>1234.8900000000001</v>
      </c>
      <c r="P4283" s="3" t="s">
        <v>34</v>
      </c>
    </row>
    <row r="4284" spans="1:16" x14ac:dyDescent="0.35">
      <c r="A4284" s="3" t="s">
        <v>5724</v>
      </c>
      <c r="B4284" s="3" t="s">
        <v>1964</v>
      </c>
      <c r="C4284" s="3" t="s">
        <v>57</v>
      </c>
      <c r="D4284" s="3" t="s">
        <v>90</v>
      </c>
      <c r="E4284" s="3" t="s">
        <v>97</v>
      </c>
      <c r="F4284" s="3" t="s">
        <v>98</v>
      </c>
      <c r="G4284" s="3" t="s">
        <v>22</v>
      </c>
      <c r="H4284" s="3" t="s">
        <v>23</v>
      </c>
      <c r="I4284" s="3" t="s">
        <v>937</v>
      </c>
      <c r="J4284" s="3" t="s">
        <v>79</v>
      </c>
      <c r="K4284" s="3">
        <v>1</v>
      </c>
      <c r="L4284" s="3">
        <v>3265.13</v>
      </c>
      <c r="M4284" s="3">
        <v>3265.13</v>
      </c>
      <c r="N4284" s="3">
        <v>2242.81</v>
      </c>
      <c r="O4284" s="3">
        <v>1022.32</v>
      </c>
      <c r="P4284" s="3" t="s">
        <v>69</v>
      </c>
    </row>
    <row r="4285" spans="1:16" x14ac:dyDescent="0.35">
      <c r="A4285" s="3" t="s">
        <v>5725</v>
      </c>
      <c r="B4285" s="3" t="s">
        <v>415</v>
      </c>
      <c r="C4285" s="3" t="s">
        <v>18</v>
      </c>
      <c r="D4285" s="3" t="s">
        <v>38</v>
      </c>
      <c r="E4285" s="3" t="s">
        <v>104</v>
      </c>
      <c r="F4285" s="3" t="s">
        <v>104</v>
      </c>
      <c r="G4285" s="3" t="s">
        <v>51</v>
      </c>
      <c r="H4285" s="3" t="s">
        <v>52</v>
      </c>
      <c r="I4285" s="3" t="s">
        <v>399</v>
      </c>
      <c r="J4285" s="3" t="s">
        <v>100</v>
      </c>
      <c r="K4285" s="3">
        <v>8</v>
      </c>
      <c r="L4285" s="3">
        <v>24.92</v>
      </c>
      <c r="M4285" s="3">
        <v>199.36</v>
      </c>
      <c r="N4285" s="3">
        <v>76.180000000000007</v>
      </c>
      <c r="O4285" s="3">
        <v>123.18</v>
      </c>
      <c r="P4285" s="3" t="s">
        <v>34</v>
      </c>
    </row>
    <row r="4286" spans="1:16" x14ac:dyDescent="0.35">
      <c r="A4286" s="3" t="s">
        <v>5726</v>
      </c>
      <c r="B4286" s="3" t="s">
        <v>886</v>
      </c>
      <c r="C4286" s="3" t="s">
        <v>48</v>
      </c>
      <c r="D4286" s="3" t="s">
        <v>58</v>
      </c>
      <c r="E4286" s="3" t="s">
        <v>65</v>
      </c>
      <c r="F4286" s="3" t="s">
        <v>66</v>
      </c>
      <c r="G4286" s="3" t="s">
        <v>30</v>
      </c>
      <c r="H4286" s="3" t="s">
        <v>67</v>
      </c>
      <c r="I4286" s="3" t="s">
        <v>1349</v>
      </c>
      <c r="J4286" s="3" t="s">
        <v>188</v>
      </c>
      <c r="K4286" s="3">
        <v>6</v>
      </c>
      <c r="L4286" s="3">
        <v>8843.01</v>
      </c>
      <c r="M4286" s="3">
        <v>53058.06</v>
      </c>
      <c r="N4286" s="3">
        <v>43924.87</v>
      </c>
      <c r="O4286" s="3">
        <v>9133.19</v>
      </c>
      <c r="P4286" s="3" t="s">
        <v>86</v>
      </c>
    </row>
    <row r="4287" spans="1:16" x14ac:dyDescent="0.35">
      <c r="A4287" s="3" t="s">
        <v>5727</v>
      </c>
      <c r="B4287" s="3" t="s">
        <v>1240</v>
      </c>
      <c r="C4287" s="3" t="s">
        <v>118</v>
      </c>
      <c r="D4287" s="3" t="s">
        <v>90</v>
      </c>
      <c r="E4287" s="3" t="s">
        <v>119</v>
      </c>
      <c r="F4287" s="3" t="s">
        <v>120</v>
      </c>
      <c r="G4287" s="3" t="s">
        <v>51</v>
      </c>
      <c r="H4287" s="3" t="s">
        <v>145</v>
      </c>
      <c r="I4287" s="3" t="s">
        <v>427</v>
      </c>
      <c r="J4287" s="3" t="s">
        <v>217</v>
      </c>
      <c r="K4287" s="3">
        <v>2</v>
      </c>
      <c r="L4287" s="3">
        <v>110.86</v>
      </c>
      <c r="M4287" s="3">
        <v>221.72</v>
      </c>
      <c r="N4287" s="3">
        <v>123.15</v>
      </c>
      <c r="O4287" s="3">
        <v>98.57</v>
      </c>
      <c r="P4287" s="3" t="s">
        <v>45</v>
      </c>
    </row>
    <row r="4288" spans="1:16" x14ac:dyDescent="0.35">
      <c r="A4288" s="3" t="s">
        <v>5728</v>
      </c>
      <c r="B4288" s="3" t="s">
        <v>2870</v>
      </c>
      <c r="C4288" s="3" t="s">
        <v>118</v>
      </c>
      <c r="D4288" s="3" t="s">
        <v>38</v>
      </c>
      <c r="E4288" s="3" t="s">
        <v>109</v>
      </c>
      <c r="F4288" s="3" t="s">
        <v>110</v>
      </c>
      <c r="G4288" s="3" t="s">
        <v>30</v>
      </c>
      <c r="H4288" s="3" t="s">
        <v>73</v>
      </c>
      <c r="I4288" s="3" t="s">
        <v>2487</v>
      </c>
      <c r="J4288" s="3" t="s">
        <v>33</v>
      </c>
      <c r="K4288" s="3">
        <v>1</v>
      </c>
      <c r="L4288" s="3">
        <v>3245.54</v>
      </c>
      <c r="M4288" s="3">
        <v>3245.54</v>
      </c>
      <c r="N4288" s="3">
        <v>2296.65</v>
      </c>
      <c r="O4288" s="3">
        <v>948.89</v>
      </c>
      <c r="P4288" s="3" t="s">
        <v>69</v>
      </c>
    </row>
    <row r="4289" spans="1:16" x14ac:dyDescent="0.35">
      <c r="A4289" s="3" t="s">
        <v>5729</v>
      </c>
      <c r="B4289" s="3" t="s">
        <v>1600</v>
      </c>
      <c r="C4289" s="3" t="s">
        <v>103</v>
      </c>
      <c r="D4289" s="3" t="s">
        <v>19</v>
      </c>
      <c r="E4289" s="3" t="s">
        <v>199</v>
      </c>
      <c r="F4289" s="3" t="s">
        <v>200</v>
      </c>
      <c r="G4289" s="3" t="s">
        <v>51</v>
      </c>
      <c r="H4289" s="3" t="s">
        <v>145</v>
      </c>
      <c r="I4289" s="3" t="s">
        <v>2378</v>
      </c>
      <c r="J4289" s="3" t="s">
        <v>106</v>
      </c>
      <c r="K4289" s="3">
        <v>2</v>
      </c>
      <c r="L4289" s="3">
        <v>123.46</v>
      </c>
      <c r="M4289" s="3">
        <v>246.92</v>
      </c>
      <c r="N4289" s="3">
        <v>125.74</v>
      </c>
      <c r="O4289" s="3">
        <v>121.18</v>
      </c>
      <c r="P4289" s="3" t="s">
        <v>26</v>
      </c>
    </row>
    <row r="4290" spans="1:16" x14ac:dyDescent="0.35">
      <c r="A4290" s="3" t="s">
        <v>5730</v>
      </c>
      <c r="B4290" s="3" t="s">
        <v>248</v>
      </c>
      <c r="C4290" s="3" t="s">
        <v>82</v>
      </c>
      <c r="D4290" s="3" t="s">
        <v>58</v>
      </c>
      <c r="E4290" s="3" t="s">
        <v>65</v>
      </c>
      <c r="F4290" s="3" t="s">
        <v>66</v>
      </c>
      <c r="G4290" s="3" t="s">
        <v>30</v>
      </c>
      <c r="H4290" s="3" t="s">
        <v>67</v>
      </c>
      <c r="I4290" s="3" t="s">
        <v>1270</v>
      </c>
      <c r="J4290" s="3" t="s">
        <v>131</v>
      </c>
      <c r="K4290" s="3">
        <v>5</v>
      </c>
      <c r="L4290" s="3">
        <v>10271.76</v>
      </c>
      <c r="M4290" s="3">
        <v>51358.8</v>
      </c>
      <c r="N4290" s="3">
        <v>37373.980000000003</v>
      </c>
      <c r="O4290" s="3">
        <v>13984.82</v>
      </c>
      <c r="P4290" s="3" t="s">
        <v>26</v>
      </c>
    </row>
    <row r="4291" spans="1:16" x14ac:dyDescent="0.35">
      <c r="A4291" s="3" t="s">
        <v>5731</v>
      </c>
      <c r="B4291" s="3" t="s">
        <v>1429</v>
      </c>
      <c r="C4291" s="3" t="s">
        <v>89</v>
      </c>
      <c r="D4291" s="3" t="s">
        <v>19</v>
      </c>
      <c r="E4291" s="3" t="s">
        <v>199</v>
      </c>
      <c r="F4291" s="3" t="s">
        <v>200</v>
      </c>
      <c r="G4291" s="3" t="s">
        <v>51</v>
      </c>
      <c r="H4291" s="3" t="s">
        <v>77</v>
      </c>
      <c r="I4291" s="3" t="s">
        <v>1705</v>
      </c>
      <c r="J4291" s="3" t="s">
        <v>100</v>
      </c>
      <c r="K4291" s="3">
        <v>5</v>
      </c>
      <c r="L4291" s="3">
        <v>12710.7</v>
      </c>
      <c r="M4291" s="3">
        <v>63553.5</v>
      </c>
      <c r="N4291" s="3">
        <v>43032.08</v>
      </c>
      <c r="O4291" s="3">
        <v>20521.419999999998</v>
      </c>
      <c r="P4291" s="3" t="s">
        <v>86</v>
      </c>
    </row>
    <row r="4292" spans="1:16" x14ac:dyDescent="0.35">
      <c r="A4292" s="3" t="s">
        <v>5732</v>
      </c>
      <c r="B4292" s="3" t="s">
        <v>552</v>
      </c>
      <c r="C4292" s="3" t="s">
        <v>89</v>
      </c>
      <c r="D4292" s="3" t="s">
        <v>90</v>
      </c>
      <c r="E4292" s="3" t="s">
        <v>119</v>
      </c>
      <c r="F4292" s="3" t="s">
        <v>120</v>
      </c>
      <c r="G4292" s="3" t="s">
        <v>30</v>
      </c>
      <c r="H4292" s="3" t="s">
        <v>73</v>
      </c>
      <c r="I4292" s="3" t="s">
        <v>453</v>
      </c>
      <c r="J4292" s="3" t="s">
        <v>85</v>
      </c>
      <c r="K4292" s="3">
        <v>7</v>
      </c>
      <c r="L4292" s="3">
        <v>3438.58</v>
      </c>
      <c r="M4292" s="3">
        <v>24070.06</v>
      </c>
      <c r="N4292" s="3">
        <v>16383.73</v>
      </c>
      <c r="O4292" s="3">
        <v>7686.33</v>
      </c>
      <c r="P4292" s="3" t="s">
        <v>86</v>
      </c>
    </row>
    <row r="4293" spans="1:16" x14ac:dyDescent="0.35">
      <c r="A4293" s="3" t="s">
        <v>5733</v>
      </c>
      <c r="B4293" s="3" t="s">
        <v>455</v>
      </c>
      <c r="C4293" s="3" t="s">
        <v>18</v>
      </c>
      <c r="D4293" s="3" t="s">
        <v>58</v>
      </c>
      <c r="E4293" s="3" t="s">
        <v>176</v>
      </c>
      <c r="F4293" s="3" t="s">
        <v>177</v>
      </c>
      <c r="G4293" s="3" t="s">
        <v>41</v>
      </c>
      <c r="H4293" s="3" t="s">
        <v>138</v>
      </c>
      <c r="I4293" s="3" t="s">
        <v>850</v>
      </c>
      <c r="J4293" s="3" t="s">
        <v>79</v>
      </c>
      <c r="K4293" s="3">
        <v>6</v>
      </c>
      <c r="L4293" s="3">
        <v>18278.490000000002</v>
      </c>
      <c r="M4293" s="3">
        <v>109670.94</v>
      </c>
      <c r="N4293" s="3">
        <v>87482.67</v>
      </c>
      <c r="O4293" s="3">
        <v>22188.27</v>
      </c>
      <c r="P4293" s="3" t="s">
        <v>45</v>
      </c>
    </row>
    <row r="4294" spans="1:16" x14ac:dyDescent="0.35">
      <c r="A4294" s="3" t="s">
        <v>5734</v>
      </c>
      <c r="B4294" s="3" t="s">
        <v>412</v>
      </c>
      <c r="C4294" s="3" t="s">
        <v>48</v>
      </c>
      <c r="D4294" s="3" t="s">
        <v>58</v>
      </c>
      <c r="E4294" s="3" t="s">
        <v>176</v>
      </c>
      <c r="F4294" s="3" t="s">
        <v>177</v>
      </c>
      <c r="G4294" s="3" t="s">
        <v>22</v>
      </c>
      <c r="H4294" s="3" t="s">
        <v>93</v>
      </c>
      <c r="I4294" s="3" t="s">
        <v>3587</v>
      </c>
      <c r="J4294" s="3" t="s">
        <v>54</v>
      </c>
      <c r="K4294" s="3">
        <v>6</v>
      </c>
      <c r="L4294" s="3">
        <v>7241.16</v>
      </c>
      <c r="M4294" s="3">
        <v>43446.96</v>
      </c>
      <c r="N4294" s="3">
        <v>28807.79</v>
      </c>
      <c r="O4294" s="3">
        <v>14639.17</v>
      </c>
      <c r="P4294" s="3" t="s">
        <v>34</v>
      </c>
    </row>
    <row r="4295" spans="1:16" x14ac:dyDescent="0.35">
      <c r="A4295" s="3" t="s">
        <v>5735</v>
      </c>
      <c r="B4295" s="3" t="s">
        <v>387</v>
      </c>
      <c r="C4295" s="3" t="s">
        <v>82</v>
      </c>
      <c r="D4295" s="3" t="s">
        <v>90</v>
      </c>
      <c r="E4295" s="3" t="s">
        <v>119</v>
      </c>
      <c r="F4295" s="3" t="s">
        <v>120</v>
      </c>
      <c r="G4295" s="3" t="s">
        <v>51</v>
      </c>
      <c r="H4295" s="3" t="s">
        <v>77</v>
      </c>
      <c r="I4295" s="3" t="s">
        <v>3853</v>
      </c>
      <c r="J4295" s="3" t="s">
        <v>79</v>
      </c>
      <c r="K4295" s="3">
        <v>5</v>
      </c>
      <c r="L4295" s="3">
        <v>13182.15</v>
      </c>
      <c r="M4295" s="3">
        <v>65910.75</v>
      </c>
      <c r="N4295" s="3">
        <v>46207.24</v>
      </c>
      <c r="O4295" s="3">
        <v>19703.509999999998</v>
      </c>
      <c r="P4295" s="3" t="s">
        <v>34</v>
      </c>
    </row>
    <row r="4296" spans="1:16" x14ac:dyDescent="0.35">
      <c r="A4296" s="3" t="s">
        <v>5736</v>
      </c>
      <c r="B4296" s="3" t="s">
        <v>798</v>
      </c>
      <c r="C4296" s="3" t="s">
        <v>18</v>
      </c>
      <c r="D4296" s="3" t="s">
        <v>38</v>
      </c>
      <c r="E4296" s="3" t="s">
        <v>109</v>
      </c>
      <c r="F4296" s="3" t="s">
        <v>110</v>
      </c>
      <c r="G4296" s="3" t="s">
        <v>22</v>
      </c>
      <c r="H4296" s="3" t="s">
        <v>23</v>
      </c>
      <c r="I4296" s="3" t="s">
        <v>62</v>
      </c>
      <c r="J4296" s="3" t="s">
        <v>131</v>
      </c>
      <c r="K4296" s="3">
        <v>3</v>
      </c>
      <c r="L4296" s="3">
        <v>3584.55</v>
      </c>
      <c r="M4296" s="3">
        <v>10753.65</v>
      </c>
      <c r="N4296" s="3">
        <v>6305.19</v>
      </c>
      <c r="O4296" s="3">
        <v>4448.46</v>
      </c>
      <c r="P4296" s="3" t="s">
        <v>26</v>
      </c>
    </row>
    <row r="4297" spans="1:16" x14ac:dyDescent="0.35">
      <c r="A4297" s="3" t="s">
        <v>5737</v>
      </c>
      <c r="B4297" s="3" t="s">
        <v>1383</v>
      </c>
      <c r="C4297" s="3" t="s">
        <v>18</v>
      </c>
      <c r="D4297" s="3" t="s">
        <v>90</v>
      </c>
      <c r="E4297" s="3" t="s">
        <v>91</v>
      </c>
      <c r="F4297" s="3" t="s">
        <v>92</v>
      </c>
      <c r="G4297" s="3" t="s">
        <v>30</v>
      </c>
      <c r="H4297" s="3" t="s">
        <v>73</v>
      </c>
      <c r="I4297" s="3" t="s">
        <v>1157</v>
      </c>
      <c r="J4297" s="3" t="s">
        <v>100</v>
      </c>
      <c r="K4297" s="3">
        <v>1</v>
      </c>
      <c r="L4297" s="3">
        <v>3091.29</v>
      </c>
      <c r="M4297" s="3">
        <v>3091.29</v>
      </c>
      <c r="N4297" s="3">
        <v>2420.2600000000002</v>
      </c>
      <c r="O4297" s="3">
        <v>671.03</v>
      </c>
      <c r="P4297" s="3" t="s">
        <v>34</v>
      </c>
    </row>
    <row r="4298" spans="1:16" x14ac:dyDescent="0.35">
      <c r="A4298" s="3" t="s">
        <v>5738</v>
      </c>
      <c r="B4298" s="3" t="s">
        <v>1427</v>
      </c>
      <c r="C4298" s="3" t="s">
        <v>29</v>
      </c>
      <c r="D4298" s="3" t="s">
        <v>38</v>
      </c>
      <c r="E4298" s="3" t="s">
        <v>109</v>
      </c>
      <c r="F4298" s="3" t="s">
        <v>110</v>
      </c>
      <c r="G4298" s="3" t="s">
        <v>51</v>
      </c>
      <c r="H4298" s="3" t="s">
        <v>145</v>
      </c>
      <c r="I4298" s="3" t="s">
        <v>2092</v>
      </c>
      <c r="J4298" s="3" t="s">
        <v>44</v>
      </c>
      <c r="K4298" s="3">
        <v>3</v>
      </c>
      <c r="L4298" s="3">
        <v>112.34</v>
      </c>
      <c r="M4298" s="3">
        <v>337.02</v>
      </c>
      <c r="N4298" s="3">
        <v>185.07</v>
      </c>
      <c r="O4298" s="3">
        <v>151.94999999999999</v>
      </c>
      <c r="P4298" s="3" t="s">
        <v>86</v>
      </c>
    </row>
    <row r="4299" spans="1:16" x14ac:dyDescent="0.35">
      <c r="A4299" s="3" t="s">
        <v>5739</v>
      </c>
      <c r="B4299" s="3" t="s">
        <v>1342</v>
      </c>
      <c r="C4299" s="3" t="s">
        <v>82</v>
      </c>
      <c r="D4299" s="3" t="s">
        <v>19</v>
      </c>
      <c r="E4299" s="3" t="s">
        <v>199</v>
      </c>
      <c r="F4299" s="3" t="s">
        <v>200</v>
      </c>
      <c r="G4299" s="3" t="s">
        <v>22</v>
      </c>
      <c r="H4299" s="3" t="s">
        <v>23</v>
      </c>
      <c r="I4299" s="3" t="s">
        <v>584</v>
      </c>
      <c r="J4299" s="3" t="s">
        <v>85</v>
      </c>
      <c r="K4299" s="3">
        <v>2</v>
      </c>
      <c r="L4299" s="3">
        <v>3807.9</v>
      </c>
      <c r="M4299" s="3">
        <v>7615.8</v>
      </c>
      <c r="N4299" s="3">
        <v>4185.17</v>
      </c>
      <c r="O4299" s="3">
        <v>3430.63</v>
      </c>
      <c r="P4299" s="3" t="s">
        <v>45</v>
      </c>
    </row>
    <row r="4300" spans="1:16" x14ac:dyDescent="0.35">
      <c r="A4300" s="3" t="s">
        <v>5740</v>
      </c>
      <c r="B4300" s="3" t="s">
        <v>814</v>
      </c>
      <c r="C4300" s="3" t="s">
        <v>103</v>
      </c>
      <c r="D4300" s="3" t="s">
        <v>58</v>
      </c>
      <c r="E4300" s="3" t="s">
        <v>176</v>
      </c>
      <c r="F4300" s="3" t="s">
        <v>177</v>
      </c>
      <c r="G4300" s="3" t="s">
        <v>30</v>
      </c>
      <c r="H4300" s="3" t="s">
        <v>73</v>
      </c>
      <c r="I4300" s="3" t="s">
        <v>1859</v>
      </c>
      <c r="J4300" s="3" t="s">
        <v>161</v>
      </c>
      <c r="K4300" s="3">
        <v>6</v>
      </c>
      <c r="L4300" s="3">
        <v>3473.1</v>
      </c>
      <c r="M4300" s="3">
        <v>20838.599999999999</v>
      </c>
      <c r="N4300" s="3">
        <v>14713.97</v>
      </c>
      <c r="O4300" s="3">
        <v>6124.63</v>
      </c>
      <c r="P4300" s="3" t="s">
        <v>86</v>
      </c>
    </row>
    <row r="4301" spans="1:16" x14ac:dyDescent="0.35">
      <c r="A4301" s="3" t="s">
        <v>5741</v>
      </c>
      <c r="B4301" s="3" t="s">
        <v>1187</v>
      </c>
      <c r="C4301" s="3" t="s">
        <v>18</v>
      </c>
      <c r="D4301" s="3" t="s">
        <v>19</v>
      </c>
      <c r="E4301" s="3" t="s">
        <v>199</v>
      </c>
      <c r="F4301" s="3" t="s">
        <v>200</v>
      </c>
      <c r="G4301" s="3" t="s">
        <v>41</v>
      </c>
      <c r="H4301" s="3" t="s">
        <v>42</v>
      </c>
      <c r="I4301" s="3" t="s">
        <v>2163</v>
      </c>
      <c r="J4301" s="3" t="s">
        <v>33</v>
      </c>
      <c r="K4301" s="3">
        <v>5</v>
      </c>
      <c r="L4301" s="3">
        <v>47897.42</v>
      </c>
      <c r="M4301" s="3">
        <v>239487.1</v>
      </c>
      <c r="N4301" s="3">
        <v>177745.34</v>
      </c>
      <c r="O4301" s="3">
        <v>61741.760000000002</v>
      </c>
      <c r="P4301" s="3" t="s">
        <v>34</v>
      </c>
    </row>
    <row r="4302" spans="1:16" x14ac:dyDescent="0.35">
      <c r="A4302" s="3" t="s">
        <v>5742</v>
      </c>
      <c r="B4302" s="3" t="s">
        <v>412</v>
      </c>
      <c r="C4302" s="3" t="s">
        <v>48</v>
      </c>
      <c r="D4302" s="3" t="s">
        <v>58</v>
      </c>
      <c r="E4302" s="3" t="s">
        <v>176</v>
      </c>
      <c r="F4302" s="3" t="s">
        <v>177</v>
      </c>
      <c r="G4302" s="3" t="s">
        <v>30</v>
      </c>
      <c r="H4302" s="3" t="s">
        <v>73</v>
      </c>
      <c r="I4302" s="3" t="s">
        <v>1387</v>
      </c>
      <c r="J4302" s="3" t="s">
        <v>131</v>
      </c>
      <c r="K4302" s="3">
        <v>2</v>
      </c>
      <c r="L4302" s="3">
        <v>3019.73</v>
      </c>
      <c r="M4302" s="3">
        <v>6039.46</v>
      </c>
      <c r="N4302" s="3">
        <v>4671.3</v>
      </c>
      <c r="O4302" s="3">
        <v>1368.16</v>
      </c>
      <c r="P4302" s="3" t="s">
        <v>69</v>
      </c>
    </row>
    <row r="4303" spans="1:16" x14ac:dyDescent="0.35">
      <c r="A4303" s="3" t="s">
        <v>5743</v>
      </c>
      <c r="B4303" s="3" t="s">
        <v>661</v>
      </c>
      <c r="C4303" s="3" t="s">
        <v>114</v>
      </c>
      <c r="D4303" s="3" t="s">
        <v>19</v>
      </c>
      <c r="E4303" s="3" t="s">
        <v>49</v>
      </c>
      <c r="F4303" s="3" t="s">
        <v>50</v>
      </c>
      <c r="G4303" s="3" t="s">
        <v>41</v>
      </c>
      <c r="H4303" s="3" t="s">
        <v>42</v>
      </c>
      <c r="I4303" s="3" t="s">
        <v>422</v>
      </c>
      <c r="J4303" s="3" t="s">
        <v>106</v>
      </c>
      <c r="K4303" s="3">
        <v>8</v>
      </c>
      <c r="L4303" s="3">
        <v>42743.24</v>
      </c>
      <c r="M4303" s="3">
        <v>341945.92</v>
      </c>
      <c r="N4303" s="3">
        <v>276002.09000000003</v>
      </c>
      <c r="O4303" s="3">
        <v>65943.83</v>
      </c>
      <c r="P4303" s="3" t="s">
        <v>45</v>
      </c>
    </row>
    <row r="4304" spans="1:16" x14ac:dyDescent="0.35">
      <c r="A4304" s="3" t="s">
        <v>5744</v>
      </c>
      <c r="B4304" s="3" t="s">
        <v>1235</v>
      </c>
      <c r="C4304" s="3" t="s">
        <v>18</v>
      </c>
      <c r="D4304" s="3" t="s">
        <v>58</v>
      </c>
      <c r="E4304" s="3" t="s">
        <v>59</v>
      </c>
      <c r="F4304" s="3" t="s">
        <v>60</v>
      </c>
      <c r="G4304" s="3" t="s">
        <v>22</v>
      </c>
      <c r="H4304" s="3" t="s">
        <v>83</v>
      </c>
      <c r="I4304" s="3" t="s">
        <v>3177</v>
      </c>
      <c r="J4304" s="3" t="s">
        <v>100</v>
      </c>
      <c r="K4304" s="3">
        <v>5</v>
      </c>
      <c r="L4304" s="3">
        <v>23628.84</v>
      </c>
      <c r="M4304" s="3">
        <v>118144.2</v>
      </c>
      <c r="N4304" s="3">
        <v>82433.69</v>
      </c>
      <c r="O4304" s="3">
        <v>35710.51</v>
      </c>
      <c r="P4304" s="3" t="s">
        <v>45</v>
      </c>
    </row>
    <row r="4305" spans="1:16" x14ac:dyDescent="0.35">
      <c r="A4305" s="3" t="s">
        <v>5745</v>
      </c>
      <c r="B4305" s="3" t="s">
        <v>163</v>
      </c>
      <c r="C4305" s="3" t="s">
        <v>137</v>
      </c>
      <c r="D4305" s="3" t="s">
        <v>90</v>
      </c>
      <c r="E4305" s="3" t="s">
        <v>97</v>
      </c>
      <c r="F4305" s="3" t="s">
        <v>98</v>
      </c>
      <c r="G4305" s="3" t="s">
        <v>22</v>
      </c>
      <c r="H4305" s="3" t="s">
        <v>23</v>
      </c>
      <c r="I4305" s="3" t="s">
        <v>3631</v>
      </c>
      <c r="J4305" s="3" t="s">
        <v>85</v>
      </c>
      <c r="K4305" s="3">
        <v>6</v>
      </c>
      <c r="L4305" s="3">
        <v>3643.81</v>
      </c>
      <c r="M4305" s="3">
        <v>21862.86</v>
      </c>
      <c r="N4305" s="3">
        <v>13705.94</v>
      </c>
      <c r="O4305" s="3">
        <v>8156.92</v>
      </c>
      <c r="P4305" s="3" t="s">
        <v>69</v>
      </c>
    </row>
    <row r="4306" spans="1:16" x14ac:dyDescent="0.35">
      <c r="A4306" s="3" t="s">
        <v>5746</v>
      </c>
      <c r="B4306" s="3" t="s">
        <v>198</v>
      </c>
      <c r="C4306" s="3" t="s">
        <v>29</v>
      </c>
      <c r="D4306" s="3" t="s">
        <v>38</v>
      </c>
      <c r="E4306" s="3" t="s">
        <v>104</v>
      </c>
      <c r="F4306" s="3" t="s">
        <v>104</v>
      </c>
      <c r="G4306" s="3" t="s">
        <v>51</v>
      </c>
      <c r="H4306" s="3" t="s">
        <v>145</v>
      </c>
      <c r="I4306" s="3" t="s">
        <v>425</v>
      </c>
      <c r="J4306" s="3" t="s">
        <v>154</v>
      </c>
      <c r="K4306" s="3">
        <v>8</v>
      </c>
      <c r="L4306" s="3">
        <v>113.35</v>
      </c>
      <c r="M4306" s="3">
        <v>906.8</v>
      </c>
      <c r="N4306" s="3">
        <v>468.6</v>
      </c>
      <c r="O4306" s="3">
        <v>438.2</v>
      </c>
      <c r="P4306" s="3" t="s">
        <v>69</v>
      </c>
    </row>
    <row r="4307" spans="1:16" x14ac:dyDescent="0.35">
      <c r="A4307" s="3" t="s">
        <v>5747</v>
      </c>
      <c r="B4307" s="3" t="s">
        <v>1546</v>
      </c>
      <c r="C4307" s="3" t="s">
        <v>82</v>
      </c>
      <c r="D4307" s="3" t="s">
        <v>90</v>
      </c>
      <c r="E4307" s="3" t="s">
        <v>119</v>
      </c>
      <c r="F4307" s="3" t="s">
        <v>120</v>
      </c>
      <c r="G4307" s="3" t="s">
        <v>41</v>
      </c>
      <c r="H4307" s="3" t="s">
        <v>138</v>
      </c>
      <c r="I4307" s="3" t="s">
        <v>1107</v>
      </c>
      <c r="J4307" s="3" t="s">
        <v>54</v>
      </c>
      <c r="K4307" s="3">
        <v>7</v>
      </c>
      <c r="L4307" s="3">
        <v>18667.89</v>
      </c>
      <c r="M4307" s="3">
        <v>130675.23</v>
      </c>
      <c r="N4307" s="3">
        <v>94639.12</v>
      </c>
      <c r="O4307" s="3">
        <v>36036.11</v>
      </c>
      <c r="P4307" s="3" t="s">
        <v>26</v>
      </c>
    </row>
    <row r="4308" spans="1:16" x14ac:dyDescent="0.35">
      <c r="A4308" s="3" t="s">
        <v>5748</v>
      </c>
      <c r="B4308" s="3" t="s">
        <v>324</v>
      </c>
      <c r="C4308" s="3" t="s">
        <v>29</v>
      </c>
      <c r="D4308" s="3" t="s">
        <v>38</v>
      </c>
      <c r="E4308" s="3" t="s">
        <v>104</v>
      </c>
      <c r="F4308" s="3" t="s">
        <v>104</v>
      </c>
      <c r="G4308" s="3" t="s">
        <v>22</v>
      </c>
      <c r="H4308" s="3" t="s">
        <v>93</v>
      </c>
      <c r="I4308" s="3" t="s">
        <v>1601</v>
      </c>
      <c r="J4308" s="3" t="s">
        <v>25</v>
      </c>
      <c r="K4308" s="3">
        <v>7</v>
      </c>
      <c r="L4308" s="3">
        <v>6400.94</v>
      </c>
      <c r="M4308" s="3">
        <v>44806.58</v>
      </c>
      <c r="N4308" s="3">
        <v>34024.86</v>
      </c>
      <c r="O4308" s="3">
        <v>10781.72</v>
      </c>
      <c r="P4308" s="3" t="s">
        <v>45</v>
      </c>
    </row>
    <row r="4309" spans="1:16" x14ac:dyDescent="0.35">
      <c r="A4309" s="3" t="s">
        <v>5749</v>
      </c>
      <c r="B4309" s="3" t="s">
        <v>629</v>
      </c>
      <c r="C4309" s="3" t="s">
        <v>29</v>
      </c>
      <c r="D4309" s="3" t="s">
        <v>19</v>
      </c>
      <c r="E4309" s="3" t="s">
        <v>199</v>
      </c>
      <c r="F4309" s="3" t="s">
        <v>200</v>
      </c>
      <c r="G4309" s="3" t="s">
        <v>51</v>
      </c>
      <c r="H4309" s="3" t="s">
        <v>77</v>
      </c>
      <c r="I4309" s="3" t="s">
        <v>805</v>
      </c>
      <c r="J4309" s="3" t="s">
        <v>25</v>
      </c>
      <c r="K4309" s="3">
        <v>7</v>
      </c>
      <c r="L4309" s="3">
        <v>13098.35</v>
      </c>
      <c r="M4309" s="3">
        <v>91688.45</v>
      </c>
      <c r="N4309" s="3">
        <v>62256.97</v>
      </c>
      <c r="O4309" s="3">
        <v>29431.48</v>
      </c>
      <c r="P4309" s="3" t="s">
        <v>69</v>
      </c>
    </row>
    <row r="4310" spans="1:16" x14ac:dyDescent="0.35">
      <c r="A4310" s="3" t="s">
        <v>5750</v>
      </c>
      <c r="B4310" s="3" t="s">
        <v>1383</v>
      </c>
      <c r="C4310" s="3" t="s">
        <v>18</v>
      </c>
      <c r="D4310" s="3" t="s">
        <v>58</v>
      </c>
      <c r="E4310" s="3" t="s">
        <v>59</v>
      </c>
      <c r="F4310" s="3" t="s">
        <v>60</v>
      </c>
      <c r="G4310" s="3" t="s">
        <v>51</v>
      </c>
      <c r="H4310" s="3" t="s">
        <v>77</v>
      </c>
      <c r="I4310" s="3" t="s">
        <v>1175</v>
      </c>
      <c r="J4310" s="3" t="s">
        <v>44</v>
      </c>
      <c r="K4310" s="3">
        <v>6</v>
      </c>
      <c r="L4310" s="3">
        <v>13045.64</v>
      </c>
      <c r="M4310" s="3">
        <v>78273.84</v>
      </c>
      <c r="N4310" s="3">
        <v>52000.29</v>
      </c>
      <c r="O4310" s="3">
        <v>26273.55</v>
      </c>
      <c r="P4310" s="3" t="s">
        <v>86</v>
      </c>
    </row>
    <row r="4311" spans="1:16" x14ac:dyDescent="0.35">
      <c r="A4311" s="3" t="s">
        <v>5751</v>
      </c>
      <c r="B4311" s="3" t="s">
        <v>524</v>
      </c>
      <c r="C4311" s="3" t="s">
        <v>89</v>
      </c>
      <c r="D4311" s="3" t="s">
        <v>38</v>
      </c>
      <c r="E4311" s="3" t="s">
        <v>104</v>
      </c>
      <c r="F4311" s="3" t="s">
        <v>104</v>
      </c>
      <c r="G4311" s="3" t="s">
        <v>51</v>
      </c>
      <c r="H4311" s="3" t="s">
        <v>145</v>
      </c>
      <c r="I4311" s="3" t="s">
        <v>1967</v>
      </c>
      <c r="J4311" s="3" t="s">
        <v>25</v>
      </c>
      <c r="K4311" s="3">
        <v>8</v>
      </c>
      <c r="L4311" s="3">
        <v>120.49</v>
      </c>
      <c r="M4311" s="3">
        <v>963.92</v>
      </c>
      <c r="N4311" s="3">
        <v>462.65</v>
      </c>
      <c r="O4311" s="3">
        <v>501.27</v>
      </c>
      <c r="P4311" s="3" t="s">
        <v>26</v>
      </c>
    </row>
    <row r="4312" spans="1:16" x14ac:dyDescent="0.35">
      <c r="A4312" s="3" t="s">
        <v>5752</v>
      </c>
      <c r="B4312" s="3" t="s">
        <v>478</v>
      </c>
      <c r="C4312" s="3" t="s">
        <v>82</v>
      </c>
      <c r="D4312" s="3" t="s">
        <v>90</v>
      </c>
      <c r="E4312" s="3" t="s">
        <v>97</v>
      </c>
      <c r="F4312" s="3" t="s">
        <v>98</v>
      </c>
      <c r="G4312" s="3" t="s">
        <v>51</v>
      </c>
      <c r="H4312" s="3" t="s">
        <v>145</v>
      </c>
      <c r="I4312" s="3" t="s">
        <v>1343</v>
      </c>
      <c r="J4312" s="3" t="s">
        <v>131</v>
      </c>
      <c r="K4312" s="3">
        <v>6</v>
      </c>
      <c r="L4312" s="3">
        <v>109.09</v>
      </c>
      <c r="M4312" s="3">
        <v>654.54</v>
      </c>
      <c r="N4312" s="3">
        <v>348.16</v>
      </c>
      <c r="O4312" s="3">
        <v>306.38</v>
      </c>
      <c r="P4312" s="3" t="s">
        <v>86</v>
      </c>
    </row>
    <row r="4313" spans="1:16" x14ac:dyDescent="0.35">
      <c r="A4313" s="3" t="s">
        <v>5753</v>
      </c>
      <c r="B4313" s="3" t="s">
        <v>705</v>
      </c>
      <c r="C4313" s="3" t="s">
        <v>82</v>
      </c>
      <c r="D4313" s="3" t="s">
        <v>19</v>
      </c>
      <c r="E4313" s="3" t="s">
        <v>20</v>
      </c>
      <c r="F4313" s="3" t="s">
        <v>21</v>
      </c>
      <c r="G4313" s="3" t="s">
        <v>51</v>
      </c>
      <c r="H4313" s="3" t="s">
        <v>52</v>
      </c>
      <c r="I4313" s="3" t="s">
        <v>4612</v>
      </c>
      <c r="J4313" s="3" t="s">
        <v>25</v>
      </c>
      <c r="K4313" s="3">
        <v>3</v>
      </c>
      <c r="L4313" s="3">
        <v>25.08</v>
      </c>
      <c r="M4313" s="3">
        <v>75.239999999999995</v>
      </c>
      <c r="N4313" s="3">
        <v>30.29</v>
      </c>
      <c r="O4313" s="3">
        <v>44.95</v>
      </c>
      <c r="P4313" s="3" t="s">
        <v>34</v>
      </c>
    </row>
    <row r="4314" spans="1:16" x14ac:dyDescent="0.35">
      <c r="A4314" s="3" t="s">
        <v>5754</v>
      </c>
      <c r="B4314" s="3" t="s">
        <v>271</v>
      </c>
      <c r="C4314" s="3" t="s">
        <v>82</v>
      </c>
      <c r="D4314" s="3" t="s">
        <v>58</v>
      </c>
      <c r="E4314" s="3" t="s">
        <v>59</v>
      </c>
      <c r="F4314" s="3" t="s">
        <v>60</v>
      </c>
      <c r="G4314" s="3" t="s">
        <v>51</v>
      </c>
      <c r="H4314" s="3" t="s">
        <v>145</v>
      </c>
      <c r="I4314" s="3" t="s">
        <v>1555</v>
      </c>
      <c r="J4314" s="3" t="s">
        <v>217</v>
      </c>
      <c r="K4314" s="3">
        <v>7</v>
      </c>
      <c r="L4314" s="3">
        <v>125.82</v>
      </c>
      <c r="M4314" s="3">
        <v>880.74</v>
      </c>
      <c r="N4314" s="3">
        <v>430.83</v>
      </c>
      <c r="O4314" s="3">
        <v>449.91</v>
      </c>
      <c r="P4314" s="3" t="s">
        <v>86</v>
      </c>
    </row>
    <row r="4315" spans="1:16" x14ac:dyDescent="0.35">
      <c r="A4315" s="3" t="s">
        <v>5755</v>
      </c>
      <c r="B4315" s="3" t="s">
        <v>559</v>
      </c>
      <c r="C4315" s="3" t="s">
        <v>89</v>
      </c>
      <c r="D4315" s="3" t="s">
        <v>19</v>
      </c>
      <c r="E4315" s="3" t="s">
        <v>199</v>
      </c>
      <c r="F4315" s="3" t="s">
        <v>200</v>
      </c>
      <c r="G4315" s="3" t="s">
        <v>51</v>
      </c>
      <c r="H4315" s="3" t="s">
        <v>77</v>
      </c>
      <c r="I4315" s="3" t="s">
        <v>32</v>
      </c>
      <c r="J4315" s="3" t="s">
        <v>54</v>
      </c>
      <c r="K4315" s="3">
        <v>7</v>
      </c>
      <c r="L4315" s="3">
        <v>13195</v>
      </c>
      <c r="M4315" s="3">
        <v>92365</v>
      </c>
      <c r="N4315" s="3">
        <v>60250.37</v>
      </c>
      <c r="O4315" s="3">
        <v>32114.63</v>
      </c>
      <c r="P4315" s="3" t="s">
        <v>86</v>
      </c>
    </row>
    <row r="4316" spans="1:16" x14ac:dyDescent="0.35">
      <c r="A4316" s="3" t="s">
        <v>5756</v>
      </c>
      <c r="B4316" s="3" t="s">
        <v>507</v>
      </c>
      <c r="C4316" s="3" t="s">
        <v>118</v>
      </c>
      <c r="D4316" s="3" t="s">
        <v>19</v>
      </c>
      <c r="E4316" s="3" t="s">
        <v>199</v>
      </c>
      <c r="F4316" s="3" t="s">
        <v>200</v>
      </c>
      <c r="G4316" s="3" t="s">
        <v>41</v>
      </c>
      <c r="H4316" s="3" t="s">
        <v>138</v>
      </c>
      <c r="I4316" s="3" t="s">
        <v>2885</v>
      </c>
      <c r="J4316" s="3" t="s">
        <v>100</v>
      </c>
      <c r="K4316" s="3">
        <v>5</v>
      </c>
      <c r="L4316" s="3">
        <v>18137.47</v>
      </c>
      <c r="M4316" s="3">
        <v>90687.35</v>
      </c>
      <c r="N4316" s="3">
        <v>68341.02</v>
      </c>
      <c r="O4316" s="3">
        <v>22346.33</v>
      </c>
      <c r="P4316" s="3" t="s">
        <v>34</v>
      </c>
    </row>
    <row r="4317" spans="1:16" x14ac:dyDescent="0.35">
      <c r="A4317" s="3" t="s">
        <v>5757</v>
      </c>
      <c r="B4317" s="3" t="s">
        <v>696</v>
      </c>
      <c r="C4317" s="3" t="s">
        <v>82</v>
      </c>
      <c r="D4317" s="3" t="s">
        <v>90</v>
      </c>
      <c r="E4317" s="3" t="s">
        <v>91</v>
      </c>
      <c r="F4317" s="3" t="s">
        <v>92</v>
      </c>
      <c r="G4317" s="3" t="s">
        <v>51</v>
      </c>
      <c r="H4317" s="3" t="s">
        <v>145</v>
      </c>
      <c r="I4317" s="3" t="s">
        <v>2460</v>
      </c>
      <c r="J4317" s="3" t="s">
        <v>106</v>
      </c>
      <c r="K4317" s="3">
        <v>5</v>
      </c>
      <c r="L4317" s="3">
        <v>117.63</v>
      </c>
      <c r="M4317" s="3">
        <v>588.15</v>
      </c>
      <c r="N4317" s="3">
        <v>285.29000000000002</v>
      </c>
      <c r="O4317" s="3">
        <v>302.86</v>
      </c>
      <c r="P4317" s="3" t="s">
        <v>45</v>
      </c>
    </row>
    <row r="4318" spans="1:16" x14ac:dyDescent="0.35">
      <c r="A4318" s="3" t="s">
        <v>5758</v>
      </c>
      <c r="B4318" s="3" t="s">
        <v>782</v>
      </c>
      <c r="C4318" s="3" t="s">
        <v>114</v>
      </c>
      <c r="D4318" s="3" t="s">
        <v>38</v>
      </c>
      <c r="E4318" s="3" t="s">
        <v>104</v>
      </c>
      <c r="F4318" s="3" t="s">
        <v>104</v>
      </c>
      <c r="G4318" s="3" t="s">
        <v>22</v>
      </c>
      <c r="H4318" s="3" t="s">
        <v>93</v>
      </c>
      <c r="I4318" s="3" t="s">
        <v>2661</v>
      </c>
      <c r="J4318" s="3" t="s">
        <v>161</v>
      </c>
      <c r="K4318" s="3">
        <v>7</v>
      </c>
      <c r="L4318" s="3">
        <v>6428.8</v>
      </c>
      <c r="M4318" s="3">
        <v>45001.599999999999</v>
      </c>
      <c r="N4318" s="3">
        <v>34672.25</v>
      </c>
      <c r="O4318" s="3">
        <v>10329.35</v>
      </c>
      <c r="P4318" s="3" t="s">
        <v>69</v>
      </c>
    </row>
    <row r="4319" spans="1:16" x14ac:dyDescent="0.35">
      <c r="A4319" s="3" t="s">
        <v>5759</v>
      </c>
      <c r="B4319" s="3" t="s">
        <v>685</v>
      </c>
      <c r="C4319" s="3" t="s">
        <v>137</v>
      </c>
      <c r="D4319" s="3" t="s">
        <v>90</v>
      </c>
      <c r="E4319" s="3" t="s">
        <v>119</v>
      </c>
      <c r="F4319" s="3" t="s">
        <v>120</v>
      </c>
      <c r="G4319" s="3" t="s">
        <v>41</v>
      </c>
      <c r="H4319" s="3" t="s">
        <v>61</v>
      </c>
      <c r="I4319" s="3" t="s">
        <v>2938</v>
      </c>
      <c r="J4319" s="3" t="s">
        <v>44</v>
      </c>
      <c r="K4319" s="3">
        <v>6</v>
      </c>
      <c r="L4319" s="3">
        <v>2590.4699999999998</v>
      </c>
      <c r="M4319" s="3">
        <v>15542.82</v>
      </c>
      <c r="N4319" s="3">
        <v>9123.91</v>
      </c>
      <c r="O4319" s="3">
        <v>6418.91</v>
      </c>
      <c r="P4319" s="3" t="s">
        <v>26</v>
      </c>
    </row>
    <row r="4320" spans="1:16" x14ac:dyDescent="0.35">
      <c r="A4320" s="3" t="s">
        <v>5760</v>
      </c>
      <c r="B4320" s="3" t="s">
        <v>883</v>
      </c>
      <c r="C4320" s="3" t="s">
        <v>37</v>
      </c>
      <c r="D4320" s="3" t="s">
        <v>90</v>
      </c>
      <c r="E4320" s="3" t="s">
        <v>91</v>
      </c>
      <c r="F4320" s="3" t="s">
        <v>92</v>
      </c>
      <c r="G4320" s="3" t="s">
        <v>41</v>
      </c>
      <c r="H4320" s="3" t="s">
        <v>61</v>
      </c>
      <c r="I4320" s="3" t="s">
        <v>771</v>
      </c>
      <c r="J4320" s="3" t="s">
        <v>106</v>
      </c>
      <c r="K4320" s="3">
        <v>1</v>
      </c>
      <c r="L4320" s="3">
        <v>2664.84</v>
      </c>
      <c r="M4320" s="3">
        <v>2664.84</v>
      </c>
      <c r="N4320" s="3">
        <v>1557.3</v>
      </c>
      <c r="O4320" s="3">
        <v>1107.54</v>
      </c>
      <c r="P4320" s="3" t="s">
        <v>34</v>
      </c>
    </row>
    <row r="4321" spans="1:16" x14ac:dyDescent="0.35">
      <c r="A4321" s="3" t="s">
        <v>5761</v>
      </c>
      <c r="B4321" s="3" t="s">
        <v>685</v>
      </c>
      <c r="C4321" s="3" t="s">
        <v>137</v>
      </c>
      <c r="D4321" s="3" t="s">
        <v>58</v>
      </c>
      <c r="E4321" s="3" t="s">
        <v>65</v>
      </c>
      <c r="F4321" s="3" t="s">
        <v>66</v>
      </c>
      <c r="G4321" s="3" t="s">
        <v>51</v>
      </c>
      <c r="H4321" s="3" t="s">
        <v>77</v>
      </c>
      <c r="I4321" s="3" t="s">
        <v>2036</v>
      </c>
      <c r="J4321" s="3" t="s">
        <v>161</v>
      </c>
      <c r="K4321" s="3">
        <v>6</v>
      </c>
      <c r="L4321" s="3">
        <v>11101.37</v>
      </c>
      <c r="M4321" s="3">
        <v>66608.22</v>
      </c>
      <c r="N4321" s="3">
        <v>56534.97</v>
      </c>
      <c r="O4321" s="3">
        <v>10073.25</v>
      </c>
      <c r="P4321" s="3" t="s">
        <v>26</v>
      </c>
    </row>
    <row r="4322" spans="1:16" x14ac:dyDescent="0.35">
      <c r="A4322" s="3" t="s">
        <v>5762</v>
      </c>
      <c r="B4322" s="3" t="s">
        <v>989</v>
      </c>
      <c r="C4322" s="3" t="s">
        <v>29</v>
      </c>
      <c r="D4322" s="3" t="s">
        <v>19</v>
      </c>
      <c r="E4322" s="3" t="s">
        <v>20</v>
      </c>
      <c r="F4322" s="3" t="s">
        <v>21</v>
      </c>
      <c r="G4322" s="3" t="s">
        <v>41</v>
      </c>
      <c r="H4322" s="3" t="s">
        <v>61</v>
      </c>
      <c r="I4322" s="3" t="s">
        <v>316</v>
      </c>
      <c r="J4322" s="3" t="s">
        <v>188</v>
      </c>
      <c r="K4322" s="3">
        <v>4</v>
      </c>
      <c r="L4322" s="3">
        <v>2729.21</v>
      </c>
      <c r="M4322" s="3">
        <v>10916.84</v>
      </c>
      <c r="N4322" s="3">
        <v>6563.56</v>
      </c>
      <c r="O4322" s="3">
        <v>4353.28</v>
      </c>
      <c r="P4322" s="3" t="s">
        <v>45</v>
      </c>
    </row>
    <row r="4323" spans="1:16" x14ac:dyDescent="0.35">
      <c r="A4323" s="3" t="s">
        <v>5763</v>
      </c>
      <c r="B4323" s="3" t="s">
        <v>1018</v>
      </c>
      <c r="C4323" s="3" t="s">
        <v>37</v>
      </c>
      <c r="D4323" s="3" t="s">
        <v>90</v>
      </c>
      <c r="E4323" s="3" t="s">
        <v>119</v>
      </c>
      <c r="F4323" s="3" t="s">
        <v>120</v>
      </c>
      <c r="G4323" s="3" t="s">
        <v>51</v>
      </c>
      <c r="H4323" s="3" t="s">
        <v>145</v>
      </c>
      <c r="I4323" s="3" t="s">
        <v>1616</v>
      </c>
      <c r="J4323" s="3" t="s">
        <v>188</v>
      </c>
      <c r="K4323" s="3">
        <v>5</v>
      </c>
      <c r="L4323" s="3">
        <v>131.05000000000001</v>
      </c>
      <c r="M4323" s="3">
        <v>655.25</v>
      </c>
      <c r="N4323" s="3">
        <v>306.88</v>
      </c>
      <c r="O4323" s="3">
        <v>348.37</v>
      </c>
      <c r="P4323" s="3" t="s">
        <v>26</v>
      </c>
    </row>
    <row r="4324" spans="1:16" x14ac:dyDescent="0.35">
      <c r="A4324" s="3" t="s">
        <v>5764</v>
      </c>
      <c r="B4324" s="3" t="s">
        <v>113</v>
      </c>
      <c r="C4324" s="3" t="s">
        <v>114</v>
      </c>
      <c r="D4324" s="3" t="s">
        <v>90</v>
      </c>
      <c r="E4324" s="3" t="s">
        <v>97</v>
      </c>
      <c r="F4324" s="3" t="s">
        <v>98</v>
      </c>
      <c r="G4324" s="3" t="s">
        <v>30</v>
      </c>
      <c r="H4324" s="3" t="s">
        <v>73</v>
      </c>
      <c r="I4324" s="3" t="s">
        <v>1668</v>
      </c>
      <c r="J4324" s="3" t="s">
        <v>44</v>
      </c>
      <c r="K4324" s="3">
        <v>5</v>
      </c>
      <c r="L4324" s="3">
        <v>2964.78</v>
      </c>
      <c r="M4324" s="3">
        <v>14823.9</v>
      </c>
      <c r="N4324" s="3">
        <v>12503.65</v>
      </c>
      <c r="O4324" s="3">
        <v>2320.25</v>
      </c>
      <c r="P4324" s="3" t="s">
        <v>26</v>
      </c>
    </row>
    <row r="4325" spans="1:16" x14ac:dyDescent="0.35">
      <c r="A4325" s="3" t="s">
        <v>5765</v>
      </c>
      <c r="B4325" s="3" t="s">
        <v>1187</v>
      </c>
      <c r="C4325" s="3" t="s">
        <v>18</v>
      </c>
      <c r="D4325" s="3" t="s">
        <v>19</v>
      </c>
      <c r="E4325" s="3" t="s">
        <v>199</v>
      </c>
      <c r="F4325" s="3" t="s">
        <v>200</v>
      </c>
      <c r="G4325" s="3" t="s">
        <v>51</v>
      </c>
      <c r="H4325" s="3" t="s">
        <v>52</v>
      </c>
      <c r="I4325" s="3" t="s">
        <v>1127</v>
      </c>
      <c r="J4325" s="3" t="s">
        <v>161</v>
      </c>
      <c r="K4325" s="3">
        <v>1</v>
      </c>
      <c r="L4325" s="3">
        <v>23.99</v>
      </c>
      <c r="M4325" s="3">
        <v>23.99</v>
      </c>
      <c r="N4325" s="3">
        <v>9.91</v>
      </c>
      <c r="O4325" s="3">
        <v>14.08</v>
      </c>
      <c r="P4325" s="3" t="s">
        <v>69</v>
      </c>
    </row>
    <row r="4326" spans="1:16" x14ac:dyDescent="0.35">
      <c r="A4326" s="3" t="s">
        <v>5766</v>
      </c>
      <c r="B4326" s="3" t="s">
        <v>108</v>
      </c>
      <c r="C4326" s="3" t="s">
        <v>72</v>
      </c>
      <c r="D4326" s="3" t="s">
        <v>58</v>
      </c>
      <c r="E4326" s="3" t="s">
        <v>59</v>
      </c>
      <c r="F4326" s="3" t="s">
        <v>60</v>
      </c>
      <c r="G4326" s="3" t="s">
        <v>30</v>
      </c>
      <c r="H4326" s="3" t="s">
        <v>67</v>
      </c>
      <c r="I4326" s="3" t="s">
        <v>3615</v>
      </c>
      <c r="J4326" s="3" t="s">
        <v>131</v>
      </c>
      <c r="K4326" s="3">
        <v>6</v>
      </c>
      <c r="L4326" s="3">
        <v>9309.73</v>
      </c>
      <c r="M4326" s="3">
        <v>55858.38</v>
      </c>
      <c r="N4326" s="3">
        <v>46365.5</v>
      </c>
      <c r="O4326" s="3">
        <v>9492.8799999999992</v>
      </c>
      <c r="P4326" s="3" t="s">
        <v>45</v>
      </c>
    </row>
    <row r="4327" spans="1:16" x14ac:dyDescent="0.35">
      <c r="A4327" s="3" t="s">
        <v>5767</v>
      </c>
      <c r="B4327" s="3" t="s">
        <v>852</v>
      </c>
      <c r="C4327" s="3" t="s">
        <v>118</v>
      </c>
      <c r="D4327" s="3" t="s">
        <v>19</v>
      </c>
      <c r="E4327" s="3" t="s">
        <v>20</v>
      </c>
      <c r="F4327" s="3" t="s">
        <v>21</v>
      </c>
      <c r="G4327" s="3" t="s">
        <v>41</v>
      </c>
      <c r="H4327" s="3" t="s">
        <v>138</v>
      </c>
      <c r="I4327" s="3" t="s">
        <v>708</v>
      </c>
      <c r="J4327" s="3" t="s">
        <v>106</v>
      </c>
      <c r="K4327" s="3">
        <v>7</v>
      </c>
      <c r="L4327" s="3">
        <v>17816.599999999999</v>
      </c>
      <c r="M4327" s="3">
        <v>124716.2</v>
      </c>
      <c r="N4327" s="3">
        <v>97485.41</v>
      </c>
      <c r="O4327" s="3">
        <v>27230.79</v>
      </c>
      <c r="P4327" s="3" t="s">
        <v>69</v>
      </c>
    </row>
    <row r="4328" spans="1:16" x14ac:dyDescent="0.35">
      <c r="A4328" s="3" t="s">
        <v>5768</v>
      </c>
      <c r="B4328" s="3" t="s">
        <v>2870</v>
      </c>
      <c r="C4328" s="3" t="s">
        <v>118</v>
      </c>
      <c r="D4328" s="3" t="s">
        <v>58</v>
      </c>
      <c r="E4328" s="3" t="s">
        <v>176</v>
      </c>
      <c r="F4328" s="3" t="s">
        <v>177</v>
      </c>
      <c r="G4328" s="3" t="s">
        <v>22</v>
      </c>
      <c r="H4328" s="3" t="s">
        <v>23</v>
      </c>
      <c r="I4328" s="3" t="s">
        <v>581</v>
      </c>
      <c r="J4328" s="3" t="s">
        <v>79</v>
      </c>
      <c r="K4328" s="3">
        <v>3</v>
      </c>
      <c r="L4328" s="3">
        <v>3370.73</v>
      </c>
      <c r="M4328" s="3">
        <v>10112.19</v>
      </c>
      <c r="N4328" s="3">
        <v>6514.66</v>
      </c>
      <c r="O4328" s="3">
        <v>3597.53</v>
      </c>
      <c r="P4328" s="3" t="s">
        <v>69</v>
      </c>
    </row>
    <row r="4329" spans="1:16" x14ac:dyDescent="0.35">
      <c r="A4329" s="3" t="s">
        <v>5769</v>
      </c>
      <c r="B4329" s="3" t="s">
        <v>1552</v>
      </c>
      <c r="C4329" s="3" t="s">
        <v>114</v>
      </c>
      <c r="D4329" s="3" t="s">
        <v>19</v>
      </c>
      <c r="E4329" s="3" t="s">
        <v>20</v>
      </c>
      <c r="F4329" s="3" t="s">
        <v>21</v>
      </c>
      <c r="G4329" s="3" t="s">
        <v>51</v>
      </c>
      <c r="H4329" s="3" t="s">
        <v>145</v>
      </c>
      <c r="I4329" s="3" t="s">
        <v>2888</v>
      </c>
      <c r="J4329" s="3" t="s">
        <v>85</v>
      </c>
      <c r="K4329" s="3">
        <v>7</v>
      </c>
      <c r="L4329" s="3">
        <v>116.72</v>
      </c>
      <c r="M4329" s="3">
        <v>817.04</v>
      </c>
      <c r="N4329" s="3">
        <v>424.13</v>
      </c>
      <c r="O4329" s="3">
        <v>392.91</v>
      </c>
      <c r="P4329" s="3" t="s">
        <v>34</v>
      </c>
    </row>
    <row r="4330" spans="1:16" x14ac:dyDescent="0.35">
      <c r="A4330" s="3" t="s">
        <v>5770</v>
      </c>
      <c r="B4330" s="3" t="s">
        <v>245</v>
      </c>
      <c r="C4330" s="3" t="s">
        <v>29</v>
      </c>
      <c r="D4330" s="3" t="s">
        <v>90</v>
      </c>
      <c r="E4330" s="3" t="s">
        <v>97</v>
      </c>
      <c r="F4330" s="3" t="s">
        <v>98</v>
      </c>
      <c r="G4330" s="3" t="s">
        <v>41</v>
      </c>
      <c r="H4330" s="3" t="s">
        <v>61</v>
      </c>
      <c r="I4330" s="3" t="s">
        <v>1111</v>
      </c>
      <c r="J4330" s="3" t="s">
        <v>188</v>
      </c>
      <c r="K4330" s="3">
        <v>4</v>
      </c>
      <c r="L4330" s="3">
        <v>2320.71</v>
      </c>
      <c r="M4330" s="3">
        <v>9282.84</v>
      </c>
      <c r="N4330" s="3">
        <v>6528.08</v>
      </c>
      <c r="O4330" s="3">
        <v>2754.76</v>
      </c>
      <c r="P4330" s="3" t="s">
        <v>45</v>
      </c>
    </row>
    <row r="4331" spans="1:16" x14ac:dyDescent="0.35">
      <c r="A4331" s="3" t="s">
        <v>5771</v>
      </c>
      <c r="B4331" s="3" t="s">
        <v>1687</v>
      </c>
      <c r="C4331" s="3" t="s">
        <v>18</v>
      </c>
      <c r="D4331" s="3" t="s">
        <v>38</v>
      </c>
      <c r="E4331" s="3" t="s">
        <v>104</v>
      </c>
      <c r="F4331" s="3" t="s">
        <v>104</v>
      </c>
      <c r="G4331" s="3" t="s">
        <v>22</v>
      </c>
      <c r="H4331" s="3" t="s">
        <v>23</v>
      </c>
      <c r="I4331" s="3" t="s">
        <v>1253</v>
      </c>
      <c r="J4331" s="3" t="s">
        <v>33</v>
      </c>
      <c r="K4331" s="3">
        <v>6</v>
      </c>
      <c r="L4331" s="3">
        <v>3391.6</v>
      </c>
      <c r="M4331" s="3">
        <v>20349.599999999999</v>
      </c>
      <c r="N4331" s="3">
        <v>13648.69</v>
      </c>
      <c r="O4331" s="3">
        <v>6700.91</v>
      </c>
      <c r="P4331" s="3" t="s">
        <v>86</v>
      </c>
    </row>
    <row r="4332" spans="1:16" x14ac:dyDescent="0.35">
      <c r="A4332" s="3" t="s">
        <v>5772</v>
      </c>
      <c r="B4332" s="3" t="s">
        <v>562</v>
      </c>
      <c r="C4332" s="3" t="s">
        <v>82</v>
      </c>
      <c r="D4332" s="3" t="s">
        <v>19</v>
      </c>
      <c r="E4332" s="3" t="s">
        <v>20</v>
      </c>
      <c r="F4332" s="3" t="s">
        <v>21</v>
      </c>
      <c r="G4332" s="3" t="s">
        <v>22</v>
      </c>
      <c r="H4332" s="3" t="s">
        <v>23</v>
      </c>
      <c r="I4332" s="3" t="s">
        <v>1555</v>
      </c>
      <c r="J4332" s="3" t="s">
        <v>217</v>
      </c>
      <c r="K4332" s="3">
        <v>6</v>
      </c>
      <c r="L4332" s="3">
        <v>3413.11</v>
      </c>
      <c r="M4332" s="3">
        <v>20478.66</v>
      </c>
      <c r="N4332" s="3">
        <v>13852.79</v>
      </c>
      <c r="O4332" s="3">
        <v>6625.87</v>
      </c>
      <c r="P4332" s="3" t="s">
        <v>34</v>
      </c>
    </row>
    <row r="4333" spans="1:16" x14ac:dyDescent="0.35">
      <c r="A4333" s="3" t="s">
        <v>5773</v>
      </c>
      <c r="B4333" s="3" t="s">
        <v>1427</v>
      </c>
      <c r="C4333" s="3" t="s">
        <v>29</v>
      </c>
      <c r="D4333" s="3" t="s">
        <v>19</v>
      </c>
      <c r="E4333" s="3" t="s">
        <v>20</v>
      </c>
      <c r="F4333" s="3" t="s">
        <v>21</v>
      </c>
      <c r="G4333" s="3" t="s">
        <v>51</v>
      </c>
      <c r="H4333" s="3" t="s">
        <v>145</v>
      </c>
      <c r="I4333" s="3" t="s">
        <v>3420</v>
      </c>
      <c r="J4333" s="3" t="s">
        <v>154</v>
      </c>
      <c r="K4333" s="3">
        <v>7</v>
      </c>
      <c r="L4333" s="3">
        <v>125.29</v>
      </c>
      <c r="M4333" s="3">
        <v>877.03</v>
      </c>
      <c r="N4333" s="3">
        <v>408.35</v>
      </c>
      <c r="O4333" s="3">
        <v>468.68</v>
      </c>
      <c r="P4333" s="3" t="s">
        <v>34</v>
      </c>
    </row>
    <row r="4334" spans="1:16" x14ac:dyDescent="0.35">
      <c r="A4334" s="3" t="s">
        <v>5774</v>
      </c>
      <c r="B4334" s="3" t="s">
        <v>1727</v>
      </c>
      <c r="C4334" s="3" t="s">
        <v>89</v>
      </c>
      <c r="D4334" s="3" t="s">
        <v>58</v>
      </c>
      <c r="E4334" s="3" t="s">
        <v>65</v>
      </c>
      <c r="F4334" s="3" t="s">
        <v>66</v>
      </c>
      <c r="G4334" s="3" t="s">
        <v>51</v>
      </c>
      <c r="H4334" s="3" t="s">
        <v>52</v>
      </c>
      <c r="I4334" s="3" t="s">
        <v>1214</v>
      </c>
      <c r="J4334" s="3" t="s">
        <v>100</v>
      </c>
      <c r="K4334" s="3">
        <v>3</v>
      </c>
      <c r="L4334" s="3">
        <v>25.64</v>
      </c>
      <c r="M4334" s="3">
        <v>76.92</v>
      </c>
      <c r="N4334" s="3">
        <v>31.06</v>
      </c>
      <c r="O4334" s="3">
        <v>45.86</v>
      </c>
      <c r="P4334" s="3" t="s">
        <v>69</v>
      </c>
    </row>
    <row r="4335" spans="1:16" x14ac:dyDescent="0.35">
      <c r="A4335" s="3" t="s">
        <v>5775</v>
      </c>
      <c r="B4335" s="3" t="s">
        <v>347</v>
      </c>
      <c r="C4335" s="3" t="s">
        <v>57</v>
      </c>
      <c r="D4335" s="3" t="s">
        <v>90</v>
      </c>
      <c r="E4335" s="3" t="s">
        <v>97</v>
      </c>
      <c r="F4335" s="3" t="s">
        <v>98</v>
      </c>
      <c r="G4335" s="3" t="s">
        <v>51</v>
      </c>
      <c r="H4335" s="3" t="s">
        <v>77</v>
      </c>
      <c r="I4335" s="3" t="s">
        <v>2443</v>
      </c>
      <c r="J4335" s="3" t="s">
        <v>147</v>
      </c>
      <c r="K4335" s="3">
        <v>8</v>
      </c>
      <c r="L4335" s="3">
        <v>12989.32</v>
      </c>
      <c r="M4335" s="3">
        <v>103914.56</v>
      </c>
      <c r="N4335" s="3">
        <v>69924.639999999999</v>
      </c>
      <c r="O4335" s="3">
        <v>33989.919999999998</v>
      </c>
      <c r="P4335" s="3" t="s">
        <v>69</v>
      </c>
    </row>
    <row r="4336" spans="1:16" x14ac:dyDescent="0.35">
      <c r="A4336" s="3" t="s">
        <v>5776</v>
      </c>
      <c r="B4336" s="3" t="s">
        <v>347</v>
      </c>
      <c r="C4336" s="3" t="s">
        <v>57</v>
      </c>
      <c r="D4336" s="3" t="s">
        <v>90</v>
      </c>
      <c r="E4336" s="3" t="s">
        <v>119</v>
      </c>
      <c r="F4336" s="3" t="s">
        <v>120</v>
      </c>
      <c r="G4336" s="3" t="s">
        <v>41</v>
      </c>
      <c r="H4336" s="3" t="s">
        <v>138</v>
      </c>
      <c r="I4336" s="3" t="s">
        <v>1452</v>
      </c>
      <c r="J4336" s="3" t="s">
        <v>217</v>
      </c>
      <c r="K4336" s="3">
        <v>6</v>
      </c>
      <c r="L4336" s="3">
        <v>17035.5</v>
      </c>
      <c r="M4336" s="3">
        <v>102213</v>
      </c>
      <c r="N4336" s="3">
        <v>87854.33</v>
      </c>
      <c r="O4336" s="3">
        <v>14358.67</v>
      </c>
      <c r="P4336" s="3" t="s">
        <v>26</v>
      </c>
    </row>
    <row r="4337" spans="1:16" x14ac:dyDescent="0.35">
      <c r="A4337" s="3" t="s">
        <v>5777</v>
      </c>
      <c r="B4337" s="3" t="s">
        <v>163</v>
      </c>
      <c r="C4337" s="3" t="s">
        <v>137</v>
      </c>
      <c r="D4337" s="3" t="s">
        <v>38</v>
      </c>
      <c r="E4337" s="3" t="s">
        <v>109</v>
      </c>
      <c r="F4337" s="3" t="s">
        <v>110</v>
      </c>
      <c r="G4337" s="3" t="s">
        <v>22</v>
      </c>
      <c r="H4337" s="3" t="s">
        <v>23</v>
      </c>
      <c r="I4337" s="3" t="s">
        <v>2325</v>
      </c>
      <c r="J4337" s="3" t="s">
        <v>161</v>
      </c>
      <c r="K4337" s="3">
        <v>6</v>
      </c>
      <c r="L4337" s="3">
        <v>3836.86</v>
      </c>
      <c r="M4337" s="3">
        <v>23021.16</v>
      </c>
      <c r="N4337" s="3">
        <v>12933.76</v>
      </c>
      <c r="O4337" s="3">
        <v>10087.4</v>
      </c>
      <c r="P4337" s="3" t="s">
        <v>69</v>
      </c>
    </row>
    <row r="4338" spans="1:16" x14ac:dyDescent="0.35">
      <c r="A4338" s="3" t="s">
        <v>5778</v>
      </c>
      <c r="B4338" s="3" t="s">
        <v>339</v>
      </c>
      <c r="C4338" s="3" t="s">
        <v>29</v>
      </c>
      <c r="D4338" s="3" t="s">
        <v>58</v>
      </c>
      <c r="E4338" s="3" t="s">
        <v>176</v>
      </c>
      <c r="F4338" s="3" t="s">
        <v>177</v>
      </c>
      <c r="G4338" s="3" t="s">
        <v>41</v>
      </c>
      <c r="H4338" s="3" t="s">
        <v>138</v>
      </c>
      <c r="I4338" s="3" t="s">
        <v>3546</v>
      </c>
      <c r="J4338" s="3" t="s">
        <v>171</v>
      </c>
      <c r="K4338" s="3">
        <v>8</v>
      </c>
      <c r="L4338" s="3">
        <v>19557.990000000002</v>
      </c>
      <c r="M4338" s="3">
        <v>156463.92000000001</v>
      </c>
      <c r="N4338" s="3">
        <v>112501.26</v>
      </c>
      <c r="O4338" s="3">
        <v>43962.66</v>
      </c>
      <c r="P4338" s="3" t="s">
        <v>34</v>
      </c>
    </row>
    <row r="4339" spans="1:16" x14ac:dyDescent="0.35">
      <c r="A4339" s="3" t="s">
        <v>5779</v>
      </c>
      <c r="B4339" s="3" t="s">
        <v>163</v>
      </c>
      <c r="C4339" s="3" t="s">
        <v>137</v>
      </c>
      <c r="D4339" s="3" t="s">
        <v>90</v>
      </c>
      <c r="E4339" s="3" t="s">
        <v>91</v>
      </c>
      <c r="F4339" s="3" t="s">
        <v>92</v>
      </c>
      <c r="G4339" s="3" t="s">
        <v>30</v>
      </c>
      <c r="H4339" s="3" t="s">
        <v>31</v>
      </c>
      <c r="I4339" s="3" t="s">
        <v>130</v>
      </c>
      <c r="J4339" s="3" t="s">
        <v>100</v>
      </c>
      <c r="K4339" s="3">
        <v>7</v>
      </c>
      <c r="L4339" s="3">
        <v>2852.97</v>
      </c>
      <c r="M4339" s="3">
        <v>19970.79</v>
      </c>
      <c r="N4339" s="3">
        <v>12668.71</v>
      </c>
      <c r="O4339" s="3">
        <v>7302.08</v>
      </c>
      <c r="P4339" s="3" t="s">
        <v>34</v>
      </c>
    </row>
    <row r="4340" spans="1:16" x14ac:dyDescent="0.35">
      <c r="A4340" s="3" t="s">
        <v>5780</v>
      </c>
      <c r="B4340" s="3" t="s">
        <v>1464</v>
      </c>
      <c r="C4340" s="3" t="s">
        <v>137</v>
      </c>
      <c r="D4340" s="3" t="s">
        <v>90</v>
      </c>
      <c r="E4340" s="3" t="s">
        <v>91</v>
      </c>
      <c r="F4340" s="3" t="s">
        <v>92</v>
      </c>
      <c r="G4340" s="3" t="s">
        <v>41</v>
      </c>
      <c r="H4340" s="3" t="s">
        <v>61</v>
      </c>
      <c r="I4340" s="3" t="s">
        <v>2004</v>
      </c>
      <c r="J4340" s="3" t="s">
        <v>25</v>
      </c>
      <c r="K4340" s="3">
        <v>7</v>
      </c>
      <c r="L4340" s="3">
        <v>2384.6</v>
      </c>
      <c r="M4340" s="3">
        <v>16692.2</v>
      </c>
      <c r="N4340" s="3">
        <v>11009.39</v>
      </c>
      <c r="O4340" s="3">
        <v>5682.81</v>
      </c>
      <c r="P4340" s="3" t="s">
        <v>45</v>
      </c>
    </row>
    <row r="4341" spans="1:16" x14ac:dyDescent="0.35">
      <c r="A4341" s="3" t="s">
        <v>5781</v>
      </c>
      <c r="B4341" s="3" t="s">
        <v>2969</v>
      </c>
      <c r="C4341" s="3" t="s">
        <v>137</v>
      </c>
      <c r="D4341" s="3" t="s">
        <v>19</v>
      </c>
      <c r="E4341" s="3" t="s">
        <v>20</v>
      </c>
      <c r="F4341" s="3" t="s">
        <v>21</v>
      </c>
      <c r="G4341" s="3" t="s">
        <v>51</v>
      </c>
      <c r="H4341" s="3" t="s">
        <v>52</v>
      </c>
      <c r="I4341" s="3" t="s">
        <v>1134</v>
      </c>
      <c r="J4341" s="3" t="s">
        <v>154</v>
      </c>
      <c r="K4341" s="3">
        <v>1</v>
      </c>
      <c r="L4341" s="3">
        <v>27.08</v>
      </c>
      <c r="M4341" s="3">
        <v>27.08</v>
      </c>
      <c r="N4341" s="3">
        <v>9.84</v>
      </c>
      <c r="O4341" s="3">
        <v>17.239999999999998</v>
      </c>
      <c r="P4341" s="3" t="s">
        <v>86</v>
      </c>
    </row>
    <row r="4342" spans="1:16" x14ac:dyDescent="0.35">
      <c r="A4342" s="3" t="s">
        <v>5782</v>
      </c>
      <c r="B4342" s="3" t="s">
        <v>649</v>
      </c>
      <c r="C4342" s="3" t="s">
        <v>29</v>
      </c>
      <c r="D4342" s="3" t="s">
        <v>90</v>
      </c>
      <c r="E4342" s="3" t="s">
        <v>97</v>
      </c>
      <c r="F4342" s="3" t="s">
        <v>98</v>
      </c>
      <c r="G4342" s="3" t="s">
        <v>41</v>
      </c>
      <c r="H4342" s="3" t="s">
        <v>42</v>
      </c>
      <c r="I4342" s="3" t="s">
        <v>2043</v>
      </c>
      <c r="J4342" s="3" t="s">
        <v>106</v>
      </c>
      <c r="K4342" s="3">
        <v>3</v>
      </c>
      <c r="L4342" s="3">
        <v>47036.36</v>
      </c>
      <c r="M4342" s="3">
        <v>141109.07999999999</v>
      </c>
      <c r="N4342" s="3">
        <v>100663.9</v>
      </c>
      <c r="O4342" s="3">
        <v>40445.18</v>
      </c>
      <c r="P4342" s="3" t="s">
        <v>69</v>
      </c>
    </row>
    <row r="4343" spans="1:16" x14ac:dyDescent="0.35">
      <c r="A4343" s="3" t="s">
        <v>5783</v>
      </c>
      <c r="B4343" s="3" t="s">
        <v>880</v>
      </c>
      <c r="C4343" s="3" t="s">
        <v>114</v>
      </c>
      <c r="D4343" s="3" t="s">
        <v>58</v>
      </c>
      <c r="E4343" s="3" t="s">
        <v>65</v>
      </c>
      <c r="F4343" s="3" t="s">
        <v>66</v>
      </c>
      <c r="G4343" s="3" t="s">
        <v>51</v>
      </c>
      <c r="H4343" s="3" t="s">
        <v>52</v>
      </c>
      <c r="I4343" s="3" t="s">
        <v>78</v>
      </c>
      <c r="J4343" s="3" t="s">
        <v>79</v>
      </c>
      <c r="K4343" s="3">
        <v>5</v>
      </c>
      <c r="L4343" s="3">
        <v>23.67</v>
      </c>
      <c r="M4343" s="3">
        <v>118.35</v>
      </c>
      <c r="N4343" s="3">
        <v>47.61</v>
      </c>
      <c r="O4343" s="3">
        <v>70.739999999999995</v>
      </c>
      <c r="P4343" s="3" t="s">
        <v>86</v>
      </c>
    </row>
    <row r="4344" spans="1:16" x14ac:dyDescent="0.35">
      <c r="A4344" s="3" t="s">
        <v>5784</v>
      </c>
      <c r="B4344" s="3" t="s">
        <v>675</v>
      </c>
      <c r="C4344" s="3" t="s">
        <v>82</v>
      </c>
      <c r="D4344" s="3" t="s">
        <v>58</v>
      </c>
      <c r="E4344" s="3" t="s">
        <v>176</v>
      </c>
      <c r="F4344" s="3" t="s">
        <v>177</v>
      </c>
      <c r="G4344" s="3" t="s">
        <v>22</v>
      </c>
      <c r="H4344" s="3" t="s">
        <v>83</v>
      </c>
      <c r="I4344" s="3" t="s">
        <v>803</v>
      </c>
      <c r="J4344" s="3" t="s">
        <v>54</v>
      </c>
      <c r="K4344" s="3">
        <v>6</v>
      </c>
      <c r="L4344" s="3">
        <v>22331.13</v>
      </c>
      <c r="M4344" s="3">
        <v>133986.78</v>
      </c>
      <c r="N4344" s="3">
        <v>102498.14</v>
      </c>
      <c r="O4344" s="3">
        <v>31488.639999999999</v>
      </c>
      <c r="P4344" s="3" t="s">
        <v>26</v>
      </c>
    </row>
    <row r="4345" spans="1:16" x14ac:dyDescent="0.35">
      <c r="A4345" s="3" t="s">
        <v>5785</v>
      </c>
      <c r="B4345" s="3" t="s">
        <v>930</v>
      </c>
      <c r="C4345" s="3" t="s">
        <v>103</v>
      </c>
      <c r="D4345" s="3" t="s">
        <v>38</v>
      </c>
      <c r="E4345" s="3" t="s">
        <v>109</v>
      </c>
      <c r="F4345" s="3" t="s">
        <v>110</v>
      </c>
      <c r="G4345" s="3" t="s">
        <v>30</v>
      </c>
      <c r="H4345" s="3" t="s">
        <v>67</v>
      </c>
      <c r="I4345" s="3" t="s">
        <v>1645</v>
      </c>
      <c r="J4345" s="3" t="s">
        <v>161</v>
      </c>
      <c r="K4345" s="3">
        <v>2</v>
      </c>
      <c r="L4345" s="3">
        <v>8828.7900000000009</v>
      </c>
      <c r="M4345" s="3">
        <v>17657.580000000002</v>
      </c>
      <c r="N4345" s="3">
        <v>15163.41</v>
      </c>
      <c r="O4345" s="3">
        <v>2494.17</v>
      </c>
      <c r="P4345" s="3" t="s">
        <v>86</v>
      </c>
    </row>
    <row r="4346" spans="1:16" x14ac:dyDescent="0.35">
      <c r="A4346" s="3" t="s">
        <v>5786</v>
      </c>
      <c r="B4346" s="3" t="s">
        <v>621</v>
      </c>
      <c r="C4346" s="3" t="s">
        <v>118</v>
      </c>
      <c r="D4346" s="3" t="s">
        <v>19</v>
      </c>
      <c r="E4346" s="3" t="s">
        <v>49</v>
      </c>
      <c r="F4346" s="3" t="s">
        <v>50</v>
      </c>
      <c r="G4346" s="3" t="s">
        <v>30</v>
      </c>
      <c r="H4346" s="3" t="s">
        <v>67</v>
      </c>
      <c r="I4346" s="3" t="s">
        <v>2176</v>
      </c>
      <c r="J4346" s="3" t="s">
        <v>44</v>
      </c>
      <c r="K4346" s="3">
        <v>8</v>
      </c>
      <c r="L4346" s="3">
        <v>9162.61</v>
      </c>
      <c r="M4346" s="3">
        <v>73300.88</v>
      </c>
      <c r="N4346" s="3">
        <v>62852.82</v>
      </c>
      <c r="O4346" s="3">
        <v>10448.06</v>
      </c>
      <c r="P4346" s="3" t="s">
        <v>45</v>
      </c>
    </row>
    <row r="4347" spans="1:16" x14ac:dyDescent="0.35">
      <c r="A4347" s="3" t="s">
        <v>5787</v>
      </c>
      <c r="B4347" s="3" t="s">
        <v>3156</v>
      </c>
      <c r="C4347" s="3" t="s">
        <v>89</v>
      </c>
      <c r="D4347" s="3" t="s">
        <v>38</v>
      </c>
      <c r="E4347" s="3" t="s">
        <v>109</v>
      </c>
      <c r="F4347" s="3" t="s">
        <v>110</v>
      </c>
      <c r="G4347" s="3" t="s">
        <v>41</v>
      </c>
      <c r="H4347" s="3" t="s">
        <v>61</v>
      </c>
      <c r="I4347" s="3" t="s">
        <v>1896</v>
      </c>
      <c r="J4347" s="3" t="s">
        <v>33</v>
      </c>
      <c r="K4347" s="3">
        <v>7</v>
      </c>
      <c r="L4347" s="3">
        <v>2393.61</v>
      </c>
      <c r="M4347" s="3">
        <v>16755.27</v>
      </c>
      <c r="N4347" s="3">
        <v>11542.36</v>
      </c>
      <c r="O4347" s="3">
        <v>5212.91</v>
      </c>
      <c r="P4347" s="3" t="s">
        <v>86</v>
      </c>
    </row>
    <row r="4348" spans="1:16" x14ac:dyDescent="0.35">
      <c r="A4348" s="3" t="s">
        <v>5788</v>
      </c>
      <c r="B4348" s="3" t="s">
        <v>1166</v>
      </c>
      <c r="C4348" s="3" t="s">
        <v>118</v>
      </c>
      <c r="D4348" s="3" t="s">
        <v>90</v>
      </c>
      <c r="E4348" s="3" t="s">
        <v>91</v>
      </c>
      <c r="F4348" s="3" t="s">
        <v>92</v>
      </c>
      <c r="G4348" s="3" t="s">
        <v>51</v>
      </c>
      <c r="H4348" s="3" t="s">
        <v>77</v>
      </c>
      <c r="I4348" s="3" t="s">
        <v>1354</v>
      </c>
      <c r="J4348" s="3" t="s">
        <v>188</v>
      </c>
      <c r="K4348" s="3">
        <v>6</v>
      </c>
      <c r="L4348" s="3">
        <v>12917.89</v>
      </c>
      <c r="M4348" s="3">
        <v>77507.34</v>
      </c>
      <c r="N4348" s="3">
        <v>55096.52</v>
      </c>
      <c r="O4348" s="3">
        <v>22410.82</v>
      </c>
      <c r="P4348" s="3" t="s">
        <v>26</v>
      </c>
    </row>
    <row r="4349" spans="1:16" x14ac:dyDescent="0.35">
      <c r="A4349" s="3" t="s">
        <v>5789</v>
      </c>
      <c r="B4349" s="3" t="s">
        <v>1360</v>
      </c>
      <c r="C4349" s="3" t="s">
        <v>72</v>
      </c>
      <c r="D4349" s="3" t="s">
        <v>19</v>
      </c>
      <c r="E4349" s="3" t="s">
        <v>199</v>
      </c>
      <c r="F4349" s="3" t="s">
        <v>200</v>
      </c>
      <c r="G4349" s="3" t="s">
        <v>30</v>
      </c>
      <c r="H4349" s="3" t="s">
        <v>67</v>
      </c>
      <c r="I4349" s="3" t="s">
        <v>1885</v>
      </c>
      <c r="J4349" s="3" t="s">
        <v>44</v>
      </c>
      <c r="K4349" s="3">
        <v>4</v>
      </c>
      <c r="L4349" s="3">
        <v>9073.11</v>
      </c>
      <c r="M4349" s="3">
        <v>36292.44</v>
      </c>
      <c r="N4349" s="3">
        <v>31238.29</v>
      </c>
      <c r="O4349" s="3">
        <v>5054.1499999999996</v>
      </c>
      <c r="P4349" s="3" t="s">
        <v>69</v>
      </c>
    </row>
    <row r="4350" spans="1:16" x14ac:dyDescent="0.35">
      <c r="A4350" s="3" t="s">
        <v>5790</v>
      </c>
      <c r="B4350" s="3" t="s">
        <v>1224</v>
      </c>
      <c r="C4350" s="3" t="s">
        <v>37</v>
      </c>
      <c r="D4350" s="3" t="s">
        <v>38</v>
      </c>
      <c r="E4350" s="3" t="s">
        <v>109</v>
      </c>
      <c r="F4350" s="3" t="s">
        <v>110</v>
      </c>
      <c r="G4350" s="3" t="s">
        <v>22</v>
      </c>
      <c r="H4350" s="3" t="s">
        <v>83</v>
      </c>
      <c r="I4350" s="3" t="s">
        <v>4579</v>
      </c>
      <c r="J4350" s="3" t="s">
        <v>217</v>
      </c>
      <c r="K4350" s="3">
        <v>5</v>
      </c>
      <c r="L4350" s="3">
        <v>20313.57</v>
      </c>
      <c r="M4350" s="3">
        <v>101567.85</v>
      </c>
      <c r="N4350" s="3">
        <v>88211.98</v>
      </c>
      <c r="O4350" s="3">
        <v>13355.87</v>
      </c>
      <c r="P4350" s="3" t="s">
        <v>26</v>
      </c>
    </row>
    <row r="4351" spans="1:16" x14ac:dyDescent="0.35">
      <c r="A4351" s="3" t="s">
        <v>5791</v>
      </c>
      <c r="B4351" s="3" t="s">
        <v>921</v>
      </c>
      <c r="C4351" s="3" t="s">
        <v>103</v>
      </c>
      <c r="D4351" s="3" t="s">
        <v>19</v>
      </c>
      <c r="E4351" s="3" t="s">
        <v>49</v>
      </c>
      <c r="F4351" s="3" t="s">
        <v>50</v>
      </c>
      <c r="G4351" s="3" t="s">
        <v>41</v>
      </c>
      <c r="H4351" s="3" t="s">
        <v>61</v>
      </c>
      <c r="I4351" s="3" t="s">
        <v>928</v>
      </c>
      <c r="J4351" s="3" t="s">
        <v>79</v>
      </c>
      <c r="K4351" s="3">
        <v>3</v>
      </c>
      <c r="L4351" s="3">
        <v>2426.88</v>
      </c>
      <c r="M4351" s="3">
        <v>7280.64</v>
      </c>
      <c r="N4351" s="3">
        <v>4712.08</v>
      </c>
      <c r="O4351" s="3">
        <v>2568.56</v>
      </c>
      <c r="P4351" s="3" t="s">
        <v>26</v>
      </c>
    </row>
    <row r="4352" spans="1:16" x14ac:dyDescent="0.35">
      <c r="A4352" s="3" t="s">
        <v>5792</v>
      </c>
      <c r="B4352" s="3" t="s">
        <v>1308</v>
      </c>
      <c r="C4352" s="3" t="s">
        <v>48</v>
      </c>
      <c r="D4352" s="3" t="s">
        <v>38</v>
      </c>
      <c r="E4352" s="3" t="s">
        <v>104</v>
      </c>
      <c r="F4352" s="3" t="s">
        <v>104</v>
      </c>
      <c r="G4352" s="3" t="s">
        <v>51</v>
      </c>
      <c r="H4352" s="3" t="s">
        <v>77</v>
      </c>
      <c r="I4352" s="3" t="s">
        <v>2356</v>
      </c>
      <c r="J4352" s="3" t="s">
        <v>131</v>
      </c>
      <c r="K4352" s="3">
        <v>1</v>
      </c>
      <c r="L4352" s="3">
        <v>12986.42</v>
      </c>
      <c r="M4352" s="3">
        <v>12986.42</v>
      </c>
      <c r="N4352" s="3">
        <v>8957.5</v>
      </c>
      <c r="O4352" s="3">
        <v>4028.92</v>
      </c>
      <c r="P4352" s="3" t="s">
        <v>34</v>
      </c>
    </row>
    <row r="4353" spans="1:16" x14ac:dyDescent="0.35">
      <c r="A4353" s="3" t="s">
        <v>5793</v>
      </c>
      <c r="B4353" s="3" t="s">
        <v>583</v>
      </c>
      <c r="C4353" s="3" t="s">
        <v>89</v>
      </c>
      <c r="D4353" s="3" t="s">
        <v>90</v>
      </c>
      <c r="E4353" s="3" t="s">
        <v>91</v>
      </c>
      <c r="F4353" s="3" t="s">
        <v>92</v>
      </c>
      <c r="G4353" s="3" t="s">
        <v>51</v>
      </c>
      <c r="H4353" s="3" t="s">
        <v>77</v>
      </c>
      <c r="I4353" s="3" t="s">
        <v>1456</v>
      </c>
      <c r="J4353" s="3" t="s">
        <v>85</v>
      </c>
      <c r="K4353" s="3">
        <v>2</v>
      </c>
      <c r="L4353" s="3">
        <v>11983.25</v>
      </c>
      <c r="M4353" s="3">
        <v>23966.5</v>
      </c>
      <c r="N4353" s="3">
        <v>17319.72</v>
      </c>
      <c r="O4353" s="3">
        <v>6646.78</v>
      </c>
      <c r="P4353" s="3" t="s">
        <v>34</v>
      </c>
    </row>
    <row r="4354" spans="1:16" x14ac:dyDescent="0.35">
      <c r="A4354" s="3" t="s">
        <v>5794</v>
      </c>
      <c r="B4354" s="3" t="s">
        <v>852</v>
      </c>
      <c r="C4354" s="3" t="s">
        <v>118</v>
      </c>
      <c r="D4354" s="3" t="s">
        <v>19</v>
      </c>
      <c r="E4354" s="3" t="s">
        <v>199</v>
      </c>
      <c r="F4354" s="3" t="s">
        <v>200</v>
      </c>
      <c r="G4354" s="3" t="s">
        <v>30</v>
      </c>
      <c r="H4354" s="3" t="s">
        <v>67</v>
      </c>
      <c r="I4354" s="3" t="s">
        <v>593</v>
      </c>
      <c r="J4354" s="3" t="s">
        <v>54</v>
      </c>
      <c r="K4354" s="3">
        <v>4</v>
      </c>
      <c r="L4354" s="3">
        <v>9733.01</v>
      </c>
      <c r="M4354" s="3">
        <v>38932.04</v>
      </c>
      <c r="N4354" s="3">
        <v>29212.66</v>
      </c>
      <c r="O4354" s="3">
        <v>9719.3799999999992</v>
      </c>
      <c r="P4354" s="3" t="s">
        <v>26</v>
      </c>
    </row>
    <row r="4355" spans="1:16" x14ac:dyDescent="0.35">
      <c r="A4355" s="3" t="s">
        <v>5795</v>
      </c>
      <c r="B4355" s="3" t="s">
        <v>1053</v>
      </c>
      <c r="C4355" s="3" t="s">
        <v>82</v>
      </c>
      <c r="D4355" s="3" t="s">
        <v>90</v>
      </c>
      <c r="E4355" s="3" t="s">
        <v>119</v>
      </c>
      <c r="F4355" s="3" t="s">
        <v>120</v>
      </c>
      <c r="G4355" s="3" t="s">
        <v>51</v>
      </c>
      <c r="H4355" s="3" t="s">
        <v>77</v>
      </c>
      <c r="I4355" s="3" t="s">
        <v>2201</v>
      </c>
      <c r="J4355" s="3" t="s">
        <v>100</v>
      </c>
      <c r="K4355" s="3">
        <v>4</v>
      </c>
      <c r="L4355" s="3">
        <v>11182.28</v>
      </c>
      <c r="M4355" s="3">
        <v>44729.120000000003</v>
      </c>
      <c r="N4355" s="3">
        <v>37709.83</v>
      </c>
      <c r="O4355" s="3">
        <v>7019.29</v>
      </c>
      <c r="P4355" s="3" t="s">
        <v>45</v>
      </c>
    </row>
    <row r="4356" spans="1:16" x14ac:dyDescent="0.35">
      <c r="A4356" s="3" t="s">
        <v>5796</v>
      </c>
      <c r="B4356" s="3" t="s">
        <v>1086</v>
      </c>
      <c r="C4356" s="3" t="s">
        <v>37</v>
      </c>
      <c r="D4356" s="3" t="s">
        <v>58</v>
      </c>
      <c r="E4356" s="3" t="s">
        <v>176</v>
      </c>
      <c r="F4356" s="3" t="s">
        <v>177</v>
      </c>
      <c r="G4356" s="3" t="s">
        <v>30</v>
      </c>
      <c r="H4356" s="3" t="s">
        <v>67</v>
      </c>
      <c r="I4356" s="3" t="s">
        <v>1445</v>
      </c>
      <c r="J4356" s="3" t="s">
        <v>106</v>
      </c>
      <c r="K4356" s="3">
        <v>2</v>
      </c>
      <c r="L4356" s="3">
        <v>9011.73</v>
      </c>
      <c r="M4356" s="3">
        <v>18023.46</v>
      </c>
      <c r="N4356" s="3">
        <v>15626.92</v>
      </c>
      <c r="O4356" s="3">
        <v>2396.54</v>
      </c>
      <c r="P4356" s="3" t="s">
        <v>86</v>
      </c>
    </row>
    <row r="4357" spans="1:16" x14ac:dyDescent="0.35">
      <c r="A4357" s="3" t="s">
        <v>5797</v>
      </c>
      <c r="B4357" s="3" t="s">
        <v>1471</v>
      </c>
      <c r="C4357" s="3" t="s">
        <v>89</v>
      </c>
      <c r="D4357" s="3" t="s">
        <v>58</v>
      </c>
      <c r="E4357" s="3" t="s">
        <v>176</v>
      </c>
      <c r="F4357" s="3" t="s">
        <v>177</v>
      </c>
      <c r="G4357" s="3" t="s">
        <v>51</v>
      </c>
      <c r="H4357" s="3" t="s">
        <v>77</v>
      </c>
      <c r="I4357" s="3" t="s">
        <v>1973</v>
      </c>
      <c r="J4357" s="3" t="s">
        <v>100</v>
      </c>
      <c r="K4357" s="3">
        <v>1</v>
      </c>
      <c r="L4357" s="3">
        <v>11811.72</v>
      </c>
      <c r="M4357" s="3">
        <v>11811.72</v>
      </c>
      <c r="N4357" s="3">
        <v>9181.6200000000008</v>
      </c>
      <c r="O4357" s="3">
        <v>2630.1</v>
      </c>
      <c r="P4357" s="3" t="s">
        <v>34</v>
      </c>
    </row>
    <row r="4358" spans="1:16" x14ac:dyDescent="0.35">
      <c r="A4358" s="3" t="s">
        <v>5798</v>
      </c>
      <c r="B4358" s="3" t="s">
        <v>141</v>
      </c>
      <c r="C4358" s="3" t="s">
        <v>57</v>
      </c>
      <c r="D4358" s="3" t="s">
        <v>90</v>
      </c>
      <c r="E4358" s="3" t="s">
        <v>97</v>
      </c>
      <c r="F4358" s="3" t="s">
        <v>98</v>
      </c>
      <c r="G4358" s="3" t="s">
        <v>22</v>
      </c>
      <c r="H4358" s="3" t="s">
        <v>83</v>
      </c>
      <c r="I4358" s="3" t="s">
        <v>590</v>
      </c>
      <c r="J4358" s="3" t="s">
        <v>188</v>
      </c>
      <c r="K4358" s="3">
        <v>6</v>
      </c>
      <c r="L4358" s="3">
        <v>22155.06</v>
      </c>
      <c r="M4358" s="3">
        <v>132930.35999999999</v>
      </c>
      <c r="N4358" s="3">
        <v>97770.71</v>
      </c>
      <c r="O4358" s="3">
        <v>35159.65</v>
      </c>
      <c r="P4358" s="3" t="s">
        <v>69</v>
      </c>
    </row>
    <row r="4359" spans="1:16" x14ac:dyDescent="0.35">
      <c r="A4359" s="3" t="s">
        <v>5799</v>
      </c>
      <c r="B4359" s="3" t="s">
        <v>330</v>
      </c>
      <c r="C4359" s="3" t="s">
        <v>18</v>
      </c>
      <c r="D4359" s="3" t="s">
        <v>90</v>
      </c>
      <c r="E4359" s="3" t="s">
        <v>97</v>
      </c>
      <c r="F4359" s="3" t="s">
        <v>98</v>
      </c>
      <c r="G4359" s="3" t="s">
        <v>30</v>
      </c>
      <c r="H4359" s="3" t="s">
        <v>31</v>
      </c>
      <c r="I4359" s="3" t="s">
        <v>2967</v>
      </c>
      <c r="J4359" s="3" t="s">
        <v>154</v>
      </c>
      <c r="K4359" s="3">
        <v>3</v>
      </c>
      <c r="L4359" s="3">
        <v>3035.47</v>
      </c>
      <c r="M4359" s="3">
        <v>9106.41</v>
      </c>
      <c r="N4359" s="3">
        <v>5951.48</v>
      </c>
      <c r="O4359" s="3">
        <v>3154.93</v>
      </c>
      <c r="P4359" s="3" t="s">
        <v>45</v>
      </c>
    </row>
    <row r="4360" spans="1:16" x14ac:dyDescent="0.35">
      <c r="A4360" s="3" t="s">
        <v>5800</v>
      </c>
      <c r="B4360" s="3" t="s">
        <v>1202</v>
      </c>
      <c r="C4360" s="3" t="s">
        <v>118</v>
      </c>
      <c r="D4360" s="3" t="s">
        <v>38</v>
      </c>
      <c r="E4360" s="3" t="s">
        <v>109</v>
      </c>
      <c r="F4360" s="3" t="s">
        <v>110</v>
      </c>
      <c r="G4360" s="3" t="s">
        <v>30</v>
      </c>
      <c r="H4360" s="3" t="s">
        <v>67</v>
      </c>
      <c r="I4360" s="3" t="s">
        <v>627</v>
      </c>
      <c r="J4360" s="3" t="s">
        <v>25</v>
      </c>
      <c r="K4360" s="3">
        <v>6</v>
      </c>
      <c r="L4360" s="3">
        <v>9104.69</v>
      </c>
      <c r="M4360" s="3">
        <v>54628.14</v>
      </c>
      <c r="N4360" s="3">
        <v>45930.05</v>
      </c>
      <c r="O4360" s="3">
        <v>8698.09</v>
      </c>
      <c r="P4360" s="3" t="s">
        <v>86</v>
      </c>
    </row>
    <row r="4361" spans="1:16" x14ac:dyDescent="0.35">
      <c r="A4361" s="3" t="s">
        <v>5801</v>
      </c>
      <c r="B4361" s="3" t="s">
        <v>604</v>
      </c>
      <c r="C4361" s="3" t="s">
        <v>118</v>
      </c>
      <c r="D4361" s="3" t="s">
        <v>58</v>
      </c>
      <c r="E4361" s="3" t="s">
        <v>59</v>
      </c>
      <c r="F4361" s="3" t="s">
        <v>60</v>
      </c>
      <c r="G4361" s="3" t="s">
        <v>30</v>
      </c>
      <c r="H4361" s="3" t="s">
        <v>73</v>
      </c>
      <c r="I4361" s="3" t="s">
        <v>1002</v>
      </c>
      <c r="J4361" s="3" t="s">
        <v>161</v>
      </c>
      <c r="K4361" s="3">
        <v>3</v>
      </c>
      <c r="L4361" s="3">
        <v>2908.27</v>
      </c>
      <c r="M4361" s="3">
        <v>8724.81</v>
      </c>
      <c r="N4361" s="3">
        <v>7305.72</v>
      </c>
      <c r="O4361" s="3">
        <v>1419.09</v>
      </c>
      <c r="P4361" s="3" t="s">
        <v>69</v>
      </c>
    </row>
    <row r="4362" spans="1:16" x14ac:dyDescent="0.35">
      <c r="A4362" s="3" t="s">
        <v>5802</v>
      </c>
      <c r="B4362" s="3" t="s">
        <v>327</v>
      </c>
      <c r="C4362" s="3" t="s">
        <v>48</v>
      </c>
      <c r="D4362" s="3" t="s">
        <v>19</v>
      </c>
      <c r="E4362" s="3" t="s">
        <v>199</v>
      </c>
      <c r="F4362" s="3" t="s">
        <v>200</v>
      </c>
      <c r="G4362" s="3" t="s">
        <v>30</v>
      </c>
      <c r="H4362" s="3" t="s">
        <v>31</v>
      </c>
      <c r="I4362" s="3" t="s">
        <v>1093</v>
      </c>
      <c r="J4362" s="3" t="s">
        <v>85</v>
      </c>
      <c r="K4362" s="3">
        <v>6</v>
      </c>
      <c r="L4362" s="3">
        <v>2620.98</v>
      </c>
      <c r="M4362" s="3">
        <v>15725.88</v>
      </c>
      <c r="N4362" s="3">
        <v>11353.23</v>
      </c>
      <c r="O4362" s="3">
        <v>4372.6499999999996</v>
      </c>
      <c r="P4362" s="3" t="s">
        <v>26</v>
      </c>
    </row>
    <row r="4363" spans="1:16" x14ac:dyDescent="0.35">
      <c r="A4363" s="3" t="s">
        <v>5803</v>
      </c>
      <c r="B4363" s="3" t="s">
        <v>288</v>
      </c>
      <c r="C4363" s="3" t="s">
        <v>118</v>
      </c>
      <c r="D4363" s="3" t="s">
        <v>58</v>
      </c>
      <c r="E4363" s="3" t="s">
        <v>65</v>
      </c>
      <c r="F4363" s="3" t="s">
        <v>66</v>
      </c>
      <c r="G4363" s="3" t="s">
        <v>22</v>
      </c>
      <c r="H4363" s="3" t="s">
        <v>93</v>
      </c>
      <c r="I4363" s="3" t="s">
        <v>2875</v>
      </c>
      <c r="J4363" s="3" t="s">
        <v>188</v>
      </c>
      <c r="K4363" s="3">
        <v>2</v>
      </c>
      <c r="L4363" s="3">
        <v>7403.7</v>
      </c>
      <c r="M4363" s="3">
        <v>14807.4</v>
      </c>
      <c r="N4363" s="3">
        <v>9520.2900000000009</v>
      </c>
      <c r="O4363" s="3">
        <v>5287.11</v>
      </c>
      <c r="P4363" s="3" t="s">
        <v>45</v>
      </c>
    </row>
    <row r="4364" spans="1:16" x14ac:dyDescent="0.35">
      <c r="A4364" s="3" t="s">
        <v>5804</v>
      </c>
      <c r="B4364" s="3" t="s">
        <v>333</v>
      </c>
      <c r="C4364" s="3" t="s">
        <v>118</v>
      </c>
      <c r="D4364" s="3" t="s">
        <v>19</v>
      </c>
      <c r="E4364" s="3" t="s">
        <v>199</v>
      </c>
      <c r="F4364" s="3" t="s">
        <v>200</v>
      </c>
      <c r="G4364" s="3" t="s">
        <v>22</v>
      </c>
      <c r="H4364" s="3" t="s">
        <v>83</v>
      </c>
      <c r="I4364" s="3" t="s">
        <v>2272</v>
      </c>
      <c r="J4364" s="3" t="s">
        <v>100</v>
      </c>
      <c r="K4364" s="3">
        <v>5</v>
      </c>
      <c r="L4364" s="3">
        <v>21299.73</v>
      </c>
      <c r="M4364" s="3">
        <v>106498.65</v>
      </c>
      <c r="N4364" s="3">
        <v>83447.03</v>
      </c>
      <c r="O4364" s="3">
        <v>23051.62</v>
      </c>
      <c r="P4364" s="3" t="s">
        <v>69</v>
      </c>
    </row>
    <row r="4365" spans="1:16" x14ac:dyDescent="0.35">
      <c r="A4365" s="3" t="s">
        <v>5805</v>
      </c>
      <c r="B4365" s="3" t="s">
        <v>1910</v>
      </c>
      <c r="C4365" s="3" t="s">
        <v>29</v>
      </c>
      <c r="D4365" s="3" t="s">
        <v>38</v>
      </c>
      <c r="E4365" s="3" t="s">
        <v>39</v>
      </c>
      <c r="F4365" s="3" t="s">
        <v>40</v>
      </c>
      <c r="G4365" s="3" t="s">
        <v>30</v>
      </c>
      <c r="H4365" s="3" t="s">
        <v>31</v>
      </c>
      <c r="I4365" s="3" t="s">
        <v>3485</v>
      </c>
      <c r="J4365" s="3" t="s">
        <v>85</v>
      </c>
      <c r="K4365" s="3">
        <v>7</v>
      </c>
      <c r="L4365" s="3">
        <v>3065.79</v>
      </c>
      <c r="M4365" s="3">
        <v>21460.53</v>
      </c>
      <c r="N4365" s="3">
        <v>12668.05</v>
      </c>
      <c r="O4365" s="3">
        <v>8792.48</v>
      </c>
      <c r="P4365" s="3" t="s">
        <v>45</v>
      </c>
    </row>
    <row r="4366" spans="1:16" x14ac:dyDescent="0.35">
      <c r="A4366" s="3" t="s">
        <v>5806</v>
      </c>
      <c r="B4366" s="3" t="s">
        <v>3482</v>
      </c>
      <c r="C4366" s="3" t="s">
        <v>57</v>
      </c>
      <c r="D4366" s="3" t="s">
        <v>90</v>
      </c>
      <c r="E4366" s="3" t="s">
        <v>97</v>
      </c>
      <c r="F4366" s="3" t="s">
        <v>98</v>
      </c>
      <c r="G4366" s="3" t="s">
        <v>22</v>
      </c>
      <c r="H4366" s="3" t="s">
        <v>83</v>
      </c>
      <c r="I4366" s="3" t="s">
        <v>3847</v>
      </c>
      <c r="J4366" s="3" t="s">
        <v>217</v>
      </c>
      <c r="K4366" s="3">
        <v>5</v>
      </c>
      <c r="L4366" s="3">
        <v>23951.94</v>
      </c>
      <c r="M4366" s="3">
        <v>119759.7</v>
      </c>
      <c r="N4366" s="3">
        <v>84738.74</v>
      </c>
      <c r="O4366" s="3">
        <v>35020.959999999999</v>
      </c>
      <c r="P4366" s="3" t="s">
        <v>86</v>
      </c>
    </row>
    <row r="4367" spans="1:16" x14ac:dyDescent="0.35">
      <c r="A4367" s="3" t="s">
        <v>5807</v>
      </c>
      <c r="B4367" s="3" t="s">
        <v>166</v>
      </c>
      <c r="C4367" s="3" t="s">
        <v>37</v>
      </c>
      <c r="D4367" s="3" t="s">
        <v>19</v>
      </c>
      <c r="E4367" s="3" t="s">
        <v>20</v>
      </c>
      <c r="F4367" s="3" t="s">
        <v>21</v>
      </c>
      <c r="G4367" s="3" t="s">
        <v>22</v>
      </c>
      <c r="H4367" s="3" t="s">
        <v>93</v>
      </c>
      <c r="I4367" s="3" t="s">
        <v>1251</v>
      </c>
      <c r="J4367" s="3" t="s">
        <v>33</v>
      </c>
      <c r="K4367" s="3">
        <v>3</v>
      </c>
      <c r="L4367" s="3">
        <v>6444.51</v>
      </c>
      <c r="M4367" s="3">
        <v>19333.53</v>
      </c>
      <c r="N4367" s="3">
        <v>14914.46</v>
      </c>
      <c r="O4367" s="3">
        <v>4419.07</v>
      </c>
      <c r="P4367" s="3" t="s">
        <v>26</v>
      </c>
    </row>
    <row r="4368" spans="1:16" x14ac:dyDescent="0.35">
      <c r="A4368" s="3" t="s">
        <v>5808</v>
      </c>
      <c r="B4368" s="3" t="s">
        <v>924</v>
      </c>
      <c r="C4368" s="3" t="s">
        <v>18</v>
      </c>
      <c r="D4368" s="3" t="s">
        <v>58</v>
      </c>
      <c r="E4368" s="3" t="s">
        <v>176</v>
      </c>
      <c r="F4368" s="3" t="s">
        <v>177</v>
      </c>
      <c r="G4368" s="3" t="s">
        <v>41</v>
      </c>
      <c r="H4368" s="3" t="s">
        <v>42</v>
      </c>
      <c r="I4368" s="3" t="s">
        <v>3374</v>
      </c>
      <c r="J4368" s="3" t="s">
        <v>79</v>
      </c>
      <c r="K4368" s="3">
        <v>3</v>
      </c>
      <c r="L4368" s="3">
        <v>45558.39</v>
      </c>
      <c r="M4368" s="3">
        <v>136675.17000000001</v>
      </c>
      <c r="N4368" s="3">
        <v>105313.23</v>
      </c>
      <c r="O4368" s="3">
        <v>31361.94</v>
      </c>
      <c r="P4368" s="3" t="s">
        <v>45</v>
      </c>
    </row>
    <row r="4369" spans="1:16" x14ac:dyDescent="0.35">
      <c r="A4369" s="3" t="s">
        <v>5809</v>
      </c>
      <c r="B4369" s="3" t="s">
        <v>828</v>
      </c>
      <c r="C4369" s="3" t="s">
        <v>89</v>
      </c>
      <c r="D4369" s="3" t="s">
        <v>38</v>
      </c>
      <c r="E4369" s="3" t="s">
        <v>39</v>
      </c>
      <c r="F4369" s="3" t="s">
        <v>40</v>
      </c>
      <c r="G4369" s="3" t="s">
        <v>22</v>
      </c>
      <c r="H4369" s="3" t="s">
        <v>83</v>
      </c>
      <c r="I4369" s="3" t="s">
        <v>3587</v>
      </c>
      <c r="J4369" s="3" t="s">
        <v>33</v>
      </c>
      <c r="K4369" s="3">
        <v>4</v>
      </c>
      <c r="L4369" s="3">
        <v>23424.62</v>
      </c>
      <c r="M4369" s="3">
        <v>93698.48</v>
      </c>
      <c r="N4369" s="3">
        <v>66245.399999999994</v>
      </c>
      <c r="O4369" s="3">
        <v>27453.08</v>
      </c>
      <c r="P4369" s="3" t="s">
        <v>45</v>
      </c>
    </row>
    <row r="4370" spans="1:16" x14ac:dyDescent="0.35">
      <c r="A4370" s="3" t="s">
        <v>5810</v>
      </c>
      <c r="B4370" s="3" t="s">
        <v>1294</v>
      </c>
      <c r="C4370" s="3" t="s">
        <v>118</v>
      </c>
      <c r="D4370" s="3" t="s">
        <v>90</v>
      </c>
      <c r="E4370" s="3" t="s">
        <v>119</v>
      </c>
      <c r="F4370" s="3" t="s">
        <v>120</v>
      </c>
      <c r="G4370" s="3" t="s">
        <v>30</v>
      </c>
      <c r="H4370" s="3" t="s">
        <v>67</v>
      </c>
      <c r="I4370" s="3" t="s">
        <v>160</v>
      </c>
      <c r="J4370" s="3" t="s">
        <v>217</v>
      </c>
      <c r="K4370" s="3">
        <v>6</v>
      </c>
      <c r="L4370" s="3">
        <v>9945.25</v>
      </c>
      <c r="M4370" s="3">
        <v>59671.5</v>
      </c>
      <c r="N4370" s="3">
        <v>43965.85</v>
      </c>
      <c r="O4370" s="3">
        <v>15705.65</v>
      </c>
      <c r="P4370" s="3" t="s">
        <v>69</v>
      </c>
    </row>
    <row r="4371" spans="1:16" x14ac:dyDescent="0.35">
      <c r="A4371" s="3" t="s">
        <v>5811</v>
      </c>
      <c r="B4371" s="3" t="s">
        <v>1072</v>
      </c>
      <c r="C4371" s="3" t="s">
        <v>18</v>
      </c>
      <c r="D4371" s="3" t="s">
        <v>90</v>
      </c>
      <c r="E4371" s="3" t="s">
        <v>119</v>
      </c>
      <c r="F4371" s="3" t="s">
        <v>120</v>
      </c>
      <c r="G4371" s="3" t="s">
        <v>51</v>
      </c>
      <c r="H4371" s="3" t="s">
        <v>145</v>
      </c>
      <c r="I4371" s="3" t="s">
        <v>3435</v>
      </c>
      <c r="J4371" s="3" t="s">
        <v>161</v>
      </c>
      <c r="K4371" s="3">
        <v>8</v>
      </c>
      <c r="L4371" s="3">
        <v>119.89</v>
      </c>
      <c r="M4371" s="3">
        <v>959.12</v>
      </c>
      <c r="N4371" s="3">
        <v>477.67</v>
      </c>
      <c r="O4371" s="3">
        <v>481.45</v>
      </c>
      <c r="P4371" s="3" t="s">
        <v>34</v>
      </c>
    </row>
    <row r="4372" spans="1:16" x14ac:dyDescent="0.35">
      <c r="A4372" s="3" t="s">
        <v>5812</v>
      </c>
      <c r="B4372" s="3" t="s">
        <v>2041</v>
      </c>
      <c r="C4372" s="3" t="s">
        <v>89</v>
      </c>
      <c r="D4372" s="3" t="s">
        <v>58</v>
      </c>
      <c r="E4372" s="3" t="s">
        <v>176</v>
      </c>
      <c r="F4372" s="3" t="s">
        <v>177</v>
      </c>
      <c r="G4372" s="3" t="s">
        <v>41</v>
      </c>
      <c r="H4372" s="3" t="s">
        <v>138</v>
      </c>
      <c r="I4372" s="3" t="s">
        <v>1814</v>
      </c>
      <c r="J4372" s="3" t="s">
        <v>154</v>
      </c>
      <c r="K4372" s="3">
        <v>4</v>
      </c>
      <c r="L4372" s="3">
        <v>18946.150000000001</v>
      </c>
      <c r="M4372" s="3">
        <v>75784.600000000006</v>
      </c>
      <c r="N4372" s="3">
        <v>54896.99</v>
      </c>
      <c r="O4372" s="3">
        <v>20887.61</v>
      </c>
      <c r="P4372" s="3" t="s">
        <v>26</v>
      </c>
    </row>
    <row r="4373" spans="1:16" x14ac:dyDescent="0.35">
      <c r="A4373" s="3" t="s">
        <v>5813</v>
      </c>
      <c r="B4373" s="3" t="s">
        <v>64</v>
      </c>
      <c r="C4373" s="3" t="s">
        <v>57</v>
      </c>
      <c r="D4373" s="3" t="s">
        <v>38</v>
      </c>
      <c r="E4373" s="3" t="s">
        <v>109</v>
      </c>
      <c r="F4373" s="3" t="s">
        <v>110</v>
      </c>
      <c r="G4373" s="3" t="s">
        <v>30</v>
      </c>
      <c r="H4373" s="3" t="s">
        <v>73</v>
      </c>
      <c r="I4373" s="3" t="s">
        <v>2230</v>
      </c>
      <c r="J4373" s="3" t="s">
        <v>188</v>
      </c>
      <c r="K4373" s="3">
        <v>3</v>
      </c>
      <c r="L4373" s="3">
        <v>2886.05</v>
      </c>
      <c r="M4373" s="3">
        <v>8658.15</v>
      </c>
      <c r="N4373" s="3">
        <v>7018.59</v>
      </c>
      <c r="O4373" s="3">
        <v>1639.56</v>
      </c>
      <c r="P4373" s="3" t="s">
        <v>69</v>
      </c>
    </row>
    <row r="4374" spans="1:16" x14ac:dyDescent="0.35">
      <c r="A4374" s="3" t="s">
        <v>5814</v>
      </c>
      <c r="B4374" s="3" t="s">
        <v>1255</v>
      </c>
      <c r="C4374" s="3" t="s">
        <v>72</v>
      </c>
      <c r="D4374" s="3" t="s">
        <v>90</v>
      </c>
      <c r="E4374" s="3" t="s">
        <v>91</v>
      </c>
      <c r="F4374" s="3" t="s">
        <v>92</v>
      </c>
      <c r="G4374" s="3" t="s">
        <v>30</v>
      </c>
      <c r="H4374" s="3" t="s">
        <v>73</v>
      </c>
      <c r="I4374" s="3" t="s">
        <v>1220</v>
      </c>
      <c r="J4374" s="3" t="s">
        <v>44</v>
      </c>
      <c r="K4374" s="3">
        <v>2</v>
      </c>
      <c r="L4374" s="3">
        <v>3366</v>
      </c>
      <c r="M4374" s="3">
        <v>6732</v>
      </c>
      <c r="N4374" s="3">
        <v>4989.97</v>
      </c>
      <c r="O4374" s="3">
        <v>1742.03</v>
      </c>
      <c r="P4374" s="3" t="s">
        <v>34</v>
      </c>
    </row>
    <row r="4375" spans="1:16" x14ac:dyDescent="0.35">
      <c r="A4375" s="3" t="s">
        <v>5815</v>
      </c>
      <c r="B4375" s="3" t="s">
        <v>1552</v>
      </c>
      <c r="C4375" s="3" t="s">
        <v>114</v>
      </c>
      <c r="D4375" s="3" t="s">
        <v>90</v>
      </c>
      <c r="E4375" s="3" t="s">
        <v>97</v>
      </c>
      <c r="F4375" s="3" t="s">
        <v>98</v>
      </c>
      <c r="G4375" s="3" t="s">
        <v>51</v>
      </c>
      <c r="H4375" s="3" t="s">
        <v>77</v>
      </c>
      <c r="I4375" s="3" t="s">
        <v>337</v>
      </c>
      <c r="J4375" s="3" t="s">
        <v>154</v>
      </c>
      <c r="K4375" s="3">
        <v>2</v>
      </c>
      <c r="L4375" s="3">
        <v>12622.19</v>
      </c>
      <c r="M4375" s="3">
        <v>25244.38</v>
      </c>
      <c r="N4375" s="3">
        <v>17218.18</v>
      </c>
      <c r="O4375" s="3">
        <v>8026.2</v>
      </c>
      <c r="P4375" s="3" t="s">
        <v>45</v>
      </c>
    </row>
    <row r="4376" spans="1:16" x14ac:dyDescent="0.35">
      <c r="A4376" s="3" t="s">
        <v>5816</v>
      </c>
      <c r="B4376" s="3" t="s">
        <v>583</v>
      </c>
      <c r="C4376" s="3" t="s">
        <v>89</v>
      </c>
      <c r="D4376" s="3" t="s">
        <v>38</v>
      </c>
      <c r="E4376" s="3" t="s">
        <v>39</v>
      </c>
      <c r="F4376" s="3" t="s">
        <v>40</v>
      </c>
      <c r="G4376" s="3" t="s">
        <v>51</v>
      </c>
      <c r="H4376" s="3" t="s">
        <v>77</v>
      </c>
      <c r="I4376" s="3" t="s">
        <v>486</v>
      </c>
      <c r="J4376" s="3" t="s">
        <v>188</v>
      </c>
      <c r="K4376" s="3">
        <v>8</v>
      </c>
      <c r="L4376" s="3">
        <v>11845.6</v>
      </c>
      <c r="M4376" s="3">
        <v>94764.800000000003</v>
      </c>
      <c r="N4376" s="3">
        <v>74923.44</v>
      </c>
      <c r="O4376" s="3">
        <v>19841.36</v>
      </c>
      <c r="P4376" s="3" t="s">
        <v>69</v>
      </c>
    </row>
    <row r="4377" spans="1:16" x14ac:dyDescent="0.35">
      <c r="A4377" s="3" t="s">
        <v>5817</v>
      </c>
      <c r="B4377" s="3" t="s">
        <v>1780</v>
      </c>
      <c r="C4377" s="3" t="s">
        <v>137</v>
      </c>
      <c r="D4377" s="3" t="s">
        <v>90</v>
      </c>
      <c r="E4377" s="3" t="s">
        <v>119</v>
      </c>
      <c r="F4377" s="3" t="s">
        <v>120</v>
      </c>
      <c r="G4377" s="3" t="s">
        <v>22</v>
      </c>
      <c r="H4377" s="3" t="s">
        <v>83</v>
      </c>
      <c r="I4377" s="3" t="s">
        <v>568</v>
      </c>
      <c r="J4377" s="3" t="s">
        <v>188</v>
      </c>
      <c r="K4377" s="3">
        <v>1</v>
      </c>
      <c r="L4377" s="3">
        <v>21634.23</v>
      </c>
      <c r="M4377" s="3">
        <v>21634.23</v>
      </c>
      <c r="N4377" s="3">
        <v>17235.5</v>
      </c>
      <c r="O4377" s="3">
        <v>4398.7299999999996</v>
      </c>
      <c r="P4377" s="3" t="s">
        <v>45</v>
      </c>
    </row>
    <row r="4378" spans="1:16" x14ac:dyDescent="0.35">
      <c r="A4378" s="3" t="s">
        <v>5818</v>
      </c>
      <c r="B4378" s="3" t="s">
        <v>96</v>
      </c>
      <c r="C4378" s="3" t="s">
        <v>48</v>
      </c>
      <c r="D4378" s="3" t="s">
        <v>90</v>
      </c>
      <c r="E4378" s="3" t="s">
        <v>97</v>
      </c>
      <c r="F4378" s="3" t="s">
        <v>98</v>
      </c>
      <c r="G4378" s="3" t="s">
        <v>51</v>
      </c>
      <c r="H4378" s="3" t="s">
        <v>77</v>
      </c>
      <c r="I4378" s="3" t="s">
        <v>371</v>
      </c>
      <c r="J4378" s="3" t="s">
        <v>131</v>
      </c>
      <c r="K4378" s="3">
        <v>6</v>
      </c>
      <c r="L4378" s="3">
        <v>11240.01</v>
      </c>
      <c r="M4378" s="3">
        <v>67440.06</v>
      </c>
      <c r="N4378" s="3">
        <v>52642.879999999997</v>
      </c>
      <c r="O4378" s="3">
        <v>14797.18</v>
      </c>
      <c r="P4378" s="3" t="s">
        <v>34</v>
      </c>
    </row>
    <row r="4379" spans="1:16" x14ac:dyDescent="0.35">
      <c r="A4379" s="3" t="s">
        <v>5819</v>
      </c>
      <c r="B4379" s="3" t="s">
        <v>1667</v>
      </c>
      <c r="C4379" s="3" t="s">
        <v>48</v>
      </c>
      <c r="D4379" s="3" t="s">
        <v>58</v>
      </c>
      <c r="E4379" s="3" t="s">
        <v>59</v>
      </c>
      <c r="F4379" s="3" t="s">
        <v>60</v>
      </c>
      <c r="G4379" s="3" t="s">
        <v>30</v>
      </c>
      <c r="H4379" s="3" t="s">
        <v>73</v>
      </c>
      <c r="I4379" s="3" t="s">
        <v>204</v>
      </c>
      <c r="J4379" s="3" t="s">
        <v>131</v>
      </c>
      <c r="K4379" s="3">
        <v>2</v>
      </c>
      <c r="L4379" s="3">
        <v>3382.53</v>
      </c>
      <c r="M4379" s="3">
        <v>6765.06</v>
      </c>
      <c r="N4379" s="3">
        <v>4974.28</v>
      </c>
      <c r="O4379" s="3">
        <v>1790.78</v>
      </c>
      <c r="P4379" s="3" t="s">
        <v>34</v>
      </c>
    </row>
    <row r="4380" spans="1:16" x14ac:dyDescent="0.35">
      <c r="A4380" s="3" t="s">
        <v>5820</v>
      </c>
      <c r="B4380" s="3" t="s">
        <v>279</v>
      </c>
      <c r="C4380" s="3" t="s">
        <v>37</v>
      </c>
      <c r="D4380" s="3" t="s">
        <v>19</v>
      </c>
      <c r="E4380" s="3" t="s">
        <v>20</v>
      </c>
      <c r="F4380" s="3" t="s">
        <v>21</v>
      </c>
      <c r="G4380" s="3" t="s">
        <v>51</v>
      </c>
      <c r="H4380" s="3" t="s">
        <v>52</v>
      </c>
      <c r="I4380" s="3" t="s">
        <v>1356</v>
      </c>
      <c r="J4380" s="3" t="s">
        <v>188</v>
      </c>
      <c r="K4380" s="3">
        <v>5</v>
      </c>
      <c r="L4380" s="3">
        <v>23.82</v>
      </c>
      <c r="M4380" s="3">
        <v>119.1</v>
      </c>
      <c r="N4380" s="3">
        <v>48.39</v>
      </c>
      <c r="O4380" s="3">
        <v>70.709999999999994</v>
      </c>
      <c r="P4380" s="3" t="s">
        <v>34</v>
      </c>
    </row>
    <row r="4381" spans="1:16" x14ac:dyDescent="0.35">
      <c r="A4381" s="3" t="s">
        <v>5821</v>
      </c>
      <c r="B4381" s="3" t="s">
        <v>113</v>
      </c>
      <c r="C4381" s="3" t="s">
        <v>114</v>
      </c>
      <c r="D4381" s="3" t="s">
        <v>58</v>
      </c>
      <c r="E4381" s="3" t="s">
        <v>65</v>
      </c>
      <c r="F4381" s="3" t="s">
        <v>66</v>
      </c>
      <c r="G4381" s="3" t="s">
        <v>22</v>
      </c>
      <c r="H4381" s="3" t="s">
        <v>93</v>
      </c>
      <c r="I4381" s="3" t="s">
        <v>2145</v>
      </c>
      <c r="J4381" s="3" t="s">
        <v>44</v>
      </c>
      <c r="K4381" s="3">
        <v>2</v>
      </c>
      <c r="L4381" s="3">
        <v>6371.6</v>
      </c>
      <c r="M4381" s="3">
        <v>12743.2</v>
      </c>
      <c r="N4381" s="3">
        <v>9723.4599999999991</v>
      </c>
      <c r="O4381" s="3">
        <v>3019.74</v>
      </c>
      <c r="P4381" s="3" t="s">
        <v>26</v>
      </c>
    </row>
    <row r="4382" spans="1:16" x14ac:dyDescent="0.35">
      <c r="A4382" s="3" t="s">
        <v>5822</v>
      </c>
      <c r="B4382" s="3" t="s">
        <v>1471</v>
      </c>
      <c r="C4382" s="3" t="s">
        <v>89</v>
      </c>
      <c r="D4382" s="3" t="s">
        <v>19</v>
      </c>
      <c r="E4382" s="3" t="s">
        <v>49</v>
      </c>
      <c r="F4382" s="3" t="s">
        <v>50</v>
      </c>
      <c r="G4382" s="3" t="s">
        <v>30</v>
      </c>
      <c r="H4382" s="3" t="s">
        <v>73</v>
      </c>
      <c r="I4382" s="3" t="s">
        <v>3449</v>
      </c>
      <c r="J4382" s="3" t="s">
        <v>147</v>
      </c>
      <c r="K4382" s="3">
        <v>3</v>
      </c>
      <c r="L4382" s="3">
        <v>3183.84</v>
      </c>
      <c r="M4382" s="3">
        <v>9551.52</v>
      </c>
      <c r="N4382" s="3">
        <v>7231.96</v>
      </c>
      <c r="O4382" s="3">
        <v>2319.56</v>
      </c>
      <c r="P4382" s="3" t="s">
        <v>69</v>
      </c>
    </row>
    <row r="4383" spans="1:16" x14ac:dyDescent="0.35">
      <c r="A4383" s="3" t="s">
        <v>5823</v>
      </c>
      <c r="B4383" s="3" t="s">
        <v>1089</v>
      </c>
      <c r="C4383" s="3" t="s">
        <v>48</v>
      </c>
      <c r="D4383" s="3" t="s">
        <v>90</v>
      </c>
      <c r="E4383" s="3" t="s">
        <v>97</v>
      </c>
      <c r="F4383" s="3" t="s">
        <v>98</v>
      </c>
      <c r="G4383" s="3" t="s">
        <v>22</v>
      </c>
      <c r="H4383" s="3" t="s">
        <v>83</v>
      </c>
      <c r="I4383" s="3" t="s">
        <v>325</v>
      </c>
      <c r="J4383" s="3" t="s">
        <v>188</v>
      </c>
      <c r="K4383" s="3">
        <v>8</v>
      </c>
      <c r="L4383" s="3">
        <v>21278.97</v>
      </c>
      <c r="M4383" s="3">
        <v>170231.76</v>
      </c>
      <c r="N4383" s="3">
        <v>142291.06</v>
      </c>
      <c r="O4383" s="3">
        <v>27940.7</v>
      </c>
      <c r="P4383" s="3" t="s">
        <v>26</v>
      </c>
    </row>
    <row r="4384" spans="1:16" x14ac:dyDescent="0.35">
      <c r="A4384" s="3" t="s">
        <v>5824</v>
      </c>
      <c r="B4384" s="3" t="s">
        <v>752</v>
      </c>
      <c r="C4384" s="3" t="s">
        <v>29</v>
      </c>
      <c r="D4384" s="3" t="s">
        <v>90</v>
      </c>
      <c r="E4384" s="3" t="s">
        <v>119</v>
      </c>
      <c r="F4384" s="3" t="s">
        <v>120</v>
      </c>
      <c r="G4384" s="3" t="s">
        <v>51</v>
      </c>
      <c r="H4384" s="3" t="s">
        <v>77</v>
      </c>
      <c r="I4384" s="3" t="s">
        <v>2647</v>
      </c>
      <c r="J4384" s="3" t="s">
        <v>217</v>
      </c>
      <c r="K4384" s="3">
        <v>6</v>
      </c>
      <c r="L4384" s="3">
        <v>12707.63</v>
      </c>
      <c r="M4384" s="3">
        <v>76245.78</v>
      </c>
      <c r="N4384" s="3">
        <v>56621.47</v>
      </c>
      <c r="O4384" s="3">
        <v>19624.310000000001</v>
      </c>
      <c r="P4384" s="3" t="s">
        <v>34</v>
      </c>
    </row>
    <row r="4385" spans="1:16" x14ac:dyDescent="0.35">
      <c r="A4385" s="3" t="s">
        <v>5825</v>
      </c>
      <c r="B4385" s="3" t="s">
        <v>889</v>
      </c>
      <c r="C4385" s="3" t="s">
        <v>82</v>
      </c>
      <c r="D4385" s="3" t="s">
        <v>58</v>
      </c>
      <c r="E4385" s="3" t="s">
        <v>176</v>
      </c>
      <c r="F4385" s="3" t="s">
        <v>177</v>
      </c>
      <c r="G4385" s="3" t="s">
        <v>30</v>
      </c>
      <c r="H4385" s="3" t="s">
        <v>67</v>
      </c>
      <c r="I4385" s="3" t="s">
        <v>2723</v>
      </c>
      <c r="J4385" s="3" t="s">
        <v>25</v>
      </c>
      <c r="K4385" s="3">
        <v>2</v>
      </c>
      <c r="L4385" s="3">
        <v>8955.25</v>
      </c>
      <c r="M4385" s="3">
        <v>17910.5</v>
      </c>
      <c r="N4385" s="3">
        <v>14957.54</v>
      </c>
      <c r="O4385" s="3">
        <v>2952.96</v>
      </c>
      <c r="P4385" s="3" t="s">
        <v>86</v>
      </c>
    </row>
    <row r="4386" spans="1:16" x14ac:dyDescent="0.35">
      <c r="A4386" s="3" t="s">
        <v>5826</v>
      </c>
      <c r="B4386" s="3" t="s">
        <v>1724</v>
      </c>
      <c r="C4386" s="3" t="s">
        <v>48</v>
      </c>
      <c r="D4386" s="3" t="s">
        <v>58</v>
      </c>
      <c r="E4386" s="3" t="s">
        <v>176</v>
      </c>
      <c r="F4386" s="3" t="s">
        <v>177</v>
      </c>
      <c r="G4386" s="3" t="s">
        <v>41</v>
      </c>
      <c r="H4386" s="3" t="s">
        <v>61</v>
      </c>
      <c r="I4386" s="3" t="s">
        <v>3391</v>
      </c>
      <c r="J4386" s="3" t="s">
        <v>154</v>
      </c>
      <c r="K4386" s="3">
        <v>4</v>
      </c>
      <c r="L4386" s="3">
        <v>2334.09</v>
      </c>
      <c r="M4386" s="3">
        <v>9336.36</v>
      </c>
      <c r="N4386" s="3">
        <v>6534.81</v>
      </c>
      <c r="O4386" s="3">
        <v>2801.55</v>
      </c>
      <c r="P4386" s="3" t="s">
        <v>86</v>
      </c>
    </row>
    <row r="4387" spans="1:16" x14ac:dyDescent="0.35">
      <c r="A4387" s="3" t="s">
        <v>5827</v>
      </c>
      <c r="B4387" s="3" t="s">
        <v>861</v>
      </c>
      <c r="C4387" s="3" t="s">
        <v>137</v>
      </c>
      <c r="D4387" s="3" t="s">
        <v>90</v>
      </c>
      <c r="E4387" s="3" t="s">
        <v>91</v>
      </c>
      <c r="F4387" s="3" t="s">
        <v>92</v>
      </c>
      <c r="G4387" s="3" t="s">
        <v>22</v>
      </c>
      <c r="H4387" s="3" t="s">
        <v>23</v>
      </c>
      <c r="I4387" s="3" t="s">
        <v>2769</v>
      </c>
      <c r="J4387" s="3" t="s">
        <v>188</v>
      </c>
      <c r="K4387" s="3">
        <v>3</v>
      </c>
      <c r="L4387" s="3">
        <v>3827.63</v>
      </c>
      <c r="M4387" s="3">
        <v>11482.89</v>
      </c>
      <c r="N4387" s="3">
        <v>6645.29</v>
      </c>
      <c r="O4387" s="3">
        <v>4837.6000000000004</v>
      </c>
      <c r="P4387" s="3" t="s">
        <v>26</v>
      </c>
    </row>
    <row r="4388" spans="1:16" x14ac:dyDescent="0.35">
      <c r="A4388" s="3" t="s">
        <v>5828</v>
      </c>
      <c r="B4388" s="3" t="s">
        <v>315</v>
      </c>
      <c r="C4388" s="3" t="s">
        <v>118</v>
      </c>
      <c r="D4388" s="3" t="s">
        <v>19</v>
      </c>
      <c r="E4388" s="3" t="s">
        <v>49</v>
      </c>
      <c r="F4388" s="3" t="s">
        <v>50</v>
      </c>
      <c r="G4388" s="3" t="s">
        <v>41</v>
      </c>
      <c r="H4388" s="3" t="s">
        <v>61</v>
      </c>
      <c r="I4388" s="3" t="s">
        <v>379</v>
      </c>
      <c r="J4388" s="3" t="s">
        <v>171</v>
      </c>
      <c r="K4388" s="3">
        <v>1</v>
      </c>
      <c r="L4388" s="3">
        <v>2317.71</v>
      </c>
      <c r="M4388" s="3">
        <v>2317.71</v>
      </c>
      <c r="N4388" s="3">
        <v>1539.35</v>
      </c>
      <c r="O4388" s="3">
        <v>778.36</v>
      </c>
      <c r="P4388" s="3" t="s">
        <v>26</v>
      </c>
    </row>
    <row r="4389" spans="1:16" x14ac:dyDescent="0.35">
      <c r="A4389" s="3" t="s">
        <v>5829</v>
      </c>
      <c r="B4389" s="3" t="s">
        <v>2343</v>
      </c>
      <c r="C4389" s="3" t="s">
        <v>103</v>
      </c>
      <c r="D4389" s="3" t="s">
        <v>58</v>
      </c>
      <c r="E4389" s="3" t="s">
        <v>59</v>
      </c>
      <c r="F4389" s="3" t="s">
        <v>60</v>
      </c>
      <c r="G4389" s="3" t="s">
        <v>51</v>
      </c>
      <c r="H4389" s="3" t="s">
        <v>52</v>
      </c>
      <c r="I4389" s="3" t="s">
        <v>824</v>
      </c>
      <c r="J4389" s="3" t="s">
        <v>154</v>
      </c>
      <c r="K4389" s="3">
        <v>8</v>
      </c>
      <c r="L4389" s="3">
        <v>23.5</v>
      </c>
      <c r="M4389" s="3">
        <v>188</v>
      </c>
      <c r="N4389" s="3">
        <v>79.790000000000006</v>
      </c>
      <c r="O4389" s="3">
        <v>108.21</v>
      </c>
      <c r="P4389" s="3" t="s">
        <v>69</v>
      </c>
    </row>
    <row r="4390" spans="1:16" x14ac:dyDescent="0.35">
      <c r="A4390" s="3" t="s">
        <v>5830</v>
      </c>
      <c r="B4390" s="3" t="s">
        <v>2028</v>
      </c>
      <c r="C4390" s="3" t="s">
        <v>137</v>
      </c>
      <c r="D4390" s="3" t="s">
        <v>90</v>
      </c>
      <c r="E4390" s="3" t="s">
        <v>97</v>
      </c>
      <c r="F4390" s="3" t="s">
        <v>98</v>
      </c>
      <c r="G4390" s="3" t="s">
        <v>51</v>
      </c>
      <c r="H4390" s="3" t="s">
        <v>77</v>
      </c>
      <c r="I4390" s="3" t="s">
        <v>965</v>
      </c>
      <c r="J4390" s="3" t="s">
        <v>217</v>
      </c>
      <c r="K4390" s="3">
        <v>6</v>
      </c>
      <c r="L4390" s="3">
        <v>12879.09</v>
      </c>
      <c r="M4390" s="3">
        <v>77274.539999999994</v>
      </c>
      <c r="N4390" s="3">
        <v>55680.4</v>
      </c>
      <c r="O4390" s="3">
        <v>21594.14</v>
      </c>
      <c r="P4390" s="3" t="s">
        <v>45</v>
      </c>
    </row>
    <row r="4391" spans="1:16" x14ac:dyDescent="0.35">
      <c r="A4391" s="3" t="s">
        <v>5831</v>
      </c>
      <c r="B4391" s="3" t="s">
        <v>376</v>
      </c>
      <c r="C4391" s="3" t="s">
        <v>37</v>
      </c>
      <c r="D4391" s="3" t="s">
        <v>58</v>
      </c>
      <c r="E4391" s="3" t="s">
        <v>176</v>
      </c>
      <c r="F4391" s="3" t="s">
        <v>177</v>
      </c>
      <c r="G4391" s="3" t="s">
        <v>30</v>
      </c>
      <c r="H4391" s="3" t="s">
        <v>31</v>
      </c>
      <c r="I4391" s="3" t="s">
        <v>1616</v>
      </c>
      <c r="J4391" s="3" t="s">
        <v>44</v>
      </c>
      <c r="K4391" s="3">
        <v>3</v>
      </c>
      <c r="L4391" s="3">
        <v>2900.36</v>
      </c>
      <c r="M4391" s="3">
        <v>8701.08</v>
      </c>
      <c r="N4391" s="3">
        <v>5536.72</v>
      </c>
      <c r="O4391" s="3">
        <v>3164.36</v>
      </c>
      <c r="P4391" s="3" t="s">
        <v>69</v>
      </c>
    </row>
    <row r="4392" spans="1:16" x14ac:dyDescent="0.35">
      <c r="A4392" s="3" t="s">
        <v>5832</v>
      </c>
      <c r="B4392" s="3" t="s">
        <v>847</v>
      </c>
      <c r="C4392" s="3" t="s">
        <v>89</v>
      </c>
      <c r="D4392" s="3" t="s">
        <v>90</v>
      </c>
      <c r="E4392" s="3" t="s">
        <v>91</v>
      </c>
      <c r="F4392" s="3" t="s">
        <v>92</v>
      </c>
      <c r="G4392" s="3" t="s">
        <v>22</v>
      </c>
      <c r="H4392" s="3" t="s">
        <v>83</v>
      </c>
      <c r="I4392" s="3" t="s">
        <v>1481</v>
      </c>
      <c r="J4392" s="3" t="s">
        <v>106</v>
      </c>
      <c r="K4392" s="3">
        <v>3</v>
      </c>
      <c r="L4392" s="3">
        <v>20094.28</v>
      </c>
      <c r="M4392" s="3">
        <v>60282.84</v>
      </c>
      <c r="N4392" s="3">
        <v>50593.38</v>
      </c>
      <c r="O4392" s="3">
        <v>9689.4599999999991</v>
      </c>
      <c r="P4392" s="3" t="s">
        <v>69</v>
      </c>
    </row>
    <row r="4393" spans="1:16" x14ac:dyDescent="0.35">
      <c r="A4393" s="3" t="s">
        <v>5833</v>
      </c>
      <c r="B4393" s="3" t="s">
        <v>1018</v>
      </c>
      <c r="C4393" s="3" t="s">
        <v>37</v>
      </c>
      <c r="D4393" s="3" t="s">
        <v>19</v>
      </c>
      <c r="E4393" s="3" t="s">
        <v>49</v>
      </c>
      <c r="F4393" s="3" t="s">
        <v>50</v>
      </c>
      <c r="G4393" s="3" t="s">
        <v>51</v>
      </c>
      <c r="H4393" s="3" t="s">
        <v>145</v>
      </c>
      <c r="I4393" s="3" t="s">
        <v>1607</v>
      </c>
      <c r="J4393" s="3" t="s">
        <v>171</v>
      </c>
      <c r="K4393" s="3">
        <v>3</v>
      </c>
      <c r="L4393" s="3">
        <v>109.59</v>
      </c>
      <c r="M4393" s="3">
        <v>328.77</v>
      </c>
      <c r="N4393" s="3">
        <v>172.87</v>
      </c>
      <c r="O4393" s="3">
        <v>155.9</v>
      </c>
      <c r="P4393" s="3" t="s">
        <v>86</v>
      </c>
    </row>
    <row r="4394" spans="1:16" x14ac:dyDescent="0.35">
      <c r="A4394" s="3" t="s">
        <v>5834</v>
      </c>
      <c r="B4394" s="3" t="s">
        <v>299</v>
      </c>
      <c r="C4394" s="3" t="s">
        <v>89</v>
      </c>
      <c r="D4394" s="3" t="s">
        <v>19</v>
      </c>
      <c r="E4394" s="3" t="s">
        <v>199</v>
      </c>
      <c r="F4394" s="3" t="s">
        <v>200</v>
      </c>
      <c r="G4394" s="3" t="s">
        <v>51</v>
      </c>
      <c r="H4394" s="3" t="s">
        <v>77</v>
      </c>
      <c r="I4394" s="3" t="s">
        <v>898</v>
      </c>
      <c r="J4394" s="3" t="s">
        <v>161</v>
      </c>
      <c r="K4394" s="3">
        <v>4</v>
      </c>
      <c r="L4394" s="3">
        <v>12161.32</v>
      </c>
      <c r="M4394" s="3">
        <v>48645.279999999999</v>
      </c>
      <c r="N4394" s="3">
        <v>35253.24</v>
      </c>
      <c r="O4394" s="3">
        <v>13392.04</v>
      </c>
      <c r="P4394" s="3" t="s">
        <v>26</v>
      </c>
    </row>
    <row r="4395" spans="1:16" x14ac:dyDescent="0.35">
      <c r="A4395" s="3" t="s">
        <v>5835</v>
      </c>
      <c r="B4395" s="3" t="s">
        <v>81</v>
      </c>
      <c r="C4395" s="3" t="s">
        <v>82</v>
      </c>
      <c r="D4395" s="3" t="s">
        <v>19</v>
      </c>
      <c r="E4395" s="3" t="s">
        <v>199</v>
      </c>
      <c r="F4395" s="3" t="s">
        <v>200</v>
      </c>
      <c r="G4395" s="3" t="s">
        <v>30</v>
      </c>
      <c r="H4395" s="3" t="s">
        <v>73</v>
      </c>
      <c r="I4395" s="3" t="s">
        <v>2945</v>
      </c>
      <c r="J4395" s="3" t="s">
        <v>217</v>
      </c>
      <c r="K4395" s="3">
        <v>1</v>
      </c>
      <c r="L4395" s="3">
        <v>3246.63</v>
      </c>
      <c r="M4395" s="3">
        <v>3246.63</v>
      </c>
      <c r="N4395" s="3">
        <v>2310.69</v>
      </c>
      <c r="O4395" s="3">
        <v>935.94</v>
      </c>
      <c r="P4395" s="3" t="s">
        <v>69</v>
      </c>
    </row>
    <row r="4396" spans="1:16" x14ac:dyDescent="0.35">
      <c r="A4396" s="3" t="s">
        <v>5836</v>
      </c>
      <c r="B4396" s="3" t="s">
        <v>2041</v>
      </c>
      <c r="C4396" s="3" t="s">
        <v>89</v>
      </c>
      <c r="D4396" s="3" t="s">
        <v>90</v>
      </c>
      <c r="E4396" s="3" t="s">
        <v>97</v>
      </c>
      <c r="F4396" s="3" t="s">
        <v>98</v>
      </c>
      <c r="G4396" s="3" t="s">
        <v>51</v>
      </c>
      <c r="H4396" s="3" t="s">
        <v>77</v>
      </c>
      <c r="I4396" s="3" t="s">
        <v>3528</v>
      </c>
      <c r="J4396" s="3" t="s">
        <v>106</v>
      </c>
      <c r="K4396" s="3">
        <v>2</v>
      </c>
      <c r="L4396" s="3">
        <v>12068.87</v>
      </c>
      <c r="M4396" s="3">
        <v>24137.74</v>
      </c>
      <c r="N4396" s="3">
        <v>18726.78</v>
      </c>
      <c r="O4396" s="3">
        <v>5410.96</v>
      </c>
      <c r="P4396" s="3" t="s">
        <v>86</v>
      </c>
    </row>
    <row r="4397" spans="1:16" x14ac:dyDescent="0.35">
      <c r="A4397" s="3" t="s">
        <v>5837</v>
      </c>
      <c r="B4397" s="3" t="s">
        <v>527</v>
      </c>
      <c r="C4397" s="3" t="s">
        <v>82</v>
      </c>
      <c r="D4397" s="3" t="s">
        <v>19</v>
      </c>
      <c r="E4397" s="3" t="s">
        <v>199</v>
      </c>
      <c r="F4397" s="3" t="s">
        <v>200</v>
      </c>
      <c r="G4397" s="3" t="s">
        <v>22</v>
      </c>
      <c r="H4397" s="3" t="s">
        <v>83</v>
      </c>
      <c r="I4397" s="3" t="s">
        <v>1630</v>
      </c>
      <c r="J4397" s="3" t="s">
        <v>106</v>
      </c>
      <c r="K4397" s="3">
        <v>4</v>
      </c>
      <c r="L4397" s="3">
        <v>23251.64</v>
      </c>
      <c r="M4397" s="3">
        <v>93006.56</v>
      </c>
      <c r="N4397" s="3">
        <v>67811.91</v>
      </c>
      <c r="O4397" s="3">
        <v>25194.65</v>
      </c>
      <c r="P4397" s="3" t="s">
        <v>34</v>
      </c>
    </row>
    <row r="4398" spans="1:16" x14ac:dyDescent="0.35">
      <c r="A4398" s="3" t="s">
        <v>5838</v>
      </c>
      <c r="B4398" s="3" t="s">
        <v>2041</v>
      </c>
      <c r="C4398" s="3" t="s">
        <v>89</v>
      </c>
      <c r="D4398" s="3" t="s">
        <v>19</v>
      </c>
      <c r="E4398" s="3" t="s">
        <v>199</v>
      </c>
      <c r="F4398" s="3" t="s">
        <v>200</v>
      </c>
      <c r="G4398" s="3" t="s">
        <v>41</v>
      </c>
      <c r="H4398" s="3" t="s">
        <v>61</v>
      </c>
      <c r="I4398" s="3" t="s">
        <v>610</v>
      </c>
      <c r="J4398" s="3" t="s">
        <v>131</v>
      </c>
      <c r="K4398" s="3">
        <v>6</v>
      </c>
      <c r="L4398" s="3">
        <v>2652.04</v>
      </c>
      <c r="M4398" s="3">
        <v>15912.24</v>
      </c>
      <c r="N4398" s="3">
        <v>9738.59</v>
      </c>
      <c r="O4398" s="3">
        <v>6173.65</v>
      </c>
      <c r="P4398" s="3" t="s">
        <v>45</v>
      </c>
    </row>
    <row r="4399" spans="1:16" x14ac:dyDescent="0.35">
      <c r="A4399" s="3" t="s">
        <v>5839</v>
      </c>
      <c r="B4399" s="3" t="s">
        <v>1255</v>
      </c>
      <c r="C4399" s="3" t="s">
        <v>72</v>
      </c>
      <c r="D4399" s="3" t="s">
        <v>58</v>
      </c>
      <c r="E4399" s="3" t="s">
        <v>176</v>
      </c>
      <c r="F4399" s="3" t="s">
        <v>177</v>
      </c>
      <c r="G4399" s="3" t="s">
        <v>30</v>
      </c>
      <c r="H4399" s="3" t="s">
        <v>73</v>
      </c>
      <c r="I4399" s="3" t="s">
        <v>1900</v>
      </c>
      <c r="J4399" s="3" t="s">
        <v>154</v>
      </c>
      <c r="K4399" s="3">
        <v>6</v>
      </c>
      <c r="L4399" s="3">
        <v>3439.54</v>
      </c>
      <c r="M4399" s="3">
        <v>20637.240000000002</v>
      </c>
      <c r="N4399" s="3">
        <v>14458.17</v>
      </c>
      <c r="O4399" s="3">
        <v>6179.07</v>
      </c>
      <c r="P4399" s="3" t="s">
        <v>45</v>
      </c>
    </row>
    <row r="4400" spans="1:16" x14ac:dyDescent="0.35">
      <c r="A4400" s="3" t="s">
        <v>5840</v>
      </c>
      <c r="B4400" s="3" t="s">
        <v>777</v>
      </c>
      <c r="C4400" s="3" t="s">
        <v>72</v>
      </c>
      <c r="D4400" s="3" t="s">
        <v>19</v>
      </c>
      <c r="E4400" s="3" t="s">
        <v>20</v>
      </c>
      <c r="F4400" s="3" t="s">
        <v>21</v>
      </c>
      <c r="G4400" s="3" t="s">
        <v>22</v>
      </c>
      <c r="H4400" s="3" t="s">
        <v>93</v>
      </c>
      <c r="I4400" s="3" t="s">
        <v>3397</v>
      </c>
      <c r="J4400" s="3" t="s">
        <v>147</v>
      </c>
      <c r="K4400" s="3">
        <v>5</v>
      </c>
      <c r="L4400" s="3">
        <v>7616.07</v>
      </c>
      <c r="M4400" s="3">
        <v>38080.35</v>
      </c>
      <c r="N4400" s="3">
        <v>24793.89</v>
      </c>
      <c r="O4400" s="3">
        <v>13286.46</v>
      </c>
      <c r="P4400" s="3" t="s">
        <v>69</v>
      </c>
    </row>
    <row r="4401" spans="1:16" x14ac:dyDescent="0.35">
      <c r="A4401" s="3" t="s">
        <v>5841</v>
      </c>
      <c r="B4401" s="3" t="s">
        <v>999</v>
      </c>
      <c r="C4401" s="3" t="s">
        <v>103</v>
      </c>
      <c r="D4401" s="3" t="s">
        <v>19</v>
      </c>
      <c r="E4401" s="3" t="s">
        <v>49</v>
      </c>
      <c r="F4401" s="3" t="s">
        <v>50</v>
      </c>
      <c r="G4401" s="3" t="s">
        <v>51</v>
      </c>
      <c r="H4401" s="3" t="s">
        <v>145</v>
      </c>
      <c r="I4401" s="3" t="s">
        <v>4649</v>
      </c>
      <c r="J4401" s="3" t="s">
        <v>54</v>
      </c>
      <c r="K4401" s="3">
        <v>6</v>
      </c>
      <c r="L4401" s="3">
        <v>115.53</v>
      </c>
      <c r="M4401" s="3">
        <v>693.18</v>
      </c>
      <c r="N4401" s="3">
        <v>371.02</v>
      </c>
      <c r="O4401" s="3">
        <v>322.16000000000003</v>
      </c>
      <c r="P4401" s="3" t="s">
        <v>69</v>
      </c>
    </row>
    <row r="4402" spans="1:16" x14ac:dyDescent="0.35">
      <c r="A4402" s="3" t="s">
        <v>5842</v>
      </c>
      <c r="B4402" s="3" t="s">
        <v>837</v>
      </c>
      <c r="C4402" s="3" t="s">
        <v>72</v>
      </c>
      <c r="D4402" s="3" t="s">
        <v>90</v>
      </c>
      <c r="E4402" s="3" t="s">
        <v>119</v>
      </c>
      <c r="F4402" s="3" t="s">
        <v>120</v>
      </c>
      <c r="G4402" s="3" t="s">
        <v>41</v>
      </c>
      <c r="H4402" s="3" t="s">
        <v>42</v>
      </c>
      <c r="I4402" s="3" t="s">
        <v>724</v>
      </c>
      <c r="J4402" s="3" t="s">
        <v>171</v>
      </c>
      <c r="K4402" s="3">
        <v>6</v>
      </c>
      <c r="L4402" s="3">
        <v>47248.42</v>
      </c>
      <c r="M4402" s="3">
        <v>283490.52</v>
      </c>
      <c r="N4402" s="3">
        <v>215705.99</v>
      </c>
      <c r="O4402" s="3">
        <v>67784.53</v>
      </c>
      <c r="P4402" s="3" t="s">
        <v>86</v>
      </c>
    </row>
    <row r="4403" spans="1:16" x14ac:dyDescent="0.35">
      <c r="A4403" s="3" t="s">
        <v>5843</v>
      </c>
      <c r="B4403" s="3" t="s">
        <v>117</v>
      </c>
      <c r="C4403" s="3" t="s">
        <v>118</v>
      </c>
      <c r="D4403" s="3" t="s">
        <v>90</v>
      </c>
      <c r="E4403" s="3" t="s">
        <v>91</v>
      </c>
      <c r="F4403" s="3" t="s">
        <v>92</v>
      </c>
      <c r="G4403" s="3" t="s">
        <v>22</v>
      </c>
      <c r="H4403" s="3" t="s">
        <v>93</v>
      </c>
      <c r="I4403" s="3" t="s">
        <v>2274</v>
      </c>
      <c r="J4403" s="3" t="s">
        <v>85</v>
      </c>
      <c r="K4403" s="3">
        <v>3</v>
      </c>
      <c r="L4403" s="3">
        <v>6642.21</v>
      </c>
      <c r="M4403" s="3">
        <v>19926.63</v>
      </c>
      <c r="N4403" s="3">
        <v>15680.62</v>
      </c>
      <c r="O4403" s="3">
        <v>4246.01</v>
      </c>
      <c r="P4403" s="3" t="s">
        <v>34</v>
      </c>
    </row>
    <row r="4404" spans="1:16" x14ac:dyDescent="0.35">
      <c r="A4404" s="3" t="s">
        <v>5844</v>
      </c>
      <c r="B4404" s="3" t="s">
        <v>305</v>
      </c>
      <c r="C4404" s="3" t="s">
        <v>18</v>
      </c>
      <c r="D4404" s="3" t="s">
        <v>58</v>
      </c>
      <c r="E4404" s="3" t="s">
        <v>176</v>
      </c>
      <c r="F4404" s="3" t="s">
        <v>177</v>
      </c>
      <c r="G4404" s="3" t="s">
        <v>30</v>
      </c>
      <c r="H4404" s="3" t="s">
        <v>73</v>
      </c>
      <c r="I4404" s="3" t="s">
        <v>2487</v>
      </c>
      <c r="J4404" s="3" t="s">
        <v>147</v>
      </c>
      <c r="K4404" s="3">
        <v>5</v>
      </c>
      <c r="L4404" s="3">
        <v>3397.63</v>
      </c>
      <c r="M4404" s="3">
        <v>16988.150000000001</v>
      </c>
      <c r="N4404" s="3">
        <v>11978.29</v>
      </c>
      <c r="O4404" s="3">
        <v>5009.8599999999997</v>
      </c>
      <c r="P4404" s="3" t="s">
        <v>34</v>
      </c>
    </row>
    <row r="4405" spans="1:16" x14ac:dyDescent="0.35">
      <c r="A4405" s="3" t="s">
        <v>5845</v>
      </c>
      <c r="B4405" s="3" t="s">
        <v>1766</v>
      </c>
      <c r="C4405" s="3" t="s">
        <v>48</v>
      </c>
      <c r="D4405" s="3" t="s">
        <v>90</v>
      </c>
      <c r="E4405" s="3" t="s">
        <v>97</v>
      </c>
      <c r="F4405" s="3" t="s">
        <v>98</v>
      </c>
      <c r="G4405" s="3" t="s">
        <v>51</v>
      </c>
      <c r="H4405" s="3" t="s">
        <v>145</v>
      </c>
      <c r="I4405" s="3" t="s">
        <v>1143</v>
      </c>
      <c r="J4405" s="3" t="s">
        <v>171</v>
      </c>
      <c r="K4405" s="3">
        <v>2</v>
      </c>
      <c r="L4405" s="3">
        <v>113.61</v>
      </c>
      <c r="M4405" s="3">
        <v>227.22</v>
      </c>
      <c r="N4405" s="3">
        <v>115.1</v>
      </c>
      <c r="O4405" s="3">
        <v>112.12</v>
      </c>
      <c r="P4405" s="3" t="s">
        <v>45</v>
      </c>
    </row>
    <row r="4406" spans="1:16" x14ac:dyDescent="0.35">
      <c r="A4406" s="3" t="s">
        <v>5846</v>
      </c>
      <c r="B4406" s="3" t="s">
        <v>1999</v>
      </c>
      <c r="C4406" s="3" t="s">
        <v>114</v>
      </c>
      <c r="D4406" s="3" t="s">
        <v>38</v>
      </c>
      <c r="E4406" s="3" t="s">
        <v>109</v>
      </c>
      <c r="F4406" s="3" t="s">
        <v>110</v>
      </c>
      <c r="G4406" s="3" t="s">
        <v>41</v>
      </c>
      <c r="H4406" s="3" t="s">
        <v>138</v>
      </c>
      <c r="I4406" s="3" t="s">
        <v>489</v>
      </c>
      <c r="J4406" s="3" t="s">
        <v>100</v>
      </c>
      <c r="K4406" s="3">
        <v>3</v>
      </c>
      <c r="L4406" s="3">
        <v>18759.12</v>
      </c>
      <c r="M4406" s="3">
        <v>56277.36</v>
      </c>
      <c r="N4406" s="3">
        <v>41432.21</v>
      </c>
      <c r="O4406" s="3">
        <v>14845.15</v>
      </c>
      <c r="P4406" s="3" t="s">
        <v>26</v>
      </c>
    </row>
    <row r="4407" spans="1:16" x14ac:dyDescent="0.35">
      <c r="A4407" s="3" t="s">
        <v>5847</v>
      </c>
      <c r="B4407" s="3" t="s">
        <v>1205</v>
      </c>
      <c r="C4407" s="3" t="s">
        <v>114</v>
      </c>
      <c r="D4407" s="3" t="s">
        <v>38</v>
      </c>
      <c r="E4407" s="3" t="s">
        <v>104</v>
      </c>
      <c r="F4407" s="3" t="s">
        <v>104</v>
      </c>
      <c r="G4407" s="3" t="s">
        <v>22</v>
      </c>
      <c r="H4407" s="3" t="s">
        <v>93</v>
      </c>
      <c r="I4407" s="3" t="s">
        <v>3454</v>
      </c>
      <c r="J4407" s="3" t="s">
        <v>154</v>
      </c>
      <c r="K4407" s="3">
        <v>7</v>
      </c>
      <c r="L4407" s="3">
        <v>6501.15</v>
      </c>
      <c r="M4407" s="3">
        <v>45508.05</v>
      </c>
      <c r="N4407" s="3">
        <v>33298.89</v>
      </c>
      <c r="O4407" s="3">
        <v>12209.16</v>
      </c>
      <c r="P4407" s="3" t="s">
        <v>69</v>
      </c>
    </row>
    <row r="4408" spans="1:16" x14ac:dyDescent="0.35">
      <c r="A4408" s="3" t="s">
        <v>5848</v>
      </c>
      <c r="B4408" s="3" t="s">
        <v>712</v>
      </c>
      <c r="C4408" s="3" t="s">
        <v>37</v>
      </c>
      <c r="D4408" s="3" t="s">
        <v>58</v>
      </c>
      <c r="E4408" s="3" t="s">
        <v>176</v>
      </c>
      <c r="F4408" s="3" t="s">
        <v>177</v>
      </c>
      <c r="G4408" s="3" t="s">
        <v>41</v>
      </c>
      <c r="H4408" s="3" t="s">
        <v>138</v>
      </c>
      <c r="I4408" s="3" t="s">
        <v>1685</v>
      </c>
      <c r="J4408" s="3" t="s">
        <v>147</v>
      </c>
      <c r="K4408" s="3">
        <v>8</v>
      </c>
      <c r="L4408" s="3">
        <v>19226.72</v>
      </c>
      <c r="M4408" s="3">
        <v>153813.76000000001</v>
      </c>
      <c r="N4408" s="3">
        <v>107116.96</v>
      </c>
      <c r="O4408" s="3">
        <v>46696.800000000003</v>
      </c>
      <c r="P4408" s="3" t="s">
        <v>69</v>
      </c>
    </row>
    <row r="4409" spans="1:16" x14ac:dyDescent="0.35">
      <c r="A4409" s="3" t="s">
        <v>5849</v>
      </c>
      <c r="B4409" s="3" t="s">
        <v>2156</v>
      </c>
      <c r="C4409" s="3" t="s">
        <v>114</v>
      </c>
      <c r="D4409" s="3" t="s">
        <v>19</v>
      </c>
      <c r="E4409" s="3" t="s">
        <v>199</v>
      </c>
      <c r="F4409" s="3" t="s">
        <v>200</v>
      </c>
      <c r="G4409" s="3" t="s">
        <v>41</v>
      </c>
      <c r="H4409" s="3" t="s">
        <v>42</v>
      </c>
      <c r="I4409" s="3" t="s">
        <v>4383</v>
      </c>
      <c r="J4409" s="3" t="s">
        <v>131</v>
      </c>
      <c r="K4409" s="3">
        <v>2</v>
      </c>
      <c r="L4409" s="3">
        <v>43427.97</v>
      </c>
      <c r="M4409" s="3">
        <v>86855.94</v>
      </c>
      <c r="N4409" s="3">
        <v>70305.320000000007</v>
      </c>
      <c r="O4409" s="3">
        <v>16550.62</v>
      </c>
      <c r="P4409" s="3" t="s">
        <v>34</v>
      </c>
    </row>
    <row r="4410" spans="1:16" x14ac:dyDescent="0.35">
      <c r="A4410" s="3" t="s">
        <v>5850</v>
      </c>
      <c r="B4410" s="3" t="s">
        <v>1383</v>
      </c>
      <c r="C4410" s="3" t="s">
        <v>18</v>
      </c>
      <c r="D4410" s="3" t="s">
        <v>38</v>
      </c>
      <c r="E4410" s="3" t="s">
        <v>109</v>
      </c>
      <c r="F4410" s="3" t="s">
        <v>110</v>
      </c>
      <c r="G4410" s="3" t="s">
        <v>51</v>
      </c>
      <c r="H4410" s="3" t="s">
        <v>52</v>
      </c>
      <c r="I4410" s="3" t="s">
        <v>2078</v>
      </c>
      <c r="J4410" s="3" t="s">
        <v>54</v>
      </c>
      <c r="K4410" s="3">
        <v>2</v>
      </c>
      <c r="L4410" s="3">
        <v>24.79</v>
      </c>
      <c r="M4410" s="3">
        <v>49.58</v>
      </c>
      <c r="N4410" s="3">
        <v>20.74</v>
      </c>
      <c r="O4410" s="3">
        <v>28.84</v>
      </c>
      <c r="P4410" s="3" t="s">
        <v>34</v>
      </c>
    </row>
    <row r="4411" spans="1:16" x14ac:dyDescent="0.35">
      <c r="A4411" s="3" t="s">
        <v>5851</v>
      </c>
      <c r="B4411" s="3" t="s">
        <v>1151</v>
      </c>
      <c r="C4411" s="3" t="s">
        <v>103</v>
      </c>
      <c r="D4411" s="3" t="s">
        <v>58</v>
      </c>
      <c r="E4411" s="3" t="s">
        <v>59</v>
      </c>
      <c r="F4411" s="3" t="s">
        <v>60</v>
      </c>
      <c r="G4411" s="3" t="s">
        <v>41</v>
      </c>
      <c r="H4411" s="3" t="s">
        <v>42</v>
      </c>
      <c r="I4411" s="3" t="s">
        <v>105</v>
      </c>
      <c r="J4411" s="3" t="s">
        <v>54</v>
      </c>
      <c r="K4411" s="3">
        <v>2</v>
      </c>
      <c r="L4411" s="3">
        <v>44301.760000000002</v>
      </c>
      <c r="M4411" s="3">
        <v>88603.520000000004</v>
      </c>
      <c r="N4411" s="3">
        <v>71012.95</v>
      </c>
      <c r="O4411" s="3">
        <v>17590.57</v>
      </c>
      <c r="P4411" s="3" t="s">
        <v>26</v>
      </c>
    </row>
    <row r="4412" spans="1:16" x14ac:dyDescent="0.35">
      <c r="A4412" s="3" t="s">
        <v>5852</v>
      </c>
      <c r="B4412" s="3" t="s">
        <v>1142</v>
      </c>
      <c r="C4412" s="3" t="s">
        <v>37</v>
      </c>
      <c r="D4412" s="3" t="s">
        <v>90</v>
      </c>
      <c r="E4412" s="3" t="s">
        <v>97</v>
      </c>
      <c r="F4412" s="3" t="s">
        <v>98</v>
      </c>
      <c r="G4412" s="3" t="s">
        <v>22</v>
      </c>
      <c r="H4412" s="3" t="s">
        <v>83</v>
      </c>
      <c r="I4412" s="3" t="s">
        <v>486</v>
      </c>
      <c r="J4412" s="3" t="s">
        <v>85</v>
      </c>
      <c r="K4412" s="3">
        <v>6</v>
      </c>
      <c r="L4412" s="3">
        <v>22975.06</v>
      </c>
      <c r="M4412" s="3">
        <v>137850.35999999999</v>
      </c>
      <c r="N4412" s="3">
        <v>104210.1</v>
      </c>
      <c r="O4412" s="3">
        <v>33640.26</v>
      </c>
      <c r="P4412" s="3" t="s">
        <v>45</v>
      </c>
    </row>
    <row r="4413" spans="1:16" x14ac:dyDescent="0.35">
      <c r="A4413" s="3" t="s">
        <v>5853</v>
      </c>
      <c r="B4413" s="3" t="s">
        <v>1464</v>
      </c>
      <c r="C4413" s="3" t="s">
        <v>137</v>
      </c>
      <c r="D4413" s="3" t="s">
        <v>19</v>
      </c>
      <c r="E4413" s="3" t="s">
        <v>199</v>
      </c>
      <c r="F4413" s="3" t="s">
        <v>200</v>
      </c>
      <c r="G4413" s="3" t="s">
        <v>51</v>
      </c>
      <c r="H4413" s="3" t="s">
        <v>145</v>
      </c>
      <c r="I4413" s="3" t="s">
        <v>1419</v>
      </c>
      <c r="J4413" s="3" t="s">
        <v>154</v>
      </c>
      <c r="K4413" s="3">
        <v>6</v>
      </c>
      <c r="L4413" s="3">
        <v>130.41999999999999</v>
      </c>
      <c r="M4413" s="3">
        <v>782.52</v>
      </c>
      <c r="N4413" s="3">
        <v>371.47</v>
      </c>
      <c r="O4413" s="3">
        <v>411.05</v>
      </c>
      <c r="P4413" s="3" t="s">
        <v>86</v>
      </c>
    </row>
    <row r="4414" spans="1:16" x14ac:dyDescent="0.35">
      <c r="A4414" s="3" t="s">
        <v>5854</v>
      </c>
      <c r="B4414" s="3" t="s">
        <v>989</v>
      </c>
      <c r="C4414" s="3" t="s">
        <v>29</v>
      </c>
      <c r="D4414" s="3" t="s">
        <v>19</v>
      </c>
      <c r="E4414" s="3" t="s">
        <v>49</v>
      </c>
      <c r="F4414" s="3" t="s">
        <v>50</v>
      </c>
      <c r="G4414" s="3" t="s">
        <v>30</v>
      </c>
      <c r="H4414" s="3" t="s">
        <v>73</v>
      </c>
      <c r="I4414" s="3" t="s">
        <v>3109</v>
      </c>
      <c r="J4414" s="3" t="s">
        <v>33</v>
      </c>
      <c r="K4414" s="3">
        <v>5</v>
      </c>
      <c r="L4414" s="3">
        <v>3065.11</v>
      </c>
      <c r="M4414" s="3">
        <v>15325.55</v>
      </c>
      <c r="N4414" s="3">
        <v>12540.22</v>
      </c>
      <c r="O4414" s="3">
        <v>2785.33</v>
      </c>
      <c r="P4414" s="3" t="s">
        <v>86</v>
      </c>
    </row>
    <row r="4415" spans="1:16" x14ac:dyDescent="0.35">
      <c r="A4415" s="3" t="s">
        <v>5855</v>
      </c>
      <c r="B4415" s="3" t="s">
        <v>88</v>
      </c>
      <c r="C4415" s="3" t="s">
        <v>89</v>
      </c>
      <c r="D4415" s="3" t="s">
        <v>19</v>
      </c>
      <c r="E4415" s="3" t="s">
        <v>49</v>
      </c>
      <c r="F4415" s="3" t="s">
        <v>50</v>
      </c>
      <c r="G4415" s="3" t="s">
        <v>41</v>
      </c>
      <c r="H4415" s="3" t="s">
        <v>138</v>
      </c>
      <c r="I4415" s="3" t="s">
        <v>190</v>
      </c>
      <c r="J4415" s="3" t="s">
        <v>106</v>
      </c>
      <c r="K4415" s="3">
        <v>1</v>
      </c>
      <c r="L4415" s="3">
        <v>19225.21</v>
      </c>
      <c r="M4415" s="3">
        <v>19225.21</v>
      </c>
      <c r="N4415" s="3">
        <v>14559.88</v>
      </c>
      <c r="O4415" s="3">
        <v>4665.33</v>
      </c>
      <c r="P4415" s="3" t="s">
        <v>26</v>
      </c>
    </row>
    <row r="4416" spans="1:16" x14ac:dyDescent="0.35">
      <c r="A4416" s="3" t="s">
        <v>5856</v>
      </c>
      <c r="B4416" s="3" t="s">
        <v>699</v>
      </c>
      <c r="C4416" s="3" t="s">
        <v>137</v>
      </c>
      <c r="D4416" s="3" t="s">
        <v>19</v>
      </c>
      <c r="E4416" s="3" t="s">
        <v>199</v>
      </c>
      <c r="F4416" s="3" t="s">
        <v>200</v>
      </c>
      <c r="G4416" s="3" t="s">
        <v>22</v>
      </c>
      <c r="H4416" s="3" t="s">
        <v>83</v>
      </c>
      <c r="I4416" s="3" t="s">
        <v>1959</v>
      </c>
      <c r="J4416" s="3" t="s">
        <v>188</v>
      </c>
      <c r="K4416" s="3">
        <v>4</v>
      </c>
      <c r="L4416" s="3">
        <v>19905.61</v>
      </c>
      <c r="M4416" s="3">
        <v>79622.44</v>
      </c>
      <c r="N4416" s="3">
        <v>70911.8</v>
      </c>
      <c r="O4416" s="3">
        <v>8710.64</v>
      </c>
      <c r="P4416" s="3" t="s">
        <v>26</v>
      </c>
    </row>
    <row r="4417" spans="1:16" x14ac:dyDescent="0.35">
      <c r="A4417" s="3" t="s">
        <v>5857</v>
      </c>
      <c r="B4417" s="3" t="s">
        <v>257</v>
      </c>
      <c r="C4417" s="3" t="s">
        <v>72</v>
      </c>
      <c r="D4417" s="3" t="s">
        <v>38</v>
      </c>
      <c r="E4417" s="3" t="s">
        <v>104</v>
      </c>
      <c r="F4417" s="3" t="s">
        <v>104</v>
      </c>
      <c r="G4417" s="3" t="s">
        <v>51</v>
      </c>
      <c r="H4417" s="3" t="s">
        <v>52</v>
      </c>
      <c r="I4417" s="3" t="s">
        <v>4339</v>
      </c>
      <c r="J4417" s="3" t="s">
        <v>154</v>
      </c>
      <c r="K4417" s="3">
        <v>7</v>
      </c>
      <c r="L4417" s="3">
        <v>23.53</v>
      </c>
      <c r="M4417" s="3">
        <v>164.71</v>
      </c>
      <c r="N4417" s="3">
        <v>69.14</v>
      </c>
      <c r="O4417" s="3">
        <v>95.57</v>
      </c>
      <c r="P4417" s="3" t="s">
        <v>26</v>
      </c>
    </row>
    <row r="4418" spans="1:16" x14ac:dyDescent="0.35">
      <c r="A4418" s="3" t="s">
        <v>5858</v>
      </c>
      <c r="B4418" s="3" t="s">
        <v>1935</v>
      </c>
      <c r="C4418" s="3" t="s">
        <v>72</v>
      </c>
      <c r="D4418" s="3" t="s">
        <v>38</v>
      </c>
      <c r="E4418" s="3" t="s">
        <v>104</v>
      </c>
      <c r="F4418" s="3" t="s">
        <v>104</v>
      </c>
      <c r="G4418" s="3" t="s">
        <v>41</v>
      </c>
      <c r="H4418" s="3" t="s">
        <v>61</v>
      </c>
      <c r="I4418" s="3" t="s">
        <v>3489</v>
      </c>
      <c r="J4418" s="3" t="s">
        <v>217</v>
      </c>
      <c r="K4418" s="3">
        <v>4</v>
      </c>
      <c r="L4418" s="3">
        <v>2360.52</v>
      </c>
      <c r="M4418" s="3">
        <v>9442.08</v>
      </c>
      <c r="N4418" s="3">
        <v>6367.38</v>
      </c>
      <c r="O4418" s="3">
        <v>3074.7</v>
      </c>
      <c r="P4418" s="3" t="s">
        <v>86</v>
      </c>
    </row>
    <row r="4419" spans="1:16" x14ac:dyDescent="0.35">
      <c r="A4419" s="3" t="s">
        <v>5859</v>
      </c>
      <c r="B4419" s="3" t="s">
        <v>381</v>
      </c>
      <c r="C4419" s="3" t="s">
        <v>18</v>
      </c>
      <c r="D4419" s="3" t="s">
        <v>19</v>
      </c>
      <c r="E4419" s="3" t="s">
        <v>199</v>
      </c>
      <c r="F4419" s="3" t="s">
        <v>200</v>
      </c>
      <c r="G4419" s="3" t="s">
        <v>51</v>
      </c>
      <c r="H4419" s="3" t="s">
        <v>52</v>
      </c>
      <c r="I4419" s="3" t="s">
        <v>1145</v>
      </c>
      <c r="J4419" s="3" t="s">
        <v>161</v>
      </c>
      <c r="K4419" s="3">
        <v>8</v>
      </c>
      <c r="L4419" s="3">
        <v>25.62</v>
      </c>
      <c r="M4419" s="3">
        <v>204.96</v>
      </c>
      <c r="N4419" s="3">
        <v>78.47</v>
      </c>
      <c r="O4419" s="3">
        <v>126.49</v>
      </c>
      <c r="P4419" s="3" t="s">
        <v>26</v>
      </c>
    </row>
    <row r="4420" spans="1:16" x14ac:dyDescent="0.35">
      <c r="A4420" s="3" t="s">
        <v>5860</v>
      </c>
      <c r="B4420" s="3" t="s">
        <v>351</v>
      </c>
      <c r="C4420" s="3" t="s">
        <v>114</v>
      </c>
      <c r="D4420" s="3" t="s">
        <v>58</v>
      </c>
      <c r="E4420" s="3" t="s">
        <v>59</v>
      </c>
      <c r="F4420" s="3" t="s">
        <v>60</v>
      </c>
      <c r="G4420" s="3" t="s">
        <v>51</v>
      </c>
      <c r="H4420" s="3" t="s">
        <v>52</v>
      </c>
      <c r="I4420" s="3" t="s">
        <v>1506</v>
      </c>
      <c r="J4420" s="3" t="s">
        <v>85</v>
      </c>
      <c r="K4420" s="3">
        <v>3</v>
      </c>
      <c r="L4420" s="3">
        <v>27</v>
      </c>
      <c r="M4420" s="3">
        <v>81</v>
      </c>
      <c r="N4420" s="3">
        <v>31.05</v>
      </c>
      <c r="O4420" s="3">
        <v>49.95</v>
      </c>
      <c r="P4420" s="3" t="s">
        <v>45</v>
      </c>
    </row>
    <row r="4421" spans="1:16" x14ac:dyDescent="0.35">
      <c r="A4421" s="3" t="s">
        <v>5861</v>
      </c>
      <c r="B4421" s="3" t="s">
        <v>294</v>
      </c>
      <c r="C4421" s="3" t="s">
        <v>103</v>
      </c>
      <c r="D4421" s="3" t="s">
        <v>90</v>
      </c>
      <c r="E4421" s="3" t="s">
        <v>119</v>
      </c>
      <c r="F4421" s="3" t="s">
        <v>120</v>
      </c>
      <c r="G4421" s="3" t="s">
        <v>41</v>
      </c>
      <c r="H4421" s="3" t="s">
        <v>42</v>
      </c>
      <c r="I4421" s="3" t="s">
        <v>2106</v>
      </c>
      <c r="J4421" s="3" t="s">
        <v>25</v>
      </c>
      <c r="K4421" s="3">
        <v>6</v>
      </c>
      <c r="L4421" s="3">
        <v>41886.660000000003</v>
      </c>
      <c r="M4421" s="3">
        <v>251319.96</v>
      </c>
      <c r="N4421" s="3">
        <v>212676.45</v>
      </c>
      <c r="O4421" s="3">
        <v>38643.51</v>
      </c>
      <c r="P4421" s="3" t="s">
        <v>86</v>
      </c>
    </row>
    <row r="4422" spans="1:16" x14ac:dyDescent="0.35">
      <c r="A4422" s="3" t="s">
        <v>5862</v>
      </c>
      <c r="B4422" s="3" t="s">
        <v>209</v>
      </c>
      <c r="C4422" s="3" t="s">
        <v>118</v>
      </c>
      <c r="D4422" s="3" t="s">
        <v>58</v>
      </c>
      <c r="E4422" s="3" t="s">
        <v>59</v>
      </c>
      <c r="F4422" s="3" t="s">
        <v>60</v>
      </c>
      <c r="G4422" s="3" t="s">
        <v>22</v>
      </c>
      <c r="H4422" s="3" t="s">
        <v>93</v>
      </c>
      <c r="I4422" s="3" t="s">
        <v>193</v>
      </c>
      <c r="J4422" s="3" t="s">
        <v>154</v>
      </c>
      <c r="K4422" s="3">
        <v>3</v>
      </c>
      <c r="L4422" s="3">
        <v>6531.28</v>
      </c>
      <c r="M4422" s="3">
        <v>19593.84</v>
      </c>
      <c r="N4422" s="3">
        <v>14995.57</v>
      </c>
      <c r="O4422" s="3">
        <v>4598.2700000000004</v>
      </c>
      <c r="P4422" s="3" t="s">
        <v>34</v>
      </c>
    </row>
    <row r="4423" spans="1:16" x14ac:dyDescent="0.35">
      <c r="A4423" s="3" t="s">
        <v>5863</v>
      </c>
      <c r="B4423" s="3" t="s">
        <v>463</v>
      </c>
      <c r="C4423" s="3" t="s">
        <v>29</v>
      </c>
      <c r="D4423" s="3" t="s">
        <v>90</v>
      </c>
      <c r="E4423" s="3" t="s">
        <v>119</v>
      </c>
      <c r="F4423" s="3" t="s">
        <v>120</v>
      </c>
      <c r="G4423" s="3" t="s">
        <v>22</v>
      </c>
      <c r="H4423" s="3" t="s">
        <v>93</v>
      </c>
      <c r="I4423" s="3" t="s">
        <v>1485</v>
      </c>
      <c r="J4423" s="3" t="s">
        <v>85</v>
      </c>
      <c r="K4423" s="3">
        <v>1</v>
      </c>
      <c r="L4423" s="3">
        <v>6806.48</v>
      </c>
      <c r="M4423" s="3">
        <v>6806.48</v>
      </c>
      <c r="N4423" s="3">
        <v>4891.3</v>
      </c>
      <c r="O4423" s="3">
        <v>1915.18</v>
      </c>
      <c r="P4423" s="3" t="s">
        <v>45</v>
      </c>
    </row>
    <row r="4424" spans="1:16" x14ac:dyDescent="0.35">
      <c r="A4424" s="3" t="s">
        <v>5864</v>
      </c>
      <c r="B4424" s="3" t="s">
        <v>268</v>
      </c>
      <c r="C4424" s="3" t="s">
        <v>18</v>
      </c>
      <c r="D4424" s="3" t="s">
        <v>90</v>
      </c>
      <c r="E4424" s="3" t="s">
        <v>91</v>
      </c>
      <c r="F4424" s="3" t="s">
        <v>92</v>
      </c>
      <c r="G4424" s="3" t="s">
        <v>41</v>
      </c>
      <c r="H4424" s="3" t="s">
        <v>138</v>
      </c>
      <c r="I4424" s="3" t="s">
        <v>2553</v>
      </c>
      <c r="J4424" s="3" t="s">
        <v>25</v>
      </c>
      <c r="K4424" s="3">
        <v>5</v>
      </c>
      <c r="L4424" s="3">
        <v>17958.099999999999</v>
      </c>
      <c r="M4424" s="3">
        <v>89790.5</v>
      </c>
      <c r="N4424" s="3">
        <v>72300.5</v>
      </c>
      <c r="O4424" s="3">
        <v>17490</v>
      </c>
      <c r="P4424" s="3" t="s">
        <v>69</v>
      </c>
    </row>
    <row r="4425" spans="1:16" x14ac:dyDescent="0.35">
      <c r="A4425" s="3" t="s">
        <v>5865</v>
      </c>
      <c r="B4425" s="3" t="s">
        <v>1098</v>
      </c>
      <c r="C4425" s="3" t="s">
        <v>57</v>
      </c>
      <c r="D4425" s="3" t="s">
        <v>19</v>
      </c>
      <c r="E4425" s="3" t="s">
        <v>20</v>
      </c>
      <c r="F4425" s="3" t="s">
        <v>21</v>
      </c>
      <c r="G4425" s="3" t="s">
        <v>30</v>
      </c>
      <c r="H4425" s="3" t="s">
        <v>73</v>
      </c>
      <c r="I4425" s="3" t="s">
        <v>277</v>
      </c>
      <c r="J4425" s="3" t="s">
        <v>131</v>
      </c>
      <c r="K4425" s="3">
        <v>6</v>
      </c>
      <c r="L4425" s="3">
        <v>3264.38</v>
      </c>
      <c r="M4425" s="3">
        <v>19586.28</v>
      </c>
      <c r="N4425" s="3">
        <v>14274.78</v>
      </c>
      <c r="O4425" s="3">
        <v>5311.5</v>
      </c>
      <c r="P4425" s="3" t="s">
        <v>34</v>
      </c>
    </row>
    <row r="4426" spans="1:16" x14ac:dyDescent="0.35">
      <c r="A4426" s="3" t="s">
        <v>5866</v>
      </c>
      <c r="B4426" s="3" t="s">
        <v>123</v>
      </c>
      <c r="C4426" s="3" t="s">
        <v>18</v>
      </c>
      <c r="D4426" s="3" t="s">
        <v>90</v>
      </c>
      <c r="E4426" s="3" t="s">
        <v>119</v>
      </c>
      <c r="F4426" s="3" t="s">
        <v>120</v>
      </c>
      <c r="G4426" s="3" t="s">
        <v>51</v>
      </c>
      <c r="H4426" s="3" t="s">
        <v>52</v>
      </c>
      <c r="I4426" s="3" t="s">
        <v>710</v>
      </c>
      <c r="J4426" s="3" t="s">
        <v>171</v>
      </c>
      <c r="K4426" s="3">
        <v>2</v>
      </c>
      <c r="L4426" s="3">
        <v>22.83</v>
      </c>
      <c r="M4426" s="3">
        <v>45.66</v>
      </c>
      <c r="N4426" s="3">
        <v>19.46</v>
      </c>
      <c r="O4426" s="3">
        <v>26.2</v>
      </c>
      <c r="P4426" s="3" t="s">
        <v>26</v>
      </c>
    </row>
    <row r="4427" spans="1:16" x14ac:dyDescent="0.35">
      <c r="A4427" s="3" t="s">
        <v>5867</v>
      </c>
      <c r="B4427" s="3" t="s">
        <v>678</v>
      </c>
      <c r="C4427" s="3" t="s">
        <v>137</v>
      </c>
      <c r="D4427" s="3" t="s">
        <v>38</v>
      </c>
      <c r="E4427" s="3" t="s">
        <v>109</v>
      </c>
      <c r="F4427" s="3" t="s">
        <v>110</v>
      </c>
      <c r="G4427" s="3" t="s">
        <v>41</v>
      </c>
      <c r="H4427" s="3" t="s">
        <v>42</v>
      </c>
      <c r="I4427" s="3" t="s">
        <v>2070</v>
      </c>
      <c r="J4427" s="3" t="s">
        <v>217</v>
      </c>
      <c r="K4427" s="3">
        <v>7</v>
      </c>
      <c r="L4427" s="3">
        <v>45694.54</v>
      </c>
      <c r="M4427" s="3">
        <v>319861.78000000003</v>
      </c>
      <c r="N4427" s="3">
        <v>233350.45</v>
      </c>
      <c r="O4427" s="3">
        <v>86511.33</v>
      </c>
      <c r="P4427" s="3" t="s">
        <v>34</v>
      </c>
    </row>
    <row r="4428" spans="1:16" x14ac:dyDescent="0.35">
      <c r="A4428" s="3" t="s">
        <v>5868</v>
      </c>
      <c r="B4428" s="3" t="s">
        <v>1552</v>
      </c>
      <c r="C4428" s="3" t="s">
        <v>114</v>
      </c>
      <c r="D4428" s="3" t="s">
        <v>38</v>
      </c>
      <c r="E4428" s="3" t="s">
        <v>39</v>
      </c>
      <c r="F4428" s="3" t="s">
        <v>40</v>
      </c>
      <c r="G4428" s="3" t="s">
        <v>41</v>
      </c>
      <c r="H4428" s="3" t="s">
        <v>42</v>
      </c>
      <c r="I4428" s="3" t="s">
        <v>456</v>
      </c>
      <c r="J4428" s="3" t="s">
        <v>100</v>
      </c>
      <c r="K4428" s="3">
        <v>2</v>
      </c>
      <c r="L4428" s="3">
        <v>48190.94</v>
      </c>
      <c r="M4428" s="3">
        <v>96381.88</v>
      </c>
      <c r="N4428" s="3">
        <v>69495.98</v>
      </c>
      <c r="O4428" s="3">
        <v>26885.9</v>
      </c>
      <c r="P4428" s="3" t="s">
        <v>69</v>
      </c>
    </row>
    <row r="4429" spans="1:16" x14ac:dyDescent="0.35">
      <c r="A4429" s="3" t="s">
        <v>5869</v>
      </c>
      <c r="B4429" s="3" t="s">
        <v>974</v>
      </c>
      <c r="C4429" s="3" t="s">
        <v>29</v>
      </c>
      <c r="D4429" s="3" t="s">
        <v>90</v>
      </c>
      <c r="E4429" s="3" t="s">
        <v>91</v>
      </c>
      <c r="F4429" s="3" t="s">
        <v>92</v>
      </c>
      <c r="G4429" s="3" t="s">
        <v>30</v>
      </c>
      <c r="H4429" s="3" t="s">
        <v>31</v>
      </c>
      <c r="I4429" s="3" t="s">
        <v>810</v>
      </c>
      <c r="J4429" s="3" t="s">
        <v>154</v>
      </c>
      <c r="K4429" s="3">
        <v>6</v>
      </c>
      <c r="L4429" s="3">
        <v>2849.56</v>
      </c>
      <c r="M4429" s="3">
        <v>17097.36</v>
      </c>
      <c r="N4429" s="3">
        <v>11056.62</v>
      </c>
      <c r="O4429" s="3">
        <v>6040.74</v>
      </c>
      <c r="P4429" s="3" t="s">
        <v>45</v>
      </c>
    </row>
    <row r="4430" spans="1:16" x14ac:dyDescent="0.35">
      <c r="A4430" s="3" t="s">
        <v>5870</v>
      </c>
      <c r="B4430" s="3" t="s">
        <v>219</v>
      </c>
      <c r="C4430" s="3" t="s">
        <v>72</v>
      </c>
      <c r="D4430" s="3" t="s">
        <v>38</v>
      </c>
      <c r="E4430" s="3" t="s">
        <v>39</v>
      </c>
      <c r="F4430" s="3" t="s">
        <v>40</v>
      </c>
      <c r="G4430" s="3" t="s">
        <v>51</v>
      </c>
      <c r="H4430" s="3" t="s">
        <v>145</v>
      </c>
      <c r="I4430" s="3" t="s">
        <v>425</v>
      </c>
      <c r="J4430" s="3" t="s">
        <v>100</v>
      </c>
      <c r="K4430" s="3">
        <v>5</v>
      </c>
      <c r="L4430" s="3">
        <v>115.08</v>
      </c>
      <c r="M4430" s="3">
        <v>575.4</v>
      </c>
      <c r="N4430" s="3">
        <v>302.27</v>
      </c>
      <c r="O4430" s="3">
        <v>273.13</v>
      </c>
      <c r="P4430" s="3" t="s">
        <v>86</v>
      </c>
    </row>
    <row r="4431" spans="1:16" x14ac:dyDescent="0.35">
      <c r="A4431" s="3" t="s">
        <v>5871</v>
      </c>
      <c r="B4431" s="3" t="s">
        <v>916</v>
      </c>
      <c r="C4431" s="3" t="s">
        <v>103</v>
      </c>
      <c r="D4431" s="3" t="s">
        <v>90</v>
      </c>
      <c r="E4431" s="3" t="s">
        <v>119</v>
      </c>
      <c r="F4431" s="3" t="s">
        <v>120</v>
      </c>
      <c r="G4431" s="3" t="s">
        <v>22</v>
      </c>
      <c r="H4431" s="3" t="s">
        <v>23</v>
      </c>
      <c r="I4431" s="3" t="s">
        <v>4649</v>
      </c>
      <c r="J4431" s="3" t="s">
        <v>217</v>
      </c>
      <c r="K4431" s="3">
        <v>1</v>
      </c>
      <c r="L4431" s="3">
        <v>3487.67</v>
      </c>
      <c r="M4431" s="3">
        <v>3487.67</v>
      </c>
      <c r="N4431" s="3">
        <v>2197.4</v>
      </c>
      <c r="O4431" s="3">
        <v>1290.27</v>
      </c>
      <c r="P4431" s="3" t="s">
        <v>26</v>
      </c>
    </row>
    <row r="4432" spans="1:16" x14ac:dyDescent="0.35">
      <c r="A4432" s="3" t="s">
        <v>5872</v>
      </c>
      <c r="B4432" s="3" t="s">
        <v>1292</v>
      </c>
      <c r="C4432" s="3" t="s">
        <v>57</v>
      </c>
      <c r="D4432" s="3" t="s">
        <v>90</v>
      </c>
      <c r="E4432" s="3" t="s">
        <v>91</v>
      </c>
      <c r="F4432" s="3" t="s">
        <v>92</v>
      </c>
      <c r="G4432" s="3" t="s">
        <v>51</v>
      </c>
      <c r="H4432" s="3" t="s">
        <v>145</v>
      </c>
      <c r="I4432" s="3" t="s">
        <v>2557</v>
      </c>
      <c r="J4432" s="3" t="s">
        <v>33</v>
      </c>
      <c r="K4432" s="3">
        <v>3</v>
      </c>
      <c r="L4432" s="3">
        <v>112.45</v>
      </c>
      <c r="M4432" s="3">
        <v>337.35</v>
      </c>
      <c r="N4432" s="3">
        <v>184.01</v>
      </c>
      <c r="O4432" s="3">
        <v>153.34</v>
      </c>
      <c r="P4432" s="3" t="s">
        <v>69</v>
      </c>
    </row>
    <row r="4433" spans="1:16" x14ac:dyDescent="0.35">
      <c r="A4433" s="3" t="s">
        <v>5873</v>
      </c>
      <c r="B4433" s="3" t="s">
        <v>463</v>
      </c>
      <c r="C4433" s="3" t="s">
        <v>29</v>
      </c>
      <c r="D4433" s="3" t="s">
        <v>58</v>
      </c>
      <c r="E4433" s="3" t="s">
        <v>176</v>
      </c>
      <c r="F4433" s="3" t="s">
        <v>177</v>
      </c>
      <c r="G4433" s="3" t="s">
        <v>41</v>
      </c>
      <c r="H4433" s="3" t="s">
        <v>61</v>
      </c>
      <c r="I4433" s="3" t="s">
        <v>1127</v>
      </c>
      <c r="J4433" s="3" t="s">
        <v>188</v>
      </c>
      <c r="K4433" s="3">
        <v>2</v>
      </c>
      <c r="L4433" s="3">
        <v>2573.09</v>
      </c>
      <c r="M4433" s="3">
        <v>5146.18</v>
      </c>
      <c r="N4433" s="3">
        <v>3111.25</v>
      </c>
      <c r="O4433" s="3">
        <v>2034.93</v>
      </c>
      <c r="P4433" s="3" t="s">
        <v>86</v>
      </c>
    </row>
    <row r="4434" spans="1:16" x14ac:dyDescent="0.35">
      <c r="A4434" s="3" t="s">
        <v>5874</v>
      </c>
      <c r="B4434" s="3" t="s">
        <v>832</v>
      </c>
      <c r="C4434" s="3" t="s">
        <v>72</v>
      </c>
      <c r="D4434" s="3" t="s">
        <v>38</v>
      </c>
      <c r="E4434" s="3" t="s">
        <v>39</v>
      </c>
      <c r="F4434" s="3" t="s">
        <v>40</v>
      </c>
      <c r="G4434" s="3" t="s">
        <v>22</v>
      </c>
      <c r="H4434" s="3" t="s">
        <v>83</v>
      </c>
      <c r="I4434" s="3" t="s">
        <v>1253</v>
      </c>
      <c r="J4434" s="3" t="s">
        <v>171</v>
      </c>
      <c r="K4434" s="3">
        <v>3</v>
      </c>
      <c r="L4434" s="3">
        <v>21196.28</v>
      </c>
      <c r="M4434" s="3">
        <v>63588.84</v>
      </c>
      <c r="N4434" s="3">
        <v>53533.23</v>
      </c>
      <c r="O4434" s="3">
        <v>10055.61</v>
      </c>
      <c r="P4434" s="3" t="s">
        <v>34</v>
      </c>
    </row>
    <row r="4435" spans="1:16" x14ac:dyDescent="0.35">
      <c r="A4435" s="3" t="s">
        <v>5875</v>
      </c>
      <c r="B4435" s="3" t="s">
        <v>1235</v>
      </c>
      <c r="C4435" s="3" t="s">
        <v>18</v>
      </c>
      <c r="D4435" s="3" t="s">
        <v>19</v>
      </c>
      <c r="E4435" s="3" t="s">
        <v>20</v>
      </c>
      <c r="F4435" s="3" t="s">
        <v>21</v>
      </c>
      <c r="G4435" s="3" t="s">
        <v>30</v>
      </c>
      <c r="H4435" s="3" t="s">
        <v>67</v>
      </c>
      <c r="I4435" s="3" t="s">
        <v>2420</v>
      </c>
      <c r="J4435" s="3" t="s">
        <v>131</v>
      </c>
      <c r="K4435" s="3">
        <v>5</v>
      </c>
      <c r="L4435" s="3">
        <v>9479.18</v>
      </c>
      <c r="M4435" s="3">
        <v>47395.9</v>
      </c>
      <c r="N4435" s="3">
        <v>37698.129999999997</v>
      </c>
      <c r="O4435" s="3">
        <v>9697.77</v>
      </c>
      <c r="P4435" s="3" t="s">
        <v>34</v>
      </c>
    </row>
    <row r="4436" spans="1:16" x14ac:dyDescent="0.35">
      <c r="A4436" s="3" t="s">
        <v>5876</v>
      </c>
      <c r="B4436" s="3" t="s">
        <v>163</v>
      </c>
      <c r="C4436" s="3" t="s">
        <v>137</v>
      </c>
      <c r="D4436" s="3" t="s">
        <v>19</v>
      </c>
      <c r="E4436" s="3" t="s">
        <v>49</v>
      </c>
      <c r="F4436" s="3" t="s">
        <v>50</v>
      </c>
      <c r="G4436" s="3" t="s">
        <v>22</v>
      </c>
      <c r="H4436" s="3" t="s">
        <v>83</v>
      </c>
      <c r="I4436" s="3" t="s">
        <v>1063</v>
      </c>
      <c r="J4436" s="3" t="s">
        <v>25</v>
      </c>
      <c r="K4436" s="3">
        <v>4</v>
      </c>
      <c r="L4436" s="3">
        <v>23032.27</v>
      </c>
      <c r="M4436" s="3">
        <v>92129.08</v>
      </c>
      <c r="N4436" s="3">
        <v>67090.94</v>
      </c>
      <c r="O4436" s="3">
        <v>25038.14</v>
      </c>
      <c r="P4436" s="3" t="s">
        <v>45</v>
      </c>
    </row>
    <row r="4437" spans="1:16" x14ac:dyDescent="0.35">
      <c r="A4437" s="3" t="s">
        <v>5877</v>
      </c>
      <c r="B4437" s="3" t="s">
        <v>728</v>
      </c>
      <c r="C4437" s="3" t="s">
        <v>82</v>
      </c>
      <c r="D4437" s="3" t="s">
        <v>90</v>
      </c>
      <c r="E4437" s="3" t="s">
        <v>91</v>
      </c>
      <c r="F4437" s="3" t="s">
        <v>92</v>
      </c>
      <c r="G4437" s="3" t="s">
        <v>22</v>
      </c>
      <c r="H4437" s="3" t="s">
        <v>83</v>
      </c>
      <c r="I4437" s="3" t="s">
        <v>43</v>
      </c>
      <c r="J4437" s="3" t="s">
        <v>44</v>
      </c>
      <c r="K4437" s="3">
        <v>5</v>
      </c>
      <c r="L4437" s="3">
        <v>22619.74</v>
      </c>
      <c r="M4437" s="3">
        <v>113098.7</v>
      </c>
      <c r="N4437" s="3">
        <v>85882.86</v>
      </c>
      <c r="O4437" s="3">
        <v>27215.84</v>
      </c>
      <c r="P4437" s="3" t="s">
        <v>26</v>
      </c>
    </row>
    <row r="4438" spans="1:16" x14ac:dyDescent="0.35">
      <c r="A4438" s="3" t="s">
        <v>5878</v>
      </c>
      <c r="B4438" s="3" t="s">
        <v>570</v>
      </c>
      <c r="C4438" s="3" t="s">
        <v>18</v>
      </c>
      <c r="D4438" s="3" t="s">
        <v>58</v>
      </c>
      <c r="E4438" s="3" t="s">
        <v>176</v>
      </c>
      <c r="F4438" s="3" t="s">
        <v>177</v>
      </c>
      <c r="G4438" s="3" t="s">
        <v>22</v>
      </c>
      <c r="H4438" s="3" t="s">
        <v>23</v>
      </c>
      <c r="I4438" s="3" t="s">
        <v>2068</v>
      </c>
      <c r="J4438" s="3" t="s">
        <v>79</v>
      </c>
      <c r="K4438" s="3">
        <v>7</v>
      </c>
      <c r="L4438" s="3">
        <v>3227.67</v>
      </c>
      <c r="M4438" s="3">
        <v>22593.69</v>
      </c>
      <c r="N4438" s="3">
        <v>15764.81</v>
      </c>
      <c r="O4438" s="3">
        <v>6828.88</v>
      </c>
      <c r="P4438" s="3" t="s">
        <v>86</v>
      </c>
    </row>
    <row r="4439" spans="1:16" x14ac:dyDescent="0.35">
      <c r="A4439" s="3" t="s">
        <v>5879</v>
      </c>
      <c r="B4439" s="3" t="s">
        <v>1504</v>
      </c>
      <c r="C4439" s="3" t="s">
        <v>48</v>
      </c>
      <c r="D4439" s="3" t="s">
        <v>19</v>
      </c>
      <c r="E4439" s="3" t="s">
        <v>49</v>
      </c>
      <c r="F4439" s="3" t="s">
        <v>50</v>
      </c>
      <c r="G4439" s="3" t="s">
        <v>22</v>
      </c>
      <c r="H4439" s="3" t="s">
        <v>23</v>
      </c>
      <c r="I4439" s="3" t="s">
        <v>616</v>
      </c>
      <c r="J4439" s="3" t="s">
        <v>25</v>
      </c>
      <c r="K4439" s="3">
        <v>8</v>
      </c>
      <c r="L4439" s="3">
        <v>3796.48</v>
      </c>
      <c r="M4439" s="3">
        <v>30371.84</v>
      </c>
      <c r="N4439" s="3">
        <v>17635.87</v>
      </c>
      <c r="O4439" s="3">
        <v>12735.97</v>
      </c>
      <c r="P4439" s="3" t="s">
        <v>34</v>
      </c>
    </row>
    <row r="4440" spans="1:16" x14ac:dyDescent="0.35">
      <c r="A4440" s="3" t="s">
        <v>5880</v>
      </c>
      <c r="B4440" s="3" t="s">
        <v>521</v>
      </c>
      <c r="C4440" s="3" t="s">
        <v>18</v>
      </c>
      <c r="D4440" s="3" t="s">
        <v>90</v>
      </c>
      <c r="E4440" s="3" t="s">
        <v>97</v>
      </c>
      <c r="F4440" s="3" t="s">
        <v>98</v>
      </c>
      <c r="G4440" s="3" t="s">
        <v>30</v>
      </c>
      <c r="H4440" s="3" t="s">
        <v>67</v>
      </c>
      <c r="I4440" s="3" t="s">
        <v>2728</v>
      </c>
      <c r="J4440" s="3" t="s">
        <v>171</v>
      </c>
      <c r="K4440" s="3">
        <v>8</v>
      </c>
      <c r="L4440" s="3">
        <v>9887.3700000000008</v>
      </c>
      <c r="M4440" s="3">
        <v>79098.960000000006</v>
      </c>
      <c r="N4440" s="3">
        <v>63655.43</v>
      </c>
      <c r="O4440" s="3">
        <v>15443.53</v>
      </c>
      <c r="P4440" s="3" t="s">
        <v>34</v>
      </c>
    </row>
    <row r="4441" spans="1:16" x14ac:dyDescent="0.35">
      <c r="A4441" s="3" t="s">
        <v>5881</v>
      </c>
      <c r="B4441" s="3" t="s">
        <v>1997</v>
      </c>
      <c r="C4441" s="3" t="s">
        <v>114</v>
      </c>
      <c r="D4441" s="3" t="s">
        <v>19</v>
      </c>
      <c r="E4441" s="3" t="s">
        <v>49</v>
      </c>
      <c r="F4441" s="3" t="s">
        <v>50</v>
      </c>
      <c r="G4441" s="3" t="s">
        <v>22</v>
      </c>
      <c r="H4441" s="3" t="s">
        <v>23</v>
      </c>
      <c r="I4441" s="3" t="s">
        <v>1288</v>
      </c>
      <c r="J4441" s="3" t="s">
        <v>217</v>
      </c>
      <c r="K4441" s="3">
        <v>4</v>
      </c>
      <c r="L4441" s="3">
        <v>3663.29</v>
      </c>
      <c r="M4441" s="3">
        <v>14653.16</v>
      </c>
      <c r="N4441" s="3">
        <v>9219.7199999999993</v>
      </c>
      <c r="O4441" s="3">
        <v>5433.44</v>
      </c>
      <c r="P4441" s="3" t="s">
        <v>69</v>
      </c>
    </row>
    <row r="4442" spans="1:16" x14ac:dyDescent="0.35">
      <c r="A4442" s="3" t="s">
        <v>5882</v>
      </c>
      <c r="B4442" s="3" t="s">
        <v>499</v>
      </c>
      <c r="C4442" s="3" t="s">
        <v>103</v>
      </c>
      <c r="D4442" s="3" t="s">
        <v>58</v>
      </c>
      <c r="E4442" s="3" t="s">
        <v>65</v>
      </c>
      <c r="F4442" s="3" t="s">
        <v>66</v>
      </c>
      <c r="G4442" s="3" t="s">
        <v>51</v>
      </c>
      <c r="H4442" s="3" t="s">
        <v>145</v>
      </c>
      <c r="I4442" s="3" t="s">
        <v>130</v>
      </c>
      <c r="J4442" s="3" t="s">
        <v>154</v>
      </c>
      <c r="K4442" s="3">
        <v>6</v>
      </c>
      <c r="L4442" s="3">
        <v>118.85</v>
      </c>
      <c r="M4442" s="3">
        <v>713.1</v>
      </c>
      <c r="N4442" s="3">
        <v>349.49</v>
      </c>
      <c r="O4442" s="3">
        <v>363.61</v>
      </c>
      <c r="P4442" s="3" t="s">
        <v>26</v>
      </c>
    </row>
    <row r="4443" spans="1:16" x14ac:dyDescent="0.35">
      <c r="A4443" s="3" t="s">
        <v>5883</v>
      </c>
      <c r="B4443" s="3" t="s">
        <v>452</v>
      </c>
      <c r="C4443" s="3" t="s">
        <v>114</v>
      </c>
      <c r="D4443" s="3" t="s">
        <v>58</v>
      </c>
      <c r="E4443" s="3" t="s">
        <v>59</v>
      </c>
      <c r="F4443" s="3" t="s">
        <v>60</v>
      </c>
      <c r="G4443" s="3" t="s">
        <v>51</v>
      </c>
      <c r="H4443" s="3" t="s">
        <v>52</v>
      </c>
      <c r="I4443" s="3" t="s">
        <v>508</v>
      </c>
      <c r="J4443" s="3" t="s">
        <v>54</v>
      </c>
      <c r="K4443" s="3">
        <v>4</v>
      </c>
      <c r="L4443" s="3">
        <v>24.22</v>
      </c>
      <c r="M4443" s="3">
        <v>96.88</v>
      </c>
      <c r="N4443" s="3">
        <v>38.76</v>
      </c>
      <c r="O4443" s="3">
        <v>58.12</v>
      </c>
      <c r="P4443" s="3" t="s">
        <v>45</v>
      </c>
    </row>
    <row r="4444" spans="1:16" x14ac:dyDescent="0.35">
      <c r="A4444" s="3" t="s">
        <v>5884</v>
      </c>
      <c r="B4444" s="3" t="s">
        <v>536</v>
      </c>
      <c r="C4444" s="3" t="s">
        <v>18</v>
      </c>
      <c r="D4444" s="3" t="s">
        <v>58</v>
      </c>
      <c r="E4444" s="3" t="s">
        <v>65</v>
      </c>
      <c r="F4444" s="3" t="s">
        <v>66</v>
      </c>
      <c r="G4444" s="3" t="s">
        <v>41</v>
      </c>
      <c r="H4444" s="3" t="s">
        <v>138</v>
      </c>
      <c r="I4444" s="3" t="s">
        <v>783</v>
      </c>
      <c r="J4444" s="3" t="s">
        <v>188</v>
      </c>
      <c r="K4444" s="3">
        <v>7</v>
      </c>
      <c r="L4444" s="3">
        <v>19295.490000000002</v>
      </c>
      <c r="M4444" s="3">
        <v>135068.43</v>
      </c>
      <c r="N4444" s="3">
        <v>94319.57</v>
      </c>
      <c r="O4444" s="3">
        <v>40748.86</v>
      </c>
      <c r="P4444" s="3" t="s">
        <v>45</v>
      </c>
    </row>
    <row r="4445" spans="1:16" x14ac:dyDescent="0.35">
      <c r="A4445" s="3" t="s">
        <v>5885</v>
      </c>
      <c r="B4445" s="3" t="s">
        <v>666</v>
      </c>
      <c r="C4445" s="3" t="s">
        <v>37</v>
      </c>
      <c r="D4445" s="3" t="s">
        <v>90</v>
      </c>
      <c r="E4445" s="3" t="s">
        <v>119</v>
      </c>
      <c r="F4445" s="3" t="s">
        <v>120</v>
      </c>
      <c r="G4445" s="3" t="s">
        <v>41</v>
      </c>
      <c r="H4445" s="3" t="s">
        <v>138</v>
      </c>
      <c r="I4445" s="3" t="s">
        <v>3766</v>
      </c>
      <c r="J4445" s="3" t="s">
        <v>79</v>
      </c>
      <c r="K4445" s="3">
        <v>6</v>
      </c>
      <c r="L4445" s="3">
        <v>17565.59</v>
      </c>
      <c r="M4445" s="3">
        <v>105393.54</v>
      </c>
      <c r="N4445" s="3">
        <v>83634.44</v>
      </c>
      <c r="O4445" s="3">
        <v>21759.1</v>
      </c>
      <c r="P4445" s="3" t="s">
        <v>86</v>
      </c>
    </row>
    <row r="4446" spans="1:16" x14ac:dyDescent="0.35">
      <c r="A4446" s="3" t="s">
        <v>5886</v>
      </c>
      <c r="B4446" s="3" t="s">
        <v>757</v>
      </c>
      <c r="C4446" s="3" t="s">
        <v>137</v>
      </c>
      <c r="D4446" s="3" t="s">
        <v>58</v>
      </c>
      <c r="E4446" s="3" t="s">
        <v>59</v>
      </c>
      <c r="F4446" s="3" t="s">
        <v>60</v>
      </c>
      <c r="G4446" s="3" t="s">
        <v>22</v>
      </c>
      <c r="H4446" s="3" t="s">
        <v>83</v>
      </c>
      <c r="I4446" s="3" t="s">
        <v>2145</v>
      </c>
      <c r="J4446" s="3" t="s">
        <v>106</v>
      </c>
      <c r="K4446" s="3">
        <v>4</v>
      </c>
      <c r="L4446" s="3">
        <v>22617.11</v>
      </c>
      <c r="M4446" s="3">
        <v>90468.44</v>
      </c>
      <c r="N4446" s="3">
        <v>71304.259999999995</v>
      </c>
      <c r="O4446" s="3">
        <v>19164.18</v>
      </c>
      <c r="P4446" s="3" t="s">
        <v>45</v>
      </c>
    </row>
    <row r="4447" spans="1:16" x14ac:dyDescent="0.35">
      <c r="A4447" s="3" t="s">
        <v>5887</v>
      </c>
      <c r="B4447" s="3" t="s">
        <v>1567</v>
      </c>
      <c r="C4447" s="3" t="s">
        <v>82</v>
      </c>
      <c r="D4447" s="3" t="s">
        <v>38</v>
      </c>
      <c r="E4447" s="3" t="s">
        <v>104</v>
      </c>
      <c r="F4447" s="3" t="s">
        <v>104</v>
      </c>
      <c r="G4447" s="3" t="s">
        <v>41</v>
      </c>
      <c r="H4447" s="3" t="s">
        <v>138</v>
      </c>
      <c r="I4447" s="3" t="s">
        <v>1973</v>
      </c>
      <c r="J4447" s="3" t="s">
        <v>217</v>
      </c>
      <c r="K4447" s="3">
        <v>8</v>
      </c>
      <c r="L4447" s="3">
        <v>16667.009999999998</v>
      </c>
      <c r="M4447" s="3">
        <v>133336.07999999999</v>
      </c>
      <c r="N4447" s="3">
        <v>109607.18</v>
      </c>
      <c r="O4447" s="3">
        <v>23728.9</v>
      </c>
      <c r="P4447" s="3" t="s">
        <v>69</v>
      </c>
    </row>
    <row r="4448" spans="1:16" x14ac:dyDescent="0.35">
      <c r="A4448" s="3" t="s">
        <v>5888</v>
      </c>
      <c r="B4448" s="3" t="s">
        <v>1612</v>
      </c>
      <c r="C4448" s="3" t="s">
        <v>48</v>
      </c>
      <c r="D4448" s="3" t="s">
        <v>38</v>
      </c>
      <c r="E4448" s="3" t="s">
        <v>39</v>
      </c>
      <c r="F4448" s="3" t="s">
        <v>40</v>
      </c>
      <c r="G4448" s="3" t="s">
        <v>41</v>
      </c>
      <c r="H4448" s="3" t="s">
        <v>61</v>
      </c>
      <c r="I4448" s="3" t="s">
        <v>258</v>
      </c>
      <c r="J4448" s="3" t="s">
        <v>25</v>
      </c>
      <c r="K4448" s="3">
        <v>5</v>
      </c>
      <c r="L4448" s="3">
        <v>2256.41</v>
      </c>
      <c r="M4448" s="3">
        <v>11282.05</v>
      </c>
      <c r="N4448" s="3">
        <v>8272.16</v>
      </c>
      <c r="O4448" s="3">
        <v>3009.89</v>
      </c>
      <c r="P4448" s="3" t="s">
        <v>45</v>
      </c>
    </row>
    <row r="4449" spans="1:16" x14ac:dyDescent="0.35">
      <c r="A4449" s="3" t="s">
        <v>5889</v>
      </c>
      <c r="B4449" s="3" t="s">
        <v>555</v>
      </c>
      <c r="C4449" s="3" t="s">
        <v>137</v>
      </c>
      <c r="D4449" s="3" t="s">
        <v>58</v>
      </c>
      <c r="E4449" s="3" t="s">
        <v>59</v>
      </c>
      <c r="F4449" s="3" t="s">
        <v>60</v>
      </c>
      <c r="G4449" s="3" t="s">
        <v>30</v>
      </c>
      <c r="H4449" s="3" t="s">
        <v>31</v>
      </c>
      <c r="I4449" s="3" t="s">
        <v>1469</v>
      </c>
      <c r="J4449" s="3" t="s">
        <v>33</v>
      </c>
      <c r="K4449" s="3">
        <v>7</v>
      </c>
      <c r="L4449" s="3">
        <v>2985.81</v>
      </c>
      <c r="M4449" s="3">
        <v>20900.669999999998</v>
      </c>
      <c r="N4449" s="3">
        <v>13852.3</v>
      </c>
      <c r="O4449" s="3">
        <v>7048.37</v>
      </c>
      <c r="P4449" s="3" t="s">
        <v>34</v>
      </c>
    </row>
    <row r="4450" spans="1:16" x14ac:dyDescent="0.35">
      <c r="A4450" s="3" t="s">
        <v>5890</v>
      </c>
      <c r="B4450" s="3" t="s">
        <v>133</v>
      </c>
      <c r="C4450" s="3" t="s">
        <v>18</v>
      </c>
      <c r="D4450" s="3" t="s">
        <v>19</v>
      </c>
      <c r="E4450" s="3" t="s">
        <v>49</v>
      </c>
      <c r="F4450" s="3" t="s">
        <v>50</v>
      </c>
      <c r="G4450" s="3" t="s">
        <v>41</v>
      </c>
      <c r="H4450" s="3" t="s">
        <v>61</v>
      </c>
      <c r="I4450" s="3" t="s">
        <v>425</v>
      </c>
      <c r="J4450" s="3" t="s">
        <v>161</v>
      </c>
      <c r="K4450" s="3">
        <v>3</v>
      </c>
      <c r="L4450" s="3">
        <v>2266.2199999999998</v>
      </c>
      <c r="M4450" s="3">
        <v>6798.66</v>
      </c>
      <c r="N4450" s="3">
        <v>4966.84</v>
      </c>
      <c r="O4450" s="3">
        <v>1831.82</v>
      </c>
      <c r="P4450" s="3" t="s">
        <v>86</v>
      </c>
    </row>
    <row r="4451" spans="1:16" x14ac:dyDescent="0.35">
      <c r="A4451" s="3" t="s">
        <v>5891</v>
      </c>
      <c r="B4451" s="3" t="s">
        <v>1235</v>
      </c>
      <c r="C4451" s="3" t="s">
        <v>18</v>
      </c>
      <c r="D4451" s="3" t="s">
        <v>58</v>
      </c>
      <c r="E4451" s="3" t="s">
        <v>59</v>
      </c>
      <c r="F4451" s="3" t="s">
        <v>60</v>
      </c>
      <c r="G4451" s="3" t="s">
        <v>30</v>
      </c>
      <c r="H4451" s="3" t="s">
        <v>67</v>
      </c>
      <c r="I4451" s="3" t="s">
        <v>483</v>
      </c>
      <c r="J4451" s="3" t="s">
        <v>85</v>
      </c>
      <c r="K4451" s="3">
        <v>7</v>
      </c>
      <c r="L4451" s="3">
        <v>9882.09</v>
      </c>
      <c r="M4451" s="3">
        <v>69174.63</v>
      </c>
      <c r="N4451" s="3">
        <v>55055.839999999997</v>
      </c>
      <c r="O4451" s="3">
        <v>14118.79</v>
      </c>
      <c r="P4451" s="3" t="s">
        <v>45</v>
      </c>
    </row>
    <row r="4452" spans="1:16" x14ac:dyDescent="0.35">
      <c r="A4452" s="3" t="s">
        <v>5892</v>
      </c>
      <c r="B4452" s="3" t="s">
        <v>828</v>
      </c>
      <c r="C4452" s="3" t="s">
        <v>89</v>
      </c>
      <c r="D4452" s="3" t="s">
        <v>38</v>
      </c>
      <c r="E4452" s="3" t="s">
        <v>39</v>
      </c>
      <c r="F4452" s="3" t="s">
        <v>40</v>
      </c>
      <c r="G4452" s="3" t="s">
        <v>41</v>
      </c>
      <c r="H4452" s="3" t="s">
        <v>138</v>
      </c>
      <c r="I4452" s="3" t="s">
        <v>403</v>
      </c>
      <c r="J4452" s="3" t="s">
        <v>131</v>
      </c>
      <c r="K4452" s="3">
        <v>1</v>
      </c>
      <c r="L4452" s="3">
        <v>18310.75</v>
      </c>
      <c r="M4452" s="3">
        <v>18310.75</v>
      </c>
      <c r="N4452" s="3">
        <v>13994.43</v>
      </c>
      <c r="O4452" s="3">
        <v>4316.32</v>
      </c>
      <c r="P4452" s="3" t="s">
        <v>34</v>
      </c>
    </row>
    <row r="4453" spans="1:16" x14ac:dyDescent="0.35">
      <c r="A4453" s="3" t="s">
        <v>5893</v>
      </c>
      <c r="B4453" s="3" t="s">
        <v>294</v>
      </c>
      <c r="C4453" s="3" t="s">
        <v>103</v>
      </c>
      <c r="D4453" s="3" t="s">
        <v>19</v>
      </c>
      <c r="E4453" s="3" t="s">
        <v>199</v>
      </c>
      <c r="F4453" s="3" t="s">
        <v>200</v>
      </c>
      <c r="G4453" s="3" t="s">
        <v>51</v>
      </c>
      <c r="H4453" s="3" t="s">
        <v>52</v>
      </c>
      <c r="I4453" s="3" t="s">
        <v>1642</v>
      </c>
      <c r="J4453" s="3" t="s">
        <v>188</v>
      </c>
      <c r="K4453" s="3">
        <v>2</v>
      </c>
      <c r="L4453" s="3">
        <v>27.23</v>
      </c>
      <c r="M4453" s="3">
        <v>54.46</v>
      </c>
      <c r="N4453" s="3">
        <v>20.3</v>
      </c>
      <c r="O4453" s="3">
        <v>34.159999999999997</v>
      </c>
      <c r="P4453" s="3" t="s">
        <v>69</v>
      </c>
    </row>
    <row r="4454" spans="1:16" x14ac:dyDescent="0.35">
      <c r="A4454" s="3" t="s">
        <v>5894</v>
      </c>
      <c r="B4454" s="3" t="s">
        <v>1525</v>
      </c>
      <c r="C4454" s="3" t="s">
        <v>57</v>
      </c>
      <c r="D4454" s="3" t="s">
        <v>38</v>
      </c>
      <c r="E4454" s="3" t="s">
        <v>109</v>
      </c>
      <c r="F4454" s="3" t="s">
        <v>110</v>
      </c>
      <c r="G4454" s="3" t="s">
        <v>41</v>
      </c>
      <c r="H4454" s="3" t="s">
        <v>61</v>
      </c>
      <c r="I4454" s="3" t="s">
        <v>5895</v>
      </c>
      <c r="J4454" s="3" t="s">
        <v>147</v>
      </c>
      <c r="K4454" s="3">
        <v>3</v>
      </c>
      <c r="L4454" s="3">
        <v>2526.88</v>
      </c>
      <c r="M4454" s="3">
        <v>7580.64</v>
      </c>
      <c r="N4454" s="3">
        <v>4783.66</v>
      </c>
      <c r="O4454" s="3">
        <v>2796.98</v>
      </c>
      <c r="P4454" s="3" t="s">
        <v>45</v>
      </c>
    </row>
    <row r="4455" spans="1:16" x14ac:dyDescent="0.35">
      <c r="A4455" s="3" t="s">
        <v>5896</v>
      </c>
      <c r="B4455" s="3" t="s">
        <v>183</v>
      </c>
      <c r="C4455" s="3" t="s">
        <v>114</v>
      </c>
      <c r="D4455" s="3" t="s">
        <v>58</v>
      </c>
      <c r="E4455" s="3" t="s">
        <v>176</v>
      </c>
      <c r="F4455" s="3" t="s">
        <v>177</v>
      </c>
      <c r="G4455" s="3" t="s">
        <v>22</v>
      </c>
      <c r="H4455" s="3" t="s">
        <v>93</v>
      </c>
      <c r="I4455" s="3" t="s">
        <v>1096</v>
      </c>
      <c r="J4455" s="3" t="s">
        <v>100</v>
      </c>
      <c r="K4455" s="3">
        <v>1</v>
      </c>
      <c r="L4455" s="3">
        <v>6350.33</v>
      </c>
      <c r="M4455" s="3">
        <v>6350.33</v>
      </c>
      <c r="N4455" s="3">
        <v>4820.09</v>
      </c>
      <c r="O4455" s="3">
        <v>1530.24</v>
      </c>
      <c r="P4455" s="3" t="s">
        <v>45</v>
      </c>
    </row>
    <row r="4456" spans="1:16" x14ac:dyDescent="0.35">
      <c r="A4456" s="3" t="s">
        <v>5897</v>
      </c>
      <c r="B4456" s="3" t="s">
        <v>859</v>
      </c>
      <c r="C4456" s="3" t="s">
        <v>48</v>
      </c>
      <c r="D4456" s="3" t="s">
        <v>19</v>
      </c>
      <c r="E4456" s="3" t="s">
        <v>49</v>
      </c>
      <c r="F4456" s="3" t="s">
        <v>50</v>
      </c>
      <c r="G4456" s="3" t="s">
        <v>41</v>
      </c>
      <c r="H4456" s="3" t="s">
        <v>138</v>
      </c>
      <c r="I4456" s="3" t="s">
        <v>2936</v>
      </c>
      <c r="J4456" s="3" t="s">
        <v>25</v>
      </c>
      <c r="K4456" s="3">
        <v>6</v>
      </c>
      <c r="L4456" s="3">
        <v>17752.88</v>
      </c>
      <c r="M4456" s="3">
        <v>106517.28</v>
      </c>
      <c r="N4456" s="3">
        <v>86659.02</v>
      </c>
      <c r="O4456" s="3">
        <v>19858.259999999998</v>
      </c>
      <c r="P4456" s="3" t="s">
        <v>34</v>
      </c>
    </row>
    <row r="4457" spans="1:16" x14ac:dyDescent="0.35">
      <c r="A4457" s="3" t="s">
        <v>5898</v>
      </c>
      <c r="B4457" s="3" t="s">
        <v>1755</v>
      </c>
      <c r="C4457" s="3" t="s">
        <v>57</v>
      </c>
      <c r="D4457" s="3" t="s">
        <v>38</v>
      </c>
      <c r="E4457" s="3" t="s">
        <v>104</v>
      </c>
      <c r="F4457" s="3" t="s">
        <v>104</v>
      </c>
      <c r="G4457" s="3" t="s">
        <v>51</v>
      </c>
      <c r="H4457" s="3" t="s">
        <v>145</v>
      </c>
      <c r="I4457" s="3" t="s">
        <v>2721</v>
      </c>
      <c r="J4457" s="3" t="s">
        <v>25</v>
      </c>
      <c r="K4457" s="3">
        <v>2</v>
      </c>
      <c r="L4457" s="3">
        <v>128.6</v>
      </c>
      <c r="M4457" s="3">
        <v>257.2</v>
      </c>
      <c r="N4457" s="3">
        <v>119.63</v>
      </c>
      <c r="O4457" s="3">
        <v>137.57</v>
      </c>
      <c r="P4457" s="3" t="s">
        <v>26</v>
      </c>
    </row>
    <row r="4458" spans="1:16" x14ac:dyDescent="0.35">
      <c r="A4458" s="3" t="s">
        <v>5899</v>
      </c>
      <c r="B4458" s="3" t="s">
        <v>28</v>
      </c>
      <c r="C4458" s="3" t="s">
        <v>29</v>
      </c>
      <c r="D4458" s="3" t="s">
        <v>58</v>
      </c>
      <c r="E4458" s="3" t="s">
        <v>176</v>
      </c>
      <c r="F4458" s="3" t="s">
        <v>177</v>
      </c>
      <c r="G4458" s="3" t="s">
        <v>30</v>
      </c>
      <c r="H4458" s="3" t="s">
        <v>73</v>
      </c>
      <c r="I4458" s="3" t="s">
        <v>3163</v>
      </c>
      <c r="J4458" s="3" t="s">
        <v>217</v>
      </c>
      <c r="K4458" s="3">
        <v>7</v>
      </c>
      <c r="L4458" s="3">
        <v>3439.42</v>
      </c>
      <c r="M4458" s="3">
        <v>24075.94</v>
      </c>
      <c r="N4458" s="3">
        <v>17045.29</v>
      </c>
      <c r="O4458" s="3">
        <v>7030.65</v>
      </c>
      <c r="P4458" s="3" t="s">
        <v>45</v>
      </c>
    </row>
    <row r="4459" spans="1:16" x14ac:dyDescent="0.35">
      <c r="A4459" s="3" t="s">
        <v>5900</v>
      </c>
      <c r="B4459" s="3" t="s">
        <v>1042</v>
      </c>
      <c r="C4459" s="3" t="s">
        <v>118</v>
      </c>
      <c r="D4459" s="3" t="s">
        <v>90</v>
      </c>
      <c r="E4459" s="3" t="s">
        <v>91</v>
      </c>
      <c r="F4459" s="3" t="s">
        <v>92</v>
      </c>
      <c r="G4459" s="3" t="s">
        <v>51</v>
      </c>
      <c r="H4459" s="3" t="s">
        <v>77</v>
      </c>
      <c r="I4459" s="3" t="s">
        <v>2339</v>
      </c>
      <c r="J4459" s="3" t="s">
        <v>44</v>
      </c>
      <c r="K4459" s="3">
        <v>3</v>
      </c>
      <c r="L4459" s="3">
        <v>12530.58</v>
      </c>
      <c r="M4459" s="3">
        <v>37591.74</v>
      </c>
      <c r="N4459" s="3">
        <v>27918</v>
      </c>
      <c r="O4459" s="3">
        <v>9673.74</v>
      </c>
      <c r="P4459" s="3" t="s">
        <v>26</v>
      </c>
    </row>
    <row r="4460" spans="1:16" x14ac:dyDescent="0.35">
      <c r="A4460" s="3" t="s">
        <v>5901</v>
      </c>
      <c r="B4460" s="3" t="s">
        <v>661</v>
      </c>
      <c r="C4460" s="3" t="s">
        <v>114</v>
      </c>
      <c r="D4460" s="3" t="s">
        <v>38</v>
      </c>
      <c r="E4460" s="3" t="s">
        <v>109</v>
      </c>
      <c r="F4460" s="3" t="s">
        <v>110</v>
      </c>
      <c r="G4460" s="3" t="s">
        <v>51</v>
      </c>
      <c r="H4460" s="3" t="s">
        <v>145</v>
      </c>
      <c r="I4460" s="3" t="s">
        <v>3960</v>
      </c>
      <c r="J4460" s="3" t="s">
        <v>100</v>
      </c>
      <c r="K4460" s="3">
        <v>6</v>
      </c>
      <c r="L4460" s="3">
        <v>127.38</v>
      </c>
      <c r="M4460" s="3">
        <v>764.28</v>
      </c>
      <c r="N4460" s="3">
        <v>366.69</v>
      </c>
      <c r="O4460" s="3">
        <v>397.59</v>
      </c>
      <c r="P4460" s="3" t="s">
        <v>26</v>
      </c>
    </row>
    <row r="4461" spans="1:16" x14ac:dyDescent="0.35">
      <c r="A4461" s="3" t="s">
        <v>5902</v>
      </c>
      <c r="B4461" s="3" t="s">
        <v>583</v>
      </c>
      <c r="C4461" s="3" t="s">
        <v>89</v>
      </c>
      <c r="D4461" s="3" t="s">
        <v>90</v>
      </c>
      <c r="E4461" s="3" t="s">
        <v>91</v>
      </c>
      <c r="F4461" s="3" t="s">
        <v>92</v>
      </c>
      <c r="G4461" s="3" t="s">
        <v>51</v>
      </c>
      <c r="H4461" s="3" t="s">
        <v>145</v>
      </c>
      <c r="I4461" s="3" t="s">
        <v>1343</v>
      </c>
      <c r="J4461" s="3" t="s">
        <v>85</v>
      </c>
      <c r="K4461" s="3">
        <v>2</v>
      </c>
      <c r="L4461" s="3">
        <v>125.59</v>
      </c>
      <c r="M4461" s="3">
        <v>251.18</v>
      </c>
      <c r="N4461" s="3">
        <v>122.29</v>
      </c>
      <c r="O4461" s="3">
        <v>128.88999999999999</v>
      </c>
      <c r="P4461" s="3" t="s">
        <v>86</v>
      </c>
    </row>
    <row r="4462" spans="1:16" x14ac:dyDescent="0.35">
      <c r="A4462" s="3" t="s">
        <v>5903</v>
      </c>
      <c r="B4462" s="3" t="s">
        <v>524</v>
      </c>
      <c r="C4462" s="3" t="s">
        <v>89</v>
      </c>
      <c r="D4462" s="3" t="s">
        <v>38</v>
      </c>
      <c r="E4462" s="3" t="s">
        <v>109</v>
      </c>
      <c r="F4462" s="3" t="s">
        <v>110</v>
      </c>
      <c r="G4462" s="3" t="s">
        <v>41</v>
      </c>
      <c r="H4462" s="3" t="s">
        <v>138</v>
      </c>
      <c r="I4462" s="3" t="s">
        <v>1767</v>
      </c>
      <c r="J4462" s="3" t="s">
        <v>147</v>
      </c>
      <c r="K4462" s="3">
        <v>8</v>
      </c>
      <c r="L4462" s="3">
        <v>17591.78</v>
      </c>
      <c r="M4462" s="3">
        <v>140734.24</v>
      </c>
      <c r="N4462" s="3">
        <v>114618.37</v>
      </c>
      <c r="O4462" s="3">
        <v>26115.87</v>
      </c>
      <c r="P4462" s="3" t="s">
        <v>34</v>
      </c>
    </row>
    <row r="4463" spans="1:16" x14ac:dyDescent="0.35">
      <c r="A4463" s="3" t="s">
        <v>5904</v>
      </c>
      <c r="B4463" s="3" t="s">
        <v>524</v>
      </c>
      <c r="C4463" s="3" t="s">
        <v>89</v>
      </c>
      <c r="D4463" s="3" t="s">
        <v>38</v>
      </c>
      <c r="E4463" s="3" t="s">
        <v>104</v>
      </c>
      <c r="F4463" s="3" t="s">
        <v>104</v>
      </c>
      <c r="G4463" s="3" t="s">
        <v>51</v>
      </c>
      <c r="H4463" s="3" t="s">
        <v>145</v>
      </c>
      <c r="I4463" s="3" t="s">
        <v>3014</v>
      </c>
      <c r="J4463" s="3" t="s">
        <v>147</v>
      </c>
      <c r="K4463" s="3">
        <v>5</v>
      </c>
      <c r="L4463" s="3">
        <v>119.24</v>
      </c>
      <c r="M4463" s="3">
        <v>596.20000000000005</v>
      </c>
      <c r="N4463" s="3">
        <v>305.11</v>
      </c>
      <c r="O4463" s="3">
        <v>291.08999999999997</v>
      </c>
      <c r="P4463" s="3" t="s">
        <v>69</v>
      </c>
    </row>
    <row r="4464" spans="1:16" x14ac:dyDescent="0.35">
      <c r="A4464" s="3" t="s">
        <v>5905</v>
      </c>
      <c r="B4464" s="3" t="s">
        <v>1294</v>
      </c>
      <c r="C4464" s="3" t="s">
        <v>118</v>
      </c>
      <c r="D4464" s="3" t="s">
        <v>19</v>
      </c>
      <c r="E4464" s="3" t="s">
        <v>49</v>
      </c>
      <c r="F4464" s="3" t="s">
        <v>50</v>
      </c>
      <c r="G4464" s="3" t="s">
        <v>30</v>
      </c>
      <c r="H4464" s="3" t="s">
        <v>73</v>
      </c>
      <c r="I4464" s="3" t="s">
        <v>2891</v>
      </c>
      <c r="J4464" s="3" t="s">
        <v>171</v>
      </c>
      <c r="K4464" s="3">
        <v>3</v>
      </c>
      <c r="L4464" s="3">
        <v>3210.84</v>
      </c>
      <c r="M4464" s="3">
        <v>9632.52</v>
      </c>
      <c r="N4464" s="3">
        <v>6851.59</v>
      </c>
      <c r="O4464" s="3">
        <v>2780.93</v>
      </c>
      <c r="P4464" s="3" t="s">
        <v>45</v>
      </c>
    </row>
    <row r="4465" spans="1:16" x14ac:dyDescent="0.35">
      <c r="A4465" s="3" t="s">
        <v>5906</v>
      </c>
      <c r="B4465" s="3" t="s">
        <v>565</v>
      </c>
      <c r="C4465" s="3" t="s">
        <v>137</v>
      </c>
      <c r="D4465" s="3" t="s">
        <v>19</v>
      </c>
      <c r="E4465" s="3" t="s">
        <v>49</v>
      </c>
      <c r="F4465" s="3" t="s">
        <v>50</v>
      </c>
      <c r="G4465" s="3" t="s">
        <v>30</v>
      </c>
      <c r="H4465" s="3" t="s">
        <v>67</v>
      </c>
      <c r="I4465" s="3" t="s">
        <v>2128</v>
      </c>
      <c r="J4465" s="3" t="s">
        <v>44</v>
      </c>
      <c r="K4465" s="3">
        <v>2</v>
      </c>
      <c r="L4465" s="3">
        <v>8662.44</v>
      </c>
      <c r="M4465" s="3">
        <v>17324.88</v>
      </c>
      <c r="N4465" s="3">
        <v>14604.16</v>
      </c>
      <c r="O4465" s="3">
        <v>2720.72</v>
      </c>
      <c r="P4465" s="3" t="s">
        <v>45</v>
      </c>
    </row>
    <row r="4466" spans="1:16" x14ac:dyDescent="0.35">
      <c r="A4466" s="3" t="s">
        <v>5907</v>
      </c>
      <c r="B4466" s="3" t="s">
        <v>1644</v>
      </c>
      <c r="C4466" s="3" t="s">
        <v>118</v>
      </c>
      <c r="D4466" s="3" t="s">
        <v>90</v>
      </c>
      <c r="E4466" s="3" t="s">
        <v>119</v>
      </c>
      <c r="F4466" s="3" t="s">
        <v>120</v>
      </c>
      <c r="G4466" s="3" t="s">
        <v>51</v>
      </c>
      <c r="H4466" s="3" t="s">
        <v>77</v>
      </c>
      <c r="I4466" s="3" t="s">
        <v>563</v>
      </c>
      <c r="J4466" s="3" t="s">
        <v>154</v>
      </c>
      <c r="K4466" s="3">
        <v>4</v>
      </c>
      <c r="L4466" s="3">
        <v>10934.3</v>
      </c>
      <c r="M4466" s="3">
        <v>43737.2</v>
      </c>
      <c r="N4466" s="3">
        <v>35699.839999999997</v>
      </c>
      <c r="O4466" s="3">
        <v>8037.36</v>
      </c>
      <c r="P4466" s="3" t="s">
        <v>45</v>
      </c>
    </row>
    <row r="4467" spans="1:16" x14ac:dyDescent="0.35">
      <c r="A4467" s="3" t="s">
        <v>5908</v>
      </c>
      <c r="B4467" s="3" t="s">
        <v>1385</v>
      </c>
      <c r="C4467" s="3" t="s">
        <v>29</v>
      </c>
      <c r="D4467" s="3" t="s">
        <v>58</v>
      </c>
      <c r="E4467" s="3" t="s">
        <v>176</v>
      </c>
      <c r="F4467" s="3" t="s">
        <v>177</v>
      </c>
      <c r="G4467" s="3" t="s">
        <v>41</v>
      </c>
      <c r="H4467" s="3" t="s">
        <v>42</v>
      </c>
      <c r="I4467" s="3" t="s">
        <v>3374</v>
      </c>
      <c r="J4467" s="3" t="s">
        <v>79</v>
      </c>
      <c r="K4467" s="3">
        <v>2</v>
      </c>
      <c r="L4467" s="3">
        <v>45002.14</v>
      </c>
      <c r="M4467" s="3">
        <v>90004.28</v>
      </c>
      <c r="N4467" s="3">
        <v>69656.14</v>
      </c>
      <c r="O4467" s="3">
        <v>20348.14</v>
      </c>
      <c r="P4467" s="3" t="s">
        <v>86</v>
      </c>
    </row>
    <row r="4468" spans="1:16" x14ac:dyDescent="0.35">
      <c r="A4468" s="3" t="s">
        <v>5909</v>
      </c>
      <c r="B4468" s="3" t="s">
        <v>685</v>
      </c>
      <c r="C4468" s="3" t="s">
        <v>137</v>
      </c>
      <c r="D4468" s="3" t="s">
        <v>38</v>
      </c>
      <c r="E4468" s="3" t="s">
        <v>39</v>
      </c>
      <c r="F4468" s="3" t="s">
        <v>40</v>
      </c>
      <c r="G4468" s="3" t="s">
        <v>22</v>
      </c>
      <c r="H4468" s="3" t="s">
        <v>23</v>
      </c>
      <c r="I4468" s="3" t="s">
        <v>2893</v>
      </c>
      <c r="J4468" s="3" t="s">
        <v>54</v>
      </c>
      <c r="K4468" s="3">
        <v>5</v>
      </c>
      <c r="L4468" s="3">
        <v>3774.39</v>
      </c>
      <c r="M4468" s="3">
        <v>18871.95</v>
      </c>
      <c r="N4468" s="3">
        <v>10637.24</v>
      </c>
      <c r="O4468" s="3">
        <v>8234.7099999999991</v>
      </c>
      <c r="P4468" s="3" t="s">
        <v>26</v>
      </c>
    </row>
    <row r="4469" spans="1:16" x14ac:dyDescent="0.35">
      <c r="A4469" s="3" t="s">
        <v>5910</v>
      </c>
      <c r="B4469" s="3" t="s">
        <v>792</v>
      </c>
      <c r="C4469" s="3" t="s">
        <v>72</v>
      </c>
      <c r="D4469" s="3" t="s">
        <v>38</v>
      </c>
      <c r="E4469" s="3" t="s">
        <v>39</v>
      </c>
      <c r="F4469" s="3" t="s">
        <v>40</v>
      </c>
      <c r="G4469" s="3" t="s">
        <v>22</v>
      </c>
      <c r="H4469" s="3" t="s">
        <v>83</v>
      </c>
      <c r="I4469" s="3" t="s">
        <v>537</v>
      </c>
      <c r="J4469" s="3" t="s">
        <v>147</v>
      </c>
      <c r="K4469" s="3">
        <v>2</v>
      </c>
      <c r="L4469" s="3">
        <v>23901.63</v>
      </c>
      <c r="M4469" s="3">
        <v>47803.26</v>
      </c>
      <c r="N4469" s="3">
        <v>33790.69</v>
      </c>
      <c r="O4469" s="3">
        <v>14012.57</v>
      </c>
      <c r="P4469" s="3" t="s">
        <v>26</v>
      </c>
    </row>
    <row r="4470" spans="1:16" x14ac:dyDescent="0.35">
      <c r="A4470" s="3" t="s">
        <v>5911</v>
      </c>
      <c r="B4470" s="3" t="s">
        <v>1142</v>
      </c>
      <c r="C4470" s="3" t="s">
        <v>37</v>
      </c>
      <c r="D4470" s="3" t="s">
        <v>19</v>
      </c>
      <c r="E4470" s="3" t="s">
        <v>49</v>
      </c>
      <c r="F4470" s="3" t="s">
        <v>50</v>
      </c>
      <c r="G4470" s="3" t="s">
        <v>41</v>
      </c>
      <c r="H4470" s="3" t="s">
        <v>61</v>
      </c>
      <c r="I4470" s="3" t="s">
        <v>2495</v>
      </c>
      <c r="J4470" s="3" t="s">
        <v>44</v>
      </c>
      <c r="K4470" s="3">
        <v>5</v>
      </c>
      <c r="L4470" s="3">
        <v>2450.5700000000002</v>
      </c>
      <c r="M4470" s="3">
        <v>12252.85</v>
      </c>
      <c r="N4470" s="3">
        <v>8176.93</v>
      </c>
      <c r="O4470" s="3">
        <v>4075.92</v>
      </c>
      <c r="P4470" s="3" t="s">
        <v>34</v>
      </c>
    </row>
    <row r="4471" spans="1:16" x14ac:dyDescent="0.35">
      <c r="A4471" s="3" t="s">
        <v>5912</v>
      </c>
      <c r="B4471" s="3" t="s">
        <v>1082</v>
      </c>
      <c r="C4471" s="3" t="s">
        <v>114</v>
      </c>
      <c r="D4471" s="3" t="s">
        <v>19</v>
      </c>
      <c r="E4471" s="3" t="s">
        <v>20</v>
      </c>
      <c r="F4471" s="3" t="s">
        <v>21</v>
      </c>
      <c r="G4471" s="3" t="s">
        <v>30</v>
      </c>
      <c r="H4471" s="3" t="s">
        <v>31</v>
      </c>
      <c r="I4471" s="3" t="s">
        <v>393</v>
      </c>
      <c r="J4471" s="3" t="s">
        <v>161</v>
      </c>
      <c r="K4471" s="3">
        <v>3</v>
      </c>
      <c r="L4471" s="3">
        <v>2916.5</v>
      </c>
      <c r="M4471" s="3">
        <v>8749.5</v>
      </c>
      <c r="N4471" s="3">
        <v>5561.25</v>
      </c>
      <c r="O4471" s="3">
        <v>3188.25</v>
      </c>
      <c r="P4471" s="3" t="s">
        <v>26</v>
      </c>
    </row>
    <row r="4472" spans="1:16" x14ac:dyDescent="0.35">
      <c r="A4472" s="3" t="s">
        <v>5913</v>
      </c>
      <c r="B4472" s="3" t="s">
        <v>880</v>
      </c>
      <c r="C4472" s="3" t="s">
        <v>114</v>
      </c>
      <c r="D4472" s="3" t="s">
        <v>38</v>
      </c>
      <c r="E4472" s="3" t="s">
        <v>104</v>
      </c>
      <c r="F4472" s="3" t="s">
        <v>104</v>
      </c>
      <c r="G4472" s="3" t="s">
        <v>41</v>
      </c>
      <c r="H4472" s="3" t="s">
        <v>42</v>
      </c>
      <c r="I4472" s="3" t="s">
        <v>1948</v>
      </c>
      <c r="J4472" s="3" t="s">
        <v>54</v>
      </c>
      <c r="K4472" s="3">
        <v>7</v>
      </c>
      <c r="L4472" s="3">
        <v>43346.19</v>
      </c>
      <c r="M4472" s="3">
        <v>303423.33</v>
      </c>
      <c r="N4472" s="3">
        <v>251055.03</v>
      </c>
      <c r="O4472" s="3">
        <v>52368.3</v>
      </c>
      <c r="P4472" s="3" t="s">
        <v>45</v>
      </c>
    </row>
    <row r="4473" spans="1:16" x14ac:dyDescent="0.35">
      <c r="A4473" s="3" t="s">
        <v>5914</v>
      </c>
      <c r="B4473" s="3" t="s">
        <v>1895</v>
      </c>
      <c r="C4473" s="3" t="s">
        <v>48</v>
      </c>
      <c r="D4473" s="3" t="s">
        <v>90</v>
      </c>
      <c r="E4473" s="3" t="s">
        <v>91</v>
      </c>
      <c r="F4473" s="3" t="s">
        <v>92</v>
      </c>
      <c r="G4473" s="3" t="s">
        <v>41</v>
      </c>
      <c r="H4473" s="3" t="s">
        <v>61</v>
      </c>
      <c r="I4473" s="3" t="s">
        <v>3105</v>
      </c>
      <c r="J4473" s="3" t="s">
        <v>79</v>
      </c>
      <c r="K4473" s="3">
        <v>6</v>
      </c>
      <c r="L4473" s="3">
        <v>2259.1799999999998</v>
      </c>
      <c r="M4473" s="3">
        <v>13555.08</v>
      </c>
      <c r="N4473" s="3">
        <v>9129.06</v>
      </c>
      <c r="O4473" s="3">
        <v>4426.0200000000004</v>
      </c>
      <c r="P4473" s="3" t="s">
        <v>69</v>
      </c>
    </row>
    <row r="4474" spans="1:16" x14ac:dyDescent="0.35">
      <c r="A4474" s="3" t="s">
        <v>5915</v>
      </c>
      <c r="B4474" s="3" t="s">
        <v>274</v>
      </c>
      <c r="C4474" s="3" t="s">
        <v>57</v>
      </c>
      <c r="D4474" s="3" t="s">
        <v>90</v>
      </c>
      <c r="E4474" s="3" t="s">
        <v>97</v>
      </c>
      <c r="F4474" s="3" t="s">
        <v>98</v>
      </c>
      <c r="G4474" s="3" t="s">
        <v>30</v>
      </c>
      <c r="H4474" s="3" t="s">
        <v>73</v>
      </c>
      <c r="I4474" s="3" t="s">
        <v>2158</v>
      </c>
      <c r="J4474" s="3" t="s">
        <v>161</v>
      </c>
      <c r="K4474" s="3">
        <v>5</v>
      </c>
      <c r="L4474" s="3">
        <v>3096.6</v>
      </c>
      <c r="M4474" s="3">
        <v>15483</v>
      </c>
      <c r="N4474" s="3">
        <v>11622.63</v>
      </c>
      <c r="O4474" s="3">
        <v>3860.37</v>
      </c>
      <c r="P4474" s="3" t="s">
        <v>34</v>
      </c>
    </row>
    <row r="4475" spans="1:16" x14ac:dyDescent="0.35">
      <c r="A4475" s="3" t="s">
        <v>5916</v>
      </c>
      <c r="B4475" s="3" t="s">
        <v>1823</v>
      </c>
      <c r="C4475" s="3" t="s">
        <v>118</v>
      </c>
      <c r="D4475" s="3" t="s">
        <v>58</v>
      </c>
      <c r="E4475" s="3" t="s">
        <v>59</v>
      </c>
      <c r="F4475" s="3" t="s">
        <v>60</v>
      </c>
      <c r="G4475" s="3" t="s">
        <v>22</v>
      </c>
      <c r="H4475" s="3" t="s">
        <v>83</v>
      </c>
      <c r="I4475" s="3" t="s">
        <v>1404</v>
      </c>
      <c r="J4475" s="3" t="s">
        <v>161</v>
      </c>
      <c r="K4475" s="3">
        <v>7</v>
      </c>
      <c r="L4475" s="3">
        <v>20698.8</v>
      </c>
      <c r="M4475" s="3">
        <v>144891.6</v>
      </c>
      <c r="N4475" s="3">
        <v>113803.88</v>
      </c>
      <c r="O4475" s="3">
        <v>31087.72</v>
      </c>
      <c r="P4475" s="3" t="s">
        <v>45</v>
      </c>
    </row>
    <row r="4476" spans="1:16" x14ac:dyDescent="0.35">
      <c r="A4476" s="3" t="s">
        <v>5917</v>
      </c>
      <c r="B4476" s="3" t="s">
        <v>2969</v>
      </c>
      <c r="C4476" s="3" t="s">
        <v>137</v>
      </c>
      <c r="D4476" s="3" t="s">
        <v>38</v>
      </c>
      <c r="E4476" s="3" t="s">
        <v>39</v>
      </c>
      <c r="F4476" s="3" t="s">
        <v>40</v>
      </c>
      <c r="G4476" s="3" t="s">
        <v>41</v>
      </c>
      <c r="H4476" s="3" t="s">
        <v>138</v>
      </c>
      <c r="I4476" s="3" t="s">
        <v>1356</v>
      </c>
      <c r="J4476" s="3" t="s">
        <v>217</v>
      </c>
      <c r="K4476" s="3">
        <v>2</v>
      </c>
      <c r="L4476" s="3">
        <v>19666.12</v>
      </c>
      <c r="M4476" s="3">
        <v>39332.239999999998</v>
      </c>
      <c r="N4476" s="3">
        <v>29281.24</v>
      </c>
      <c r="O4476" s="3">
        <v>10051</v>
      </c>
      <c r="P4476" s="3" t="s">
        <v>69</v>
      </c>
    </row>
    <row r="4477" spans="1:16" x14ac:dyDescent="0.35">
      <c r="A4477" s="3" t="s">
        <v>5918</v>
      </c>
      <c r="B4477" s="3" t="s">
        <v>1727</v>
      </c>
      <c r="C4477" s="3" t="s">
        <v>89</v>
      </c>
      <c r="D4477" s="3" t="s">
        <v>58</v>
      </c>
      <c r="E4477" s="3" t="s">
        <v>65</v>
      </c>
      <c r="F4477" s="3" t="s">
        <v>66</v>
      </c>
      <c r="G4477" s="3" t="s">
        <v>41</v>
      </c>
      <c r="H4477" s="3" t="s">
        <v>138</v>
      </c>
      <c r="I4477" s="3" t="s">
        <v>3346</v>
      </c>
      <c r="J4477" s="3" t="s">
        <v>33</v>
      </c>
      <c r="K4477" s="3">
        <v>5</v>
      </c>
      <c r="L4477" s="3">
        <v>17557.400000000001</v>
      </c>
      <c r="M4477" s="3">
        <v>87787</v>
      </c>
      <c r="N4477" s="3">
        <v>71645.649999999994</v>
      </c>
      <c r="O4477" s="3">
        <v>16141.35</v>
      </c>
      <c r="P4477" s="3" t="s">
        <v>69</v>
      </c>
    </row>
    <row r="4478" spans="1:16" x14ac:dyDescent="0.35">
      <c r="A4478" s="3" t="s">
        <v>5919</v>
      </c>
      <c r="B4478" s="3" t="s">
        <v>1140</v>
      </c>
      <c r="C4478" s="3" t="s">
        <v>48</v>
      </c>
      <c r="D4478" s="3" t="s">
        <v>38</v>
      </c>
      <c r="E4478" s="3" t="s">
        <v>109</v>
      </c>
      <c r="F4478" s="3" t="s">
        <v>110</v>
      </c>
      <c r="G4478" s="3" t="s">
        <v>22</v>
      </c>
      <c r="H4478" s="3" t="s">
        <v>23</v>
      </c>
      <c r="I4478" s="3" t="s">
        <v>1671</v>
      </c>
      <c r="J4478" s="3" t="s">
        <v>85</v>
      </c>
      <c r="K4478" s="3">
        <v>3</v>
      </c>
      <c r="L4478" s="3">
        <v>3163.22</v>
      </c>
      <c r="M4478" s="3">
        <v>9489.66</v>
      </c>
      <c r="N4478" s="3">
        <v>6484.58</v>
      </c>
      <c r="O4478" s="3">
        <v>3005.08</v>
      </c>
      <c r="P4478" s="3" t="s">
        <v>26</v>
      </c>
    </row>
    <row r="4479" spans="1:16" x14ac:dyDescent="0.35">
      <c r="A4479" s="3" t="s">
        <v>5920</v>
      </c>
      <c r="B4479" s="3" t="s">
        <v>877</v>
      </c>
      <c r="C4479" s="3" t="s">
        <v>114</v>
      </c>
      <c r="D4479" s="3" t="s">
        <v>58</v>
      </c>
      <c r="E4479" s="3" t="s">
        <v>176</v>
      </c>
      <c r="F4479" s="3" t="s">
        <v>177</v>
      </c>
      <c r="G4479" s="3" t="s">
        <v>51</v>
      </c>
      <c r="H4479" s="3" t="s">
        <v>145</v>
      </c>
      <c r="I4479" s="3" t="s">
        <v>1051</v>
      </c>
      <c r="J4479" s="3" t="s">
        <v>25</v>
      </c>
      <c r="K4479" s="3">
        <v>6</v>
      </c>
      <c r="L4479" s="3">
        <v>128.26</v>
      </c>
      <c r="M4479" s="3">
        <v>769.56</v>
      </c>
      <c r="N4479" s="3">
        <v>356.31</v>
      </c>
      <c r="O4479" s="3">
        <v>413.25</v>
      </c>
      <c r="P4479" s="3" t="s">
        <v>86</v>
      </c>
    </row>
    <row r="4480" spans="1:16" x14ac:dyDescent="0.35">
      <c r="A4480" s="3" t="s">
        <v>5921</v>
      </c>
      <c r="B4480" s="3" t="s">
        <v>531</v>
      </c>
      <c r="C4480" s="3" t="s">
        <v>137</v>
      </c>
      <c r="D4480" s="3" t="s">
        <v>90</v>
      </c>
      <c r="E4480" s="3" t="s">
        <v>91</v>
      </c>
      <c r="F4480" s="3" t="s">
        <v>92</v>
      </c>
      <c r="G4480" s="3" t="s">
        <v>41</v>
      </c>
      <c r="H4480" s="3" t="s">
        <v>42</v>
      </c>
      <c r="I4480" s="3" t="s">
        <v>1116</v>
      </c>
      <c r="J4480" s="3" t="s">
        <v>161</v>
      </c>
      <c r="K4480" s="3">
        <v>3</v>
      </c>
      <c r="L4480" s="3">
        <v>44263.27</v>
      </c>
      <c r="M4480" s="3">
        <v>132789.81</v>
      </c>
      <c r="N4480" s="3">
        <v>101588.7</v>
      </c>
      <c r="O4480" s="3">
        <v>31201.11</v>
      </c>
      <c r="P4480" s="3" t="s">
        <v>69</v>
      </c>
    </row>
    <row r="4481" spans="1:16" x14ac:dyDescent="0.35">
      <c r="A4481" s="3" t="s">
        <v>5922</v>
      </c>
      <c r="B4481" s="3" t="s">
        <v>1704</v>
      </c>
      <c r="C4481" s="3" t="s">
        <v>48</v>
      </c>
      <c r="D4481" s="3" t="s">
        <v>58</v>
      </c>
      <c r="E4481" s="3" t="s">
        <v>59</v>
      </c>
      <c r="F4481" s="3" t="s">
        <v>60</v>
      </c>
      <c r="G4481" s="3" t="s">
        <v>30</v>
      </c>
      <c r="H4481" s="3" t="s">
        <v>67</v>
      </c>
      <c r="I4481" s="3" t="s">
        <v>1447</v>
      </c>
      <c r="J4481" s="3" t="s">
        <v>100</v>
      </c>
      <c r="K4481" s="3">
        <v>6</v>
      </c>
      <c r="L4481" s="3">
        <v>10333.98</v>
      </c>
      <c r="M4481" s="3">
        <v>62003.88</v>
      </c>
      <c r="N4481" s="3">
        <v>46275.42</v>
      </c>
      <c r="O4481" s="3">
        <v>15728.46</v>
      </c>
      <c r="P4481" s="3" t="s">
        <v>86</v>
      </c>
    </row>
    <row r="4482" spans="1:16" x14ac:dyDescent="0.35">
      <c r="A4482" s="3" t="s">
        <v>5923</v>
      </c>
      <c r="B4482" s="3" t="s">
        <v>225</v>
      </c>
      <c r="C4482" s="3" t="s">
        <v>89</v>
      </c>
      <c r="D4482" s="3" t="s">
        <v>38</v>
      </c>
      <c r="E4482" s="3" t="s">
        <v>104</v>
      </c>
      <c r="F4482" s="3" t="s">
        <v>104</v>
      </c>
      <c r="G4482" s="3" t="s">
        <v>41</v>
      </c>
      <c r="H4482" s="3" t="s">
        <v>138</v>
      </c>
      <c r="I4482" s="3" t="s">
        <v>898</v>
      </c>
      <c r="J4482" s="3" t="s">
        <v>33</v>
      </c>
      <c r="K4482" s="3">
        <v>7</v>
      </c>
      <c r="L4482" s="3">
        <v>19639.39</v>
      </c>
      <c r="M4482" s="3">
        <v>137475.73000000001</v>
      </c>
      <c r="N4482" s="3">
        <v>97471.95</v>
      </c>
      <c r="O4482" s="3">
        <v>40003.78</v>
      </c>
      <c r="P4482" s="3" t="s">
        <v>69</v>
      </c>
    </row>
    <row r="4483" spans="1:16" x14ac:dyDescent="0.35">
      <c r="A4483" s="3" t="s">
        <v>5924</v>
      </c>
      <c r="B4483" s="3" t="s">
        <v>2365</v>
      </c>
      <c r="C4483" s="3" t="s">
        <v>57</v>
      </c>
      <c r="D4483" s="3" t="s">
        <v>58</v>
      </c>
      <c r="E4483" s="3" t="s">
        <v>65</v>
      </c>
      <c r="F4483" s="3" t="s">
        <v>66</v>
      </c>
      <c r="G4483" s="3" t="s">
        <v>41</v>
      </c>
      <c r="H4483" s="3" t="s">
        <v>42</v>
      </c>
      <c r="I4483" s="3" t="s">
        <v>1249</v>
      </c>
      <c r="J4483" s="3" t="s">
        <v>54</v>
      </c>
      <c r="K4483" s="3">
        <v>2</v>
      </c>
      <c r="L4483" s="3">
        <v>48904.59</v>
      </c>
      <c r="M4483" s="3">
        <v>97809.18</v>
      </c>
      <c r="N4483" s="3">
        <v>69561.89</v>
      </c>
      <c r="O4483" s="3">
        <v>28247.29</v>
      </c>
      <c r="P4483" s="3" t="s">
        <v>34</v>
      </c>
    </row>
    <row r="4484" spans="1:16" x14ac:dyDescent="0.35">
      <c r="A4484" s="3" t="s">
        <v>5925</v>
      </c>
      <c r="B4484" s="3" t="s">
        <v>798</v>
      </c>
      <c r="C4484" s="3" t="s">
        <v>18</v>
      </c>
      <c r="D4484" s="3" t="s">
        <v>58</v>
      </c>
      <c r="E4484" s="3" t="s">
        <v>59</v>
      </c>
      <c r="F4484" s="3" t="s">
        <v>60</v>
      </c>
      <c r="G4484" s="3" t="s">
        <v>41</v>
      </c>
      <c r="H4484" s="3" t="s">
        <v>42</v>
      </c>
      <c r="I4484" s="3" t="s">
        <v>3077</v>
      </c>
      <c r="J4484" s="3" t="s">
        <v>106</v>
      </c>
      <c r="K4484" s="3">
        <v>8</v>
      </c>
      <c r="L4484" s="3">
        <v>43937.79</v>
      </c>
      <c r="M4484" s="3">
        <v>351502.32</v>
      </c>
      <c r="N4484" s="3">
        <v>270272.94</v>
      </c>
      <c r="O4484" s="3">
        <v>81229.38</v>
      </c>
      <c r="P4484" s="3" t="s">
        <v>69</v>
      </c>
    </row>
    <row r="4485" spans="1:16" x14ac:dyDescent="0.35">
      <c r="A4485" s="3" t="s">
        <v>5926</v>
      </c>
      <c r="B4485" s="3" t="s">
        <v>989</v>
      </c>
      <c r="C4485" s="3" t="s">
        <v>29</v>
      </c>
      <c r="D4485" s="3" t="s">
        <v>38</v>
      </c>
      <c r="E4485" s="3" t="s">
        <v>39</v>
      </c>
      <c r="F4485" s="3" t="s">
        <v>40</v>
      </c>
      <c r="G4485" s="3" t="s">
        <v>22</v>
      </c>
      <c r="H4485" s="3" t="s">
        <v>83</v>
      </c>
      <c r="I4485" s="3" t="s">
        <v>864</v>
      </c>
      <c r="J4485" s="3" t="s">
        <v>147</v>
      </c>
      <c r="K4485" s="3">
        <v>3</v>
      </c>
      <c r="L4485" s="3">
        <v>21076.37</v>
      </c>
      <c r="M4485" s="3">
        <v>63229.11</v>
      </c>
      <c r="N4485" s="3">
        <v>48666.76</v>
      </c>
      <c r="O4485" s="3">
        <v>14562.35</v>
      </c>
      <c r="P4485" s="3" t="s">
        <v>69</v>
      </c>
    </row>
    <row r="4486" spans="1:16" x14ac:dyDescent="0.35">
      <c r="A4486" s="3" t="s">
        <v>5927</v>
      </c>
      <c r="B4486" s="3" t="s">
        <v>203</v>
      </c>
      <c r="C4486" s="3" t="s">
        <v>48</v>
      </c>
      <c r="D4486" s="3" t="s">
        <v>58</v>
      </c>
      <c r="E4486" s="3" t="s">
        <v>59</v>
      </c>
      <c r="F4486" s="3" t="s">
        <v>60</v>
      </c>
      <c r="G4486" s="3" t="s">
        <v>41</v>
      </c>
      <c r="H4486" s="3" t="s">
        <v>61</v>
      </c>
      <c r="I4486" s="3" t="s">
        <v>3238</v>
      </c>
      <c r="J4486" s="3" t="s">
        <v>131</v>
      </c>
      <c r="K4486" s="3">
        <v>6</v>
      </c>
      <c r="L4486" s="3">
        <v>2355.4499999999998</v>
      </c>
      <c r="M4486" s="3">
        <v>14132.7</v>
      </c>
      <c r="N4486" s="3">
        <v>9649.19</v>
      </c>
      <c r="O4486" s="3">
        <v>4483.51</v>
      </c>
      <c r="P4486" s="3" t="s">
        <v>69</v>
      </c>
    </row>
    <row r="4487" spans="1:16" x14ac:dyDescent="0.35">
      <c r="A4487" s="3" t="s">
        <v>5928</v>
      </c>
      <c r="B4487" s="3" t="s">
        <v>123</v>
      </c>
      <c r="C4487" s="3" t="s">
        <v>18</v>
      </c>
      <c r="D4487" s="3" t="s">
        <v>19</v>
      </c>
      <c r="E4487" s="3" t="s">
        <v>199</v>
      </c>
      <c r="F4487" s="3" t="s">
        <v>200</v>
      </c>
      <c r="G4487" s="3" t="s">
        <v>22</v>
      </c>
      <c r="H4487" s="3" t="s">
        <v>23</v>
      </c>
      <c r="I4487" s="3" t="s">
        <v>2925</v>
      </c>
      <c r="J4487" s="3" t="s">
        <v>131</v>
      </c>
      <c r="K4487" s="3">
        <v>5</v>
      </c>
      <c r="L4487" s="3">
        <v>3848.36</v>
      </c>
      <c r="M4487" s="3">
        <v>19241.8</v>
      </c>
      <c r="N4487" s="3">
        <v>11533.89</v>
      </c>
      <c r="O4487" s="3">
        <v>7707.91</v>
      </c>
      <c r="P4487" s="3" t="s">
        <v>45</v>
      </c>
    </row>
    <row r="4488" spans="1:16" x14ac:dyDescent="0.35">
      <c r="A4488" s="3" t="s">
        <v>5929</v>
      </c>
      <c r="B4488" s="3" t="s">
        <v>412</v>
      </c>
      <c r="C4488" s="3" t="s">
        <v>48</v>
      </c>
      <c r="D4488" s="3" t="s">
        <v>38</v>
      </c>
      <c r="E4488" s="3" t="s">
        <v>104</v>
      </c>
      <c r="F4488" s="3" t="s">
        <v>104</v>
      </c>
      <c r="G4488" s="3" t="s">
        <v>22</v>
      </c>
      <c r="H4488" s="3" t="s">
        <v>23</v>
      </c>
      <c r="I4488" s="3" t="s">
        <v>1941</v>
      </c>
      <c r="J4488" s="3" t="s">
        <v>106</v>
      </c>
      <c r="K4488" s="3">
        <v>5</v>
      </c>
      <c r="L4488" s="3">
        <v>3226.79</v>
      </c>
      <c r="M4488" s="3">
        <v>16133.95</v>
      </c>
      <c r="N4488" s="3">
        <v>10591.12</v>
      </c>
      <c r="O4488" s="3">
        <v>5542.83</v>
      </c>
      <c r="P4488" s="3" t="s">
        <v>86</v>
      </c>
    </row>
    <row r="4489" spans="1:16" x14ac:dyDescent="0.35">
      <c r="A4489" s="3" t="s">
        <v>5930</v>
      </c>
      <c r="B4489" s="3" t="s">
        <v>1464</v>
      </c>
      <c r="C4489" s="3" t="s">
        <v>137</v>
      </c>
      <c r="D4489" s="3" t="s">
        <v>90</v>
      </c>
      <c r="E4489" s="3" t="s">
        <v>97</v>
      </c>
      <c r="F4489" s="3" t="s">
        <v>98</v>
      </c>
      <c r="G4489" s="3" t="s">
        <v>30</v>
      </c>
      <c r="H4489" s="3" t="s">
        <v>31</v>
      </c>
      <c r="I4489" s="3" t="s">
        <v>1605</v>
      </c>
      <c r="J4489" s="3" t="s">
        <v>79</v>
      </c>
      <c r="K4489" s="3">
        <v>5</v>
      </c>
      <c r="L4489" s="3">
        <v>2572.2600000000002</v>
      </c>
      <c r="M4489" s="3">
        <v>12861.3</v>
      </c>
      <c r="N4489" s="3">
        <v>9058.49</v>
      </c>
      <c r="O4489" s="3">
        <v>3802.81</v>
      </c>
      <c r="P4489" s="3" t="s">
        <v>86</v>
      </c>
    </row>
    <row r="4490" spans="1:16" x14ac:dyDescent="0.35">
      <c r="A4490" s="3" t="s">
        <v>5931</v>
      </c>
      <c r="B4490" s="3" t="s">
        <v>47</v>
      </c>
      <c r="C4490" s="3" t="s">
        <v>48</v>
      </c>
      <c r="D4490" s="3" t="s">
        <v>19</v>
      </c>
      <c r="E4490" s="3" t="s">
        <v>199</v>
      </c>
      <c r="F4490" s="3" t="s">
        <v>200</v>
      </c>
      <c r="G4490" s="3" t="s">
        <v>22</v>
      </c>
      <c r="H4490" s="3" t="s">
        <v>23</v>
      </c>
      <c r="I4490" s="3" t="s">
        <v>2553</v>
      </c>
      <c r="J4490" s="3" t="s">
        <v>161</v>
      </c>
      <c r="K4490" s="3">
        <v>2</v>
      </c>
      <c r="L4490" s="3">
        <v>3775.8</v>
      </c>
      <c r="M4490" s="3">
        <v>7551.6</v>
      </c>
      <c r="N4490" s="3">
        <v>4453.99</v>
      </c>
      <c r="O4490" s="3">
        <v>3097.61</v>
      </c>
      <c r="P4490" s="3" t="s">
        <v>69</v>
      </c>
    </row>
    <row r="4491" spans="1:16" x14ac:dyDescent="0.35">
      <c r="A4491" s="3" t="s">
        <v>5932</v>
      </c>
      <c r="B4491" s="3" t="s">
        <v>621</v>
      </c>
      <c r="C4491" s="3" t="s">
        <v>118</v>
      </c>
      <c r="D4491" s="3" t="s">
        <v>19</v>
      </c>
      <c r="E4491" s="3" t="s">
        <v>20</v>
      </c>
      <c r="F4491" s="3" t="s">
        <v>21</v>
      </c>
      <c r="G4491" s="3" t="s">
        <v>22</v>
      </c>
      <c r="H4491" s="3" t="s">
        <v>83</v>
      </c>
      <c r="I4491" s="3" t="s">
        <v>5933</v>
      </c>
      <c r="J4491" s="3" t="s">
        <v>147</v>
      </c>
      <c r="K4491" s="3">
        <v>5</v>
      </c>
      <c r="L4491" s="3">
        <v>22145.11</v>
      </c>
      <c r="M4491" s="3">
        <v>110725.55</v>
      </c>
      <c r="N4491" s="3">
        <v>84553.43</v>
      </c>
      <c r="O4491" s="3">
        <v>26172.12</v>
      </c>
      <c r="P4491" s="3" t="s">
        <v>45</v>
      </c>
    </row>
    <row r="4492" spans="1:16" x14ac:dyDescent="0.35">
      <c r="A4492" s="3" t="s">
        <v>5934</v>
      </c>
      <c r="B4492" s="3" t="s">
        <v>3482</v>
      </c>
      <c r="C4492" s="3" t="s">
        <v>57</v>
      </c>
      <c r="D4492" s="3" t="s">
        <v>90</v>
      </c>
      <c r="E4492" s="3" t="s">
        <v>97</v>
      </c>
      <c r="F4492" s="3" t="s">
        <v>98</v>
      </c>
      <c r="G4492" s="3" t="s">
        <v>30</v>
      </c>
      <c r="H4492" s="3" t="s">
        <v>67</v>
      </c>
      <c r="I4492" s="3" t="s">
        <v>1573</v>
      </c>
      <c r="J4492" s="3" t="s">
        <v>44</v>
      </c>
      <c r="K4492" s="3">
        <v>4</v>
      </c>
      <c r="L4492" s="3">
        <v>9852.6</v>
      </c>
      <c r="M4492" s="3">
        <v>39410.400000000001</v>
      </c>
      <c r="N4492" s="3">
        <v>30075.91</v>
      </c>
      <c r="O4492" s="3">
        <v>9334.49</v>
      </c>
      <c r="P4492" s="3" t="s">
        <v>26</v>
      </c>
    </row>
    <row r="4493" spans="1:16" x14ac:dyDescent="0.35">
      <c r="A4493" s="3" t="s">
        <v>5935</v>
      </c>
      <c r="B4493" s="3" t="s">
        <v>123</v>
      </c>
      <c r="C4493" s="3" t="s">
        <v>18</v>
      </c>
      <c r="D4493" s="3" t="s">
        <v>58</v>
      </c>
      <c r="E4493" s="3" t="s">
        <v>176</v>
      </c>
      <c r="F4493" s="3" t="s">
        <v>177</v>
      </c>
      <c r="G4493" s="3" t="s">
        <v>41</v>
      </c>
      <c r="H4493" s="3" t="s">
        <v>138</v>
      </c>
      <c r="I4493" s="3" t="s">
        <v>4986</v>
      </c>
      <c r="J4493" s="3" t="s">
        <v>44</v>
      </c>
      <c r="K4493" s="3">
        <v>5</v>
      </c>
      <c r="L4493" s="3">
        <v>18550.75</v>
      </c>
      <c r="M4493" s="3">
        <v>92753.75</v>
      </c>
      <c r="N4493" s="3">
        <v>70407.12</v>
      </c>
      <c r="O4493" s="3">
        <v>22346.63</v>
      </c>
      <c r="P4493" s="3" t="s">
        <v>26</v>
      </c>
    </row>
    <row r="4494" spans="1:16" x14ac:dyDescent="0.35">
      <c r="A4494" s="3" t="s">
        <v>5936</v>
      </c>
      <c r="B4494" s="3" t="s">
        <v>180</v>
      </c>
      <c r="C4494" s="3" t="s">
        <v>48</v>
      </c>
      <c r="D4494" s="3" t="s">
        <v>19</v>
      </c>
      <c r="E4494" s="3" t="s">
        <v>49</v>
      </c>
      <c r="F4494" s="3" t="s">
        <v>50</v>
      </c>
      <c r="G4494" s="3" t="s">
        <v>22</v>
      </c>
      <c r="H4494" s="3" t="s">
        <v>83</v>
      </c>
      <c r="I4494" s="3" t="s">
        <v>748</v>
      </c>
      <c r="J4494" s="3" t="s">
        <v>147</v>
      </c>
      <c r="K4494" s="3">
        <v>4</v>
      </c>
      <c r="L4494" s="3">
        <v>21396.799999999999</v>
      </c>
      <c r="M4494" s="3">
        <v>85587.199999999997</v>
      </c>
      <c r="N4494" s="3">
        <v>66959.75</v>
      </c>
      <c r="O4494" s="3">
        <v>18627.45</v>
      </c>
      <c r="P4494" s="3" t="s">
        <v>69</v>
      </c>
    </row>
    <row r="4495" spans="1:16" x14ac:dyDescent="0.35">
      <c r="A4495" s="3" t="s">
        <v>5937</v>
      </c>
      <c r="B4495" s="3" t="s">
        <v>1092</v>
      </c>
      <c r="C4495" s="3" t="s">
        <v>103</v>
      </c>
      <c r="D4495" s="3" t="s">
        <v>19</v>
      </c>
      <c r="E4495" s="3" t="s">
        <v>20</v>
      </c>
      <c r="F4495" s="3" t="s">
        <v>21</v>
      </c>
      <c r="G4495" s="3" t="s">
        <v>22</v>
      </c>
      <c r="H4495" s="3" t="s">
        <v>83</v>
      </c>
      <c r="I4495" s="3" t="s">
        <v>1868</v>
      </c>
      <c r="J4495" s="3" t="s">
        <v>131</v>
      </c>
      <c r="K4495" s="3">
        <v>7</v>
      </c>
      <c r="L4495" s="3">
        <v>20777.330000000002</v>
      </c>
      <c r="M4495" s="3">
        <v>145441.31</v>
      </c>
      <c r="N4495" s="3">
        <v>117035.48</v>
      </c>
      <c r="O4495" s="3">
        <v>28405.83</v>
      </c>
      <c r="P4495" s="3" t="s">
        <v>69</v>
      </c>
    </row>
    <row r="4496" spans="1:16" x14ac:dyDescent="0.35">
      <c r="A4496" s="3" t="s">
        <v>5938</v>
      </c>
      <c r="B4496" s="3" t="s">
        <v>728</v>
      </c>
      <c r="C4496" s="3" t="s">
        <v>82</v>
      </c>
      <c r="D4496" s="3" t="s">
        <v>58</v>
      </c>
      <c r="E4496" s="3" t="s">
        <v>59</v>
      </c>
      <c r="F4496" s="3" t="s">
        <v>60</v>
      </c>
      <c r="G4496" s="3" t="s">
        <v>51</v>
      </c>
      <c r="H4496" s="3" t="s">
        <v>52</v>
      </c>
      <c r="I4496" s="3" t="s">
        <v>706</v>
      </c>
      <c r="J4496" s="3" t="s">
        <v>161</v>
      </c>
      <c r="K4496" s="3">
        <v>8</v>
      </c>
      <c r="L4496" s="3">
        <v>22.52</v>
      </c>
      <c r="M4496" s="3">
        <v>180.16</v>
      </c>
      <c r="N4496" s="3">
        <v>77.63</v>
      </c>
      <c r="O4496" s="3">
        <v>102.53</v>
      </c>
      <c r="P4496" s="3" t="s">
        <v>86</v>
      </c>
    </row>
    <row r="4497" spans="1:16" x14ac:dyDescent="0.35">
      <c r="A4497" s="3" t="s">
        <v>5939</v>
      </c>
      <c r="B4497" s="3" t="s">
        <v>265</v>
      </c>
      <c r="C4497" s="3" t="s">
        <v>37</v>
      </c>
      <c r="D4497" s="3" t="s">
        <v>90</v>
      </c>
      <c r="E4497" s="3" t="s">
        <v>97</v>
      </c>
      <c r="F4497" s="3" t="s">
        <v>98</v>
      </c>
      <c r="G4497" s="3" t="s">
        <v>41</v>
      </c>
      <c r="H4497" s="3" t="s">
        <v>42</v>
      </c>
      <c r="I4497" s="3" t="s">
        <v>891</v>
      </c>
      <c r="J4497" s="3" t="s">
        <v>54</v>
      </c>
      <c r="K4497" s="3">
        <v>4</v>
      </c>
      <c r="L4497" s="3">
        <v>44689.94</v>
      </c>
      <c r="M4497" s="3">
        <v>178759.76</v>
      </c>
      <c r="N4497" s="3">
        <v>142151.78</v>
      </c>
      <c r="O4497" s="3">
        <v>36607.980000000003</v>
      </c>
      <c r="P4497" s="3" t="s">
        <v>45</v>
      </c>
    </row>
    <row r="4498" spans="1:16" x14ac:dyDescent="0.35">
      <c r="A4498" s="3" t="s">
        <v>5940</v>
      </c>
      <c r="B4498" s="3" t="s">
        <v>1612</v>
      </c>
      <c r="C4498" s="3" t="s">
        <v>48</v>
      </c>
      <c r="D4498" s="3" t="s">
        <v>38</v>
      </c>
      <c r="E4498" s="3" t="s">
        <v>39</v>
      </c>
      <c r="F4498" s="3" t="s">
        <v>40</v>
      </c>
      <c r="G4498" s="3" t="s">
        <v>41</v>
      </c>
      <c r="H4498" s="3" t="s">
        <v>42</v>
      </c>
      <c r="I4498" s="3" t="s">
        <v>2135</v>
      </c>
      <c r="J4498" s="3" t="s">
        <v>25</v>
      </c>
      <c r="K4498" s="3">
        <v>6</v>
      </c>
      <c r="L4498" s="3">
        <v>41675.480000000003</v>
      </c>
      <c r="M4498" s="3">
        <v>250052.88</v>
      </c>
      <c r="N4498" s="3">
        <v>199519.15</v>
      </c>
      <c r="O4498" s="3">
        <v>50533.73</v>
      </c>
      <c r="P4498" s="3" t="s">
        <v>69</v>
      </c>
    </row>
    <row r="4499" spans="1:16" x14ac:dyDescent="0.35">
      <c r="A4499" s="3" t="s">
        <v>5941</v>
      </c>
      <c r="B4499" s="3" t="s">
        <v>228</v>
      </c>
      <c r="C4499" s="3" t="s">
        <v>114</v>
      </c>
      <c r="D4499" s="3" t="s">
        <v>90</v>
      </c>
      <c r="E4499" s="3" t="s">
        <v>119</v>
      </c>
      <c r="F4499" s="3" t="s">
        <v>120</v>
      </c>
      <c r="G4499" s="3" t="s">
        <v>22</v>
      </c>
      <c r="H4499" s="3" t="s">
        <v>23</v>
      </c>
      <c r="I4499" s="3" t="s">
        <v>1592</v>
      </c>
      <c r="J4499" s="3" t="s">
        <v>85</v>
      </c>
      <c r="K4499" s="3">
        <v>2</v>
      </c>
      <c r="L4499" s="3">
        <v>3668.29</v>
      </c>
      <c r="M4499" s="3">
        <v>7336.58</v>
      </c>
      <c r="N4499" s="3">
        <v>4440.3</v>
      </c>
      <c r="O4499" s="3">
        <v>2896.28</v>
      </c>
      <c r="P4499" s="3" t="s">
        <v>69</v>
      </c>
    </row>
    <row r="4500" spans="1:16" x14ac:dyDescent="0.35">
      <c r="A4500" s="3" t="s">
        <v>5942</v>
      </c>
      <c r="B4500" s="3" t="s">
        <v>2197</v>
      </c>
      <c r="C4500" s="3" t="s">
        <v>18</v>
      </c>
      <c r="D4500" s="3" t="s">
        <v>19</v>
      </c>
      <c r="E4500" s="3" t="s">
        <v>20</v>
      </c>
      <c r="F4500" s="3" t="s">
        <v>21</v>
      </c>
      <c r="G4500" s="3" t="s">
        <v>51</v>
      </c>
      <c r="H4500" s="3" t="s">
        <v>145</v>
      </c>
      <c r="I4500" s="3" t="s">
        <v>1472</v>
      </c>
      <c r="J4500" s="3" t="s">
        <v>171</v>
      </c>
      <c r="K4500" s="3">
        <v>7</v>
      </c>
      <c r="L4500" s="3">
        <v>115.05</v>
      </c>
      <c r="M4500" s="3">
        <v>805.35</v>
      </c>
      <c r="N4500" s="3">
        <v>412.32</v>
      </c>
      <c r="O4500" s="3">
        <v>393.03</v>
      </c>
      <c r="P4500" s="3" t="s">
        <v>69</v>
      </c>
    </row>
    <row r="4501" spans="1:16" x14ac:dyDescent="0.35">
      <c r="A4501" s="3" t="s">
        <v>5943</v>
      </c>
      <c r="B4501" s="3" t="s">
        <v>123</v>
      </c>
      <c r="C4501" s="3" t="s">
        <v>18</v>
      </c>
      <c r="D4501" s="3" t="s">
        <v>19</v>
      </c>
      <c r="E4501" s="3" t="s">
        <v>49</v>
      </c>
      <c r="F4501" s="3" t="s">
        <v>50</v>
      </c>
      <c r="G4501" s="3" t="s">
        <v>51</v>
      </c>
      <c r="H4501" s="3" t="s">
        <v>145</v>
      </c>
      <c r="I4501" s="3" t="s">
        <v>5157</v>
      </c>
      <c r="J4501" s="3" t="s">
        <v>161</v>
      </c>
      <c r="K4501" s="3">
        <v>7</v>
      </c>
      <c r="L4501" s="3">
        <v>112.24</v>
      </c>
      <c r="M4501" s="3">
        <v>785.68</v>
      </c>
      <c r="N4501" s="3">
        <v>415.5</v>
      </c>
      <c r="O4501" s="3">
        <v>370.18</v>
      </c>
      <c r="P4501" s="3" t="s">
        <v>45</v>
      </c>
    </row>
    <row r="4502" spans="1:16" x14ac:dyDescent="0.35">
      <c r="A4502" s="3" t="s">
        <v>5944</v>
      </c>
      <c r="B4502" s="3" t="s">
        <v>634</v>
      </c>
      <c r="C4502" s="3" t="s">
        <v>29</v>
      </c>
      <c r="D4502" s="3" t="s">
        <v>38</v>
      </c>
      <c r="E4502" s="3" t="s">
        <v>39</v>
      </c>
      <c r="F4502" s="3" t="s">
        <v>40</v>
      </c>
      <c r="G4502" s="3" t="s">
        <v>41</v>
      </c>
      <c r="H4502" s="3" t="s">
        <v>42</v>
      </c>
      <c r="I4502" s="3" t="s">
        <v>622</v>
      </c>
      <c r="J4502" s="3" t="s">
        <v>100</v>
      </c>
      <c r="K4502" s="3">
        <v>6</v>
      </c>
      <c r="L4502" s="3">
        <v>41031.800000000003</v>
      </c>
      <c r="M4502" s="3">
        <v>246190.8</v>
      </c>
      <c r="N4502" s="3">
        <v>206877.78</v>
      </c>
      <c r="O4502" s="3">
        <v>39313.019999999997</v>
      </c>
      <c r="P4502" s="3" t="s">
        <v>45</v>
      </c>
    </row>
    <row r="4503" spans="1:16" x14ac:dyDescent="0.35">
      <c r="A4503" s="3" t="s">
        <v>5945</v>
      </c>
      <c r="B4503" s="3" t="s">
        <v>351</v>
      </c>
      <c r="C4503" s="3" t="s">
        <v>114</v>
      </c>
      <c r="D4503" s="3" t="s">
        <v>19</v>
      </c>
      <c r="E4503" s="3" t="s">
        <v>49</v>
      </c>
      <c r="F4503" s="3" t="s">
        <v>50</v>
      </c>
      <c r="G4503" s="3" t="s">
        <v>30</v>
      </c>
      <c r="H4503" s="3" t="s">
        <v>73</v>
      </c>
      <c r="I4503" s="3" t="s">
        <v>190</v>
      </c>
      <c r="J4503" s="3" t="s">
        <v>85</v>
      </c>
      <c r="K4503" s="3">
        <v>8</v>
      </c>
      <c r="L4503" s="3">
        <v>3292.46</v>
      </c>
      <c r="M4503" s="3">
        <v>26339.68</v>
      </c>
      <c r="N4503" s="3">
        <v>18884.400000000001</v>
      </c>
      <c r="O4503" s="3">
        <v>7455.28</v>
      </c>
      <c r="P4503" s="3" t="s">
        <v>26</v>
      </c>
    </row>
    <row r="4504" spans="1:16" x14ac:dyDescent="0.35">
      <c r="A4504" s="3" t="s">
        <v>5946</v>
      </c>
      <c r="B4504" s="3" t="s">
        <v>913</v>
      </c>
      <c r="C4504" s="3" t="s">
        <v>48</v>
      </c>
      <c r="D4504" s="3" t="s">
        <v>19</v>
      </c>
      <c r="E4504" s="3" t="s">
        <v>49</v>
      </c>
      <c r="F4504" s="3" t="s">
        <v>50</v>
      </c>
      <c r="G4504" s="3" t="s">
        <v>22</v>
      </c>
      <c r="H4504" s="3" t="s">
        <v>93</v>
      </c>
      <c r="I4504" s="3" t="s">
        <v>1619</v>
      </c>
      <c r="J4504" s="3" t="s">
        <v>106</v>
      </c>
      <c r="K4504" s="3">
        <v>2</v>
      </c>
      <c r="L4504" s="3">
        <v>7401.68</v>
      </c>
      <c r="M4504" s="3">
        <v>14803.36</v>
      </c>
      <c r="N4504" s="3">
        <v>9603.6200000000008</v>
      </c>
      <c r="O4504" s="3">
        <v>5199.74</v>
      </c>
      <c r="P4504" s="3" t="s">
        <v>45</v>
      </c>
    </row>
    <row r="4505" spans="1:16" x14ac:dyDescent="0.35">
      <c r="A4505" s="3" t="s">
        <v>5947</v>
      </c>
      <c r="B4505" s="3" t="s">
        <v>358</v>
      </c>
      <c r="C4505" s="3" t="s">
        <v>72</v>
      </c>
      <c r="D4505" s="3" t="s">
        <v>19</v>
      </c>
      <c r="E4505" s="3" t="s">
        <v>199</v>
      </c>
      <c r="F4505" s="3" t="s">
        <v>200</v>
      </c>
      <c r="G4505" s="3" t="s">
        <v>22</v>
      </c>
      <c r="H4505" s="3" t="s">
        <v>83</v>
      </c>
      <c r="I4505" s="3" t="s">
        <v>1073</v>
      </c>
      <c r="J4505" s="3" t="s">
        <v>85</v>
      </c>
      <c r="K4505" s="3">
        <v>8</v>
      </c>
      <c r="L4505" s="3">
        <v>20028.43</v>
      </c>
      <c r="M4505" s="3">
        <v>160227.44</v>
      </c>
      <c r="N4505" s="3">
        <v>136208.70000000001</v>
      </c>
      <c r="O4505" s="3">
        <v>24018.74</v>
      </c>
      <c r="P4505" s="3" t="s">
        <v>26</v>
      </c>
    </row>
    <row r="4506" spans="1:16" x14ac:dyDescent="0.35">
      <c r="A4506" s="3" t="s">
        <v>5948</v>
      </c>
      <c r="B4506" s="3" t="s">
        <v>927</v>
      </c>
      <c r="C4506" s="3" t="s">
        <v>57</v>
      </c>
      <c r="D4506" s="3" t="s">
        <v>38</v>
      </c>
      <c r="E4506" s="3" t="s">
        <v>104</v>
      </c>
      <c r="F4506" s="3" t="s">
        <v>104</v>
      </c>
      <c r="G4506" s="3" t="s">
        <v>22</v>
      </c>
      <c r="H4506" s="3" t="s">
        <v>83</v>
      </c>
      <c r="I4506" s="3" t="s">
        <v>1619</v>
      </c>
      <c r="J4506" s="3" t="s">
        <v>79</v>
      </c>
      <c r="K4506" s="3">
        <v>8</v>
      </c>
      <c r="L4506" s="3">
        <v>20583.2</v>
      </c>
      <c r="M4506" s="3">
        <v>164665.60000000001</v>
      </c>
      <c r="N4506" s="3">
        <v>141336.87</v>
      </c>
      <c r="O4506" s="3">
        <v>23328.73</v>
      </c>
      <c r="P4506" s="3" t="s">
        <v>69</v>
      </c>
    </row>
    <row r="4507" spans="1:16" x14ac:dyDescent="0.35">
      <c r="A4507" s="3" t="s">
        <v>5949</v>
      </c>
      <c r="B4507" s="3" t="s">
        <v>682</v>
      </c>
      <c r="C4507" s="3" t="s">
        <v>114</v>
      </c>
      <c r="D4507" s="3" t="s">
        <v>19</v>
      </c>
      <c r="E4507" s="3" t="s">
        <v>199</v>
      </c>
      <c r="F4507" s="3" t="s">
        <v>200</v>
      </c>
      <c r="G4507" s="3" t="s">
        <v>22</v>
      </c>
      <c r="H4507" s="3" t="s">
        <v>23</v>
      </c>
      <c r="I4507" s="3" t="s">
        <v>405</v>
      </c>
      <c r="J4507" s="3" t="s">
        <v>106</v>
      </c>
      <c r="K4507" s="3">
        <v>2</v>
      </c>
      <c r="L4507" s="3">
        <v>3636.9</v>
      </c>
      <c r="M4507" s="3">
        <v>7273.8</v>
      </c>
      <c r="N4507" s="3">
        <v>4284.8599999999997</v>
      </c>
      <c r="O4507" s="3">
        <v>2988.94</v>
      </c>
      <c r="P4507" s="3" t="s">
        <v>45</v>
      </c>
    </row>
    <row r="4508" spans="1:16" x14ac:dyDescent="0.35">
      <c r="A4508" s="3" t="s">
        <v>5950</v>
      </c>
      <c r="B4508" s="3" t="s">
        <v>1594</v>
      </c>
      <c r="C4508" s="3" t="s">
        <v>48</v>
      </c>
      <c r="D4508" s="3" t="s">
        <v>58</v>
      </c>
      <c r="E4508" s="3" t="s">
        <v>176</v>
      </c>
      <c r="F4508" s="3" t="s">
        <v>177</v>
      </c>
      <c r="G4508" s="3" t="s">
        <v>22</v>
      </c>
      <c r="H4508" s="3" t="s">
        <v>83</v>
      </c>
      <c r="I4508" s="3" t="s">
        <v>845</v>
      </c>
      <c r="J4508" s="3" t="s">
        <v>79</v>
      </c>
      <c r="K4508" s="3">
        <v>6</v>
      </c>
      <c r="L4508" s="3">
        <v>22658.5</v>
      </c>
      <c r="M4508" s="3">
        <v>135951</v>
      </c>
      <c r="N4508" s="3">
        <v>102503.07</v>
      </c>
      <c r="O4508" s="3">
        <v>33447.93</v>
      </c>
      <c r="P4508" s="3" t="s">
        <v>69</v>
      </c>
    </row>
    <row r="4509" spans="1:16" x14ac:dyDescent="0.35">
      <c r="A4509" s="3" t="s">
        <v>5951</v>
      </c>
      <c r="B4509" s="3" t="s">
        <v>562</v>
      </c>
      <c r="C4509" s="3" t="s">
        <v>82</v>
      </c>
      <c r="D4509" s="3" t="s">
        <v>19</v>
      </c>
      <c r="E4509" s="3" t="s">
        <v>20</v>
      </c>
      <c r="F4509" s="3" t="s">
        <v>21</v>
      </c>
      <c r="G4509" s="3" t="s">
        <v>51</v>
      </c>
      <c r="H4509" s="3" t="s">
        <v>52</v>
      </c>
      <c r="I4509" s="3" t="s">
        <v>2684</v>
      </c>
      <c r="J4509" s="3" t="s">
        <v>33</v>
      </c>
      <c r="K4509" s="3">
        <v>2</v>
      </c>
      <c r="L4509" s="3">
        <v>22.76</v>
      </c>
      <c r="M4509" s="3">
        <v>45.52</v>
      </c>
      <c r="N4509" s="3">
        <v>20.57</v>
      </c>
      <c r="O4509" s="3">
        <v>24.95</v>
      </c>
      <c r="P4509" s="3" t="s">
        <v>86</v>
      </c>
    </row>
    <row r="4510" spans="1:16" x14ac:dyDescent="0.35">
      <c r="A4510" s="3" t="s">
        <v>5952</v>
      </c>
      <c r="B4510" s="3" t="s">
        <v>511</v>
      </c>
      <c r="C4510" s="3" t="s">
        <v>29</v>
      </c>
      <c r="D4510" s="3" t="s">
        <v>90</v>
      </c>
      <c r="E4510" s="3" t="s">
        <v>119</v>
      </c>
      <c r="F4510" s="3" t="s">
        <v>120</v>
      </c>
      <c r="G4510" s="3" t="s">
        <v>41</v>
      </c>
      <c r="H4510" s="3" t="s">
        <v>138</v>
      </c>
      <c r="I4510" s="3" t="s">
        <v>4413</v>
      </c>
      <c r="J4510" s="3" t="s">
        <v>106</v>
      </c>
      <c r="K4510" s="3">
        <v>5</v>
      </c>
      <c r="L4510" s="3">
        <v>18608.95</v>
      </c>
      <c r="M4510" s="3">
        <v>93044.75</v>
      </c>
      <c r="N4510" s="3">
        <v>68417.759999999995</v>
      </c>
      <c r="O4510" s="3">
        <v>24626.99</v>
      </c>
      <c r="P4510" s="3" t="s">
        <v>69</v>
      </c>
    </row>
    <row r="4511" spans="1:16" x14ac:dyDescent="0.35">
      <c r="A4511" s="3" t="s">
        <v>5953</v>
      </c>
      <c r="B4511" s="3" t="s">
        <v>1455</v>
      </c>
      <c r="C4511" s="3" t="s">
        <v>103</v>
      </c>
      <c r="D4511" s="3" t="s">
        <v>38</v>
      </c>
      <c r="E4511" s="3" t="s">
        <v>109</v>
      </c>
      <c r="F4511" s="3" t="s">
        <v>110</v>
      </c>
      <c r="G4511" s="3" t="s">
        <v>30</v>
      </c>
      <c r="H4511" s="3" t="s">
        <v>67</v>
      </c>
      <c r="I4511" s="3" t="s">
        <v>2158</v>
      </c>
      <c r="J4511" s="3" t="s">
        <v>131</v>
      </c>
      <c r="K4511" s="3">
        <v>2</v>
      </c>
      <c r="L4511" s="3">
        <v>9056.65</v>
      </c>
      <c r="M4511" s="3">
        <v>18113.3</v>
      </c>
      <c r="N4511" s="3">
        <v>14959.34</v>
      </c>
      <c r="O4511" s="3">
        <v>3153.96</v>
      </c>
      <c r="P4511" s="3" t="s">
        <v>26</v>
      </c>
    </row>
    <row r="4512" spans="1:16" x14ac:dyDescent="0.35">
      <c r="A4512" s="3" t="s">
        <v>5954</v>
      </c>
      <c r="B4512" s="3" t="s">
        <v>2086</v>
      </c>
      <c r="C4512" s="3" t="s">
        <v>72</v>
      </c>
      <c r="D4512" s="3" t="s">
        <v>19</v>
      </c>
      <c r="E4512" s="3" t="s">
        <v>199</v>
      </c>
      <c r="F4512" s="3" t="s">
        <v>200</v>
      </c>
      <c r="G4512" s="3" t="s">
        <v>51</v>
      </c>
      <c r="H4512" s="3" t="s">
        <v>52</v>
      </c>
      <c r="I4512" s="3" t="s">
        <v>4612</v>
      </c>
      <c r="J4512" s="3" t="s">
        <v>154</v>
      </c>
      <c r="K4512" s="3">
        <v>3</v>
      </c>
      <c r="L4512" s="3">
        <v>25.19</v>
      </c>
      <c r="M4512" s="3">
        <v>75.569999999999993</v>
      </c>
      <c r="N4512" s="3">
        <v>29.89</v>
      </c>
      <c r="O4512" s="3">
        <v>45.68</v>
      </c>
      <c r="P4512" s="3" t="s">
        <v>69</v>
      </c>
    </row>
    <row r="4513" spans="1:16" x14ac:dyDescent="0.35">
      <c r="A4513" s="3" t="s">
        <v>5955</v>
      </c>
      <c r="B4513" s="3" t="s">
        <v>559</v>
      </c>
      <c r="C4513" s="3" t="s">
        <v>89</v>
      </c>
      <c r="D4513" s="3" t="s">
        <v>19</v>
      </c>
      <c r="E4513" s="3" t="s">
        <v>20</v>
      </c>
      <c r="F4513" s="3" t="s">
        <v>21</v>
      </c>
      <c r="G4513" s="3" t="s">
        <v>41</v>
      </c>
      <c r="H4513" s="3" t="s">
        <v>61</v>
      </c>
      <c r="I4513" s="3" t="s">
        <v>1905</v>
      </c>
      <c r="J4513" s="3" t="s">
        <v>131</v>
      </c>
      <c r="K4513" s="3">
        <v>7</v>
      </c>
      <c r="L4513" s="3">
        <v>2307.39</v>
      </c>
      <c r="M4513" s="3">
        <v>16151.73</v>
      </c>
      <c r="N4513" s="3">
        <v>10661.2</v>
      </c>
      <c r="O4513" s="3">
        <v>5490.53</v>
      </c>
      <c r="P4513" s="3" t="s">
        <v>86</v>
      </c>
    </row>
    <row r="4514" spans="1:16" x14ac:dyDescent="0.35">
      <c r="A4514" s="3" t="s">
        <v>5956</v>
      </c>
      <c r="B4514" s="3" t="s">
        <v>1294</v>
      </c>
      <c r="C4514" s="3" t="s">
        <v>118</v>
      </c>
      <c r="D4514" s="3" t="s">
        <v>58</v>
      </c>
      <c r="E4514" s="3" t="s">
        <v>65</v>
      </c>
      <c r="F4514" s="3" t="s">
        <v>66</v>
      </c>
      <c r="G4514" s="3" t="s">
        <v>22</v>
      </c>
      <c r="H4514" s="3" t="s">
        <v>93</v>
      </c>
      <c r="I4514" s="3" t="s">
        <v>2686</v>
      </c>
      <c r="J4514" s="3" t="s">
        <v>44</v>
      </c>
      <c r="K4514" s="3">
        <v>2</v>
      </c>
      <c r="L4514" s="3">
        <v>7249.61</v>
      </c>
      <c r="M4514" s="3">
        <v>14499.22</v>
      </c>
      <c r="N4514" s="3">
        <v>9576.14</v>
      </c>
      <c r="O4514" s="3">
        <v>4923.08</v>
      </c>
      <c r="P4514" s="3" t="s">
        <v>69</v>
      </c>
    </row>
    <row r="4515" spans="1:16" x14ac:dyDescent="0.35">
      <c r="A4515" s="3" t="s">
        <v>5957</v>
      </c>
      <c r="B4515" s="3" t="s">
        <v>539</v>
      </c>
      <c r="C4515" s="3" t="s">
        <v>89</v>
      </c>
      <c r="D4515" s="3" t="s">
        <v>90</v>
      </c>
      <c r="E4515" s="3" t="s">
        <v>97</v>
      </c>
      <c r="F4515" s="3" t="s">
        <v>98</v>
      </c>
      <c r="G4515" s="3" t="s">
        <v>30</v>
      </c>
      <c r="H4515" s="3" t="s">
        <v>67</v>
      </c>
      <c r="I4515" s="3" t="s">
        <v>3506</v>
      </c>
      <c r="J4515" s="3" t="s">
        <v>217</v>
      </c>
      <c r="K4515" s="3">
        <v>1</v>
      </c>
      <c r="L4515" s="3">
        <v>10336</v>
      </c>
      <c r="M4515" s="3">
        <v>10336</v>
      </c>
      <c r="N4515" s="3">
        <v>7390.86</v>
      </c>
      <c r="O4515" s="3">
        <v>2945.14</v>
      </c>
      <c r="P4515" s="3" t="s">
        <v>45</v>
      </c>
    </row>
    <row r="4516" spans="1:16" x14ac:dyDescent="0.35">
      <c r="A4516" s="3" t="s">
        <v>5958</v>
      </c>
      <c r="B4516" s="3" t="s">
        <v>2211</v>
      </c>
      <c r="C4516" s="3" t="s">
        <v>72</v>
      </c>
      <c r="D4516" s="3" t="s">
        <v>38</v>
      </c>
      <c r="E4516" s="3" t="s">
        <v>109</v>
      </c>
      <c r="F4516" s="3" t="s">
        <v>110</v>
      </c>
      <c r="G4516" s="3" t="s">
        <v>22</v>
      </c>
      <c r="H4516" s="3" t="s">
        <v>23</v>
      </c>
      <c r="I4516" s="3" t="s">
        <v>196</v>
      </c>
      <c r="J4516" s="3" t="s">
        <v>147</v>
      </c>
      <c r="K4516" s="3">
        <v>8</v>
      </c>
      <c r="L4516" s="3">
        <v>3192.74</v>
      </c>
      <c r="M4516" s="3">
        <v>25541.919999999998</v>
      </c>
      <c r="N4516" s="3">
        <v>16721.189999999999</v>
      </c>
      <c r="O4516" s="3">
        <v>8820.73</v>
      </c>
      <c r="P4516" s="3" t="s">
        <v>45</v>
      </c>
    </row>
    <row r="4517" spans="1:16" x14ac:dyDescent="0.35">
      <c r="A4517" s="3" t="s">
        <v>5959</v>
      </c>
      <c r="B4517" s="3" t="s">
        <v>1823</v>
      </c>
      <c r="C4517" s="3" t="s">
        <v>118</v>
      </c>
      <c r="D4517" s="3" t="s">
        <v>38</v>
      </c>
      <c r="E4517" s="3" t="s">
        <v>109</v>
      </c>
      <c r="F4517" s="3" t="s">
        <v>110</v>
      </c>
      <c r="G4517" s="3" t="s">
        <v>22</v>
      </c>
      <c r="H4517" s="3" t="s">
        <v>83</v>
      </c>
      <c r="I4517" s="3" t="s">
        <v>829</v>
      </c>
      <c r="J4517" s="3" t="s">
        <v>79</v>
      </c>
      <c r="K4517" s="3">
        <v>4</v>
      </c>
      <c r="L4517" s="3">
        <v>20482.91</v>
      </c>
      <c r="M4517" s="3">
        <v>81931.64</v>
      </c>
      <c r="N4517" s="3">
        <v>67033.789999999994</v>
      </c>
      <c r="O4517" s="3">
        <v>14897.85</v>
      </c>
      <c r="P4517" s="3" t="s">
        <v>45</v>
      </c>
    </row>
    <row r="4518" spans="1:16" x14ac:dyDescent="0.35">
      <c r="A4518" s="3" t="s">
        <v>5960</v>
      </c>
      <c r="B4518" s="3" t="s">
        <v>485</v>
      </c>
      <c r="C4518" s="3" t="s">
        <v>114</v>
      </c>
      <c r="D4518" s="3" t="s">
        <v>58</v>
      </c>
      <c r="E4518" s="3" t="s">
        <v>176</v>
      </c>
      <c r="F4518" s="3" t="s">
        <v>177</v>
      </c>
      <c r="G4518" s="3" t="s">
        <v>41</v>
      </c>
      <c r="H4518" s="3" t="s">
        <v>138</v>
      </c>
      <c r="I4518" s="3" t="s">
        <v>1514</v>
      </c>
      <c r="J4518" s="3" t="s">
        <v>147</v>
      </c>
      <c r="K4518" s="3">
        <v>6</v>
      </c>
      <c r="L4518" s="3">
        <v>18433.150000000001</v>
      </c>
      <c r="M4518" s="3">
        <v>110598.9</v>
      </c>
      <c r="N4518" s="3">
        <v>85486.31</v>
      </c>
      <c r="O4518" s="3">
        <v>25112.59</v>
      </c>
      <c r="P4518" s="3" t="s">
        <v>34</v>
      </c>
    </row>
    <row r="4519" spans="1:16" x14ac:dyDescent="0.35">
      <c r="A4519" s="3" t="s">
        <v>5961</v>
      </c>
      <c r="B4519" s="3" t="s">
        <v>2480</v>
      </c>
      <c r="C4519" s="3" t="s">
        <v>37</v>
      </c>
      <c r="D4519" s="3" t="s">
        <v>90</v>
      </c>
      <c r="E4519" s="3" t="s">
        <v>91</v>
      </c>
      <c r="F4519" s="3" t="s">
        <v>92</v>
      </c>
      <c r="G4519" s="3" t="s">
        <v>30</v>
      </c>
      <c r="H4519" s="3" t="s">
        <v>67</v>
      </c>
      <c r="I4519" s="3" t="s">
        <v>356</v>
      </c>
      <c r="J4519" s="3" t="s">
        <v>154</v>
      </c>
      <c r="K4519" s="3">
        <v>2</v>
      </c>
      <c r="L4519" s="3">
        <v>8932.44</v>
      </c>
      <c r="M4519" s="3">
        <v>17864.88</v>
      </c>
      <c r="N4519" s="3">
        <v>14512.65</v>
      </c>
      <c r="O4519" s="3">
        <v>3352.23</v>
      </c>
      <c r="P4519" s="3" t="s">
        <v>45</v>
      </c>
    </row>
    <row r="4520" spans="1:16" x14ac:dyDescent="0.35">
      <c r="A4520" s="3" t="s">
        <v>5962</v>
      </c>
      <c r="B4520" s="3" t="s">
        <v>589</v>
      </c>
      <c r="C4520" s="3" t="s">
        <v>137</v>
      </c>
      <c r="D4520" s="3" t="s">
        <v>38</v>
      </c>
      <c r="E4520" s="3" t="s">
        <v>104</v>
      </c>
      <c r="F4520" s="3" t="s">
        <v>104</v>
      </c>
      <c r="G4520" s="3" t="s">
        <v>22</v>
      </c>
      <c r="H4520" s="3" t="s">
        <v>93</v>
      </c>
      <c r="I4520" s="3" t="s">
        <v>729</v>
      </c>
      <c r="J4520" s="3" t="s">
        <v>85</v>
      </c>
      <c r="K4520" s="3">
        <v>7</v>
      </c>
      <c r="L4520" s="3">
        <v>7062.52</v>
      </c>
      <c r="M4520" s="3">
        <v>49437.64</v>
      </c>
      <c r="N4520" s="3">
        <v>36423.97</v>
      </c>
      <c r="O4520" s="3">
        <v>13013.67</v>
      </c>
      <c r="P4520" s="3" t="s">
        <v>34</v>
      </c>
    </row>
    <row r="4521" spans="1:16" x14ac:dyDescent="0.35">
      <c r="A4521" s="3" t="s">
        <v>5963</v>
      </c>
      <c r="B4521" s="3" t="s">
        <v>960</v>
      </c>
      <c r="C4521" s="3" t="s">
        <v>114</v>
      </c>
      <c r="D4521" s="3" t="s">
        <v>58</v>
      </c>
      <c r="E4521" s="3" t="s">
        <v>59</v>
      </c>
      <c r="F4521" s="3" t="s">
        <v>60</v>
      </c>
      <c r="G4521" s="3" t="s">
        <v>30</v>
      </c>
      <c r="H4521" s="3" t="s">
        <v>73</v>
      </c>
      <c r="I4521" s="3" t="s">
        <v>1975</v>
      </c>
      <c r="J4521" s="3" t="s">
        <v>131</v>
      </c>
      <c r="K4521" s="3">
        <v>3</v>
      </c>
      <c r="L4521" s="3">
        <v>3338.98</v>
      </c>
      <c r="M4521" s="3">
        <v>10016.94</v>
      </c>
      <c r="N4521" s="3">
        <v>7254.11</v>
      </c>
      <c r="O4521" s="3">
        <v>2762.83</v>
      </c>
      <c r="P4521" s="3" t="s">
        <v>26</v>
      </c>
    </row>
    <row r="4522" spans="1:16" x14ac:dyDescent="0.35">
      <c r="A4522" s="3" t="s">
        <v>5964</v>
      </c>
      <c r="B4522" s="3" t="s">
        <v>733</v>
      </c>
      <c r="C4522" s="3" t="s">
        <v>89</v>
      </c>
      <c r="D4522" s="3" t="s">
        <v>38</v>
      </c>
      <c r="E4522" s="3" t="s">
        <v>39</v>
      </c>
      <c r="F4522" s="3" t="s">
        <v>40</v>
      </c>
      <c r="G4522" s="3" t="s">
        <v>30</v>
      </c>
      <c r="H4522" s="3" t="s">
        <v>67</v>
      </c>
      <c r="I4522" s="3" t="s">
        <v>1673</v>
      </c>
      <c r="J4522" s="3" t="s">
        <v>106</v>
      </c>
      <c r="K4522" s="3">
        <v>5</v>
      </c>
      <c r="L4522" s="3">
        <v>10380</v>
      </c>
      <c r="M4522" s="3">
        <v>51900</v>
      </c>
      <c r="N4522" s="3">
        <v>37283.68</v>
      </c>
      <c r="O4522" s="3">
        <v>14616.32</v>
      </c>
      <c r="P4522" s="3" t="s">
        <v>26</v>
      </c>
    </row>
    <row r="4523" spans="1:16" x14ac:dyDescent="0.35">
      <c r="A4523" s="3" t="s">
        <v>5965</v>
      </c>
      <c r="B4523" s="3" t="s">
        <v>762</v>
      </c>
      <c r="C4523" s="3" t="s">
        <v>137</v>
      </c>
      <c r="D4523" s="3" t="s">
        <v>90</v>
      </c>
      <c r="E4523" s="3" t="s">
        <v>91</v>
      </c>
      <c r="F4523" s="3" t="s">
        <v>92</v>
      </c>
      <c r="G4523" s="3" t="s">
        <v>51</v>
      </c>
      <c r="H4523" s="3" t="s">
        <v>77</v>
      </c>
      <c r="I4523" s="3" t="s">
        <v>627</v>
      </c>
      <c r="J4523" s="3" t="s">
        <v>79</v>
      </c>
      <c r="K4523" s="3">
        <v>8</v>
      </c>
      <c r="L4523" s="3">
        <v>12617.78</v>
      </c>
      <c r="M4523" s="3">
        <v>100942.24</v>
      </c>
      <c r="N4523" s="3">
        <v>73598.559999999998</v>
      </c>
      <c r="O4523" s="3">
        <v>27343.68</v>
      </c>
      <c r="P4523" s="3" t="s">
        <v>86</v>
      </c>
    </row>
    <row r="4524" spans="1:16" x14ac:dyDescent="0.35">
      <c r="A4524" s="3" t="s">
        <v>5966</v>
      </c>
      <c r="B4524" s="3" t="s">
        <v>832</v>
      </c>
      <c r="C4524" s="3" t="s">
        <v>72</v>
      </c>
      <c r="D4524" s="3" t="s">
        <v>19</v>
      </c>
      <c r="E4524" s="3" t="s">
        <v>20</v>
      </c>
      <c r="F4524" s="3" t="s">
        <v>21</v>
      </c>
      <c r="G4524" s="3" t="s">
        <v>30</v>
      </c>
      <c r="H4524" s="3" t="s">
        <v>67</v>
      </c>
      <c r="I4524" s="3" t="s">
        <v>4107</v>
      </c>
      <c r="J4524" s="3" t="s">
        <v>188</v>
      </c>
      <c r="K4524" s="3">
        <v>6</v>
      </c>
      <c r="L4524" s="3">
        <v>8831.17</v>
      </c>
      <c r="M4524" s="3">
        <v>52987.02</v>
      </c>
      <c r="N4524" s="3">
        <v>47793.68</v>
      </c>
      <c r="O4524" s="3">
        <v>5193.34</v>
      </c>
      <c r="P4524" s="3" t="s">
        <v>69</v>
      </c>
    </row>
    <row r="4525" spans="1:16" x14ac:dyDescent="0.35">
      <c r="A4525" s="3" t="s">
        <v>5967</v>
      </c>
      <c r="B4525" s="3" t="s">
        <v>381</v>
      </c>
      <c r="C4525" s="3" t="s">
        <v>18</v>
      </c>
      <c r="D4525" s="3" t="s">
        <v>90</v>
      </c>
      <c r="E4525" s="3" t="s">
        <v>91</v>
      </c>
      <c r="F4525" s="3" t="s">
        <v>92</v>
      </c>
      <c r="G4525" s="3" t="s">
        <v>41</v>
      </c>
      <c r="H4525" s="3" t="s">
        <v>138</v>
      </c>
      <c r="I4525" s="3" t="s">
        <v>3115</v>
      </c>
      <c r="J4525" s="3" t="s">
        <v>85</v>
      </c>
      <c r="K4525" s="3">
        <v>5</v>
      </c>
      <c r="L4525" s="3">
        <v>17321.38</v>
      </c>
      <c r="M4525" s="3">
        <v>86606.9</v>
      </c>
      <c r="N4525" s="3">
        <v>67024.259999999995</v>
      </c>
      <c r="O4525" s="3">
        <v>19582.64</v>
      </c>
      <c r="P4525" s="3" t="s">
        <v>86</v>
      </c>
    </row>
    <row r="4526" spans="1:16" x14ac:dyDescent="0.35">
      <c r="A4526" s="3" t="s">
        <v>5968</v>
      </c>
      <c r="B4526" s="3" t="s">
        <v>1224</v>
      </c>
      <c r="C4526" s="3" t="s">
        <v>37</v>
      </c>
      <c r="D4526" s="3" t="s">
        <v>90</v>
      </c>
      <c r="E4526" s="3" t="s">
        <v>97</v>
      </c>
      <c r="F4526" s="3" t="s">
        <v>98</v>
      </c>
      <c r="G4526" s="3" t="s">
        <v>22</v>
      </c>
      <c r="H4526" s="3" t="s">
        <v>83</v>
      </c>
      <c r="I4526" s="3" t="s">
        <v>399</v>
      </c>
      <c r="J4526" s="3" t="s">
        <v>131</v>
      </c>
      <c r="K4526" s="3">
        <v>4</v>
      </c>
      <c r="L4526" s="3">
        <v>23018.59</v>
      </c>
      <c r="M4526" s="3">
        <v>92074.36</v>
      </c>
      <c r="N4526" s="3">
        <v>70788.490000000005</v>
      </c>
      <c r="O4526" s="3">
        <v>21285.87</v>
      </c>
      <c r="P4526" s="3" t="s">
        <v>34</v>
      </c>
    </row>
    <row r="4527" spans="1:16" x14ac:dyDescent="0.35">
      <c r="A4527" s="3" t="s">
        <v>5969</v>
      </c>
      <c r="B4527" s="3" t="s">
        <v>1600</v>
      </c>
      <c r="C4527" s="3" t="s">
        <v>103</v>
      </c>
      <c r="D4527" s="3" t="s">
        <v>38</v>
      </c>
      <c r="E4527" s="3" t="s">
        <v>39</v>
      </c>
      <c r="F4527" s="3" t="s">
        <v>40</v>
      </c>
      <c r="G4527" s="3" t="s">
        <v>41</v>
      </c>
      <c r="H4527" s="3" t="s">
        <v>138</v>
      </c>
      <c r="I4527" s="3" t="s">
        <v>300</v>
      </c>
      <c r="J4527" s="3" t="s">
        <v>217</v>
      </c>
      <c r="K4527" s="3">
        <v>8</v>
      </c>
      <c r="L4527" s="3">
        <v>17190.41</v>
      </c>
      <c r="M4527" s="3">
        <v>137523.28</v>
      </c>
      <c r="N4527" s="3">
        <v>108351.97</v>
      </c>
      <c r="O4527" s="3">
        <v>29171.31</v>
      </c>
      <c r="P4527" s="3" t="s">
        <v>45</v>
      </c>
    </row>
    <row r="4528" spans="1:16" x14ac:dyDescent="0.35">
      <c r="A4528" s="3" t="s">
        <v>5970</v>
      </c>
      <c r="B4528" s="3" t="s">
        <v>136</v>
      </c>
      <c r="C4528" s="3" t="s">
        <v>137</v>
      </c>
      <c r="D4528" s="3" t="s">
        <v>58</v>
      </c>
      <c r="E4528" s="3" t="s">
        <v>59</v>
      </c>
      <c r="F4528" s="3" t="s">
        <v>60</v>
      </c>
      <c r="G4528" s="3" t="s">
        <v>30</v>
      </c>
      <c r="H4528" s="3" t="s">
        <v>67</v>
      </c>
      <c r="I4528" s="3" t="s">
        <v>4649</v>
      </c>
      <c r="J4528" s="3" t="s">
        <v>161</v>
      </c>
      <c r="K4528" s="3">
        <v>1</v>
      </c>
      <c r="L4528" s="3">
        <v>9070.3799999999992</v>
      </c>
      <c r="M4528" s="3">
        <v>9070.3799999999992</v>
      </c>
      <c r="N4528" s="3">
        <v>7487.44</v>
      </c>
      <c r="O4528" s="3">
        <v>1582.94</v>
      </c>
      <c r="P4528" s="3" t="s">
        <v>69</v>
      </c>
    </row>
    <row r="4529" spans="1:16" x14ac:dyDescent="0.35">
      <c r="A4529" s="3" t="s">
        <v>5971</v>
      </c>
      <c r="B4529" s="3" t="s">
        <v>639</v>
      </c>
      <c r="C4529" s="3" t="s">
        <v>72</v>
      </c>
      <c r="D4529" s="3" t="s">
        <v>58</v>
      </c>
      <c r="E4529" s="3" t="s">
        <v>59</v>
      </c>
      <c r="F4529" s="3" t="s">
        <v>60</v>
      </c>
      <c r="G4529" s="3" t="s">
        <v>30</v>
      </c>
      <c r="H4529" s="3" t="s">
        <v>67</v>
      </c>
      <c r="I4529" s="3" t="s">
        <v>1571</v>
      </c>
      <c r="J4529" s="3" t="s">
        <v>147</v>
      </c>
      <c r="K4529" s="3">
        <v>7</v>
      </c>
      <c r="L4529" s="3">
        <v>10284.99</v>
      </c>
      <c r="M4529" s="3">
        <v>71994.929999999993</v>
      </c>
      <c r="N4529" s="3">
        <v>50585.24</v>
      </c>
      <c r="O4529" s="3">
        <v>21409.69</v>
      </c>
      <c r="P4529" s="3" t="s">
        <v>86</v>
      </c>
    </row>
    <row r="4530" spans="1:16" x14ac:dyDescent="0.35">
      <c r="A4530" s="3" t="s">
        <v>5972</v>
      </c>
      <c r="B4530" s="3" t="s">
        <v>1360</v>
      </c>
      <c r="C4530" s="3" t="s">
        <v>72</v>
      </c>
      <c r="D4530" s="3" t="s">
        <v>90</v>
      </c>
      <c r="E4530" s="3" t="s">
        <v>97</v>
      </c>
      <c r="F4530" s="3" t="s">
        <v>98</v>
      </c>
      <c r="G4530" s="3" t="s">
        <v>51</v>
      </c>
      <c r="H4530" s="3" t="s">
        <v>77</v>
      </c>
      <c r="I4530" s="3" t="s">
        <v>2059</v>
      </c>
      <c r="J4530" s="3" t="s">
        <v>188</v>
      </c>
      <c r="K4530" s="3">
        <v>3</v>
      </c>
      <c r="L4530" s="3">
        <v>11661.97</v>
      </c>
      <c r="M4530" s="3">
        <v>34985.910000000003</v>
      </c>
      <c r="N4530" s="3">
        <v>27919.75</v>
      </c>
      <c r="O4530" s="3">
        <v>7066.16</v>
      </c>
      <c r="P4530" s="3" t="s">
        <v>69</v>
      </c>
    </row>
    <row r="4531" spans="1:16" x14ac:dyDescent="0.35">
      <c r="A4531" s="3" t="s">
        <v>5973</v>
      </c>
      <c r="B4531" s="3" t="s">
        <v>1644</v>
      </c>
      <c r="C4531" s="3" t="s">
        <v>118</v>
      </c>
      <c r="D4531" s="3" t="s">
        <v>58</v>
      </c>
      <c r="E4531" s="3" t="s">
        <v>176</v>
      </c>
      <c r="F4531" s="3" t="s">
        <v>177</v>
      </c>
      <c r="G4531" s="3" t="s">
        <v>22</v>
      </c>
      <c r="H4531" s="3" t="s">
        <v>23</v>
      </c>
      <c r="I4531" s="3" t="s">
        <v>1080</v>
      </c>
      <c r="J4531" s="3" t="s">
        <v>131</v>
      </c>
      <c r="K4531" s="3">
        <v>7</v>
      </c>
      <c r="L4531" s="3">
        <v>3452.96</v>
      </c>
      <c r="M4531" s="3">
        <v>24170.720000000001</v>
      </c>
      <c r="N4531" s="3">
        <v>15488.91</v>
      </c>
      <c r="O4531" s="3">
        <v>8681.81</v>
      </c>
      <c r="P4531" s="3" t="s">
        <v>45</v>
      </c>
    </row>
    <row r="4532" spans="1:16" x14ac:dyDescent="0.35">
      <c r="A4532" s="3" t="s">
        <v>5974</v>
      </c>
      <c r="B4532" s="3" t="s">
        <v>669</v>
      </c>
      <c r="C4532" s="3" t="s">
        <v>57</v>
      </c>
      <c r="D4532" s="3" t="s">
        <v>38</v>
      </c>
      <c r="E4532" s="3" t="s">
        <v>39</v>
      </c>
      <c r="F4532" s="3" t="s">
        <v>40</v>
      </c>
      <c r="G4532" s="3" t="s">
        <v>51</v>
      </c>
      <c r="H4532" s="3" t="s">
        <v>77</v>
      </c>
      <c r="I4532" s="3" t="s">
        <v>2276</v>
      </c>
      <c r="J4532" s="3" t="s">
        <v>147</v>
      </c>
      <c r="K4532" s="3">
        <v>5</v>
      </c>
      <c r="L4532" s="3">
        <v>10908.47</v>
      </c>
      <c r="M4532" s="3">
        <v>54542.35</v>
      </c>
      <c r="N4532" s="3">
        <v>44408.75</v>
      </c>
      <c r="O4532" s="3">
        <v>10133.6</v>
      </c>
      <c r="P4532" s="3" t="s">
        <v>26</v>
      </c>
    </row>
    <row r="4533" spans="1:16" x14ac:dyDescent="0.35">
      <c r="A4533" s="3" t="s">
        <v>5975</v>
      </c>
      <c r="B4533" s="3" t="s">
        <v>302</v>
      </c>
      <c r="C4533" s="3" t="s">
        <v>103</v>
      </c>
      <c r="D4533" s="3" t="s">
        <v>38</v>
      </c>
      <c r="E4533" s="3" t="s">
        <v>104</v>
      </c>
      <c r="F4533" s="3" t="s">
        <v>104</v>
      </c>
      <c r="G4533" s="3" t="s">
        <v>30</v>
      </c>
      <c r="H4533" s="3" t="s">
        <v>31</v>
      </c>
      <c r="I4533" s="3" t="s">
        <v>917</v>
      </c>
      <c r="J4533" s="3" t="s">
        <v>188</v>
      </c>
      <c r="K4533" s="3">
        <v>4</v>
      </c>
      <c r="L4533" s="3">
        <v>3032.03</v>
      </c>
      <c r="M4533" s="3">
        <v>12128.12</v>
      </c>
      <c r="N4533" s="3">
        <v>7458.16</v>
      </c>
      <c r="O4533" s="3">
        <v>4669.96</v>
      </c>
      <c r="P4533" s="3" t="s">
        <v>34</v>
      </c>
    </row>
    <row r="4534" spans="1:16" x14ac:dyDescent="0.35">
      <c r="A4534" s="3" t="s">
        <v>5976</v>
      </c>
      <c r="B4534" s="3" t="s">
        <v>733</v>
      </c>
      <c r="C4534" s="3" t="s">
        <v>89</v>
      </c>
      <c r="D4534" s="3" t="s">
        <v>19</v>
      </c>
      <c r="E4534" s="3" t="s">
        <v>20</v>
      </c>
      <c r="F4534" s="3" t="s">
        <v>21</v>
      </c>
      <c r="G4534" s="3" t="s">
        <v>41</v>
      </c>
      <c r="H4534" s="3" t="s">
        <v>42</v>
      </c>
      <c r="I4534" s="3" t="s">
        <v>710</v>
      </c>
      <c r="J4534" s="3" t="s">
        <v>79</v>
      </c>
      <c r="K4534" s="3">
        <v>4</v>
      </c>
      <c r="L4534" s="3">
        <v>41751.78</v>
      </c>
      <c r="M4534" s="3">
        <v>167007.12</v>
      </c>
      <c r="N4534" s="3">
        <v>144659.98000000001</v>
      </c>
      <c r="O4534" s="3">
        <v>22347.14</v>
      </c>
      <c r="P4534" s="3" t="s">
        <v>34</v>
      </c>
    </row>
    <row r="4535" spans="1:16" x14ac:dyDescent="0.35">
      <c r="A4535" s="3" t="s">
        <v>5977</v>
      </c>
      <c r="B4535" s="3" t="s">
        <v>1089</v>
      </c>
      <c r="C4535" s="3" t="s">
        <v>48</v>
      </c>
      <c r="D4535" s="3" t="s">
        <v>19</v>
      </c>
      <c r="E4535" s="3" t="s">
        <v>199</v>
      </c>
      <c r="F4535" s="3" t="s">
        <v>200</v>
      </c>
      <c r="G4535" s="3" t="s">
        <v>22</v>
      </c>
      <c r="H4535" s="3" t="s">
        <v>93</v>
      </c>
      <c r="I4535" s="3" t="s">
        <v>1345</v>
      </c>
      <c r="J4535" s="3" t="s">
        <v>79</v>
      </c>
      <c r="K4535" s="3">
        <v>4</v>
      </c>
      <c r="L4535" s="3">
        <v>6900.09</v>
      </c>
      <c r="M4535" s="3">
        <v>27600.36</v>
      </c>
      <c r="N4535" s="3">
        <v>19008.59</v>
      </c>
      <c r="O4535" s="3">
        <v>8591.77</v>
      </c>
      <c r="P4535" s="3" t="s">
        <v>45</v>
      </c>
    </row>
    <row r="4536" spans="1:16" x14ac:dyDescent="0.35">
      <c r="A4536" s="3" t="s">
        <v>5978</v>
      </c>
      <c r="B4536" s="3" t="s">
        <v>572</v>
      </c>
      <c r="C4536" s="3" t="s">
        <v>72</v>
      </c>
      <c r="D4536" s="3" t="s">
        <v>19</v>
      </c>
      <c r="E4536" s="3" t="s">
        <v>20</v>
      </c>
      <c r="F4536" s="3" t="s">
        <v>21</v>
      </c>
      <c r="G4536" s="3" t="s">
        <v>30</v>
      </c>
      <c r="H4536" s="3" t="s">
        <v>73</v>
      </c>
      <c r="I4536" s="3" t="s">
        <v>2697</v>
      </c>
      <c r="J4536" s="3" t="s">
        <v>25</v>
      </c>
      <c r="K4536" s="3">
        <v>7</v>
      </c>
      <c r="L4536" s="3">
        <v>3363.76</v>
      </c>
      <c r="M4536" s="3">
        <v>23546.32</v>
      </c>
      <c r="N4536" s="3">
        <v>16513.599999999999</v>
      </c>
      <c r="O4536" s="3">
        <v>7032.72</v>
      </c>
      <c r="P4536" s="3" t="s">
        <v>45</v>
      </c>
    </row>
    <row r="4537" spans="1:16" x14ac:dyDescent="0.35">
      <c r="A4537" s="3" t="s">
        <v>5979</v>
      </c>
      <c r="B4537" s="3" t="s">
        <v>299</v>
      </c>
      <c r="C4537" s="3" t="s">
        <v>89</v>
      </c>
      <c r="D4537" s="3" t="s">
        <v>19</v>
      </c>
      <c r="E4537" s="3" t="s">
        <v>20</v>
      </c>
      <c r="F4537" s="3" t="s">
        <v>21</v>
      </c>
      <c r="G4537" s="3" t="s">
        <v>30</v>
      </c>
      <c r="H4537" s="3" t="s">
        <v>31</v>
      </c>
      <c r="I4537" s="3" t="s">
        <v>662</v>
      </c>
      <c r="J4537" s="3" t="s">
        <v>79</v>
      </c>
      <c r="K4537" s="3">
        <v>3</v>
      </c>
      <c r="L4537" s="3">
        <v>2754.34</v>
      </c>
      <c r="M4537" s="3">
        <v>8263.02</v>
      </c>
      <c r="N4537" s="3">
        <v>5584.58</v>
      </c>
      <c r="O4537" s="3">
        <v>2678.44</v>
      </c>
      <c r="P4537" s="3" t="s">
        <v>69</v>
      </c>
    </row>
    <row r="4538" spans="1:16" x14ac:dyDescent="0.35">
      <c r="A4538" s="3" t="s">
        <v>5980</v>
      </c>
      <c r="B4538" s="3" t="s">
        <v>285</v>
      </c>
      <c r="C4538" s="3" t="s">
        <v>18</v>
      </c>
      <c r="D4538" s="3" t="s">
        <v>58</v>
      </c>
      <c r="E4538" s="3" t="s">
        <v>176</v>
      </c>
      <c r="F4538" s="3" t="s">
        <v>177</v>
      </c>
      <c r="G4538" s="3" t="s">
        <v>22</v>
      </c>
      <c r="H4538" s="3" t="s">
        <v>93</v>
      </c>
      <c r="I4538" s="3" t="s">
        <v>983</v>
      </c>
      <c r="J4538" s="3" t="s">
        <v>147</v>
      </c>
      <c r="K4538" s="3">
        <v>5</v>
      </c>
      <c r="L4538" s="3">
        <v>7050.24</v>
      </c>
      <c r="M4538" s="3">
        <v>35251.199999999997</v>
      </c>
      <c r="N4538" s="3">
        <v>25825.26</v>
      </c>
      <c r="O4538" s="3">
        <v>9425.94</v>
      </c>
      <c r="P4538" s="3" t="s">
        <v>69</v>
      </c>
    </row>
    <row r="4539" spans="1:16" x14ac:dyDescent="0.35">
      <c r="A4539" s="3" t="s">
        <v>5981</v>
      </c>
      <c r="B4539" s="3" t="s">
        <v>1525</v>
      </c>
      <c r="C4539" s="3" t="s">
        <v>57</v>
      </c>
      <c r="D4539" s="3" t="s">
        <v>58</v>
      </c>
      <c r="E4539" s="3" t="s">
        <v>176</v>
      </c>
      <c r="F4539" s="3" t="s">
        <v>177</v>
      </c>
      <c r="G4539" s="3" t="s">
        <v>51</v>
      </c>
      <c r="H4539" s="3" t="s">
        <v>145</v>
      </c>
      <c r="I4539" s="3" t="s">
        <v>3018</v>
      </c>
      <c r="J4539" s="3" t="s">
        <v>161</v>
      </c>
      <c r="K4539" s="3">
        <v>1</v>
      </c>
      <c r="L4539" s="3">
        <v>114.85</v>
      </c>
      <c r="M4539" s="3">
        <v>114.85</v>
      </c>
      <c r="N4539" s="3">
        <v>59.52</v>
      </c>
      <c r="O4539" s="3">
        <v>55.33</v>
      </c>
      <c r="P4539" s="3" t="s">
        <v>45</v>
      </c>
    </row>
    <row r="4540" spans="1:16" x14ac:dyDescent="0.35">
      <c r="A4540" s="3" t="s">
        <v>5982</v>
      </c>
      <c r="B4540" s="3" t="s">
        <v>333</v>
      </c>
      <c r="C4540" s="3" t="s">
        <v>118</v>
      </c>
      <c r="D4540" s="3" t="s">
        <v>90</v>
      </c>
      <c r="E4540" s="3" t="s">
        <v>91</v>
      </c>
      <c r="F4540" s="3" t="s">
        <v>92</v>
      </c>
      <c r="G4540" s="3" t="s">
        <v>22</v>
      </c>
      <c r="H4540" s="3" t="s">
        <v>23</v>
      </c>
      <c r="I4540" s="3" t="s">
        <v>3002</v>
      </c>
      <c r="J4540" s="3" t="s">
        <v>161</v>
      </c>
      <c r="K4540" s="3">
        <v>6</v>
      </c>
      <c r="L4540" s="3">
        <v>3846.9</v>
      </c>
      <c r="M4540" s="3">
        <v>23081.4</v>
      </c>
      <c r="N4540" s="3">
        <v>13706.68</v>
      </c>
      <c r="O4540" s="3">
        <v>9374.7199999999993</v>
      </c>
      <c r="P4540" s="3" t="s">
        <v>69</v>
      </c>
    </row>
    <row r="4541" spans="1:16" x14ac:dyDescent="0.35">
      <c r="A4541" s="3" t="s">
        <v>5983</v>
      </c>
      <c r="B4541" s="3" t="s">
        <v>1113</v>
      </c>
      <c r="C4541" s="3" t="s">
        <v>82</v>
      </c>
      <c r="D4541" s="3" t="s">
        <v>58</v>
      </c>
      <c r="E4541" s="3" t="s">
        <v>65</v>
      </c>
      <c r="F4541" s="3" t="s">
        <v>66</v>
      </c>
      <c r="G4541" s="3" t="s">
        <v>22</v>
      </c>
      <c r="H4541" s="3" t="s">
        <v>23</v>
      </c>
      <c r="I4541" s="3" t="s">
        <v>1649</v>
      </c>
      <c r="J4541" s="3" t="s">
        <v>161</v>
      </c>
      <c r="K4541" s="3">
        <v>2</v>
      </c>
      <c r="L4541" s="3">
        <v>3156.34</v>
      </c>
      <c r="M4541" s="3">
        <v>6312.68</v>
      </c>
      <c r="N4541" s="3">
        <v>4283.47</v>
      </c>
      <c r="O4541" s="3">
        <v>2029.21</v>
      </c>
      <c r="P4541" s="3" t="s">
        <v>26</v>
      </c>
    </row>
    <row r="4542" spans="1:16" x14ac:dyDescent="0.35">
      <c r="A4542" s="3" t="s">
        <v>5984</v>
      </c>
      <c r="B4542" s="3" t="s">
        <v>1125</v>
      </c>
      <c r="C4542" s="3" t="s">
        <v>57</v>
      </c>
      <c r="D4542" s="3" t="s">
        <v>19</v>
      </c>
      <c r="E4542" s="3" t="s">
        <v>199</v>
      </c>
      <c r="F4542" s="3" t="s">
        <v>200</v>
      </c>
      <c r="G4542" s="3" t="s">
        <v>22</v>
      </c>
      <c r="H4542" s="3" t="s">
        <v>83</v>
      </c>
      <c r="I4542" s="3" t="s">
        <v>1006</v>
      </c>
      <c r="J4542" s="3" t="s">
        <v>44</v>
      </c>
      <c r="K4542" s="3">
        <v>3</v>
      </c>
      <c r="L4542" s="3">
        <v>21480.11</v>
      </c>
      <c r="M4542" s="3">
        <v>64440.33</v>
      </c>
      <c r="N4542" s="3">
        <v>50992.84</v>
      </c>
      <c r="O4542" s="3">
        <v>13447.49</v>
      </c>
      <c r="P4542" s="3" t="s">
        <v>69</v>
      </c>
    </row>
    <row r="4543" spans="1:16" x14ac:dyDescent="0.35">
      <c r="A4543" s="3" t="s">
        <v>5985</v>
      </c>
      <c r="B4543" s="3" t="s">
        <v>198</v>
      </c>
      <c r="C4543" s="3" t="s">
        <v>29</v>
      </c>
      <c r="D4543" s="3" t="s">
        <v>58</v>
      </c>
      <c r="E4543" s="3" t="s">
        <v>176</v>
      </c>
      <c r="F4543" s="3" t="s">
        <v>177</v>
      </c>
      <c r="G4543" s="3" t="s">
        <v>22</v>
      </c>
      <c r="H4543" s="3" t="s">
        <v>23</v>
      </c>
      <c r="I4543" s="3" t="s">
        <v>213</v>
      </c>
      <c r="J4543" s="3" t="s">
        <v>25</v>
      </c>
      <c r="K4543" s="3">
        <v>6</v>
      </c>
      <c r="L4543" s="3">
        <v>3176.44</v>
      </c>
      <c r="M4543" s="3">
        <v>19058.64</v>
      </c>
      <c r="N4543" s="3">
        <v>13657.93</v>
      </c>
      <c r="O4543" s="3">
        <v>5400.71</v>
      </c>
      <c r="P4543" s="3" t="s">
        <v>26</v>
      </c>
    </row>
    <row r="4544" spans="1:16" x14ac:dyDescent="0.35">
      <c r="A4544" s="3" t="s">
        <v>5986</v>
      </c>
      <c r="B4544" s="3" t="s">
        <v>429</v>
      </c>
      <c r="C4544" s="3" t="s">
        <v>137</v>
      </c>
      <c r="D4544" s="3" t="s">
        <v>90</v>
      </c>
      <c r="E4544" s="3" t="s">
        <v>91</v>
      </c>
      <c r="F4544" s="3" t="s">
        <v>92</v>
      </c>
      <c r="G4544" s="3" t="s">
        <v>22</v>
      </c>
      <c r="H4544" s="3" t="s">
        <v>23</v>
      </c>
      <c r="I4544" s="3" t="s">
        <v>1315</v>
      </c>
      <c r="J4544" s="3" t="s">
        <v>131</v>
      </c>
      <c r="K4544" s="3">
        <v>7</v>
      </c>
      <c r="L4544" s="3">
        <v>3154.33</v>
      </c>
      <c r="M4544" s="3">
        <v>22080.31</v>
      </c>
      <c r="N4544" s="3">
        <v>15606.24</v>
      </c>
      <c r="O4544" s="3">
        <v>6474.07</v>
      </c>
      <c r="P4544" s="3" t="s">
        <v>69</v>
      </c>
    </row>
    <row r="4545" spans="1:16" x14ac:dyDescent="0.35">
      <c r="A4545" s="3" t="s">
        <v>5987</v>
      </c>
      <c r="B4545" s="3" t="s">
        <v>1269</v>
      </c>
      <c r="C4545" s="3" t="s">
        <v>57</v>
      </c>
      <c r="D4545" s="3" t="s">
        <v>90</v>
      </c>
      <c r="E4545" s="3" t="s">
        <v>91</v>
      </c>
      <c r="F4545" s="3" t="s">
        <v>92</v>
      </c>
      <c r="G4545" s="3" t="s">
        <v>30</v>
      </c>
      <c r="H4545" s="3" t="s">
        <v>73</v>
      </c>
      <c r="I4545" s="3" t="s">
        <v>3532</v>
      </c>
      <c r="J4545" s="3" t="s">
        <v>188</v>
      </c>
      <c r="K4545" s="3">
        <v>1</v>
      </c>
      <c r="L4545" s="3">
        <v>3480.95</v>
      </c>
      <c r="M4545" s="3">
        <v>3480.95</v>
      </c>
      <c r="N4545" s="3">
        <v>2341.94</v>
      </c>
      <c r="O4545" s="3">
        <v>1139.01</v>
      </c>
      <c r="P4545" s="3" t="s">
        <v>69</v>
      </c>
    </row>
    <row r="4546" spans="1:16" x14ac:dyDescent="0.35">
      <c r="A4546" s="3" t="s">
        <v>5988</v>
      </c>
      <c r="B4546" s="3" t="s">
        <v>770</v>
      </c>
      <c r="C4546" s="3" t="s">
        <v>72</v>
      </c>
      <c r="D4546" s="3" t="s">
        <v>58</v>
      </c>
      <c r="E4546" s="3" t="s">
        <v>176</v>
      </c>
      <c r="F4546" s="3" t="s">
        <v>177</v>
      </c>
      <c r="G4546" s="3" t="s">
        <v>41</v>
      </c>
      <c r="H4546" s="3" t="s">
        <v>42</v>
      </c>
      <c r="I4546" s="3" t="s">
        <v>2595</v>
      </c>
      <c r="J4546" s="3" t="s">
        <v>54</v>
      </c>
      <c r="K4546" s="3">
        <v>4</v>
      </c>
      <c r="L4546" s="3">
        <v>43893.89</v>
      </c>
      <c r="M4546" s="3">
        <v>175575.56</v>
      </c>
      <c r="N4546" s="3">
        <v>141204.82</v>
      </c>
      <c r="O4546" s="3">
        <v>34370.74</v>
      </c>
      <c r="P4546" s="3" t="s">
        <v>86</v>
      </c>
    </row>
    <row r="4547" spans="1:16" x14ac:dyDescent="0.35">
      <c r="A4547" s="3" t="s">
        <v>5989</v>
      </c>
      <c r="B4547" s="3" t="s">
        <v>1823</v>
      </c>
      <c r="C4547" s="3" t="s">
        <v>118</v>
      </c>
      <c r="D4547" s="3" t="s">
        <v>19</v>
      </c>
      <c r="E4547" s="3" t="s">
        <v>20</v>
      </c>
      <c r="F4547" s="3" t="s">
        <v>21</v>
      </c>
      <c r="G4547" s="3" t="s">
        <v>41</v>
      </c>
      <c r="H4547" s="3" t="s">
        <v>61</v>
      </c>
      <c r="I4547" s="3" t="s">
        <v>5010</v>
      </c>
      <c r="J4547" s="3" t="s">
        <v>188</v>
      </c>
      <c r="K4547" s="3">
        <v>2</v>
      </c>
      <c r="L4547" s="3">
        <v>2648.27</v>
      </c>
      <c r="M4547" s="3">
        <v>5296.54</v>
      </c>
      <c r="N4547" s="3">
        <v>3131.59</v>
      </c>
      <c r="O4547" s="3">
        <v>2164.9499999999998</v>
      </c>
      <c r="P4547" s="3" t="s">
        <v>26</v>
      </c>
    </row>
    <row r="4548" spans="1:16" x14ac:dyDescent="0.35">
      <c r="A4548" s="3" t="s">
        <v>5990</v>
      </c>
      <c r="B4548" s="3" t="s">
        <v>1578</v>
      </c>
      <c r="C4548" s="3" t="s">
        <v>137</v>
      </c>
      <c r="D4548" s="3" t="s">
        <v>90</v>
      </c>
      <c r="E4548" s="3" t="s">
        <v>97</v>
      </c>
      <c r="F4548" s="3" t="s">
        <v>98</v>
      </c>
      <c r="G4548" s="3" t="s">
        <v>41</v>
      </c>
      <c r="H4548" s="3" t="s">
        <v>42</v>
      </c>
      <c r="I4548" s="3" t="s">
        <v>456</v>
      </c>
      <c r="J4548" s="3" t="s">
        <v>85</v>
      </c>
      <c r="K4548" s="3">
        <v>5</v>
      </c>
      <c r="L4548" s="3">
        <v>44621.69</v>
      </c>
      <c r="M4548" s="3">
        <v>223108.45</v>
      </c>
      <c r="N4548" s="3">
        <v>181840.76</v>
      </c>
      <c r="O4548" s="3">
        <v>41267.69</v>
      </c>
      <c r="P4548" s="3" t="s">
        <v>34</v>
      </c>
    </row>
    <row r="4549" spans="1:16" x14ac:dyDescent="0.35">
      <c r="A4549" s="3" t="s">
        <v>5991</v>
      </c>
      <c r="B4549" s="3" t="s">
        <v>669</v>
      </c>
      <c r="C4549" s="3" t="s">
        <v>57</v>
      </c>
      <c r="D4549" s="3" t="s">
        <v>90</v>
      </c>
      <c r="E4549" s="3" t="s">
        <v>97</v>
      </c>
      <c r="F4549" s="3" t="s">
        <v>98</v>
      </c>
      <c r="G4549" s="3" t="s">
        <v>41</v>
      </c>
      <c r="H4549" s="3" t="s">
        <v>61</v>
      </c>
      <c r="I4549" s="3" t="s">
        <v>3454</v>
      </c>
      <c r="J4549" s="3" t="s">
        <v>217</v>
      </c>
      <c r="K4549" s="3">
        <v>1</v>
      </c>
      <c r="L4549" s="3">
        <v>2403.4899999999998</v>
      </c>
      <c r="M4549" s="3">
        <v>2403.4899999999998</v>
      </c>
      <c r="N4549" s="3">
        <v>1665.17</v>
      </c>
      <c r="O4549" s="3">
        <v>738.32</v>
      </c>
      <c r="P4549" s="3" t="s">
        <v>34</v>
      </c>
    </row>
    <row r="4550" spans="1:16" x14ac:dyDescent="0.35">
      <c r="A4550" s="3" t="s">
        <v>5992</v>
      </c>
      <c r="B4550" s="3" t="s">
        <v>219</v>
      </c>
      <c r="C4550" s="3" t="s">
        <v>72</v>
      </c>
      <c r="D4550" s="3" t="s">
        <v>38</v>
      </c>
      <c r="E4550" s="3" t="s">
        <v>39</v>
      </c>
      <c r="F4550" s="3" t="s">
        <v>40</v>
      </c>
      <c r="G4550" s="3" t="s">
        <v>41</v>
      </c>
      <c r="H4550" s="3" t="s">
        <v>138</v>
      </c>
      <c r="I4550" s="3" t="s">
        <v>2782</v>
      </c>
      <c r="J4550" s="3" t="s">
        <v>131</v>
      </c>
      <c r="K4550" s="3">
        <v>3</v>
      </c>
      <c r="L4550" s="3">
        <v>19305.259999999998</v>
      </c>
      <c r="M4550" s="3">
        <v>57915.78</v>
      </c>
      <c r="N4550" s="3">
        <v>41841.519999999997</v>
      </c>
      <c r="O4550" s="3">
        <v>16074.26</v>
      </c>
      <c r="P4550" s="3" t="s">
        <v>69</v>
      </c>
    </row>
    <row r="4551" spans="1:16" x14ac:dyDescent="0.35">
      <c r="A4551" s="3" t="s">
        <v>5993</v>
      </c>
      <c r="B4551" s="3" t="s">
        <v>310</v>
      </c>
      <c r="C4551" s="3" t="s">
        <v>37</v>
      </c>
      <c r="D4551" s="3" t="s">
        <v>19</v>
      </c>
      <c r="E4551" s="3" t="s">
        <v>199</v>
      </c>
      <c r="F4551" s="3" t="s">
        <v>200</v>
      </c>
      <c r="G4551" s="3" t="s">
        <v>41</v>
      </c>
      <c r="H4551" s="3" t="s">
        <v>61</v>
      </c>
      <c r="I4551" s="3" t="s">
        <v>1800</v>
      </c>
      <c r="J4551" s="3" t="s">
        <v>161</v>
      </c>
      <c r="K4551" s="3">
        <v>7</v>
      </c>
      <c r="L4551" s="3">
        <v>2607.17</v>
      </c>
      <c r="M4551" s="3">
        <v>18250.189999999999</v>
      </c>
      <c r="N4551" s="3">
        <v>11538.84</v>
      </c>
      <c r="O4551" s="3">
        <v>6711.35</v>
      </c>
      <c r="P4551" s="3" t="s">
        <v>26</v>
      </c>
    </row>
    <row r="4552" spans="1:16" x14ac:dyDescent="0.35">
      <c r="A4552" s="3" t="s">
        <v>5994</v>
      </c>
      <c r="B4552" s="3" t="s">
        <v>173</v>
      </c>
      <c r="C4552" s="3" t="s">
        <v>118</v>
      </c>
      <c r="D4552" s="3" t="s">
        <v>38</v>
      </c>
      <c r="E4552" s="3" t="s">
        <v>39</v>
      </c>
      <c r="F4552" s="3" t="s">
        <v>40</v>
      </c>
      <c r="G4552" s="3" t="s">
        <v>41</v>
      </c>
      <c r="H4552" s="3" t="s">
        <v>138</v>
      </c>
      <c r="I4552" s="3" t="s">
        <v>3487</v>
      </c>
      <c r="J4552" s="3" t="s">
        <v>131</v>
      </c>
      <c r="K4552" s="3">
        <v>7</v>
      </c>
      <c r="L4552" s="3">
        <v>19680.61</v>
      </c>
      <c r="M4552" s="3">
        <v>137764.26999999999</v>
      </c>
      <c r="N4552" s="3">
        <v>93236</v>
      </c>
      <c r="O4552" s="3">
        <v>44528.27</v>
      </c>
      <c r="P4552" s="3" t="s">
        <v>69</v>
      </c>
    </row>
    <row r="4553" spans="1:16" x14ac:dyDescent="0.35">
      <c r="A4553" s="3" t="s">
        <v>5995</v>
      </c>
      <c r="B4553" s="3" t="s">
        <v>1136</v>
      </c>
      <c r="C4553" s="3" t="s">
        <v>118</v>
      </c>
      <c r="D4553" s="3" t="s">
        <v>38</v>
      </c>
      <c r="E4553" s="3" t="s">
        <v>109</v>
      </c>
      <c r="F4553" s="3" t="s">
        <v>110</v>
      </c>
      <c r="G4553" s="3" t="s">
        <v>41</v>
      </c>
      <c r="H4553" s="3" t="s">
        <v>42</v>
      </c>
      <c r="I4553" s="3" t="s">
        <v>2061</v>
      </c>
      <c r="J4553" s="3" t="s">
        <v>154</v>
      </c>
      <c r="K4553" s="3">
        <v>3</v>
      </c>
      <c r="L4553" s="3">
        <v>45695.57</v>
      </c>
      <c r="M4553" s="3">
        <v>137086.71</v>
      </c>
      <c r="N4553" s="3">
        <v>100976.89</v>
      </c>
      <c r="O4553" s="3">
        <v>36109.82</v>
      </c>
      <c r="P4553" s="3" t="s">
        <v>26</v>
      </c>
    </row>
    <row r="4554" spans="1:16" x14ac:dyDescent="0.35">
      <c r="A4554" s="3" t="s">
        <v>5996</v>
      </c>
      <c r="B4554" s="3" t="s">
        <v>166</v>
      </c>
      <c r="C4554" s="3" t="s">
        <v>37</v>
      </c>
      <c r="D4554" s="3" t="s">
        <v>90</v>
      </c>
      <c r="E4554" s="3" t="s">
        <v>97</v>
      </c>
      <c r="F4554" s="3" t="s">
        <v>98</v>
      </c>
      <c r="G4554" s="3" t="s">
        <v>30</v>
      </c>
      <c r="H4554" s="3" t="s">
        <v>67</v>
      </c>
      <c r="I4554" s="3" t="s">
        <v>3499</v>
      </c>
      <c r="J4554" s="3" t="s">
        <v>131</v>
      </c>
      <c r="K4554" s="3">
        <v>7</v>
      </c>
      <c r="L4554" s="3">
        <v>10242.75</v>
      </c>
      <c r="M4554" s="3">
        <v>71699.25</v>
      </c>
      <c r="N4554" s="3">
        <v>54606.3</v>
      </c>
      <c r="O4554" s="3">
        <v>17092.95</v>
      </c>
      <c r="P4554" s="3" t="s">
        <v>69</v>
      </c>
    </row>
    <row r="4555" spans="1:16" x14ac:dyDescent="0.35">
      <c r="A4555" s="3" t="s">
        <v>5997</v>
      </c>
      <c r="B4555" s="3" t="s">
        <v>485</v>
      </c>
      <c r="C4555" s="3" t="s">
        <v>114</v>
      </c>
      <c r="D4555" s="3" t="s">
        <v>90</v>
      </c>
      <c r="E4555" s="3" t="s">
        <v>91</v>
      </c>
      <c r="F4555" s="3" t="s">
        <v>92</v>
      </c>
      <c r="G4555" s="3" t="s">
        <v>51</v>
      </c>
      <c r="H4555" s="3" t="s">
        <v>145</v>
      </c>
      <c r="I4555" s="3" t="s">
        <v>3372</v>
      </c>
      <c r="J4555" s="3" t="s">
        <v>44</v>
      </c>
      <c r="K4555" s="3">
        <v>3</v>
      </c>
      <c r="L4555" s="3">
        <v>117.98</v>
      </c>
      <c r="M4555" s="3">
        <v>353.94</v>
      </c>
      <c r="N4555" s="3">
        <v>186.74</v>
      </c>
      <c r="O4555" s="3">
        <v>167.2</v>
      </c>
      <c r="P4555" s="3" t="s">
        <v>45</v>
      </c>
    </row>
    <row r="4556" spans="1:16" x14ac:dyDescent="0.35">
      <c r="A4556" s="3" t="s">
        <v>5998</v>
      </c>
      <c r="B4556" s="3" t="s">
        <v>282</v>
      </c>
      <c r="C4556" s="3" t="s">
        <v>114</v>
      </c>
      <c r="D4556" s="3" t="s">
        <v>90</v>
      </c>
      <c r="E4556" s="3" t="s">
        <v>91</v>
      </c>
      <c r="F4556" s="3" t="s">
        <v>92</v>
      </c>
      <c r="G4556" s="3" t="s">
        <v>22</v>
      </c>
      <c r="H4556" s="3" t="s">
        <v>93</v>
      </c>
      <c r="I4556" s="3" t="s">
        <v>1791</v>
      </c>
      <c r="J4556" s="3" t="s">
        <v>171</v>
      </c>
      <c r="K4556" s="3">
        <v>2</v>
      </c>
      <c r="L4556" s="3">
        <v>7097.78</v>
      </c>
      <c r="M4556" s="3">
        <v>14195.56</v>
      </c>
      <c r="N4556" s="3">
        <v>9923.1299999999992</v>
      </c>
      <c r="O4556" s="3">
        <v>4272.43</v>
      </c>
      <c r="P4556" s="3" t="s">
        <v>45</v>
      </c>
    </row>
    <row r="4557" spans="1:16" x14ac:dyDescent="0.35">
      <c r="A4557" s="3" t="s">
        <v>5999</v>
      </c>
      <c r="B4557" s="3" t="s">
        <v>1727</v>
      </c>
      <c r="C4557" s="3" t="s">
        <v>89</v>
      </c>
      <c r="D4557" s="3" t="s">
        <v>90</v>
      </c>
      <c r="E4557" s="3" t="s">
        <v>97</v>
      </c>
      <c r="F4557" s="3" t="s">
        <v>98</v>
      </c>
      <c r="G4557" s="3" t="s">
        <v>30</v>
      </c>
      <c r="H4557" s="3" t="s">
        <v>31</v>
      </c>
      <c r="I4557" s="3" t="s">
        <v>2925</v>
      </c>
      <c r="J4557" s="3" t="s">
        <v>131</v>
      </c>
      <c r="K4557" s="3">
        <v>3</v>
      </c>
      <c r="L4557" s="3">
        <v>2848.06</v>
      </c>
      <c r="M4557" s="3">
        <v>8544.18</v>
      </c>
      <c r="N4557" s="3">
        <v>5533.07</v>
      </c>
      <c r="O4557" s="3">
        <v>3011.11</v>
      </c>
      <c r="P4557" s="3" t="s">
        <v>26</v>
      </c>
    </row>
    <row r="4558" spans="1:16" x14ac:dyDescent="0.35">
      <c r="A4558" s="3" t="s">
        <v>6000</v>
      </c>
      <c r="B4558" s="3" t="s">
        <v>1053</v>
      </c>
      <c r="C4558" s="3" t="s">
        <v>82</v>
      </c>
      <c r="D4558" s="3" t="s">
        <v>38</v>
      </c>
      <c r="E4558" s="3" t="s">
        <v>104</v>
      </c>
      <c r="F4558" s="3" t="s">
        <v>104</v>
      </c>
      <c r="G4558" s="3" t="s">
        <v>51</v>
      </c>
      <c r="H4558" s="3" t="s">
        <v>52</v>
      </c>
      <c r="I4558" s="3" t="s">
        <v>2145</v>
      </c>
      <c r="J4558" s="3" t="s">
        <v>106</v>
      </c>
      <c r="K4558" s="3">
        <v>6</v>
      </c>
      <c r="L4558" s="3">
        <v>23.78</v>
      </c>
      <c r="M4558" s="3">
        <v>142.68</v>
      </c>
      <c r="N4558" s="3">
        <v>58.43</v>
      </c>
      <c r="O4558" s="3">
        <v>84.25</v>
      </c>
      <c r="P4558" s="3" t="s">
        <v>45</v>
      </c>
    </row>
    <row r="4559" spans="1:16" x14ac:dyDescent="0.35">
      <c r="A4559" s="3" t="s">
        <v>6001</v>
      </c>
      <c r="B4559" s="3" t="s">
        <v>521</v>
      </c>
      <c r="C4559" s="3" t="s">
        <v>18</v>
      </c>
      <c r="D4559" s="3" t="s">
        <v>19</v>
      </c>
      <c r="E4559" s="3" t="s">
        <v>199</v>
      </c>
      <c r="F4559" s="3" t="s">
        <v>200</v>
      </c>
      <c r="G4559" s="3" t="s">
        <v>41</v>
      </c>
      <c r="H4559" s="3" t="s">
        <v>138</v>
      </c>
      <c r="I4559" s="3" t="s">
        <v>3027</v>
      </c>
      <c r="J4559" s="3" t="s">
        <v>131</v>
      </c>
      <c r="K4559" s="3">
        <v>3</v>
      </c>
      <c r="L4559" s="3">
        <v>18513.13</v>
      </c>
      <c r="M4559" s="3">
        <v>55539.39</v>
      </c>
      <c r="N4559" s="3">
        <v>40489.61</v>
      </c>
      <c r="O4559" s="3">
        <v>15049.78</v>
      </c>
      <c r="P4559" s="3" t="s">
        <v>34</v>
      </c>
    </row>
    <row r="4560" spans="1:16" x14ac:dyDescent="0.35">
      <c r="A4560" s="3" t="s">
        <v>6002</v>
      </c>
      <c r="B4560" s="3" t="s">
        <v>1314</v>
      </c>
      <c r="C4560" s="3" t="s">
        <v>48</v>
      </c>
      <c r="D4560" s="3" t="s">
        <v>58</v>
      </c>
      <c r="E4560" s="3" t="s">
        <v>65</v>
      </c>
      <c r="F4560" s="3" t="s">
        <v>66</v>
      </c>
      <c r="G4560" s="3" t="s">
        <v>51</v>
      </c>
      <c r="H4560" s="3" t="s">
        <v>52</v>
      </c>
      <c r="I4560" s="3" t="s">
        <v>2431</v>
      </c>
      <c r="J4560" s="3" t="s">
        <v>217</v>
      </c>
      <c r="K4560" s="3">
        <v>8</v>
      </c>
      <c r="L4560" s="3">
        <v>25.93</v>
      </c>
      <c r="M4560" s="3">
        <v>207.44</v>
      </c>
      <c r="N4560" s="3">
        <v>77.08</v>
      </c>
      <c r="O4560" s="3">
        <v>130.36000000000001</v>
      </c>
      <c r="P4560" s="3" t="s">
        <v>69</v>
      </c>
    </row>
    <row r="4561" spans="1:16" x14ac:dyDescent="0.35">
      <c r="A4561" s="3" t="s">
        <v>6003</v>
      </c>
      <c r="B4561" s="3" t="s">
        <v>2222</v>
      </c>
      <c r="C4561" s="3" t="s">
        <v>89</v>
      </c>
      <c r="D4561" s="3" t="s">
        <v>58</v>
      </c>
      <c r="E4561" s="3" t="s">
        <v>59</v>
      </c>
      <c r="F4561" s="3" t="s">
        <v>60</v>
      </c>
      <c r="G4561" s="3" t="s">
        <v>22</v>
      </c>
      <c r="H4561" s="3" t="s">
        <v>83</v>
      </c>
      <c r="I4561" s="3" t="s">
        <v>1334</v>
      </c>
      <c r="J4561" s="3" t="s">
        <v>85</v>
      </c>
      <c r="K4561" s="3">
        <v>2</v>
      </c>
      <c r="L4561" s="3">
        <v>22646.880000000001</v>
      </c>
      <c r="M4561" s="3">
        <v>45293.760000000002</v>
      </c>
      <c r="N4561" s="3">
        <v>33820.76</v>
      </c>
      <c r="O4561" s="3">
        <v>11473</v>
      </c>
      <c r="P4561" s="3" t="s">
        <v>26</v>
      </c>
    </row>
    <row r="4562" spans="1:16" x14ac:dyDescent="0.35">
      <c r="A4562" s="3" t="s">
        <v>6004</v>
      </c>
      <c r="B4562" s="3" t="s">
        <v>880</v>
      </c>
      <c r="C4562" s="3" t="s">
        <v>114</v>
      </c>
      <c r="D4562" s="3" t="s">
        <v>90</v>
      </c>
      <c r="E4562" s="3" t="s">
        <v>119</v>
      </c>
      <c r="F4562" s="3" t="s">
        <v>120</v>
      </c>
      <c r="G4562" s="3" t="s">
        <v>22</v>
      </c>
      <c r="H4562" s="3" t="s">
        <v>83</v>
      </c>
      <c r="I4562" s="3" t="s">
        <v>4392</v>
      </c>
      <c r="J4562" s="3" t="s">
        <v>188</v>
      </c>
      <c r="K4562" s="3">
        <v>2</v>
      </c>
      <c r="L4562" s="3">
        <v>23712.31</v>
      </c>
      <c r="M4562" s="3">
        <v>47424.62</v>
      </c>
      <c r="N4562" s="3">
        <v>35577.480000000003</v>
      </c>
      <c r="O4562" s="3">
        <v>11847.14</v>
      </c>
      <c r="P4562" s="3" t="s">
        <v>86</v>
      </c>
    </row>
    <row r="4563" spans="1:16" x14ac:dyDescent="0.35">
      <c r="A4563" s="3" t="s">
        <v>6005</v>
      </c>
      <c r="B4563" s="3" t="s">
        <v>2028</v>
      </c>
      <c r="C4563" s="3" t="s">
        <v>137</v>
      </c>
      <c r="D4563" s="3" t="s">
        <v>19</v>
      </c>
      <c r="E4563" s="3" t="s">
        <v>199</v>
      </c>
      <c r="F4563" s="3" t="s">
        <v>200</v>
      </c>
      <c r="G4563" s="3" t="s">
        <v>22</v>
      </c>
      <c r="H4563" s="3" t="s">
        <v>23</v>
      </c>
      <c r="I4563" s="3" t="s">
        <v>2921</v>
      </c>
      <c r="J4563" s="3" t="s">
        <v>217</v>
      </c>
      <c r="K4563" s="3">
        <v>8</v>
      </c>
      <c r="L4563" s="3">
        <v>3388.17</v>
      </c>
      <c r="M4563" s="3">
        <v>27105.360000000001</v>
      </c>
      <c r="N4563" s="3">
        <v>18425.96</v>
      </c>
      <c r="O4563" s="3">
        <v>8679.4</v>
      </c>
      <c r="P4563" s="3" t="s">
        <v>86</v>
      </c>
    </row>
    <row r="4564" spans="1:16" x14ac:dyDescent="0.35">
      <c r="A4564" s="3" t="s">
        <v>6006</v>
      </c>
      <c r="B4564" s="3" t="s">
        <v>770</v>
      </c>
      <c r="C4564" s="3" t="s">
        <v>72</v>
      </c>
      <c r="D4564" s="3" t="s">
        <v>19</v>
      </c>
      <c r="E4564" s="3" t="s">
        <v>49</v>
      </c>
      <c r="F4564" s="3" t="s">
        <v>50</v>
      </c>
      <c r="G4564" s="3" t="s">
        <v>51</v>
      </c>
      <c r="H4564" s="3" t="s">
        <v>52</v>
      </c>
      <c r="I4564" s="3" t="s">
        <v>352</v>
      </c>
      <c r="J4564" s="3" t="s">
        <v>161</v>
      </c>
      <c r="K4564" s="3">
        <v>5</v>
      </c>
      <c r="L4564" s="3">
        <v>23.26</v>
      </c>
      <c r="M4564" s="3">
        <v>116.3</v>
      </c>
      <c r="N4564" s="3">
        <v>51.32</v>
      </c>
      <c r="O4564" s="3">
        <v>64.98</v>
      </c>
      <c r="P4564" s="3" t="s">
        <v>45</v>
      </c>
    </row>
    <row r="4565" spans="1:16" x14ac:dyDescent="0.35">
      <c r="A4565" s="3" t="s">
        <v>6007</v>
      </c>
      <c r="B4565" s="3" t="s">
        <v>511</v>
      </c>
      <c r="C4565" s="3" t="s">
        <v>29</v>
      </c>
      <c r="D4565" s="3" t="s">
        <v>38</v>
      </c>
      <c r="E4565" s="3" t="s">
        <v>104</v>
      </c>
      <c r="F4565" s="3" t="s">
        <v>104</v>
      </c>
      <c r="G4565" s="3" t="s">
        <v>51</v>
      </c>
      <c r="H4565" s="3" t="s">
        <v>52</v>
      </c>
      <c r="I4565" s="3" t="s">
        <v>1368</v>
      </c>
      <c r="J4565" s="3" t="s">
        <v>147</v>
      </c>
      <c r="K4565" s="3">
        <v>6</v>
      </c>
      <c r="L4565" s="3">
        <v>26.91</v>
      </c>
      <c r="M4565" s="3">
        <v>161.46</v>
      </c>
      <c r="N4565" s="3">
        <v>58.06</v>
      </c>
      <c r="O4565" s="3">
        <v>103.4</v>
      </c>
      <c r="P4565" s="3" t="s">
        <v>34</v>
      </c>
    </row>
    <row r="4566" spans="1:16" x14ac:dyDescent="0.35">
      <c r="A4566" s="3" t="s">
        <v>6008</v>
      </c>
      <c r="B4566" s="3" t="s">
        <v>285</v>
      </c>
      <c r="C4566" s="3" t="s">
        <v>18</v>
      </c>
      <c r="D4566" s="3" t="s">
        <v>19</v>
      </c>
      <c r="E4566" s="3" t="s">
        <v>20</v>
      </c>
      <c r="F4566" s="3" t="s">
        <v>21</v>
      </c>
      <c r="G4566" s="3" t="s">
        <v>51</v>
      </c>
      <c r="H4566" s="3" t="s">
        <v>52</v>
      </c>
      <c r="I4566" s="3" t="s">
        <v>5895</v>
      </c>
      <c r="J4566" s="3" t="s">
        <v>188</v>
      </c>
      <c r="K4566" s="3">
        <v>2</v>
      </c>
      <c r="L4566" s="3">
        <v>23.17</v>
      </c>
      <c r="M4566" s="3">
        <v>46.34</v>
      </c>
      <c r="N4566" s="3">
        <v>19.78</v>
      </c>
      <c r="O4566" s="3">
        <v>26.56</v>
      </c>
      <c r="P4566" s="3" t="s">
        <v>26</v>
      </c>
    </row>
    <row r="4567" spans="1:16" x14ac:dyDescent="0.35">
      <c r="A4567" s="3" t="s">
        <v>6009</v>
      </c>
      <c r="B4567" s="3" t="s">
        <v>2028</v>
      </c>
      <c r="C4567" s="3" t="s">
        <v>137</v>
      </c>
      <c r="D4567" s="3" t="s">
        <v>19</v>
      </c>
      <c r="E4567" s="3" t="s">
        <v>20</v>
      </c>
      <c r="F4567" s="3" t="s">
        <v>21</v>
      </c>
      <c r="G4567" s="3" t="s">
        <v>41</v>
      </c>
      <c r="H4567" s="3" t="s">
        <v>61</v>
      </c>
      <c r="I4567" s="3" t="s">
        <v>4042</v>
      </c>
      <c r="J4567" s="3" t="s">
        <v>106</v>
      </c>
      <c r="K4567" s="3">
        <v>8</v>
      </c>
      <c r="L4567" s="3">
        <v>2736.39</v>
      </c>
      <c r="M4567" s="3">
        <v>21891.119999999999</v>
      </c>
      <c r="N4567" s="3">
        <v>13094.75</v>
      </c>
      <c r="O4567" s="3">
        <v>8796.3700000000008</v>
      </c>
      <c r="P4567" s="3" t="s">
        <v>34</v>
      </c>
    </row>
    <row r="4568" spans="1:16" x14ac:dyDescent="0.35">
      <c r="A4568" s="3" t="s">
        <v>6010</v>
      </c>
      <c r="B4568" s="3" t="s">
        <v>113</v>
      </c>
      <c r="C4568" s="3" t="s">
        <v>114</v>
      </c>
      <c r="D4568" s="3" t="s">
        <v>19</v>
      </c>
      <c r="E4568" s="3" t="s">
        <v>49</v>
      </c>
      <c r="F4568" s="3" t="s">
        <v>50</v>
      </c>
      <c r="G4568" s="3" t="s">
        <v>30</v>
      </c>
      <c r="H4568" s="3" t="s">
        <v>31</v>
      </c>
      <c r="I4568" s="3" t="s">
        <v>4501</v>
      </c>
      <c r="J4568" s="3" t="s">
        <v>171</v>
      </c>
      <c r="K4568" s="3">
        <v>3</v>
      </c>
      <c r="L4568" s="3">
        <v>2608.29</v>
      </c>
      <c r="M4568" s="3">
        <v>7824.87</v>
      </c>
      <c r="N4568" s="3">
        <v>5500.33</v>
      </c>
      <c r="O4568" s="3">
        <v>2324.54</v>
      </c>
      <c r="P4568" s="3" t="s">
        <v>86</v>
      </c>
    </row>
    <row r="4569" spans="1:16" x14ac:dyDescent="0.35">
      <c r="A4569" s="3" t="s">
        <v>6011</v>
      </c>
      <c r="B4569" s="3" t="s">
        <v>534</v>
      </c>
      <c r="C4569" s="3" t="s">
        <v>29</v>
      </c>
      <c r="D4569" s="3" t="s">
        <v>58</v>
      </c>
      <c r="E4569" s="3" t="s">
        <v>176</v>
      </c>
      <c r="F4569" s="3" t="s">
        <v>177</v>
      </c>
      <c r="G4569" s="3" t="s">
        <v>30</v>
      </c>
      <c r="H4569" s="3" t="s">
        <v>67</v>
      </c>
      <c r="I4569" s="3" t="s">
        <v>1961</v>
      </c>
      <c r="J4569" s="3" t="s">
        <v>106</v>
      </c>
      <c r="K4569" s="3">
        <v>4</v>
      </c>
      <c r="L4569" s="3">
        <v>10021.530000000001</v>
      </c>
      <c r="M4569" s="3">
        <v>40086.120000000003</v>
      </c>
      <c r="N4569" s="3">
        <v>29501.03</v>
      </c>
      <c r="O4569" s="3">
        <v>10585.09</v>
      </c>
      <c r="P4569" s="3" t="s">
        <v>69</v>
      </c>
    </row>
    <row r="4570" spans="1:16" x14ac:dyDescent="0.35">
      <c r="A4570" s="3" t="s">
        <v>6012</v>
      </c>
      <c r="B4570" s="3" t="s">
        <v>624</v>
      </c>
      <c r="C4570" s="3" t="s">
        <v>18</v>
      </c>
      <c r="D4570" s="3" t="s">
        <v>19</v>
      </c>
      <c r="E4570" s="3" t="s">
        <v>49</v>
      </c>
      <c r="F4570" s="3" t="s">
        <v>50</v>
      </c>
      <c r="G4570" s="3" t="s">
        <v>41</v>
      </c>
      <c r="H4570" s="3" t="s">
        <v>42</v>
      </c>
      <c r="I4570" s="3" t="s">
        <v>399</v>
      </c>
      <c r="J4570" s="3" t="s">
        <v>131</v>
      </c>
      <c r="K4570" s="3">
        <v>1</v>
      </c>
      <c r="L4570" s="3">
        <v>44480.24</v>
      </c>
      <c r="M4570" s="3">
        <v>44480.24</v>
      </c>
      <c r="N4570" s="3">
        <v>35635.65</v>
      </c>
      <c r="O4570" s="3">
        <v>8844.59</v>
      </c>
      <c r="P4570" s="3" t="s">
        <v>45</v>
      </c>
    </row>
    <row r="4571" spans="1:16" x14ac:dyDescent="0.35">
      <c r="A4571" s="3" t="s">
        <v>6013</v>
      </c>
      <c r="B4571" s="3" t="s">
        <v>1910</v>
      </c>
      <c r="C4571" s="3" t="s">
        <v>29</v>
      </c>
      <c r="D4571" s="3" t="s">
        <v>38</v>
      </c>
      <c r="E4571" s="3" t="s">
        <v>104</v>
      </c>
      <c r="F4571" s="3" t="s">
        <v>104</v>
      </c>
      <c r="G4571" s="3" t="s">
        <v>30</v>
      </c>
      <c r="H4571" s="3" t="s">
        <v>67</v>
      </c>
      <c r="I4571" s="3" t="s">
        <v>3660</v>
      </c>
      <c r="J4571" s="3" t="s">
        <v>79</v>
      </c>
      <c r="K4571" s="3">
        <v>1</v>
      </c>
      <c r="L4571" s="3">
        <v>10053.290000000001</v>
      </c>
      <c r="M4571" s="3">
        <v>10053.290000000001</v>
      </c>
      <c r="N4571" s="3">
        <v>7226.28</v>
      </c>
      <c r="O4571" s="3">
        <v>2827.01</v>
      </c>
      <c r="P4571" s="3" t="s">
        <v>86</v>
      </c>
    </row>
    <row r="4572" spans="1:16" x14ac:dyDescent="0.35">
      <c r="A4572" s="3" t="s">
        <v>6014</v>
      </c>
      <c r="B4572" s="3" t="s">
        <v>2197</v>
      </c>
      <c r="C4572" s="3" t="s">
        <v>18</v>
      </c>
      <c r="D4572" s="3" t="s">
        <v>19</v>
      </c>
      <c r="E4572" s="3" t="s">
        <v>20</v>
      </c>
      <c r="F4572" s="3" t="s">
        <v>21</v>
      </c>
      <c r="G4572" s="3" t="s">
        <v>51</v>
      </c>
      <c r="H4572" s="3" t="s">
        <v>52</v>
      </c>
      <c r="I4572" s="3" t="s">
        <v>3027</v>
      </c>
      <c r="J4572" s="3" t="s">
        <v>54</v>
      </c>
      <c r="K4572" s="3">
        <v>7</v>
      </c>
      <c r="L4572" s="3">
        <v>25.51</v>
      </c>
      <c r="M4572" s="3">
        <v>178.57</v>
      </c>
      <c r="N4572" s="3">
        <v>67.05</v>
      </c>
      <c r="O4572" s="3">
        <v>111.52</v>
      </c>
      <c r="P4572" s="3" t="s">
        <v>26</v>
      </c>
    </row>
    <row r="4573" spans="1:16" x14ac:dyDescent="0.35">
      <c r="A4573" s="3" t="s">
        <v>6015</v>
      </c>
      <c r="B4573" s="3" t="s">
        <v>336</v>
      </c>
      <c r="C4573" s="3" t="s">
        <v>29</v>
      </c>
      <c r="D4573" s="3" t="s">
        <v>58</v>
      </c>
      <c r="E4573" s="3" t="s">
        <v>176</v>
      </c>
      <c r="F4573" s="3" t="s">
        <v>177</v>
      </c>
      <c r="G4573" s="3" t="s">
        <v>30</v>
      </c>
      <c r="H4573" s="3" t="s">
        <v>31</v>
      </c>
      <c r="I4573" s="3" t="s">
        <v>461</v>
      </c>
      <c r="J4573" s="3" t="s">
        <v>131</v>
      </c>
      <c r="K4573" s="3">
        <v>6</v>
      </c>
      <c r="L4573" s="3">
        <v>2776.46</v>
      </c>
      <c r="M4573" s="3">
        <v>16658.759999999998</v>
      </c>
      <c r="N4573" s="3">
        <v>11353.3</v>
      </c>
      <c r="O4573" s="3">
        <v>5305.46</v>
      </c>
      <c r="P4573" s="3" t="s">
        <v>86</v>
      </c>
    </row>
    <row r="4574" spans="1:16" x14ac:dyDescent="0.35">
      <c r="A4574" s="3" t="s">
        <v>6016</v>
      </c>
      <c r="B4574" s="3" t="s">
        <v>2870</v>
      </c>
      <c r="C4574" s="3" t="s">
        <v>118</v>
      </c>
      <c r="D4574" s="3" t="s">
        <v>19</v>
      </c>
      <c r="E4574" s="3" t="s">
        <v>199</v>
      </c>
      <c r="F4574" s="3" t="s">
        <v>200</v>
      </c>
      <c r="G4574" s="3" t="s">
        <v>22</v>
      </c>
      <c r="H4574" s="3" t="s">
        <v>23</v>
      </c>
      <c r="I4574" s="3" t="s">
        <v>3454</v>
      </c>
      <c r="J4574" s="3" t="s">
        <v>161</v>
      </c>
      <c r="K4574" s="3">
        <v>4</v>
      </c>
      <c r="L4574" s="3">
        <v>3771.02</v>
      </c>
      <c r="M4574" s="3">
        <v>15084.08</v>
      </c>
      <c r="N4574" s="3">
        <v>8653.43</v>
      </c>
      <c r="O4574" s="3">
        <v>6430.65</v>
      </c>
      <c r="P4574" s="3" t="s">
        <v>26</v>
      </c>
    </row>
    <row r="4575" spans="1:16" x14ac:dyDescent="0.35">
      <c r="A4575" s="3" t="s">
        <v>6017</v>
      </c>
      <c r="B4575" s="3" t="s">
        <v>1095</v>
      </c>
      <c r="C4575" s="3" t="s">
        <v>103</v>
      </c>
      <c r="D4575" s="3" t="s">
        <v>38</v>
      </c>
      <c r="E4575" s="3" t="s">
        <v>109</v>
      </c>
      <c r="F4575" s="3" t="s">
        <v>110</v>
      </c>
      <c r="G4575" s="3" t="s">
        <v>30</v>
      </c>
      <c r="H4575" s="3" t="s">
        <v>31</v>
      </c>
      <c r="I4575" s="3" t="s">
        <v>1170</v>
      </c>
      <c r="J4575" s="3" t="s">
        <v>217</v>
      </c>
      <c r="K4575" s="3">
        <v>7</v>
      </c>
      <c r="L4575" s="3">
        <v>2547.89</v>
      </c>
      <c r="M4575" s="3">
        <v>17835.23</v>
      </c>
      <c r="N4575" s="3">
        <v>13079.27</v>
      </c>
      <c r="O4575" s="3">
        <v>4755.96</v>
      </c>
      <c r="P4575" s="3" t="s">
        <v>69</v>
      </c>
    </row>
    <row r="4576" spans="1:16" x14ac:dyDescent="0.35">
      <c r="A4576" s="3" t="s">
        <v>6018</v>
      </c>
      <c r="B4576" s="3" t="s">
        <v>586</v>
      </c>
      <c r="C4576" s="3" t="s">
        <v>57</v>
      </c>
      <c r="D4576" s="3" t="s">
        <v>90</v>
      </c>
      <c r="E4576" s="3" t="s">
        <v>91</v>
      </c>
      <c r="F4576" s="3" t="s">
        <v>92</v>
      </c>
      <c r="G4576" s="3" t="s">
        <v>30</v>
      </c>
      <c r="H4576" s="3" t="s">
        <v>31</v>
      </c>
      <c r="I4576" s="3" t="s">
        <v>1038</v>
      </c>
      <c r="J4576" s="3" t="s">
        <v>106</v>
      </c>
      <c r="K4576" s="3">
        <v>4</v>
      </c>
      <c r="L4576" s="3">
        <v>2933.64</v>
      </c>
      <c r="M4576" s="3">
        <v>11734.56</v>
      </c>
      <c r="N4576" s="3">
        <v>7925.28</v>
      </c>
      <c r="O4576" s="3">
        <v>3809.28</v>
      </c>
      <c r="P4576" s="3" t="s">
        <v>34</v>
      </c>
    </row>
    <row r="4577" spans="1:16" x14ac:dyDescent="0.35">
      <c r="A4577" s="3" t="s">
        <v>6019</v>
      </c>
      <c r="B4577" s="3" t="s">
        <v>1997</v>
      </c>
      <c r="C4577" s="3" t="s">
        <v>114</v>
      </c>
      <c r="D4577" s="3" t="s">
        <v>58</v>
      </c>
      <c r="E4577" s="3" t="s">
        <v>176</v>
      </c>
      <c r="F4577" s="3" t="s">
        <v>177</v>
      </c>
      <c r="G4577" s="3" t="s">
        <v>51</v>
      </c>
      <c r="H4577" s="3" t="s">
        <v>52</v>
      </c>
      <c r="I4577" s="3" t="s">
        <v>1351</v>
      </c>
      <c r="J4577" s="3" t="s">
        <v>131</v>
      </c>
      <c r="K4577" s="3">
        <v>7</v>
      </c>
      <c r="L4577" s="3">
        <v>24.49</v>
      </c>
      <c r="M4577" s="3">
        <v>171.43</v>
      </c>
      <c r="N4577" s="3">
        <v>69.45</v>
      </c>
      <c r="O4577" s="3">
        <v>101.98</v>
      </c>
      <c r="P4577" s="3" t="s">
        <v>45</v>
      </c>
    </row>
    <row r="4578" spans="1:16" x14ac:dyDescent="0.35">
      <c r="A4578" s="3" t="s">
        <v>6020</v>
      </c>
      <c r="B4578" s="3" t="s">
        <v>339</v>
      </c>
      <c r="C4578" s="3" t="s">
        <v>29</v>
      </c>
      <c r="D4578" s="3" t="s">
        <v>19</v>
      </c>
      <c r="E4578" s="3" t="s">
        <v>20</v>
      </c>
      <c r="F4578" s="3" t="s">
        <v>21</v>
      </c>
      <c r="G4578" s="3" t="s">
        <v>41</v>
      </c>
      <c r="H4578" s="3" t="s">
        <v>42</v>
      </c>
      <c r="I4578" s="3" t="s">
        <v>2990</v>
      </c>
      <c r="J4578" s="3" t="s">
        <v>188</v>
      </c>
      <c r="K4578" s="3">
        <v>5</v>
      </c>
      <c r="L4578" s="3">
        <v>42101.120000000003</v>
      </c>
      <c r="M4578" s="3">
        <v>210505.60000000001</v>
      </c>
      <c r="N4578" s="3">
        <v>166992.1</v>
      </c>
      <c r="O4578" s="3">
        <v>43513.5</v>
      </c>
      <c r="P4578" s="3" t="s">
        <v>34</v>
      </c>
    </row>
    <row r="4579" spans="1:16" x14ac:dyDescent="0.35">
      <c r="A4579" s="3" t="s">
        <v>6021</v>
      </c>
      <c r="B4579" s="3" t="s">
        <v>1567</v>
      </c>
      <c r="C4579" s="3" t="s">
        <v>82</v>
      </c>
      <c r="D4579" s="3" t="s">
        <v>90</v>
      </c>
      <c r="E4579" s="3" t="s">
        <v>97</v>
      </c>
      <c r="F4579" s="3" t="s">
        <v>98</v>
      </c>
      <c r="G4579" s="3" t="s">
        <v>22</v>
      </c>
      <c r="H4579" s="3" t="s">
        <v>93</v>
      </c>
      <c r="I4579" s="3" t="s">
        <v>2563</v>
      </c>
      <c r="J4579" s="3" t="s">
        <v>79</v>
      </c>
      <c r="K4579" s="3">
        <v>2</v>
      </c>
      <c r="L4579" s="3">
        <v>6634.04</v>
      </c>
      <c r="M4579" s="3">
        <v>13268.08</v>
      </c>
      <c r="N4579" s="3">
        <v>10490.54</v>
      </c>
      <c r="O4579" s="3">
        <v>2777.54</v>
      </c>
      <c r="P4579" s="3" t="s">
        <v>34</v>
      </c>
    </row>
    <row r="4580" spans="1:16" x14ac:dyDescent="0.35">
      <c r="A4580" s="3" t="s">
        <v>6022</v>
      </c>
      <c r="B4580" s="3" t="s">
        <v>601</v>
      </c>
      <c r="C4580" s="3" t="s">
        <v>82</v>
      </c>
      <c r="D4580" s="3" t="s">
        <v>58</v>
      </c>
      <c r="E4580" s="3" t="s">
        <v>59</v>
      </c>
      <c r="F4580" s="3" t="s">
        <v>60</v>
      </c>
      <c r="G4580" s="3" t="s">
        <v>41</v>
      </c>
      <c r="H4580" s="3" t="s">
        <v>42</v>
      </c>
      <c r="I4580" s="3" t="s">
        <v>1478</v>
      </c>
      <c r="J4580" s="3" t="s">
        <v>54</v>
      </c>
      <c r="K4580" s="3">
        <v>1</v>
      </c>
      <c r="L4580" s="3">
        <v>43255.02</v>
      </c>
      <c r="M4580" s="3">
        <v>43255.02</v>
      </c>
      <c r="N4580" s="3">
        <v>34352.71</v>
      </c>
      <c r="O4580" s="3">
        <v>8902.31</v>
      </c>
      <c r="P4580" s="3" t="s">
        <v>69</v>
      </c>
    </row>
    <row r="4581" spans="1:16" x14ac:dyDescent="0.35">
      <c r="A4581" s="3" t="s">
        <v>6023</v>
      </c>
      <c r="B4581" s="3" t="s">
        <v>1142</v>
      </c>
      <c r="C4581" s="3" t="s">
        <v>37</v>
      </c>
      <c r="D4581" s="3" t="s">
        <v>58</v>
      </c>
      <c r="E4581" s="3" t="s">
        <v>176</v>
      </c>
      <c r="F4581" s="3" t="s">
        <v>177</v>
      </c>
      <c r="G4581" s="3" t="s">
        <v>51</v>
      </c>
      <c r="H4581" s="3" t="s">
        <v>77</v>
      </c>
      <c r="I4581" s="3" t="s">
        <v>2954</v>
      </c>
      <c r="J4581" s="3" t="s">
        <v>79</v>
      </c>
      <c r="K4581" s="3">
        <v>4</v>
      </c>
      <c r="L4581" s="3">
        <v>11742.42</v>
      </c>
      <c r="M4581" s="3">
        <v>46969.68</v>
      </c>
      <c r="N4581" s="3">
        <v>35788.959999999999</v>
      </c>
      <c r="O4581" s="3">
        <v>11180.72</v>
      </c>
      <c r="P4581" s="3" t="s">
        <v>26</v>
      </c>
    </row>
    <row r="4582" spans="1:16" x14ac:dyDescent="0.35">
      <c r="A4582" s="3" t="s">
        <v>6024</v>
      </c>
      <c r="B4582" s="3" t="s">
        <v>974</v>
      </c>
      <c r="C4582" s="3" t="s">
        <v>29</v>
      </c>
      <c r="D4582" s="3" t="s">
        <v>19</v>
      </c>
      <c r="E4582" s="3" t="s">
        <v>49</v>
      </c>
      <c r="F4582" s="3" t="s">
        <v>50</v>
      </c>
      <c r="G4582" s="3" t="s">
        <v>41</v>
      </c>
      <c r="H4582" s="3" t="s">
        <v>138</v>
      </c>
      <c r="I4582" s="3" t="s">
        <v>1571</v>
      </c>
      <c r="J4582" s="3" t="s">
        <v>171</v>
      </c>
      <c r="K4582" s="3">
        <v>7</v>
      </c>
      <c r="L4582" s="3">
        <v>16506.98</v>
      </c>
      <c r="M4582" s="3">
        <v>115548.86</v>
      </c>
      <c r="N4582" s="3">
        <v>94367.33</v>
      </c>
      <c r="O4582" s="3">
        <v>21181.53</v>
      </c>
      <c r="P4582" s="3" t="s">
        <v>26</v>
      </c>
    </row>
    <row r="4583" spans="1:16" x14ac:dyDescent="0.35">
      <c r="A4583" s="3" t="s">
        <v>6025</v>
      </c>
      <c r="B4583" s="3" t="s">
        <v>435</v>
      </c>
      <c r="C4583" s="3" t="s">
        <v>18</v>
      </c>
      <c r="D4583" s="3" t="s">
        <v>90</v>
      </c>
      <c r="E4583" s="3" t="s">
        <v>119</v>
      </c>
      <c r="F4583" s="3" t="s">
        <v>120</v>
      </c>
      <c r="G4583" s="3" t="s">
        <v>51</v>
      </c>
      <c r="H4583" s="3" t="s">
        <v>77</v>
      </c>
      <c r="I4583" s="3" t="s">
        <v>3227</v>
      </c>
      <c r="J4583" s="3" t="s">
        <v>54</v>
      </c>
      <c r="K4583" s="3">
        <v>3</v>
      </c>
      <c r="L4583" s="3">
        <v>11909.86</v>
      </c>
      <c r="M4583" s="3">
        <v>35729.58</v>
      </c>
      <c r="N4583" s="3">
        <v>25948.84</v>
      </c>
      <c r="O4583" s="3">
        <v>9780.74</v>
      </c>
      <c r="P4583" s="3" t="s">
        <v>34</v>
      </c>
    </row>
    <row r="4584" spans="1:16" x14ac:dyDescent="0.35">
      <c r="A4584" s="3" t="s">
        <v>6026</v>
      </c>
      <c r="B4584" s="3" t="s">
        <v>913</v>
      </c>
      <c r="C4584" s="3" t="s">
        <v>48</v>
      </c>
      <c r="D4584" s="3" t="s">
        <v>38</v>
      </c>
      <c r="E4584" s="3" t="s">
        <v>104</v>
      </c>
      <c r="F4584" s="3" t="s">
        <v>104</v>
      </c>
      <c r="G4584" s="3" t="s">
        <v>41</v>
      </c>
      <c r="H4584" s="3" t="s">
        <v>138</v>
      </c>
      <c r="I4584" s="3" t="s">
        <v>1870</v>
      </c>
      <c r="J4584" s="3" t="s">
        <v>100</v>
      </c>
      <c r="K4584" s="3">
        <v>1</v>
      </c>
      <c r="L4584" s="3">
        <v>16542.189999999999</v>
      </c>
      <c r="M4584" s="3">
        <v>16542.189999999999</v>
      </c>
      <c r="N4584" s="3">
        <v>14485.19</v>
      </c>
      <c r="O4584" s="3">
        <v>2057</v>
      </c>
      <c r="P4584" s="3" t="s">
        <v>45</v>
      </c>
    </row>
    <row r="4585" spans="1:16" x14ac:dyDescent="0.35">
      <c r="A4585" s="3" t="s">
        <v>6027</v>
      </c>
      <c r="B4585" s="3" t="s">
        <v>324</v>
      </c>
      <c r="C4585" s="3" t="s">
        <v>29</v>
      </c>
      <c r="D4585" s="3" t="s">
        <v>90</v>
      </c>
      <c r="E4585" s="3" t="s">
        <v>97</v>
      </c>
      <c r="F4585" s="3" t="s">
        <v>98</v>
      </c>
      <c r="G4585" s="3" t="s">
        <v>41</v>
      </c>
      <c r="H4585" s="3" t="s">
        <v>42</v>
      </c>
      <c r="I4585" s="3" t="s">
        <v>1389</v>
      </c>
      <c r="J4585" s="3" t="s">
        <v>171</v>
      </c>
      <c r="K4585" s="3">
        <v>4</v>
      </c>
      <c r="L4585" s="3">
        <v>44357.33</v>
      </c>
      <c r="M4585" s="3">
        <v>177429.32</v>
      </c>
      <c r="N4585" s="3">
        <v>139349.66</v>
      </c>
      <c r="O4585" s="3">
        <v>38079.660000000003</v>
      </c>
      <c r="P4585" s="3" t="s">
        <v>86</v>
      </c>
    </row>
    <row r="4586" spans="1:16" x14ac:dyDescent="0.35">
      <c r="A4586" s="3" t="s">
        <v>6028</v>
      </c>
      <c r="B4586" s="3" t="s">
        <v>1964</v>
      </c>
      <c r="C4586" s="3" t="s">
        <v>57</v>
      </c>
      <c r="D4586" s="3" t="s">
        <v>19</v>
      </c>
      <c r="E4586" s="3" t="s">
        <v>199</v>
      </c>
      <c r="F4586" s="3" t="s">
        <v>200</v>
      </c>
      <c r="G4586" s="3" t="s">
        <v>41</v>
      </c>
      <c r="H4586" s="3" t="s">
        <v>138</v>
      </c>
      <c r="I4586" s="3" t="s">
        <v>1817</v>
      </c>
      <c r="J4586" s="3" t="s">
        <v>100</v>
      </c>
      <c r="K4586" s="3">
        <v>2</v>
      </c>
      <c r="L4586" s="3">
        <v>19018.8</v>
      </c>
      <c r="M4586" s="3">
        <v>38037.599999999999</v>
      </c>
      <c r="N4586" s="3">
        <v>26900.13</v>
      </c>
      <c r="O4586" s="3">
        <v>11137.47</v>
      </c>
      <c r="P4586" s="3" t="s">
        <v>34</v>
      </c>
    </row>
    <row r="4587" spans="1:16" x14ac:dyDescent="0.35">
      <c r="A4587" s="3" t="s">
        <v>6029</v>
      </c>
      <c r="B4587" s="3" t="s">
        <v>702</v>
      </c>
      <c r="C4587" s="3" t="s">
        <v>57</v>
      </c>
      <c r="D4587" s="3" t="s">
        <v>19</v>
      </c>
      <c r="E4587" s="3" t="s">
        <v>199</v>
      </c>
      <c r="F4587" s="3" t="s">
        <v>200</v>
      </c>
      <c r="G4587" s="3" t="s">
        <v>41</v>
      </c>
      <c r="H4587" s="3" t="s">
        <v>61</v>
      </c>
      <c r="I4587" s="3" t="s">
        <v>1334</v>
      </c>
      <c r="J4587" s="3" t="s">
        <v>25</v>
      </c>
      <c r="K4587" s="3">
        <v>6</v>
      </c>
      <c r="L4587" s="3">
        <v>2364.25</v>
      </c>
      <c r="M4587" s="3">
        <v>14185.5</v>
      </c>
      <c r="N4587" s="3">
        <v>9675.58</v>
      </c>
      <c r="O4587" s="3">
        <v>4509.92</v>
      </c>
      <c r="P4587" s="3" t="s">
        <v>86</v>
      </c>
    </row>
    <row r="4588" spans="1:16" x14ac:dyDescent="0.35">
      <c r="A4588" s="3" t="s">
        <v>6030</v>
      </c>
      <c r="B4588" s="3" t="s">
        <v>832</v>
      </c>
      <c r="C4588" s="3" t="s">
        <v>72</v>
      </c>
      <c r="D4588" s="3" t="s">
        <v>90</v>
      </c>
      <c r="E4588" s="3" t="s">
        <v>119</v>
      </c>
      <c r="F4588" s="3" t="s">
        <v>120</v>
      </c>
      <c r="G4588" s="3" t="s">
        <v>41</v>
      </c>
      <c r="H4588" s="3" t="s">
        <v>61</v>
      </c>
      <c r="I4588" s="3" t="s">
        <v>3783</v>
      </c>
      <c r="J4588" s="3" t="s">
        <v>44</v>
      </c>
      <c r="K4588" s="3">
        <v>1</v>
      </c>
      <c r="L4588" s="3">
        <v>2432.36</v>
      </c>
      <c r="M4588" s="3">
        <v>2432.36</v>
      </c>
      <c r="N4588" s="3">
        <v>1543.08</v>
      </c>
      <c r="O4588" s="3">
        <v>889.28</v>
      </c>
      <c r="P4588" s="3" t="s">
        <v>45</v>
      </c>
    </row>
    <row r="4589" spans="1:16" x14ac:dyDescent="0.35">
      <c r="A4589" s="3" t="s">
        <v>6031</v>
      </c>
      <c r="B4589" s="3" t="s">
        <v>580</v>
      </c>
      <c r="C4589" s="3" t="s">
        <v>57</v>
      </c>
      <c r="D4589" s="3" t="s">
        <v>90</v>
      </c>
      <c r="E4589" s="3" t="s">
        <v>97</v>
      </c>
      <c r="F4589" s="3" t="s">
        <v>98</v>
      </c>
      <c r="G4589" s="3" t="s">
        <v>51</v>
      </c>
      <c r="H4589" s="3" t="s">
        <v>145</v>
      </c>
      <c r="I4589" s="3" t="s">
        <v>2213</v>
      </c>
      <c r="J4589" s="3" t="s">
        <v>171</v>
      </c>
      <c r="K4589" s="3">
        <v>7</v>
      </c>
      <c r="L4589" s="3">
        <v>124.21</v>
      </c>
      <c r="M4589" s="3">
        <v>869.47</v>
      </c>
      <c r="N4589" s="3">
        <v>440.09</v>
      </c>
      <c r="O4589" s="3">
        <v>429.38</v>
      </c>
      <c r="P4589" s="3" t="s">
        <v>34</v>
      </c>
    </row>
    <row r="4590" spans="1:16" x14ac:dyDescent="0.35">
      <c r="A4590" s="3" t="s">
        <v>6032</v>
      </c>
      <c r="B4590" s="3" t="s">
        <v>407</v>
      </c>
      <c r="C4590" s="3" t="s">
        <v>48</v>
      </c>
      <c r="D4590" s="3" t="s">
        <v>58</v>
      </c>
      <c r="E4590" s="3" t="s">
        <v>59</v>
      </c>
      <c r="F4590" s="3" t="s">
        <v>60</v>
      </c>
      <c r="G4590" s="3" t="s">
        <v>51</v>
      </c>
      <c r="H4590" s="3" t="s">
        <v>52</v>
      </c>
      <c r="I4590" s="3" t="s">
        <v>2960</v>
      </c>
      <c r="J4590" s="3" t="s">
        <v>161</v>
      </c>
      <c r="K4590" s="3">
        <v>3</v>
      </c>
      <c r="L4590" s="3">
        <v>26.07</v>
      </c>
      <c r="M4590" s="3">
        <v>78.209999999999994</v>
      </c>
      <c r="N4590" s="3">
        <v>31.02</v>
      </c>
      <c r="O4590" s="3">
        <v>47.19</v>
      </c>
      <c r="P4590" s="3" t="s">
        <v>34</v>
      </c>
    </row>
    <row r="4591" spans="1:16" x14ac:dyDescent="0.35">
      <c r="A4591" s="3" t="s">
        <v>6033</v>
      </c>
      <c r="B4591" s="3" t="s">
        <v>36</v>
      </c>
      <c r="C4591" s="3" t="s">
        <v>37</v>
      </c>
      <c r="D4591" s="3" t="s">
        <v>90</v>
      </c>
      <c r="E4591" s="3" t="s">
        <v>97</v>
      </c>
      <c r="F4591" s="3" t="s">
        <v>98</v>
      </c>
      <c r="G4591" s="3" t="s">
        <v>51</v>
      </c>
      <c r="H4591" s="3" t="s">
        <v>52</v>
      </c>
      <c r="I4591" s="3" t="s">
        <v>1523</v>
      </c>
      <c r="J4591" s="3" t="s">
        <v>33</v>
      </c>
      <c r="K4591" s="3">
        <v>3</v>
      </c>
      <c r="L4591" s="3">
        <v>26.83</v>
      </c>
      <c r="M4591" s="3">
        <v>80.489999999999995</v>
      </c>
      <c r="N4591" s="3">
        <v>30.8</v>
      </c>
      <c r="O4591" s="3">
        <v>49.69</v>
      </c>
      <c r="P4591" s="3" t="s">
        <v>86</v>
      </c>
    </row>
    <row r="4592" spans="1:16" x14ac:dyDescent="0.35">
      <c r="A4592" s="3" t="s">
        <v>6034</v>
      </c>
      <c r="B4592" s="3" t="s">
        <v>488</v>
      </c>
      <c r="C4592" s="3" t="s">
        <v>29</v>
      </c>
      <c r="D4592" s="3" t="s">
        <v>19</v>
      </c>
      <c r="E4592" s="3" t="s">
        <v>49</v>
      </c>
      <c r="F4592" s="3" t="s">
        <v>50</v>
      </c>
      <c r="G4592" s="3" t="s">
        <v>41</v>
      </c>
      <c r="H4592" s="3" t="s">
        <v>42</v>
      </c>
      <c r="I4592" s="3" t="s">
        <v>1784</v>
      </c>
      <c r="J4592" s="3" t="s">
        <v>79</v>
      </c>
      <c r="K4592" s="3">
        <v>6</v>
      </c>
      <c r="L4592" s="3">
        <v>45709.599999999999</v>
      </c>
      <c r="M4592" s="3">
        <v>274257.59999999998</v>
      </c>
      <c r="N4592" s="3">
        <v>213189.03</v>
      </c>
      <c r="O4592" s="3">
        <v>61068.57</v>
      </c>
      <c r="P4592" s="3" t="s">
        <v>34</v>
      </c>
    </row>
    <row r="4593" spans="1:16" x14ac:dyDescent="0.35">
      <c r="A4593" s="3" t="s">
        <v>6035</v>
      </c>
      <c r="B4593" s="3" t="s">
        <v>126</v>
      </c>
      <c r="C4593" s="3" t="s">
        <v>103</v>
      </c>
      <c r="D4593" s="3" t="s">
        <v>38</v>
      </c>
      <c r="E4593" s="3" t="s">
        <v>39</v>
      </c>
      <c r="F4593" s="3" t="s">
        <v>40</v>
      </c>
      <c r="G4593" s="3" t="s">
        <v>22</v>
      </c>
      <c r="H4593" s="3" t="s">
        <v>23</v>
      </c>
      <c r="I4593" s="3" t="s">
        <v>627</v>
      </c>
      <c r="J4593" s="3" t="s">
        <v>33</v>
      </c>
      <c r="K4593" s="3">
        <v>3</v>
      </c>
      <c r="L4593" s="3">
        <v>3721.9</v>
      </c>
      <c r="M4593" s="3">
        <v>11165.7</v>
      </c>
      <c r="N4593" s="3">
        <v>6646.38</v>
      </c>
      <c r="O4593" s="3">
        <v>4519.32</v>
      </c>
      <c r="P4593" s="3" t="s">
        <v>34</v>
      </c>
    </row>
    <row r="4594" spans="1:16" x14ac:dyDescent="0.35">
      <c r="A4594" s="3" t="s">
        <v>6036</v>
      </c>
      <c r="B4594" s="3" t="s">
        <v>565</v>
      </c>
      <c r="C4594" s="3" t="s">
        <v>137</v>
      </c>
      <c r="D4594" s="3" t="s">
        <v>58</v>
      </c>
      <c r="E4594" s="3" t="s">
        <v>59</v>
      </c>
      <c r="F4594" s="3" t="s">
        <v>60</v>
      </c>
      <c r="G4594" s="3" t="s">
        <v>41</v>
      </c>
      <c r="H4594" s="3" t="s">
        <v>138</v>
      </c>
      <c r="I4594" s="3" t="s">
        <v>869</v>
      </c>
      <c r="J4594" s="3" t="s">
        <v>161</v>
      </c>
      <c r="K4594" s="3">
        <v>4</v>
      </c>
      <c r="L4594" s="3">
        <v>17659.490000000002</v>
      </c>
      <c r="M4594" s="3">
        <v>70637.960000000006</v>
      </c>
      <c r="N4594" s="3">
        <v>55005.18</v>
      </c>
      <c r="O4594" s="3">
        <v>15632.78</v>
      </c>
      <c r="P4594" s="3" t="s">
        <v>26</v>
      </c>
    </row>
    <row r="4595" spans="1:16" x14ac:dyDescent="0.35">
      <c r="A4595" s="3" t="s">
        <v>6037</v>
      </c>
      <c r="B4595" s="3" t="s">
        <v>302</v>
      </c>
      <c r="C4595" s="3" t="s">
        <v>103</v>
      </c>
      <c r="D4595" s="3" t="s">
        <v>58</v>
      </c>
      <c r="E4595" s="3" t="s">
        <v>176</v>
      </c>
      <c r="F4595" s="3" t="s">
        <v>177</v>
      </c>
      <c r="G4595" s="3" t="s">
        <v>30</v>
      </c>
      <c r="H4595" s="3" t="s">
        <v>31</v>
      </c>
      <c r="I4595" s="3" t="s">
        <v>647</v>
      </c>
      <c r="J4595" s="3" t="s">
        <v>44</v>
      </c>
      <c r="K4595" s="3">
        <v>5</v>
      </c>
      <c r="L4595" s="3">
        <v>2626.13</v>
      </c>
      <c r="M4595" s="3">
        <v>13130.65</v>
      </c>
      <c r="N4595" s="3">
        <v>9537.6200000000008</v>
      </c>
      <c r="O4595" s="3">
        <v>3593.03</v>
      </c>
      <c r="P4595" s="3" t="s">
        <v>26</v>
      </c>
    </row>
    <row r="4596" spans="1:16" x14ac:dyDescent="0.35">
      <c r="A4596" s="3" t="s">
        <v>6038</v>
      </c>
      <c r="B4596" s="3" t="s">
        <v>819</v>
      </c>
      <c r="C4596" s="3" t="s">
        <v>89</v>
      </c>
      <c r="D4596" s="3" t="s">
        <v>90</v>
      </c>
      <c r="E4596" s="3" t="s">
        <v>91</v>
      </c>
      <c r="F4596" s="3" t="s">
        <v>92</v>
      </c>
      <c r="G4596" s="3" t="s">
        <v>30</v>
      </c>
      <c r="H4596" s="3" t="s">
        <v>73</v>
      </c>
      <c r="I4596" s="3" t="s">
        <v>729</v>
      </c>
      <c r="J4596" s="3" t="s">
        <v>106</v>
      </c>
      <c r="K4596" s="3">
        <v>4</v>
      </c>
      <c r="L4596" s="3">
        <v>3412.68</v>
      </c>
      <c r="M4596" s="3">
        <v>13650.72</v>
      </c>
      <c r="N4596" s="3">
        <v>9735.0499999999993</v>
      </c>
      <c r="O4596" s="3">
        <v>3915.67</v>
      </c>
      <c r="P4596" s="3" t="s">
        <v>69</v>
      </c>
    </row>
    <row r="4597" spans="1:16" x14ac:dyDescent="0.35">
      <c r="A4597" s="3" t="s">
        <v>6039</v>
      </c>
      <c r="B4597" s="3" t="s">
        <v>911</v>
      </c>
      <c r="C4597" s="3" t="s">
        <v>72</v>
      </c>
      <c r="D4597" s="3" t="s">
        <v>19</v>
      </c>
      <c r="E4597" s="3" t="s">
        <v>199</v>
      </c>
      <c r="F4597" s="3" t="s">
        <v>200</v>
      </c>
      <c r="G4597" s="3" t="s">
        <v>22</v>
      </c>
      <c r="H4597" s="3" t="s">
        <v>83</v>
      </c>
      <c r="I4597" s="3" t="s">
        <v>4873</v>
      </c>
      <c r="J4597" s="3" t="s">
        <v>85</v>
      </c>
      <c r="K4597" s="3">
        <v>3</v>
      </c>
      <c r="L4597" s="3">
        <v>21253.49</v>
      </c>
      <c r="M4597" s="3">
        <v>63760.47</v>
      </c>
      <c r="N4597" s="3">
        <v>50435.74</v>
      </c>
      <c r="O4597" s="3">
        <v>13324.73</v>
      </c>
      <c r="P4597" s="3" t="s">
        <v>34</v>
      </c>
    </row>
    <row r="4598" spans="1:16" x14ac:dyDescent="0.35">
      <c r="A4598" s="3" t="s">
        <v>6040</v>
      </c>
      <c r="B4598" s="3" t="s">
        <v>690</v>
      </c>
      <c r="C4598" s="3" t="s">
        <v>82</v>
      </c>
      <c r="D4598" s="3" t="s">
        <v>58</v>
      </c>
      <c r="E4598" s="3" t="s">
        <v>65</v>
      </c>
      <c r="F4598" s="3" t="s">
        <v>66</v>
      </c>
      <c r="G4598" s="3" t="s">
        <v>41</v>
      </c>
      <c r="H4598" s="3" t="s">
        <v>61</v>
      </c>
      <c r="I4598" s="3" t="s">
        <v>1258</v>
      </c>
      <c r="J4598" s="3" t="s">
        <v>33</v>
      </c>
      <c r="K4598" s="3">
        <v>2</v>
      </c>
      <c r="L4598" s="3">
        <v>2748.01</v>
      </c>
      <c r="M4598" s="3">
        <v>5496.02</v>
      </c>
      <c r="N4598" s="3">
        <v>3337.77</v>
      </c>
      <c r="O4598" s="3">
        <v>2158.25</v>
      </c>
      <c r="P4598" s="3" t="s">
        <v>69</v>
      </c>
    </row>
    <row r="4599" spans="1:16" x14ac:dyDescent="0.35">
      <c r="A4599" s="3" t="s">
        <v>6041</v>
      </c>
      <c r="B4599" s="3" t="s">
        <v>276</v>
      </c>
      <c r="C4599" s="3" t="s">
        <v>114</v>
      </c>
      <c r="D4599" s="3" t="s">
        <v>19</v>
      </c>
      <c r="E4599" s="3" t="s">
        <v>49</v>
      </c>
      <c r="F4599" s="3" t="s">
        <v>50</v>
      </c>
      <c r="G4599" s="3" t="s">
        <v>30</v>
      </c>
      <c r="H4599" s="3" t="s">
        <v>73</v>
      </c>
      <c r="I4599" s="3" t="s">
        <v>1587</v>
      </c>
      <c r="J4599" s="3" t="s">
        <v>106</v>
      </c>
      <c r="K4599" s="3">
        <v>1</v>
      </c>
      <c r="L4599" s="3">
        <v>3351.65</v>
      </c>
      <c r="M4599" s="3">
        <v>3351.65</v>
      </c>
      <c r="N4599" s="3">
        <v>2498.4499999999998</v>
      </c>
      <c r="O4599" s="3">
        <v>853.2</v>
      </c>
      <c r="P4599" s="3" t="s">
        <v>26</v>
      </c>
    </row>
    <row r="4600" spans="1:16" x14ac:dyDescent="0.35">
      <c r="A4600" s="3" t="s">
        <v>6042</v>
      </c>
      <c r="B4600" s="3" t="s">
        <v>1322</v>
      </c>
      <c r="C4600" s="3" t="s">
        <v>72</v>
      </c>
      <c r="D4600" s="3" t="s">
        <v>38</v>
      </c>
      <c r="E4600" s="3" t="s">
        <v>109</v>
      </c>
      <c r="F4600" s="3" t="s">
        <v>110</v>
      </c>
      <c r="G4600" s="3" t="s">
        <v>51</v>
      </c>
      <c r="H4600" s="3" t="s">
        <v>77</v>
      </c>
      <c r="I4600" s="3" t="s">
        <v>3359</v>
      </c>
      <c r="J4600" s="3" t="s">
        <v>131</v>
      </c>
      <c r="K4600" s="3">
        <v>7</v>
      </c>
      <c r="L4600" s="3">
        <v>12353.53</v>
      </c>
      <c r="M4600" s="3">
        <v>86474.71</v>
      </c>
      <c r="N4600" s="3">
        <v>60313.15</v>
      </c>
      <c r="O4600" s="3">
        <v>26161.56</v>
      </c>
      <c r="P4600" s="3" t="s">
        <v>69</v>
      </c>
    </row>
    <row r="4601" spans="1:16" x14ac:dyDescent="0.35">
      <c r="A4601" s="3" t="s">
        <v>6043</v>
      </c>
      <c r="B4601" s="3" t="s">
        <v>1823</v>
      </c>
      <c r="C4601" s="3" t="s">
        <v>118</v>
      </c>
      <c r="D4601" s="3" t="s">
        <v>90</v>
      </c>
      <c r="E4601" s="3" t="s">
        <v>97</v>
      </c>
      <c r="F4601" s="3" t="s">
        <v>98</v>
      </c>
      <c r="G4601" s="3" t="s">
        <v>41</v>
      </c>
      <c r="H4601" s="3" t="s">
        <v>61</v>
      </c>
      <c r="I4601" s="3" t="s">
        <v>3904</v>
      </c>
      <c r="J4601" s="3" t="s">
        <v>106</v>
      </c>
      <c r="K4601" s="3">
        <v>4</v>
      </c>
      <c r="L4601" s="3">
        <v>2628.85</v>
      </c>
      <c r="M4601" s="3">
        <v>10515.4</v>
      </c>
      <c r="N4601" s="3">
        <v>6150.4</v>
      </c>
      <c r="O4601" s="3">
        <v>4365</v>
      </c>
      <c r="P4601" s="3" t="s">
        <v>26</v>
      </c>
    </row>
    <row r="4602" spans="1:16" x14ac:dyDescent="0.35">
      <c r="A4602" s="3" t="s">
        <v>6044</v>
      </c>
      <c r="B4602" s="3" t="s">
        <v>1383</v>
      </c>
      <c r="C4602" s="3" t="s">
        <v>18</v>
      </c>
      <c r="D4602" s="3" t="s">
        <v>38</v>
      </c>
      <c r="E4602" s="3" t="s">
        <v>109</v>
      </c>
      <c r="F4602" s="3" t="s">
        <v>110</v>
      </c>
      <c r="G4602" s="3" t="s">
        <v>51</v>
      </c>
      <c r="H4602" s="3" t="s">
        <v>145</v>
      </c>
      <c r="I4602" s="3" t="s">
        <v>1015</v>
      </c>
      <c r="J4602" s="3" t="s">
        <v>79</v>
      </c>
      <c r="K4602" s="3">
        <v>7</v>
      </c>
      <c r="L4602" s="3">
        <v>127.65</v>
      </c>
      <c r="M4602" s="3">
        <v>893.55</v>
      </c>
      <c r="N4602" s="3">
        <v>411.74</v>
      </c>
      <c r="O4602" s="3">
        <v>481.81</v>
      </c>
      <c r="P4602" s="3" t="s">
        <v>86</v>
      </c>
    </row>
    <row r="4603" spans="1:16" x14ac:dyDescent="0.35">
      <c r="A4603" s="3" t="s">
        <v>6045</v>
      </c>
      <c r="B4603" s="3" t="s">
        <v>327</v>
      </c>
      <c r="C4603" s="3" t="s">
        <v>48</v>
      </c>
      <c r="D4603" s="3" t="s">
        <v>58</v>
      </c>
      <c r="E4603" s="3" t="s">
        <v>176</v>
      </c>
      <c r="F4603" s="3" t="s">
        <v>177</v>
      </c>
      <c r="G4603" s="3" t="s">
        <v>30</v>
      </c>
      <c r="H4603" s="3" t="s">
        <v>73</v>
      </c>
      <c r="I4603" s="3" t="s">
        <v>1469</v>
      </c>
      <c r="J4603" s="3" t="s">
        <v>106</v>
      </c>
      <c r="K4603" s="3">
        <v>1</v>
      </c>
      <c r="L4603" s="3">
        <v>3489.2</v>
      </c>
      <c r="M4603" s="3">
        <v>3489.2</v>
      </c>
      <c r="N4603" s="3">
        <v>2344.29</v>
      </c>
      <c r="O4603" s="3">
        <v>1144.9100000000001</v>
      </c>
      <c r="P4603" s="3" t="s">
        <v>45</v>
      </c>
    </row>
    <row r="4604" spans="1:16" x14ac:dyDescent="0.35">
      <c r="A4604" s="3" t="s">
        <v>6046</v>
      </c>
      <c r="B4604" s="3" t="s">
        <v>1761</v>
      </c>
      <c r="C4604" s="3" t="s">
        <v>72</v>
      </c>
      <c r="D4604" s="3" t="s">
        <v>38</v>
      </c>
      <c r="E4604" s="3" t="s">
        <v>109</v>
      </c>
      <c r="F4604" s="3" t="s">
        <v>110</v>
      </c>
      <c r="G4604" s="3" t="s">
        <v>30</v>
      </c>
      <c r="H4604" s="3" t="s">
        <v>31</v>
      </c>
      <c r="I4604" s="3" t="s">
        <v>280</v>
      </c>
      <c r="J4604" s="3" t="s">
        <v>161</v>
      </c>
      <c r="K4604" s="3">
        <v>2</v>
      </c>
      <c r="L4604" s="3">
        <v>2549.0700000000002</v>
      </c>
      <c r="M4604" s="3">
        <v>5098.1400000000003</v>
      </c>
      <c r="N4604" s="3">
        <v>3784.27</v>
      </c>
      <c r="O4604" s="3">
        <v>1313.87</v>
      </c>
      <c r="P4604" s="3" t="s">
        <v>86</v>
      </c>
    </row>
    <row r="4605" spans="1:16" x14ac:dyDescent="0.35">
      <c r="A4605" s="3" t="s">
        <v>6047</v>
      </c>
      <c r="B4605" s="3" t="s">
        <v>690</v>
      </c>
      <c r="C4605" s="3" t="s">
        <v>82</v>
      </c>
      <c r="D4605" s="3" t="s">
        <v>19</v>
      </c>
      <c r="E4605" s="3" t="s">
        <v>49</v>
      </c>
      <c r="F4605" s="3" t="s">
        <v>50</v>
      </c>
      <c r="G4605" s="3" t="s">
        <v>51</v>
      </c>
      <c r="H4605" s="3" t="s">
        <v>77</v>
      </c>
      <c r="I4605" s="3" t="s">
        <v>1929</v>
      </c>
      <c r="J4605" s="3" t="s">
        <v>131</v>
      </c>
      <c r="K4605" s="3">
        <v>8</v>
      </c>
      <c r="L4605" s="3">
        <v>12866.72</v>
      </c>
      <c r="M4605" s="3">
        <v>102933.75999999999</v>
      </c>
      <c r="N4605" s="3">
        <v>73542.12</v>
      </c>
      <c r="O4605" s="3">
        <v>29391.64</v>
      </c>
      <c r="P4605" s="3" t="s">
        <v>86</v>
      </c>
    </row>
    <row r="4606" spans="1:16" x14ac:dyDescent="0.35">
      <c r="A4606" s="3" t="s">
        <v>6048</v>
      </c>
      <c r="B4606" s="3" t="s">
        <v>699</v>
      </c>
      <c r="C4606" s="3" t="s">
        <v>137</v>
      </c>
      <c r="D4606" s="3" t="s">
        <v>58</v>
      </c>
      <c r="E4606" s="3" t="s">
        <v>65</v>
      </c>
      <c r="F4606" s="3" t="s">
        <v>66</v>
      </c>
      <c r="G4606" s="3" t="s">
        <v>51</v>
      </c>
      <c r="H4606" s="3" t="s">
        <v>145</v>
      </c>
      <c r="I4606" s="3" t="s">
        <v>1532</v>
      </c>
      <c r="J4606" s="3" t="s">
        <v>161</v>
      </c>
      <c r="K4606" s="3">
        <v>2</v>
      </c>
      <c r="L4606" s="3">
        <v>128.82</v>
      </c>
      <c r="M4606" s="3">
        <v>257.64</v>
      </c>
      <c r="N4606" s="3">
        <v>117.27</v>
      </c>
      <c r="O4606" s="3">
        <v>140.37</v>
      </c>
      <c r="P4606" s="3" t="s">
        <v>45</v>
      </c>
    </row>
    <row r="4607" spans="1:16" x14ac:dyDescent="0.35">
      <c r="A4607" s="3" t="s">
        <v>6049</v>
      </c>
      <c r="B4607" s="3" t="s">
        <v>1314</v>
      </c>
      <c r="C4607" s="3" t="s">
        <v>48</v>
      </c>
      <c r="D4607" s="3" t="s">
        <v>38</v>
      </c>
      <c r="E4607" s="3" t="s">
        <v>109</v>
      </c>
      <c r="F4607" s="3" t="s">
        <v>110</v>
      </c>
      <c r="G4607" s="3" t="s">
        <v>41</v>
      </c>
      <c r="H4607" s="3" t="s">
        <v>42</v>
      </c>
      <c r="I4607" s="3" t="s">
        <v>2422</v>
      </c>
      <c r="J4607" s="3" t="s">
        <v>171</v>
      </c>
      <c r="K4607" s="3">
        <v>5</v>
      </c>
      <c r="L4607" s="3">
        <v>47577.53</v>
      </c>
      <c r="M4607" s="3">
        <v>237887.65</v>
      </c>
      <c r="N4607" s="3">
        <v>182989.86</v>
      </c>
      <c r="O4607" s="3">
        <v>54897.79</v>
      </c>
      <c r="P4607" s="3" t="s">
        <v>86</v>
      </c>
    </row>
    <row r="4608" spans="1:16" x14ac:dyDescent="0.35">
      <c r="A4608" s="3" t="s">
        <v>6050</v>
      </c>
      <c r="B4608" s="3" t="s">
        <v>294</v>
      </c>
      <c r="C4608" s="3" t="s">
        <v>103</v>
      </c>
      <c r="D4608" s="3" t="s">
        <v>19</v>
      </c>
      <c r="E4608" s="3" t="s">
        <v>49</v>
      </c>
      <c r="F4608" s="3" t="s">
        <v>50</v>
      </c>
      <c r="G4608" s="3" t="s">
        <v>22</v>
      </c>
      <c r="H4608" s="3" t="s">
        <v>93</v>
      </c>
      <c r="I4608" s="3" t="s">
        <v>456</v>
      </c>
      <c r="J4608" s="3" t="s">
        <v>54</v>
      </c>
      <c r="K4608" s="3">
        <v>3</v>
      </c>
      <c r="L4608" s="3">
        <v>7098.04</v>
      </c>
      <c r="M4608" s="3">
        <v>21294.12</v>
      </c>
      <c r="N4608" s="3">
        <v>14430.55</v>
      </c>
      <c r="O4608" s="3">
        <v>6863.57</v>
      </c>
      <c r="P4608" s="3" t="s">
        <v>45</v>
      </c>
    </row>
    <row r="4609" spans="1:16" x14ac:dyDescent="0.35">
      <c r="A4609" s="3" t="s">
        <v>6051</v>
      </c>
      <c r="B4609" s="3" t="s">
        <v>1567</v>
      </c>
      <c r="C4609" s="3" t="s">
        <v>82</v>
      </c>
      <c r="D4609" s="3" t="s">
        <v>19</v>
      </c>
      <c r="E4609" s="3" t="s">
        <v>20</v>
      </c>
      <c r="F4609" s="3" t="s">
        <v>21</v>
      </c>
      <c r="G4609" s="3" t="s">
        <v>51</v>
      </c>
      <c r="H4609" s="3" t="s">
        <v>77</v>
      </c>
      <c r="I4609" s="3" t="s">
        <v>216</v>
      </c>
      <c r="J4609" s="3" t="s">
        <v>161</v>
      </c>
      <c r="K4609" s="3">
        <v>2</v>
      </c>
      <c r="L4609" s="3">
        <v>11041.8</v>
      </c>
      <c r="M4609" s="3">
        <v>22083.599999999999</v>
      </c>
      <c r="N4609" s="3">
        <v>17162.09</v>
      </c>
      <c r="O4609" s="3">
        <v>4921.51</v>
      </c>
      <c r="P4609" s="3" t="s">
        <v>69</v>
      </c>
    </row>
    <row r="4610" spans="1:16" x14ac:dyDescent="0.35">
      <c r="A4610" s="3" t="s">
        <v>6052</v>
      </c>
      <c r="B4610" s="3" t="s">
        <v>669</v>
      </c>
      <c r="C4610" s="3" t="s">
        <v>57</v>
      </c>
      <c r="D4610" s="3" t="s">
        <v>19</v>
      </c>
      <c r="E4610" s="3" t="s">
        <v>20</v>
      </c>
      <c r="F4610" s="3" t="s">
        <v>21</v>
      </c>
      <c r="G4610" s="3" t="s">
        <v>30</v>
      </c>
      <c r="H4610" s="3" t="s">
        <v>73</v>
      </c>
      <c r="I4610" s="3" t="s">
        <v>425</v>
      </c>
      <c r="J4610" s="3" t="s">
        <v>147</v>
      </c>
      <c r="K4610" s="3">
        <v>3</v>
      </c>
      <c r="L4610" s="3">
        <v>3028.92</v>
      </c>
      <c r="M4610" s="3">
        <v>9086.76</v>
      </c>
      <c r="N4610" s="3">
        <v>7104.27</v>
      </c>
      <c r="O4610" s="3">
        <v>1982.49</v>
      </c>
      <c r="P4610" s="3" t="s">
        <v>86</v>
      </c>
    </row>
    <row r="4611" spans="1:16" x14ac:dyDescent="0.35">
      <c r="A4611" s="3" t="s">
        <v>6053</v>
      </c>
      <c r="B4611" s="3" t="s">
        <v>265</v>
      </c>
      <c r="C4611" s="3" t="s">
        <v>37</v>
      </c>
      <c r="D4611" s="3" t="s">
        <v>38</v>
      </c>
      <c r="E4611" s="3" t="s">
        <v>39</v>
      </c>
      <c r="F4611" s="3" t="s">
        <v>40</v>
      </c>
      <c r="G4611" s="3" t="s">
        <v>30</v>
      </c>
      <c r="H4611" s="3" t="s">
        <v>73</v>
      </c>
      <c r="I4611" s="3" t="s">
        <v>975</v>
      </c>
      <c r="J4611" s="3" t="s">
        <v>54</v>
      </c>
      <c r="K4611" s="3">
        <v>3</v>
      </c>
      <c r="L4611" s="3">
        <v>3139.92</v>
      </c>
      <c r="M4611" s="3">
        <v>9419.76</v>
      </c>
      <c r="N4611" s="3">
        <v>6948.05</v>
      </c>
      <c r="O4611" s="3">
        <v>2471.71</v>
      </c>
      <c r="P4611" s="3" t="s">
        <v>45</v>
      </c>
    </row>
    <row r="4612" spans="1:16" x14ac:dyDescent="0.35">
      <c r="A4612" s="3" t="s">
        <v>6054</v>
      </c>
      <c r="B4612" s="3" t="s">
        <v>779</v>
      </c>
      <c r="C4612" s="3" t="s">
        <v>114</v>
      </c>
      <c r="D4612" s="3" t="s">
        <v>90</v>
      </c>
      <c r="E4612" s="3" t="s">
        <v>119</v>
      </c>
      <c r="F4612" s="3" t="s">
        <v>120</v>
      </c>
      <c r="G4612" s="3" t="s">
        <v>30</v>
      </c>
      <c r="H4612" s="3" t="s">
        <v>73</v>
      </c>
      <c r="I4612" s="3" t="s">
        <v>838</v>
      </c>
      <c r="J4612" s="3" t="s">
        <v>131</v>
      </c>
      <c r="K4612" s="3">
        <v>2</v>
      </c>
      <c r="L4612" s="3">
        <v>3245.71</v>
      </c>
      <c r="M4612" s="3">
        <v>6491.42</v>
      </c>
      <c r="N4612" s="3">
        <v>4610.45</v>
      </c>
      <c r="O4612" s="3">
        <v>1880.97</v>
      </c>
      <c r="P4612" s="3" t="s">
        <v>34</v>
      </c>
    </row>
    <row r="4613" spans="1:16" x14ac:dyDescent="0.35">
      <c r="A4613" s="3" t="s">
        <v>6055</v>
      </c>
      <c r="B4613" s="3" t="s">
        <v>814</v>
      </c>
      <c r="C4613" s="3" t="s">
        <v>103</v>
      </c>
      <c r="D4613" s="3" t="s">
        <v>19</v>
      </c>
      <c r="E4613" s="3" t="s">
        <v>199</v>
      </c>
      <c r="F4613" s="3" t="s">
        <v>200</v>
      </c>
      <c r="G4613" s="3" t="s">
        <v>30</v>
      </c>
      <c r="H4613" s="3" t="s">
        <v>31</v>
      </c>
      <c r="I4613" s="3" t="s">
        <v>493</v>
      </c>
      <c r="J4613" s="3" t="s">
        <v>188</v>
      </c>
      <c r="K4613" s="3">
        <v>1</v>
      </c>
      <c r="L4613" s="3">
        <v>2816.22</v>
      </c>
      <c r="M4613" s="3">
        <v>2816.22</v>
      </c>
      <c r="N4613" s="3">
        <v>1828.55</v>
      </c>
      <c r="O4613" s="3">
        <v>987.67</v>
      </c>
      <c r="P4613" s="3" t="s">
        <v>45</v>
      </c>
    </row>
    <row r="4614" spans="1:16" x14ac:dyDescent="0.35">
      <c r="A4614" s="3" t="s">
        <v>6056</v>
      </c>
      <c r="B4614" s="3" t="s">
        <v>260</v>
      </c>
      <c r="C4614" s="3" t="s">
        <v>37</v>
      </c>
      <c r="D4614" s="3" t="s">
        <v>90</v>
      </c>
      <c r="E4614" s="3" t="s">
        <v>91</v>
      </c>
      <c r="F4614" s="3" t="s">
        <v>92</v>
      </c>
      <c r="G4614" s="3" t="s">
        <v>30</v>
      </c>
      <c r="H4614" s="3" t="s">
        <v>31</v>
      </c>
      <c r="I4614" s="3" t="s">
        <v>783</v>
      </c>
      <c r="J4614" s="3" t="s">
        <v>44</v>
      </c>
      <c r="K4614" s="3">
        <v>7</v>
      </c>
      <c r="L4614" s="3">
        <v>2626.52</v>
      </c>
      <c r="M4614" s="3">
        <v>18385.64</v>
      </c>
      <c r="N4614" s="3">
        <v>13552.21</v>
      </c>
      <c r="O4614" s="3">
        <v>4833.43</v>
      </c>
      <c r="P4614" s="3" t="s">
        <v>69</v>
      </c>
    </row>
    <row r="4615" spans="1:16" x14ac:dyDescent="0.35">
      <c r="A4615" s="3" t="s">
        <v>6057</v>
      </c>
      <c r="B4615" s="3" t="s">
        <v>760</v>
      </c>
      <c r="C4615" s="3" t="s">
        <v>114</v>
      </c>
      <c r="D4615" s="3" t="s">
        <v>19</v>
      </c>
      <c r="E4615" s="3" t="s">
        <v>49</v>
      </c>
      <c r="F4615" s="3" t="s">
        <v>50</v>
      </c>
      <c r="G4615" s="3" t="s">
        <v>30</v>
      </c>
      <c r="H4615" s="3" t="s">
        <v>31</v>
      </c>
      <c r="I4615" s="3" t="s">
        <v>900</v>
      </c>
      <c r="J4615" s="3" t="s">
        <v>79</v>
      </c>
      <c r="K4615" s="3">
        <v>2</v>
      </c>
      <c r="L4615" s="3">
        <v>3030.23</v>
      </c>
      <c r="M4615" s="3">
        <v>6060.46</v>
      </c>
      <c r="N4615" s="3">
        <v>3956.58</v>
      </c>
      <c r="O4615" s="3">
        <v>2103.88</v>
      </c>
      <c r="P4615" s="3" t="s">
        <v>26</v>
      </c>
    </row>
    <row r="4616" spans="1:16" x14ac:dyDescent="0.35">
      <c r="A4616" s="3" t="s">
        <v>6058</v>
      </c>
      <c r="B4616" s="3" t="s">
        <v>133</v>
      </c>
      <c r="C4616" s="3" t="s">
        <v>18</v>
      </c>
      <c r="D4616" s="3" t="s">
        <v>58</v>
      </c>
      <c r="E4616" s="3" t="s">
        <v>176</v>
      </c>
      <c r="F4616" s="3" t="s">
        <v>177</v>
      </c>
      <c r="G4616" s="3" t="s">
        <v>41</v>
      </c>
      <c r="H4616" s="3" t="s">
        <v>138</v>
      </c>
      <c r="I4616" s="3" t="s">
        <v>647</v>
      </c>
      <c r="J4616" s="3" t="s">
        <v>147</v>
      </c>
      <c r="K4616" s="3">
        <v>4</v>
      </c>
      <c r="L4616" s="3">
        <v>17795.22</v>
      </c>
      <c r="M4616" s="3">
        <v>71180.88</v>
      </c>
      <c r="N4616" s="3">
        <v>57263.64</v>
      </c>
      <c r="O4616" s="3">
        <v>13917.24</v>
      </c>
      <c r="P4616" s="3" t="s">
        <v>34</v>
      </c>
    </row>
    <row r="4617" spans="1:16" x14ac:dyDescent="0.35">
      <c r="A4617" s="3" t="s">
        <v>6059</v>
      </c>
      <c r="B4617" s="3" t="s">
        <v>1704</v>
      </c>
      <c r="C4617" s="3" t="s">
        <v>48</v>
      </c>
      <c r="D4617" s="3" t="s">
        <v>90</v>
      </c>
      <c r="E4617" s="3" t="s">
        <v>91</v>
      </c>
      <c r="F4617" s="3" t="s">
        <v>92</v>
      </c>
      <c r="G4617" s="3" t="s">
        <v>22</v>
      </c>
      <c r="H4617" s="3" t="s">
        <v>83</v>
      </c>
      <c r="I4617" s="3" t="s">
        <v>950</v>
      </c>
      <c r="J4617" s="3" t="s">
        <v>171</v>
      </c>
      <c r="K4617" s="3">
        <v>1</v>
      </c>
      <c r="L4617" s="3">
        <v>23293.46</v>
      </c>
      <c r="M4617" s="3">
        <v>23293.46</v>
      </c>
      <c r="N4617" s="3">
        <v>17630.84</v>
      </c>
      <c r="O4617" s="3">
        <v>5662.62</v>
      </c>
      <c r="P4617" s="3" t="s">
        <v>34</v>
      </c>
    </row>
    <row r="4618" spans="1:16" x14ac:dyDescent="0.35">
      <c r="A4618" s="3" t="s">
        <v>6060</v>
      </c>
      <c r="B4618" s="3" t="s">
        <v>893</v>
      </c>
      <c r="C4618" s="3" t="s">
        <v>89</v>
      </c>
      <c r="D4618" s="3" t="s">
        <v>58</v>
      </c>
      <c r="E4618" s="3" t="s">
        <v>176</v>
      </c>
      <c r="F4618" s="3" t="s">
        <v>177</v>
      </c>
      <c r="G4618" s="3" t="s">
        <v>30</v>
      </c>
      <c r="H4618" s="3" t="s">
        <v>73</v>
      </c>
      <c r="I4618" s="3" t="s">
        <v>486</v>
      </c>
      <c r="J4618" s="3" t="s">
        <v>171</v>
      </c>
      <c r="K4618" s="3">
        <v>5</v>
      </c>
      <c r="L4618" s="3">
        <v>3149.73</v>
      </c>
      <c r="M4618" s="3">
        <v>15748.65</v>
      </c>
      <c r="N4618" s="3">
        <v>11858</v>
      </c>
      <c r="O4618" s="3">
        <v>3890.65</v>
      </c>
      <c r="P4618" s="3" t="s">
        <v>45</v>
      </c>
    </row>
    <row r="4619" spans="1:16" x14ac:dyDescent="0.35">
      <c r="A4619" s="3" t="s">
        <v>6061</v>
      </c>
      <c r="B4619" s="3" t="s">
        <v>521</v>
      </c>
      <c r="C4619" s="3" t="s">
        <v>18</v>
      </c>
      <c r="D4619" s="3" t="s">
        <v>58</v>
      </c>
      <c r="E4619" s="3" t="s">
        <v>176</v>
      </c>
      <c r="F4619" s="3" t="s">
        <v>177</v>
      </c>
      <c r="G4619" s="3" t="s">
        <v>41</v>
      </c>
      <c r="H4619" s="3" t="s">
        <v>138</v>
      </c>
      <c r="I4619" s="3" t="s">
        <v>2213</v>
      </c>
      <c r="J4619" s="3" t="s">
        <v>188</v>
      </c>
      <c r="K4619" s="3">
        <v>2</v>
      </c>
      <c r="L4619" s="3">
        <v>19133.66</v>
      </c>
      <c r="M4619" s="3">
        <v>38267.32</v>
      </c>
      <c r="N4619" s="3">
        <v>27160.69</v>
      </c>
      <c r="O4619" s="3">
        <v>11106.63</v>
      </c>
      <c r="P4619" s="3" t="s">
        <v>34</v>
      </c>
    </row>
    <row r="4620" spans="1:16" x14ac:dyDescent="0.35">
      <c r="A4620" s="3" t="s">
        <v>6062</v>
      </c>
      <c r="B4620" s="3" t="s">
        <v>1727</v>
      </c>
      <c r="C4620" s="3" t="s">
        <v>89</v>
      </c>
      <c r="D4620" s="3" t="s">
        <v>38</v>
      </c>
      <c r="E4620" s="3" t="s">
        <v>104</v>
      </c>
      <c r="F4620" s="3" t="s">
        <v>104</v>
      </c>
      <c r="G4620" s="3" t="s">
        <v>30</v>
      </c>
      <c r="H4620" s="3" t="s">
        <v>67</v>
      </c>
      <c r="I4620" s="3" t="s">
        <v>2178</v>
      </c>
      <c r="J4620" s="3" t="s">
        <v>79</v>
      </c>
      <c r="K4620" s="3">
        <v>2</v>
      </c>
      <c r="L4620" s="3">
        <v>8854.8799999999992</v>
      </c>
      <c r="M4620" s="3">
        <v>17709.759999999998</v>
      </c>
      <c r="N4620" s="3">
        <v>14939.92</v>
      </c>
      <c r="O4620" s="3">
        <v>2769.84</v>
      </c>
      <c r="P4620" s="3" t="s">
        <v>26</v>
      </c>
    </row>
    <row r="4621" spans="1:16" x14ac:dyDescent="0.35">
      <c r="A4621" s="3" t="s">
        <v>6063</v>
      </c>
      <c r="B4621" s="3" t="s">
        <v>1704</v>
      </c>
      <c r="C4621" s="3" t="s">
        <v>48</v>
      </c>
      <c r="D4621" s="3" t="s">
        <v>58</v>
      </c>
      <c r="E4621" s="3" t="s">
        <v>59</v>
      </c>
      <c r="F4621" s="3" t="s">
        <v>60</v>
      </c>
      <c r="G4621" s="3" t="s">
        <v>51</v>
      </c>
      <c r="H4621" s="3" t="s">
        <v>52</v>
      </c>
      <c r="I4621" s="3" t="s">
        <v>3386</v>
      </c>
      <c r="J4621" s="3" t="s">
        <v>25</v>
      </c>
      <c r="K4621" s="3">
        <v>2</v>
      </c>
      <c r="L4621" s="3">
        <v>26.81</v>
      </c>
      <c r="M4621" s="3">
        <v>53.62</v>
      </c>
      <c r="N4621" s="3">
        <v>20.05</v>
      </c>
      <c r="O4621" s="3">
        <v>33.57</v>
      </c>
      <c r="P4621" s="3" t="s">
        <v>69</v>
      </c>
    </row>
    <row r="4622" spans="1:16" x14ac:dyDescent="0.35">
      <c r="A4622" s="3" t="s">
        <v>6064</v>
      </c>
      <c r="B4622" s="3" t="s">
        <v>743</v>
      </c>
      <c r="C4622" s="3" t="s">
        <v>72</v>
      </c>
      <c r="D4622" s="3" t="s">
        <v>38</v>
      </c>
      <c r="E4622" s="3" t="s">
        <v>109</v>
      </c>
      <c r="F4622" s="3" t="s">
        <v>110</v>
      </c>
      <c r="G4622" s="3" t="s">
        <v>22</v>
      </c>
      <c r="H4622" s="3" t="s">
        <v>23</v>
      </c>
      <c r="I4622" s="3" t="s">
        <v>627</v>
      </c>
      <c r="J4622" s="3" t="s">
        <v>54</v>
      </c>
      <c r="K4622" s="3">
        <v>2</v>
      </c>
      <c r="L4622" s="3">
        <v>3206.81</v>
      </c>
      <c r="M4622" s="3">
        <v>6413.62</v>
      </c>
      <c r="N4622" s="3">
        <v>4563.1000000000004</v>
      </c>
      <c r="O4622" s="3">
        <v>1850.52</v>
      </c>
      <c r="P4622" s="3" t="s">
        <v>69</v>
      </c>
    </row>
    <row r="4623" spans="1:16" x14ac:dyDescent="0.35">
      <c r="A4623" s="3" t="s">
        <v>6065</v>
      </c>
      <c r="B4623" s="3" t="s">
        <v>1435</v>
      </c>
      <c r="C4623" s="3" t="s">
        <v>137</v>
      </c>
      <c r="D4623" s="3" t="s">
        <v>90</v>
      </c>
      <c r="E4623" s="3" t="s">
        <v>97</v>
      </c>
      <c r="F4623" s="3" t="s">
        <v>98</v>
      </c>
      <c r="G4623" s="3" t="s">
        <v>22</v>
      </c>
      <c r="H4623" s="3" t="s">
        <v>23</v>
      </c>
      <c r="I4623" s="3" t="s">
        <v>1621</v>
      </c>
      <c r="J4623" s="3" t="s">
        <v>54</v>
      </c>
      <c r="K4623" s="3">
        <v>7</v>
      </c>
      <c r="L4623" s="3">
        <v>3365.58</v>
      </c>
      <c r="M4623" s="3">
        <v>23559.06</v>
      </c>
      <c r="N4623" s="3">
        <v>15670.74</v>
      </c>
      <c r="O4623" s="3">
        <v>7888.32</v>
      </c>
      <c r="P4623" s="3" t="s">
        <v>69</v>
      </c>
    </row>
    <row r="4624" spans="1:16" x14ac:dyDescent="0.35">
      <c r="A4624" s="3" t="s">
        <v>6066</v>
      </c>
      <c r="B4624" s="3" t="s">
        <v>795</v>
      </c>
      <c r="C4624" s="3" t="s">
        <v>82</v>
      </c>
      <c r="D4624" s="3" t="s">
        <v>90</v>
      </c>
      <c r="E4624" s="3" t="s">
        <v>97</v>
      </c>
      <c r="F4624" s="3" t="s">
        <v>98</v>
      </c>
      <c r="G4624" s="3" t="s">
        <v>22</v>
      </c>
      <c r="H4624" s="3" t="s">
        <v>83</v>
      </c>
      <c r="I4624" s="3" t="s">
        <v>3847</v>
      </c>
      <c r="J4624" s="3" t="s">
        <v>171</v>
      </c>
      <c r="K4624" s="3">
        <v>4</v>
      </c>
      <c r="L4624" s="3">
        <v>22668.15</v>
      </c>
      <c r="M4624" s="3">
        <v>90672.6</v>
      </c>
      <c r="N4624" s="3">
        <v>68467.14</v>
      </c>
      <c r="O4624" s="3">
        <v>22205.46</v>
      </c>
      <c r="P4624" s="3" t="s">
        <v>45</v>
      </c>
    </row>
    <row r="4625" spans="1:16" x14ac:dyDescent="0.35">
      <c r="A4625" s="3" t="s">
        <v>6067</v>
      </c>
      <c r="B4625" s="3" t="s">
        <v>1502</v>
      </c>
      <c r="C4625" s="3" t="s">
        <v>57</v>
      </c>
      <c r="D4625" s="3" t="s">
        <v>90</v>
      </c>
      <c r="E4625" s="3" t="s">
        <v>119</v>
      </c>
      <c r="F4625" s="3" t="s">
        <v>120</v>
      </c>
      <c r="G4625" s="3" t="s">
        <v>22</v>
      </c>
      <c r="H4625" s="3" t="s">
        <v>23</v>
      </c>
      <c r="I4625" s="3" t="s">
        <v>2769</v>
      </c>
      <c r="J4625" s="3" t="s">
        <v>79</v>
      </c>
      <c r="K4625" s="3">
        <v>7</v>
      </c>
      <c r="L4625" s="3">
        <v>3188.99</v>
      </c>
      <c r="M4625" s="3">
        <v>22322.93</v>
      </c>
      <c r="N4625" s="3">
        <v>15891.85</v>
      </c>
      <c r="O4625" s="3">
        <v>6431.08</v>
      </c>
      <c r="P4625" s="3" t="s">
        <v>86</v>
      </c>
    </row>
    <row r="4626" spans="1:16" x14ac:dyDescent="0.35">
      <c r="A4626" s="3" t="s">
        <v>6068</v>
      </c>
      <c r="B4626" s="3" t="s">
        <v>1670</v>
      </c>
      <c r="C4626" s="3" t="s">
        <v>114</v>
      </c>
      <c r="D4626" s="3" t="s">
        <v>19</v>
      </c>
      <c r="E4626" s="3" t="s">
        <v>199</v>
      </c>
      <c r="F4626" s="3" t="s">
        <v>200</v>
      </c>
      <c r="G4626" s="3" t="s">
        <v>30</v>
      </c>
      <c r="H4626" s="3" t="s">
        <v>67</v>
      </c>
      <c r="I4626" s="3" t="s">
        <v>1282</v>
      </c>
      <c r="J4626" s="3" t="s">
        <v>217</v>
      </c>
      <c r="K4626" s="3">
        <v>8</v>
      </c>
      <c r="L4626" s="3">
        <v>10230.82</v>
      </c>
      <c r="M4626" s="3">
        <v>81846.559999999998</v>
      </c>
      <c r="N4626" s="3">
        <v>61925.77</v>
      </c>
      <c r="O4626" s="3">
        <v>19920.79</v>
      </c>
      <c r="P4626" s="3" t="s">
        <v>69</v>
      </c>
    </row>
    <row r="4627" spans="1:16" x14ac:dyDescent="0.35">
      <c r="A4627" s="3" t="s">
        <v>6069</v>
      </c>
      <c r="B4627" s="3" t="s">
        <v>675</v>
      </c>
      <c r="C4627" s="3" t="s">
        <v>82</v>
      </c>
      <c r="D4627" s="3" t="s">
        <v>38</v>
      </c>
      <c r="E4627" s="3" t="s">
        <v>39</v>
      </c>
      <c r="F4627" s="3" t="s">
        <v>40</v>
      </c>
      <c r="G4627" s="3" t="s">
        <v>51</v>
      </c>
      <c r="H4627" s="3" t="s">
        <v>52</v>
      </c>
      <c r="I4627" s="3" t="s">
        <v>961</v>
      </c>
      <c r="J4627" s="3" t="s">
        <v>171</v>
      </c>
      <c r="K4627" s="3">
        <v>1</v>
      </c>
      <c r="L4627" s="3">
        <v>23.95</v>
      </c>
      <c r="M4627" s="3">
        <v>23.95</v>
      </c>
      <c r="N4627" s="3">
        <v>10.47</v>
      </c>
      <c r="O4627" s="3">
        <v>13.48</v>
      </c>
      <c r="P4627" s="3" t="s">
        <v>26</v>
      </c>
    </row>
    <row r="4628" spans="1:16" x14ac:dyDescent="0.35">
      <c r="A4628" s="3" t="s">
        <v>6070</v>
      </c>
      <c r="B4628" s="3" t="s">
        <v>1392</v>
      </c>
      <c r="C4628" s="3" t="s">
        <v>103</v>
      </c>
      <c r="D4628" s="3" t="s">
        <v>90</v>
      </c>
      <c r="E4628" s="3" t="s">
        <v>119</v>
      </c>
      <c r="F4628" s="3" t="s">
        <v>120</v>
      </c>
      <c r="G4628" s="3" t="s">
        <v>22</v>
      </c>
      <c r="H4628" s="3" t="s">
        <v>83</v>
      </c>
      <c r="I4628" s="3" t="s">
        <v>1379</v>
      </c>
      <c r="J4628" s="3" t="s">
        <v>188</v>
      </c>
      <c r="K4628" s="3">
        <v>4</v>
      </c>
      <c r="L4628" s="3">
        <v>20998.35</v>
      </c>
      <c r="M4628" s="3">
        <v>83993.4</v>
      </c>
      <c r="N4628" s="3">
        <v>67635.240000000005</v>
      </c>
      <c r="O4628" s="3">
        <v>16358.16</v>
      </c>
      <c r="P4628" s="3" t="s">
        <v>86</v>
      </c>
    </row>
    <row r="4629" spans="1:16" x14ac:dyDescent="0.35">
      <c r="A4629" s="3" t="s">
        <v>6071</v>
      </c>
      <c r="B4629" s="3" t="s">
        <v>1062</v>
      </c>
      <c r="C4629" s="3" t="s">
        <v>89</v>
      </c>
      <c r="D4629" s="3" t="s">
        <v>19</v>
      </c>
      <c r="E4629" s="3" t="s">
        <v>199</v>
      </c>
      <c r="F4629" s="3" t="s">
        <v>200</v>
      </c>
      <c r="G4629" s="3" t="s">
        <v>30</v>
      </c>
      <c r="H4629" s="3" t="s">
        <v>67</v>
      </c>
      <c r="I4629" s="3" t="s">
        <v>94</v>
      </c>
      <c r="J4629" s="3" t="s">
        <v>161</v>
      </c>
      <c r="K4629" s="3">
        <v>7</v>
      </c>
      <c r="L4629" s="3">
        <v>9170.2800000000007</v>
      </c>
      <c r="M4629" s="3">
        <v>64191.96</v>
      </c>
      <c r="N4629" s="3">
        <v>55709.29</v>
      </c>
      <c r="O4629" s="3">
        <v>8482.67</v>
      </c>
      <c r="P4629" s="3" t="s">
        <v>86</v>
      </c>
    </row>
    <row r="4630" spans="1:16" x14ac:dyDescent="0.35">
      <c r="A4630" s="3" t="s">
        <v>6072</v>
      </c>
      <c r="B4630" s="3" t="s">
        <v>1872</v>
      </c>
      <c r="C4630" s="3" t="s">
        <v>82</v>
      </c>
      <c r="D4630" s="3" t="s">
        <v>38</v>
      </c>
      <c r="E4630" s="3" t="s">
        <v>39</v>
      </c>
      <c r="F4630" s="3" t="s">
        <v>40</v>
      </c>
      <c r="G4630" s="3" t="s">
        <v>22</v>
      </c>
      <c r="H4630" s="3" t="s">
        <v>83</v>
      </c>
      <c r="I4630" s="3" t="s">
        <v>1798</v>
      </c>
      <c r="J4630" s="3" t="s">
        <v>25</v>
      </c>
      <c r="K4630" s="3">
        <v>5</v>
      </c>
      <c r="L4630" s="3">
        <v>24162.14</v>
      </c>
      <c r="M4630" s="3">
        <v>120810.7</v>
      </c>
      <c r="N4630" s="3">
        <v>87665</v>
      </c>
      <c r="O4630" s="3">
        <v>33145.699999999997</v>
      </c>
      <c r="P4630" s="3" t="s">
        <v>26</v>
      </c>
    </row>
    <row r="4631" spans="1:16" x14ac:dyDescent="0.35">
      <c r="A4631" s="3" t="s">
        <v>6073</v>
      </c>
      <c r="B4631" s="3" t="s">
        <v>960</v>
      </c>
      <c r="C4631" s="3" t="s">
        <v>114</v>
      </c>
      <c r="D4631" s="3" t="s">
        <v>38</v>
      </c>
      <c r="E4631" s="3" t="s">
        <v>104</v>
      </c>
      <c r="F4631" s="3" t="s">
        <v>104</v>
      </c>
      <c r="G4631" s="3" t="s">
        <v>30</v>
      </c>
      <c r="H4631" s="3" t="s">
        <v>73</v>
      </c>
      <c r="I4631" s="3" t="s">
        <v>785</v>
      </c>
      <c r="J4631" s="3" t="s">
        <v>33</v>
      </c>
      <c r="K4631" s="3">
        <v>4</v>
      </c>
      <c r="L4631" s="3">
        <v>3247.65</v>
      </c>
      <c r="M4631" s="3">
        <v>12990.6</v>
      </c>
      <c r="N4631" s="3">
        <v>9469.41</v>
      </c>
      <c r="O4631" s="3">
        <v>3521.19</v>
      </c>
      <c r="P4631" s="3" t="s">
        <v>45</v>
      </c>
    </row>
    <row r="4632" spans="1:16" x14ac:dyDescent="0.35">
      <c r="A4632" s="3" t="s">
        <v>6074</v>
      </c>
      <c r="B4632" s="3" t="s">
        <v>347</v>
      </c>
      <c r="C4632" s="3" t="s">
        <v>57</v>
      </c>
      <c r="D4632" s="3" t="s">
        <v>58</v>
      </c>
      <c r="E4632" s="3" t="s">
        <v>65</v>
      </c>
      <c r="F4632" s="3" t="s">
        <v>66</v>
      </c>
      <c r="G4632" s="3" t="s">
        <v>41</v>
      </c>
      <c r="H4632" s="3" t="s">
        <v>61</v>
      </c>
      <c r="I4632" s="3" t="s">
        <v>4501</v>
      </c>
      <c r="J4632" s="3" t="s">
        <v>85</v>
      </c>
      <c r="K4632" s="3">
        <v>6</v>
      </c>
      <c r="L4632" s="3">
        <v>2683.71</v>
      </c>
      <c r="M4632" s="3">
        <v>16102.26</v>
      </c>
      <c r="N4632" s="3">
        <v>9968.5400000000009</v>
      </c>
      <c r="O4632" s="3">
        <v>6133.72</v>
      </c>
      <c r="P4632" s="3" t="s">
        <v>69</v>
      </c>
    </row>
    <row r="4633" spans="1:16" x14ac:dyDescent="0.35">
      <c r="A4633" s="3" t="s">
        <v>6075</v>
      </c>
      <c r="B4633" s="3" t="s">
        <v>589</v>
      </c>
      <c r="C4633" s="3" t="s">
        <v>137</v>
      </c>
      <c r="D4633" s="3" t="s">
        <v>58</v>
      </c>
      <c r="E4633" s="3" t="s">
        <v>59</v>
      </c>
      <c r="F4633" s="3" t="s">
        <v>60</v>
      </c>
      <c r="G4633" s="3" t="s">
        <v>30</v>
      </c>
      <c r="H4633" s="3" t="s">
        <v>73</v>
      </c>
      <c r="I4633" s="3" t="s">
        <v>4757</v>
      </c>
      <c r="J4633" s="3" t="s">
        <v>85</v>
      </c>
      <c r="K4633" s="3">
        <v>4</v>
      </c>
      <c r="L4633" s="3">
        <v>3139.76</v>
      </c>
      <c r="M4633" s="3">
        <v>12559.04</v>
      </c>
      <c r="N4633" s="3">
        <v>9877.67</v>
      </c>
      <c r="O4633" s="3">
        <v>2681.37</v>
      </c>
      <c r="P4633" s="3" t="s">
        <v>26</v>
      </c>
    </row>
    <row r="4634" spans="1:16" x14ac:dyDescent="0.35">
      <c r="A4634" s="3" t="s">
        <v>6076</v>
      </c>
      <c r="B4634" s="3" t="s">
        <v>2688</v>
      </c>
      <c r="C4634" s="3" t="s">
        <v>48</v>
      </c>
      <c r="D4634" s="3" t="s">
        <v>38</v>
      </c>
      <c r="E4634" s="3" t="s">
        <v>39</v>
      </c>
      <c r="F4634" s="3" t="s">
        <v>40</v>
      </c>
      <c r="G4634" s="3" t="s">
        <v>51</v>
      </c>
      <c r="H4634" s="3" t="s">
        <v>145</v>
      </c>
      <c r="I4634" s="3" t="s">
        <v>2921</v>
      </c>
      <c r="J4634" s="3" t="s">
        <v>188</v>
      </c>
      <c r="K4634" s="3">
        <v>2</v>
      </c>
      <c r="L4634" s="3">
        <v>112.97</v>
      </c>
      <c r="M4634" s="3">
        <v>225.94</v>
      </c>
      <c r="N4634" s="3">
        <v>116.78</v>
      </c>
      <c r="O4634" s="3">
        <v>109.16</v>
      </c>
      <c r="P4634" s="3" t="s">
        <v>86</v>
      </c>
    </row>
    <row r="4635" spans="1:16" x14ac:dyDescent="0.35">
      <c r="A4635" s="3" t="s">
        <v>6077</v>
      </c>
      <c r="B4635" s="3" t="s">
        <v>102</v>
      </c>
      <c r="C4635" s="3" t="s">
        <v>103</v>
      </c>
      <c r="D4635" s="3" t="s">
        <v>58</v>
      </c>
      <c r="E4635" s="3" t="s">
        <v>176</v>
      </c>
      <c r="F4635" s="3" t="s">
        <v>177</v>
      </c>
      <c r="G4635" s="3" t="s">
        <v>22</v>
      </c>
      <c r="H4635" s="3" t="s">
        <v>23</v>
      </c>
      <c r="I4635" s="3" t="s">
        <v>354</v>
      </c>
      <c r="J4635" s="3" t="s">
        <v>147</v>
      </c>
      <c r="K4635" s="3">
        <v>8</v>
      </c>
      <c r="L4635" s="3">
        <v>3607.92</v>
      </c>
      <c r="M4635" s="3">
        <v>28863.360000000001</v>
      </c>
      <c r="N4635" s="3">
        <v>17736.84</v>
      </c>
      <c r="O4635" s="3">
        <v>11126.52</v>
      </c>
      <c r="P4635" s="3" t="s">
        <v>34</v>
      </c>
    </row>
    <row r="4636" spans="1:16" x14ac:dyDescent="0.35">
      <c r="A4636" s="3" t="s">
        <v>6078</v>
      </c>
      <c r="B4636" s="3" t="s">
        <v>449</v>
      </c>
      <c r="C4636" s="3" t="s">
        <v>37</v>
      </c>
      <c r="D4636" s="3" t="s">
        <v>19</v>
      </c>
      <c r="E4636" s="3" t="s">
        <v>199</v>
      </c>
      <c r="F4636" s="3" t="s">
        <v>200</v>
      </c>
      <c r="G4636" s="3" t="s">
        <v>41</v>
      </c>
      <c r="H4636" s="3" t="s">
        <v>42</v>
      </c>
      <c r="I4636" s="3" t="s">
        <v>1101</v>
      </c>
      <c r="J4636" s="3" t="s">
        <v>131</v>
      </c>
      <c r="K4636" s="3">
        <v>6</v>
      </c>
      <c r="L4636" s="3">
        <v>49388.89</v>
      </c>
      <c r="M4636" s="3">
        <v>296333.34000000003</v>
      </c>
      <c r="N4636" s="3">
        <v>200117.91</v>
      </c>
      <c r="O4636" s="3">
        <v>96215.43</v>
      </c>
      <c r="P4636" s="3" t="s">
        <v>26</v>
      </c>
    </row>
    <row r="4637" spans="1:16" x14ac:dyDescent="0.35">
      <c r="A4637" s="3" t="s">
        <v>6079</v>
      </c>
      <c r="B4637" s="3" t="s">
        <v>299</v>
      </c>
      <c r="C4637" s="3" t="s">
        <v>89</v>
      </c>
      <c r="D4637" s="3" t="s">
        <v>58</v>
      </c>
      <c r="E4637" s="3" t="s">
        <v>65</v>
      </c>
      <c r="F4637" s="3" t="s">
        <v>66</v>
      </c>
      <c r="G4637" s="3" t="s">
        <v>41</v>
      </c>
      <c r="H4637" s="3" t="s">
        <v>42</v>
      </c>
      <c r="I4637" s="3" t="s">
        <v>715</v>
      </c>
      <c r="J4637" s="3" t="s">
        <v>44</v>
      </c>
      <c r="K4637" s="3">
        <v>7</v>
      </c>
      <c r="L4637" s="3">
        <v>40923.5</v>
      </c>
      <c r="M4637" s="3">
        <v>286464.5</v>
      </c>
      <c r="N4637" s="3">
        <v>257190.66</v>
      </c>
      <c r="O4637" s="3">
        <v>29273.84</v>
      </c>
      <c r="P4637" s="3" t="s">
        <v>26</v>
      </c>
    </row>
    <row r="4638" spans="1:16" x14ac:dyDescent="0.35">
      <c r="A4638" s="3" t="s">
        <v>6080</v>
      </c>
      <c r="B4638" s="3" t="s">
        <v>1122</v>
      </c>
      <c r="C4638" s="3" t="s">
        <v>118</v>
      </c>
      <c r="D4638" s="3" t="s">
        <v>38</v>
      </c>
      <c r="E4638" s="3" t="s">
        <v>39</v>
      </c>
      <c r="F4638" s="3" t="s">
        <v>40</v>
      </c>
      <c r="G4638" s="3" t="s">
        <v>41</v>
      </c>
      <c r="H4638" s="3" t="s">
        <v>138</v>
      </c>
      <c r="I4638" s="3" t="s">
        <v>2025</v>
      </c>
      <c r="J4638" s="3" t="s">
        <v>217</v>
      </c>
      <c r="K4638" s="3">
        <v>1</v>
      </c>
      <c r="L4638" s="3">
        <v>16349.84</v>
      </c>
      <c r="M4638" s="3">
        <v>16349.84</v>
      </c>
      <c r="N4638" s="3">
        <v>14485.11</v>
      </c>
      <c r="O4638" s="3">
        <v>1864.73</v>
      </c>
      <c r="P4638" s="3" t="s">
        <v>86</v>
      </c>
    </row>
    <row r="4639" spans="1:16" x14ac:dyDescent="0.35">
      <c r="A4639" s="3" t="s">
        <v>6081</v>
      </c>
      <c r="B4639" s="3" t="s">
        <v>547</v>
      </c>
      <c r="C4639" s="3" t="s">
        <v>89</v>
      </c>
      <c r="D4639" s="3" t="s">
        <v>90</v>
      </c>
      <c r="E4639" s="3" t="s">
        <v>91</v>
      </c>
      <c r="F4639" s="3" t="s">
        <v>92</v>
      </c>
      <c r="G4639" s="3" t="s">
        <v>41</v>
      </c>
      <c r="H4639" s="3" t="s">
        <v>61</v>
      </c>
      <c r="I4639" s="3" t="s">
        <v>869</v>
      </c>
      <c r="J4639" s="3" t="s">
        <v>188</v>
      </c>
      <c r="K4639" s="3">
        <v>2</v>
      </c>
      <c r="L4639" s="3">
        <v>2434.6799999999998</v>
      </c>
      <c r="M4639" s="3">
        <v>4869.3599999999997</v>
      </c>
      <c r="N4639" s="3">
        <v>3106.19</v>
      </c>
      <c r="O4639" s="3">
        <v>1763.17</v>
      </c>
      <c r="P4639" s="3" t="s">
        <v>86</v>
      </c>
    </row>
    <row r="4640" spans="1:16" x14ac:dyDescent="0.35">
      <c r="A4640" s="3" t="s">
        <v>6082</v>
      </c>
      <c r="B4640" s="3" t="s">
        <v>1761</v>
      </c>
      <c r="C4640" s="3" t="s">
        <v>72</v>
      </c>
      <c r="D4640" s="3" t="s">
        <v>58</v>
      </c>
      <c r="E4640" s="3" t="s">
        <v>59</v>
      </c>
      <c r="F4640" s="3" t="s">
        <v>60</v>
      </c>
      <c r="G4640" s="3" t="s">
        <v>41</v>
      </c>
      <c r="H4640" s="3" t="s">
        <v>138</v>
      </c>
      <c r="I4640" s="3" t="s">
        <v>4762</v>
      </c>
      <c r="J4640" s="3" t="s">
        <v>100</v>
      </c>
      <c r="K4640" s="3">
        <v>7</v>
      </c>
      <c r="L4640" s="3">
        <v>18096.64</v>
      </c>
      <c r="M4640" s="3">
        <v>126676.48</v>
      </c>
      <c r="N4640" s="3">
        <v>95754.27</v>
      </c>
      <c r="O4640" s="3">
        <v>30922.21</v>
      </c>
      <c r="P4640" s="3" t="s">
        <v>69</v>
      </c>
    </row>
    <row r="4641" spans="1:16" x14ac:dyDescent="0.35">
      <c r="A4641" s="3" t="s">
        <v>6083</v>
      </c>
      <c r="B4641" s="3" t="s">
        <v>2028</v>
      </c>
      <c r="C4641" s="3" t="s">
        <v>137</v>
      </c>
      <c r="D4641" s="3" t="s">
        <v>19</v>
      </c>
      <c r="E4641" s="3" t="s">
        <v>20</v>
      </c>
      <c r="F4641" s="3" t="s">
        <v>21</v>
      </c>
      <c r="G4641" s="3" t="s">
        <v>30</v>
      </c>
      <c r="H4641" s="3" t="s">
        <v>73</v>
      </c>
      <c r="I4641" s="3" t="s">
        <v>2673</v>
      </c>
      <c r="J4641" s="3" t="s">
        <v>188</v>
      </c>
      <c r="K4641" s="3">
        <v>2</v>
      </c>
      <c r="L4641" s="3">
        <v>3171.71</v>
      </c>
      <c r="M4641" s="3">
        <v>6343.42</v>
      </c>
      <c r="N4641" s="3">
        <v>4609.4799999999996</v>
      </c>
      <c r="O4641" s="3">
        <v>1733.94</v>
      </c>
      <c r="P4641" s="3" t="s">
        <v>86</v>
      </c>
    </row>
    <row r="4642" spans="1:16" x14ac:dyDescent="0.35">
      <c r="A4642" s="3" t="s">
        <v>6084</v>
      </c>
      <c r="B4642" s="3" t="s">
        <v>420</v>
      </c>
      <c r="C4642" s="3" t="s">
        <v>89</v>
      </c>
      <c r="D4642" s="3" t="s">
        <v>58</v>
      </c>
      <c r="E4642" s="3" t="s">
        <v>65</v>
      </c>
      <c r="F4642" s="3" t="s">
        <v>66</v>
      </c>
      <c r="G4642" s="3" t="s">
        <v>30</v>
      </c>
      <c r="H4642" s="3" t="s">
        <v>31</v>
      </c>
      <c r="I4642" s="3" t="s">
        <v>1256</v>
      </c>
      <c r="J4642" s="3" t="s">
        <v>44</v>
      </c>
      <c r="K4642" s="3">
        <v>7</v>
      </c>
      <c r="L4642" s="3">
        <v>2543.25</v>
      </c>
      <c r="M4642" s="3">
        <v>17802.75</v>
      </c>
      <c r="N4642" s="3">
        <v>12922.88</v>
      </c>
      <c r="O4642" s="3">
        <v>4879.87</v>
      </c>
      <c r="P4642" s="3" t="s">
        <v>86</v>
      </c>
    </row>
    <row r="4643" spans="1:16" x14ac:dyDescent="0.35">
      <c r="A4643" s="3" t="s">
        <v>6085</v>
      </c>
      <c r="B4643" s="3" t="s">
        <v>455</v>
      </c>
      <c r="C4643" s="3" t="s">
        <v>18</v>
      </c>
      <c r="D4643" s="3" t="s">
        <v>19</v>
      </c>
      <c r="E4643" s="3" t="s">
        <v>20</v>
      </c>
      <c r="F4643" s="3" t="s">
        <v>21</v>
      </c>
      <c r="G4643" s="3" t="s">
        <v>22</v>
      </c>
      <c r="H4643" s="3" t="s">
        <v>23</v>
      </c>
      <c r="I4643" s="3" t="s">
        <v>4107</v>
      </c>
      <c r="J4643" s="3" t="s">
        <v>171</v>
      </c>
      <c r="K4643" s="3">
        <v>6</v>
      </c>
      <c r="L4643" s="3">
        <v>3350.3</v>
      </c>
      <c r="M4643" s="3">
        <v>20101.8</v>
      </c>
      <c r="N4643" s="3">
        <v>13751.81</v>
      </c>
      <c r="O4643" s="3">
        <v>6349.99</v>
      </c>
      <c r="P4643" s="3" t="s">
        <v>34</v>
      </c>
    </row>
    <row r="4644" spans="1:16" x14ac:dyDescent="0.35">
      <c r="A4644" s="3" t="s">
        <v>6086</v>
      </c>
      <c r="B4644" s="3" t="s">
        <v>847</v>
      </c>
      <c r="C4644" s="3" t="s">
        <v>89</v>
      </c>
      <c r="D4644" s="3" t="s">
        <v>58</v>
      </c>
      <c r="E4644" s="3" t="s">
        <v>176</v>
      </c>
      <c r="F4644" s="3" t="s">
        <v>177</v>
      </c>
      <c r="G4644" s="3" t="s">
        <v>22</v>
      </c>
      <c r="H4644" s="3" t="s">
        <v>93</v>
      </c>
      <c r="I4644" s="3" t="s">
        <v>785</v>
      </c>
      <c r="J4644" s="3" t="s">
        <v>217</v>
      </c>
      <c r="K4644" s="3">
        <v>5</v>
      </c>
      <c r="L4644" s="3">
        <v>6869.27</v>
      </c>
      <c r="M4644" s="3">
        <v>34346.35</v>
      </c>
      <c r="N4644" s="3">
        <v>24876.6</v>
      </c>
      <c r="O4644" s="3">
        <v>9469.75</v>
      </c>
      <c r="P4644" s="3" t="s">
        <v>69</v>
      </c>
    </row>
    <row r="4645" spans="1:16" x14ac:dyDescent="0.35">
      <c r="A4645" s="3" t="s">
        <v>6087</v>
      </c>
      <c r="B4645" s="3" t="s">
        <v>1301</v>
      </c>
      <c r="C4645" s="3" t="s">
        <v>18</v>
      </c>
      <c r="D4645" s="3" t="s">
        <v>90</v>
      </c>
      <c r="E4645" s="3" t="s">
        <v>91</v>
      </c>
      <c r="F4645" s="3" t="s">
        <v>92</v>
      </c>
      <c r="G4645" s="3" t="s">
        <v>51</v>
      </c>
      <c r="H4645" s="3" t="s">
        <v>145</v>
      </c>
      <c r="I4645" s="3" t="s">
        <v>2288</v>
      </c>
      <c r="J4645" s="3" t="s">
        <v>154</v>
      </c>
      <c r="K4645" s="3">
        <v>4</v>
      </c>
      <c r="L4645" s="3">
        <v>112.37</v>
      </c>
      <c r="M4645" s="3">
        <v>449.48</v>
      </c>
      <c r="N4645" s="3">
        <v>248.31</v>
      </c>
      <c r="O4645" s="3">
        <v>201.17</v>
      </c>
      <c r="P4645" s="3" t="s">
        <v>86</v>
      </c>
    </row>
    <row r="4646" spans="1:16" x14ac:dyDescent="0.35">
      <c r="A4646" s="3" t="s">
        <v>6088</v>
      </c>
      <c r="B4646" s="3" t="s">
        <v>257</v>
      </c>
      <c r="C4646" s="3" t="s">
        <v>72</v>
      </c>
      <c r="D4646" s="3" t="s">
        <v>58</v>
      </c>
      <c r="E4646" s="3" t="s">
        <v>176</v>
      </c>
      <c r="F4646" s="3" t="s">
        <v>177</v>
      </c>
      <c r="G4646" s="3" t="s">
        <v>41</v>
      </c>
      <c r="H4646" s="3" t="s">
        <v>42</v>
      </c>
      <c r="I4646" s="3" t="s">
        <v>919</v>
      </c>
      <c r="J4646" s="3" t="s">
        <v>85</v>
      </c>
      <c r="K4646" s="3">
        <v>8</v>
      </c>
      <c r="L4646" s="3">
        <v>44034.74</v>
      </c>
      <c r="M4646" s="3">
        <v>352277.92</v>
      </c>
      <c r="N4646" s="3">
        <v>266763.5</v>
      </c>
      <c r="O4646" s="3">
        <v>85514.42</v>
      </c>
      <c r="P4646" s="3" t="s">
        <v>26</v>
      </c>
    </row>
    <row r="4647" spans="1:16" x14ac:dyDescent="0.35">
      <c r="A4647" s="3" t="s">
        <v>6089</v>
      </c>
      <c r="B4647" s="3" t="s">
        <v>288</v>
      </c>
      <c r="C4647" s="3" t="s">
        <v>118</v>
      </c>
      <c r="D4647" s="3" t="s">
        <v>38</v>
      </c>
      <c r="E4647" s="3" t="s">
        <v>109</v>
      </c>
      <c r="F4647" s="3" t="s">
        <v>110</v>
      </c>
      <c r="G4647" s="3" t="s">
        <v>22</v>
      </c>
      <c r="H4647" s="3" t="s">
        <v>23</v>
      </c>
      <c r="I4647" s="3" t="s">
        <v>1542</v>
      </c>
      <c r="J4647" s="3" t="s">
        <v>106</v>
      </c>
      <c r="K4647" s="3">
        <v>6</v>
      </c>
      <c r="L4647" s="3">
        <v>3403.95</v>
      </c>
      <c r="M4647" s="3">
        <v>20423.7</v>
      </c>
      <c r="N4647" s="3">
        <v>12568.52</v>
      </c>
      <c r="O4647" s="3">
        <v>7855.18</v>
      </c>
      <c r="P4647" s="3" t="s">
        <v>45</v>
      </c>
    </row>
    <row r="4648" spans="1:16" x14ac:dyDescent="0.35">
      <c r="A4648" s="3" t="s">
        <v>6090</v>
      </c>
      <c r="B4648" s="3" t="s">
        <v>245</v>
      </c>
      <c r="C4648" s="3" t="s">
        <v>29</v>
      </c>
      <c r="D4648" s="3" t="s">
        <v>38</v>
      </c>
      <c r="E4648" s="3" t="s">
        <v>109</v>
      </c>
      <c r="F4648" s="3" t="s">
        <v>110</v>
      </c>
      <c r="G4648" s="3" t="s">
        <v>30</v>
      </c>
      <c r="H4648" s="3" t="s">
        <v>67</v>
      </c>
      <c r="I4648" s="3" t="s">
        <v>4501</v>
      </c>
      <c r="J4648" s="3" t="s">
        <v>131</v>
      </c>
      <c r="K4648" s="3">
        <v>2</v>
      </c>
      <c r="L4648" s="3">
        <v>10142.67</v>
      </c>
      <c r="M4648" s="3">
        <v>20285.34</v>
      </c>
      <c r="N4648" s="3">
        <v>15024.55</v>
      </c>
      <c r="O4648" s="3">
        <v>5260.79</v>
      </c>
      <c r="P4648" s="3" t="s">
        <v>69</v>
      </c>
    </row>
    <row r="4649" spans="1:16" x14ac:dyDescent="0.35">
      <c r="A4649" s="3" t="s">
        <v>6091</v>
      </c>
      <c r="B4649" s="3" t="s">
        <v>1567</v>
      </c>
      <c r="C4649" s="3" t="s">
        <v>82</v>
      </c>
      <c r="D4649" s="3" t="s">
        <v>90</v>
      </c>
      <c r="E4649" s="3" t="s">
        <v>91</v>
      </c>
      <c r="F4649" s="3" t="s">
        <v>92</v>
      </c>
      <c r="G4649" s="3" t="s">
        <v>41</v>
      </c>
      <c r="H4649" s="3" t="s">
        <v>61</v>
      </c>
      <c r="I4649" s="3" t="s">
        <v>1547</v>
      </c>
      <c r="J4649" s="3" t="s">
        <v>188</v>
      </c>
      <c r="K4649" s="3">
        <v>5</v>
      </c>
      <c r="L4649" s="3">
        <v>2440.0500000000002</v>
      </c>
      <c r="M4649" s="3">
        <v>12200.25</v>
      </c>
      <c r="N4649" s="3">
        <v>8141.35</v>
      </c>
      <c r="O4649" s="3">
        <v>4058.9</v>
      </c>
      <c r="P4649" s="3" t="s">
        <v>34</v>
      </c>
    </row>
    <row r="4650" spans="1:16" x14ac:dyDescent="0.35">
      <c r="A4650" s="3" t="s">
        <v>6092</v>
      </c>
      <c r="B4650" s="3" t="s">
        <v>1140</v>
      </c>
      <c r="C4650" s="3" t="s">
        <v>48</v>
      </c>
      <c r="D4650" s="3" t="s">
        <v>19</v>
      </c>
      <c r="E4650" s="3" t="s">
        <v>49</v>
      </c>
      <c r="F4650" s="3" t="s">
        <v>50</v>
      </c>
      <c r="G4650" s="3" t="s">
        <v>30</v>
      </c>
      <c r="H4650" s="3" t="s">
        <v>73</v>
      </c>
      <c r="I4650" s="3" t="s">
        <v>1796</v>
      </c>
      <c r="J4650" s="3" t="s">
        <v>154</v>
      </c>
      <c r="K4650" s="3">
        <v>8</v>
      </c>
      <c r="L4650" s="3">
        <v>3321.69</v>
      </c>
      <c r="M4650" s="3">
        <v>26573.52</v>
      </c>
      <c r="N4650" s="3">
        <v>18887.29</v>
      </c>
      <c r="O4650" s="3">
        <v>7686.23</v>
      </c>
      <c r="P4650" s="3" t="s">
        <v>69</v>
      </c>
    </row>
    <row r="4651" spans="1:16" x14ac:dyDescent="0.35">
      <c r="A4651" s="3" t="s">
        <v>6093</v>
      </c>
      <c r="B4651" s="3" t="s">
        <v>859</v>
      </c>
      <c r="C4651" s="3" t="s">
        <v>48</v>
      </c>
      <c r="D4651" s="3" t="s">
        <v>90</v>
      </c>
      <c r="E4651" s="3" t="s">
        <v>97</v>
      </c>
      <c r="F4651" s="3" t="s">
        <v>98</v>
      </c>
      <c r="G4651" s="3" t="s">
        <v>51</v>
      </c>
      <c r="H4651" s="3" t="s">
        <v>145</v>
      </c>
      <c r="I4651" s="3" t="s">
        <v>491</v>
      </c>
      <c r="J4651" s="3" t="s">
        <v>79</v>
      </c>
      <c r="K4651" s="3">
        <v>6</v>
      </c>
      <c r="L4651" s="3">
        <v>118.33</v>
      </c>
      <c r="M4651" s="3">
        <v>709.98</v>
      </c>
      <c r="N4651" s="3">
        <v>345.76</v>
      </c>
      <c r="O4651" s="3">
        <v>364.22</v>
      </c>
      <c r="P4651" s="3" t="s">
        <v>34</v>
      </c>
    </row>
    <row r="4652" spans="1:16" x14ac:dyDescent="0.35">
      <c r="A4652" s="3" t="s">
        <v>6094</v>
      </c>
      <c r="B4652" s="3" t="s">
        <v>654</v>
      </c>
      <c r="C4652" s="3" t="s">
        <v>103</v>
      </c>
      <c r="D4652" s="3" t="s">
        <v>90</v>
      </c>
      <c r="E4652" s="3" t="s">
        <v>91</v>
      </c>
      <c r="F4652" s="3" t="s">
        <v>92</v>
      </c>
      <c r="G4652" s="3" t="s">
        <v>22</v>
      </c>
      <c r="H4652" s="3" t="s">
        <v>83</v>
      </c>
      <c r="I4652" s="3" t="s">
        <v>706</v>
      </c>
      <c r="J4652" s="3" t="s">
        <v>85</v>
      </c>
      <c r="K4652" s="3">
        <v>4</v>
      </c>
      <c r="L4652" s="3">
        <v>21718.240000000002</v>
      </c>
      <c r="M4652" s="3">
        <v>86872.960000000006</v>
      </c>
      <c r="N4652" s="3">
        <v>70821.97</v>
      </c>
      <c r="O4652" s="3">
        <v>16050.99</v>
      </c>
      <c r="P4652" s="3" t="s">
        <v>45</v>
      </c>
    </row>
    <row r="4653" spans="1:16" x14ac:dyDescent="0.35">
      <c r="A4653" s="3" t="s">
        <v>6095</v>
      </c>
      <c r="B4653" s="3" t="s">
        <v>1202</v>
      </c>
      <c r="C4653" s="3" t="s">
        <v>118</v>
      </c>
      <c r="D4653" s="3" t="s">
        <v>19</v>
      </c>
      <c r="E4653" s="3" t="s">
        <v>20</v>
      </c>
      <c r="F4653" s="3" t="s">
        <v>21</v>
      </c>
      <c r="G4653" s="3" t="s">
        <v>22</v>
      </c>
      <c r="H4653" s="3" t="s">
        <v>93</v>
      </c>
      <c r="I4653" s="3" t="s">
        <v>4757</v>
      </c>
      <c r="J4653" s="3" t="s">
        <v>171</v>
      </c>
      <c r="K4653" s="3">
        <v>8</v>
      </c>
      <c r="L4653" s="3">
        <v>7287.77</v>
      </c>
      <c r="M4653" s="3">
        <v>58302.16</v>
      </c>
      <c r="N4653" s="3">
        <v>40528.54</v>
      </c>
      <c r="O4653" s="3">
        <v>17773.62</v>
      </c>
      <c r="P4653" s="3" t="s">
        <v>45</v>
      </c>
    </row>
    <row r="4654" spans="1:16" x14ac:dyDescent="0.35">
      <c r="A4654" s="3" t="s">
        <v>6096</v>
      </c>
      <c r="B4654" s="3" t="s">
        <v>349</v>
      </c>
      <c r="C4654" s="3" t="s">
        <v>72</v>
      </c>
      <c r="D4654" s="3" t="s">
        <v>38</v>
      </c>
      <c r="E4654" s="3" t="s">
        <v>39</v>
      </c>
      <c r="F4654" s="3" t="s">
        <v>40</v>
      </c>
      <c r="G4654" s="3" t="s">
        <v>30</v>
      </c>
      <c r="H4654" s="3" t="s">
        <v>67</v>
      </c>
      <c r="I4654" s="3" t="s">
        <v>3444</v>
      </c>
      <c r="J4654" s="3" t="s">
        <v>85</v>
      </c>
      <c r="K4654" s="3">
        <v>1</v>
      </c>
      <c r="L4654" s="3">
        <v>10165.92</v>
      </c>
      <c r="M4654" s="3">
        <v>10165.92</v>
      </c>
      <c r="N4654" s="3">
        <v>7857.84</v>
      </c>
      <c r="O4654" s="3">
        <v>2308.08</v>
      </c>
      <c r="P4654" s="3" t="s">
        <v>86</v>
      </c>
    </row>
    <row r="4655" spans="1:16" x14ac:dyDescent="0.35">
      <c r="A4655" s="3" t="s">
        <v>6097</v>
      </c>
      <c r="B4655" s="3" t="s">
        <v>712</v>
      </c>
      <c r="C4655" s="3" t="s">
        <v>37</v>
      </c>
      <c r="D4655" s="3" t="s">
        <v>19</v>
      </c>
      <c r="E4655" s="3" t="s">
        <v>20</v>
      </c>
      <c r="F4655" s="3" t="s">
        <v>21</v>
      </c>
      <c r="G4655" s="3" t="s">
        <v>22</v>
      </c>
      <c r="H4655" s="3" t="s">
        <v>83</v>
      </c>
      <c r="I4655" s="3" t="s">
        <v>2893</v>
      </c>
      <c r="J4655" s="3" t="s">
        <v>217</v>
      </c>
      <c r="K4655" s="3">
        <v>2</v>
      </c>
      <c r="L4655" s="3">
        <v>20112.48</v>
      </c>
      <c r="M4655" s="3">
        <v>40224.959999999999</v>
      </c>
      <c r="N4655" s="3">
        <v>32688.75</v>
      </c>
      <c r="O4655" s="3">
        <v>7536.21</v>
      </c>
      <c r="P4655" s="3" t="s">
        <v>34</v>
      </c>
    </row>
    <row r="4656" spans="1:16" x14ac:dyDescent="0.35">
      <c r="A4656" s="3" t="s">
        <v>6098</v>
      </c>
      <c r="B4656" s="3" t="s">
        <v>1202</v>
      </c>
      <c r="C4656" s="3" t="s">
        <v>118</v>
      </c>
      <c r="D4656" s="3" t="s">
        <v>90</v>
      </c>
      <c r="E4656" s="3" t="s">
        <v>119</v>
      </c>
      <c r="F4656" s="3" t="s">
        <v>120</v>
      </c>
      <c r="G4656" s="3" t="s">
        <v>22</v>
      </c>
      <c r="H4656" s="3" t="s">
        <v>23</v>
      </c>
      <c r="I4656" s="3" t="s">
        <v>3282</v>
      </c>
      <c r="J4656" s="3" t="s">
        <v>44</v>
      </c>
      <c r="K4656" s="3">
        <v>1</v>
      </c>
      <c r="L4656" s="3">
        <v>3195.81</v>
      </c>
      <c r="M4656" s="3">
        <v>3195.81</v>
      </c>
      <c r="N4656" s="3">
        <v>2163.56</v>
      </c>
      <c r="O4656" s="3">
        <v>1032.25</v>
      </c>
      <c r="P4656" s="3" t="s">
        <v>34</v>
      </c>
    </row>
    <row r="4657" spans="1:16" x14ac:dyDescent="0.35">
      <c r="A4657" s="3" t="s">
        <v>6099</v>
      </c>
      <c r="B4657" s="3" t="s">
        <v>1301</v>
      </c>
      <c r="C4657" s="3" t="s">
        <v>18</v>
      </c>
      <c r="D4657" s="3" t="s">
        <v>58</v>
      </c>
      <c r="E4657" s="3" t="s">
        <v>176</v>
      </c>
      <c r="F4657" s="3" t="s">
        <v>177</v>
      </c>
      <c r="G4657" s="3" t="s">
        <v>51</v>
      </c>
      <c r="H4657" s="3" t="s">
        <v>77</v>
      </c>
      <c r="I4657" s="3" t="s">
        <v>1043</v>
      </c>
      <c r="J4657" s="3" t="s">
        <v>131</v>
      </c>
      <c r="K4657" s="3">
        <v>1</v>
      </c>
      <c r="L4657" s="3">
        <v>12063.45</v>
      </c>
      <c r="M4657" s="3">
        <v>12063.45</v>
      </c>
      <c r="N4657" s="3">
        <v>8879.4500000000007</v>
      </c>
      <c r="O4657" s="3">
        <v>3184</v>
      </c>
      <c r="P4657" s="3" t="s">
        <v>86</v>
      </c>
    </row>
    <row r="4658" spans="1:16" x14ac:dyDescent="0.35">
      <c r="A4658" s="3" t="s">
        <v>6100</v>
      </c>
      <c r="B4658" s="3" t="s">
        <v>2801</v>
      </c>
      <c r="C4658" s="3" t="s">
        <v>29</v>
      </c>
      <c r="D4658" s="3" t="s">
        <v>90</v>
      </c>
      <c r="E4658" s="3" t="s">
        <v>119</v>
      </c>
      <c r="F4658" s="3" t="s">
        <v>120</v>
      </c>
      <c r="G4658" s="3" t="s">
        <v>51</v>
      </c>
      <c r="H4658" s="3" t="s">
        <v>52</v>
      </c>
      <c r="I4658" s="3" t="s">
        <v>1330</v>
      </c>
      <c r="J4658" s="3" t="s">
        <v>217</v>
      </c>
      <c r="K4658" s="3">
        <v>6</v>
      </c>
      <c r="L4658" s="3">
        <v>27.22</v>
      </c>
      <c r="M4658" s="3">
        <v>163.32</v>
      </c>
      <c r="N4658" s="3">
        <v>62.4</v>
      </c>
      <c r="O4658" s="3">
        <v>100.92</v>
      </c>
      <c r="P4658" s="3" t="s">
        <v>34</v>
      </c>
    </row>
    <row r="4659" spans="1:16" x14ac:dyDescent="0.35">
      <c r="A4659" s="3" t="s">
        <v>6101</v>
      </c>
      <c r="B4659" s="3" t="s">
        <v>1858</v>
      </c>
      <c r="C4659" s="3" t="s">
        <v>89</v>
      </c>
      <c r="D4659" s="3" t="s">
        <v>90</v>
      </c>
      <c r="E4659" s="3" t="s">
        <v>91</v>
      </c>
      <c r="F4659" s="3" t="s">
        <v>92</v>
      </c>
      <c r="G4659" s="3" t="s">
        <v>41</v>
      </c>
      <c r="H4659" s="3" t="s">
        <v>138</v>
      </c>
      <c r="I4659" s="3" t="s">
        <v>2649</v>
      </c>
      <c r="J4659" s="3" t="s">
        <v>25</v>
      </c>
      <c r="K4659" s="3">
        <v>8</v>
      </c>
      <c r="L4659" s="3">
        <v>17894.96</v>
      </c>
      <c r="M4659" s="3">
        <v>143159.67999999999</v>
      </c>
      <c r="N4659" s="3">
        <v>116684.8</v>
      </c>
      <c r="O4659" s="3">
        <v>26474.880000000001</v>
      </c>
      <c r="P4659" s="3" t="s">
        <v>34</v>
      </c>
    </row>
    <row r="4660" spans="1:16" x14ac:dyDescent="0.35">
      <c r="A4660" s="3" t="s">
        <v>6102</v>
      </c>
      <c r="B4660" s="3" t="s">
        <v>696</v>
      </c>
      <c r="C4660" s="3" t="s">
        <v>82</v>
      </c>
      <c r="D4660" s="3" t="s">
        <v>90</v>
      </c>
      <c r="E4660" s="3" t="s">
        <v>97</v>
      </c>
      <c r="F4660" s="3" t="s">
        <v>98</v>
      </c>
      <c r="G4660" s="3" t="s">
        <v>30</v>
      </c>
      <c r="H4660" s="3" t="s">
        <v>31</v>
      </c>
      <c r="I4660" s="3" t="s">
        <v>1075</v>
      </c>
      <c r="J4660" s="3" t="s">
        <v>106</v>
      </c>
      <c r="K4660" s="3">
        <v>2</v>
      </c>
      <c r="L4660" s="3">
        <v>2980.81</v>
      </c>
      <c r="M4660" s="3">
        <v>5961.62</v>
      </c>
      <c r="N4660" s="3">
        <v>3746.32</v>
      </c>
      <c r="O4660" s="3">
        <v>2215.3000000000002</v>
      </c>
      <c r="P4660" s="3" t="s">
        <v>34</v>
      </c>
    </row>
    <row r="4661" spans="1:16" x14ac:dyDescent="0.35">
      <c r="A4661" s="3" t="s">
        <v>6103</v>
      </c>
      <c r="B4661" s="3" t="s">
        <v>889</v>
      </c>
      <c r="C4661" s="3" t="s">
        <v>82</v>
      </c>
      <c r="D4661" s="3" t="s">
        <v>19</v>
      </c>
      <c r="E4661" s="3" t="s">
        <v>49</v>
      </c>
      <c r="F4661" s="3" t="s">
        <v>50</v>
      </c>
      <c r="G4661" s="3" t="s">
        <v>30</v>
      </c>
      <c r="H4661" s="3" t="s">
        <v>67</v>
      </c>
      <c r="I4661" s="3" t="s">
        <v>1443</v>
      </c>
      <c r="J4661" s="3" t="s">
        <v>100</v>
      </c>
      <c r="K4661" s="3">
        <v>8</v>
      </c>
      <c r="L4661" s="3">
        <v>10115.93</v>
      </c>
      <c r="M4661" s="3">
        <v>80927.44</v>
      </c>
      <c r="N4661" s="3">
        <v>62105.97</v>
      </c>
      <c r="O4661" s="3">
        <v>18821.47</v>
      </c>
      <c r="P4661" s="3" t="s">
        <v>45</v>
      </c>
    </row>
    <row r="4662" spans="1:16" x14ac:dyDescent="0.35">
      <c r="A4662" s="3" t="s">
        <v>6104</v>
      </c>
      <c r="B4662" s="3" t="s">
        <v>559</v>
      </c>
      <c r="C4662" s="3" t="s">
        <v>89</v>
      </c>
      <c r="D4662" s="3" t="s">
        <v>38</v>
      </c>
      <c r="E4662" s="3" t="s">
        <v>104</v>
      </c>
      <c r="F4662" s="3" t="s">
        <v>104</v>
      </c>
      <c r="G4662" s="3" t="s">
        <v>30</v>
      </c>
      <c r="H4662" s="3" t="s">
        <v>73</v>
      </c>
      <c r="I4662" s="3" t="s">
        <v>878</v>
      </c>
      <c r="J4662" s="3" t="s">
        <v>188</v>
      </c>
      <c r="K4662" s="3">
        <v>6</v>
      </c>
      <c r="L4662" s="3">
        <v>3058.3</v>
      </c>
      <c r="M4662" s="3">
        <v>18349.8</v>
      </c>
      <c r="N4662" s="3">
        <v>14961.26</v>
      </c>
      <c r="O4662" s="3">
        <v>3388.54</v>
      </c>
      <c r="P4662" s="3" t="s">
        <v>34</v>
      </c>
    </row>
    <row r="4663" spans="1:16" x14ac:dyDescent="0.35">
      <c r="A4663" s="3" t="s">
        <v>6105</v>
      </c>
      <c r="B4663" s="3" t="s">
        <v>1858</v>
      </c>
      <c r="C4663" s="3" t="s">
        <v>89</v>
      </c>
      <c r="D4663" s="3" t="s">
        <v>38</v>
      </c>
      <c r="E4663" s="3" t="s">
        <v>39</v>
      </c>
      <c r="F4663" s="3" t="s">
        <v>40</v>
      </c>
      <c r="G4663" s="3" t="s">
        <v>22</v>
      </c>
      <c r="H4663" s="3" t="s">
        <v>83</v>
      </c>
      <c r="I4663" s="3" t="s">
        <v>2415</v>
      </c>
      <c r="J4663" s="3" t="s">
        <v>54</v>
      </c>
      <c r="K4663" s="3">
        <v>4</v>
      </c>
      <c r="L4663" s="3">
        <v>20716.64</v>
      </c>
      <c r="M4663" s="3">
        <v>82866.559999999998</v>
      </c>
      <c r="N4663" s="3">
        <v>71045.19</v>
      </c>
      <c r="O4663" s="3">
        <v>11821.37</v>
      </c>
      <c r="P4663" s="3" t="s">
        <v>86</v>
      </c>
    </row>
    <row r="4664" spans="1:16" x14ac:dyDescent="0.35">
      <c r="A4664" s="3" t="s">
        <v>6106</v>
      </c>
      <c r="B4664" s="3" t="s">
        <v>666</v>
      </c>
      <c r="C4664" s="3" t="s">
        <v>37</v>
      </c>
      <c r="D4664" s="3" t="s">
        <v>19</v>
      </c>
      <c r="E4664" s="3" t="s">
        <v>49</v>
      </c>
      <c r="F4664" s="3" t="s">
        <v>50</v>
      </c>
      <c r="G4664" s="3" t="s">
        <v>30</v>
      </c>
      <c r="H4664" s="3" t="s">
        <v>73</v>
      </c>
      <c r="I4664" s="3" t="s">
        <v>2563</v>
      </c>
      <c r="J4664" s="3" t="s">
        <v>131</v>
      </c>
      <c r="K4664" s="3">
        <v>8</v>
      </c>
      <c r="L4664" s="3">
        <v>3090.36</v>
      </c>
      <c r="M4664" s="3">
        <v>24722.880000000001</v>
      </c>
      <c r="N4664" s="3">
        <v>19457.060000000001</v>
      </c>
      <c r="O4664" s="3">
        <v>5265.82</v>
      </c>
      <c r="P4664" s="3" t="s">
        <v>45</v>
      </c>
    </row>
    <row r="4665" spans="1:16" x14ac:dyDescent="0.35">
      <c r="A4665" s="3" t="s">
        <v>6107</v>
      </c>
      <c r="B4665" s="3" t="s">
        <v>424</v>
      </c>
      <c r="C4665" s="3" t="s">
        <v>72</v>
      </c>
      <c r="D4665" s="3" t="s">
        <v>58</v>
      </c>
      <c r="E4665" s="3" t="s">
        <v>59</v>
      </c>
      <c r="F4665" s="3" t="s">
        <v>60</v>
      </c>
      <c r="G4665" s="3" t="s">
        <v>22</v>
      </c>
      <c r="H4665" s="3" t="s">
        <v>93</v>
      </c>
      <c r="I4665" s="3" t="s">
        <v>3183</v>
      </c>
      <c r="J4665" s="3" t="s">
        <v>131</v>
      </c>
      <c r="K4665" s="3">
        <v>6</v>
      </c>
      <c r="L4665" s="3">
        <v>6736.51</v>
      </c>
      <c r="M4665" s="3">
        <v>40419.06</v>
      </c>
      <c r="N4665" s="3">
        <v>31151.15</v>
      </c>
      <c r="O4665" s="3">
        <v>9267.91</v>
      </c>
      <c r="P4665" s="3" t="s">
        <v>26</v>
      </c>
    </row>
    <row r="4666" spans="1:16" x14ac:dyDescent="0.35">
      <c r="A4666" s="3" t="s">
        <v>6108</v>
      </c>
      <c r="B4666" s="3" t="s">
        <v>760</v>
      </c>
      <c r="C4666" s="3" t="s">
        <v>114</v>
      </c>
      <c r="D4666" s="3" t="s">
        <v>58</v>
      </c>
      <c r="E4666" s="3" t="s">
        <v>65</v>
      </c>
      <c r="F4666" s="3" t="s">
        <v>66</v>
      </c>
      <c r="G4666" s="3" t="s">
        <v>41</v>
      </c>
      <c r="H4666" s="3" t="s">
        <v>61</v>
      </c>
      <c r="I4666" s="3" t="s">
        <v>2525</v>
      </c>
      <c r="J4666" s="3" t="s">
        <v>171</v>
      </c>
      <c r="K4666" s="3">
        <v>6</v>
      </c>
      <c r="L4666" s="3">
        <v>2696.67</v>
      </c>
      <c r="M4666" s="3">
        <v>16180.02</v>
      </c>
      <c r="N4666" s="3">
        <v>9605.57</v>
      </c>
      <c r="O4666" s="3">
        <v>6574.45</v>
      </c>
      <c r="P4666" s="3" t="s">
        <v>69</v>
      </c>
    </row>
    <row r="4667" spans="1:16" x14ac:dyDescent="0.35">
      <c r="A4667" s="3" t="s">
        <v>6109</v>
      </c>
      <c r="B4667" s="3" t="s">
        <v>367</v>
      </c>
      <c r="C4667" s="3" t="s">
        <v>29</v>
      </c>
      <c r="D4667" s="3" t="s">
        <v>19</v>
      </c>
      <c r="E4667" s="3" t="s">
        <v>20</v>
      </c>
      <c r="F4667" s="3" t="s">
        <v>21</v>
      </c>
      <c r="G4667" s="3" t="s">
        <v>30</v>
      </c>
      <c r="H4667" s="3" t="s">
        <v>67</v>
      </c>
      <c r="I4667" s="3" t="s">
        <v>3381</v>
      </c>
      <c r="J4667" s="3" t="s">
        <v>100</v>
      </c>
      <c r="K4667" s="3">
        <v>4</v>
      </c>
      <c r="L4667" s="3">
        <v>10187.34</v>
      </c>
      <c r="M4667" s="3">
        <v>40749.360000000001</v>
      </c>
      <c r="N4667" s="3">
        <v>30854.85</v>
      </c>
      <c r="O4667" s="3">
        <v>9894.51</v>
      </c>
      <c r="P4667" s="3" t="s">
        <v>26</v>
      </c>
    </row>
    <row r="4668" spans="1:16" x14ac:dyDescent="0.35">
      <c r="A4668" s="3" t="s">
        <v>6110</v>
      </c>
      <c r="B4668" s="3" t="s">
        <v>883</v>
      </c>
      <c r="C4668" s="3" t="s">
        <v>37</v>
      </c>
      <c r="D4668" s="3" t="s">
        <v>19</v>
      </c>
      <c r="E4668" s="3" t="s">
        <v>49</v>
      </c>
      <c r="F4668" s="3" t="s">
        <v>50</v>
      </c>
      <c r="G4668" s="3" t="s">
        <v>41</v>
      </c>
      <c r="H4668" s="3" t="s">
        <v>61</v>
      </c>
      <c r="I4668" s="3" t="s">
        <v>970</v>
      </c>
      <c r="J4668" s="3" t="s">
        <v>44</v>
      </c>
      <c r="K4668" s="3">
        <v>7</v>
      </c>
      <c r="L4668" s="3">
        <v>2258.11</v>
      </c>
      <c r="M4668" s="3">
        <v>15806.77</v>
      </c>
      <c r="N4668" s="3">
        <v>10933.36</v>
      </c>
      <c r="O4668" s="3">
        <v>4873.41</v>
      </c>
      <c r="P4668" s="3" t="s">
        <v>34</v>
      </c>
    </row>
    <row r="4669" spans="1:16" x14ac:dyDescent="0.35">
      <c r="A4669" s="3" t="s">
        <v>6111</v>
      </c>
      <c r="B4669" s="3" t="s">
        <v>488</v>
      </c>
      <c r="C4669" s="3" t="s">
        <v>29</v>
      </c>
      <c r="D4669" s="3" t="s">
        <v>90</v>
      </c>
      <c r="E4669" s="3" t="s">
        <v>91</v>
      </c>
      <c r="F4669" s="3" t="s">
        <v>92</v>
      </c>
      <c r="G4669" s="3" t="s">
        <v>22</v>
      </c>
      <c r="H4669" s="3" t="s">
        <v>23</v>
      </c>
      <c r="I4669" s="3" t="s">
        <v>444</v>
      </c>
      <c r="J4669" s="3" t="s">
        <v>154</v>
      </c>
      <c r="K4669" s="3">
        <v>5</v>
      </c>
      <c r="L4669" s="3">
        <v>3811.61</v>
      </c>
      <c r="M4669" s="3">
        <v>19058.05</v>
      </c>
      <c r="N4669" s="3">
        <v>11491.68</v>
      </c>
      <c r="O4669" s="3">
        <v>7566.37</v>
      </c>
      <c r="P4669" s="3" t="s">
        <v>86</v>
      </c>
    </row>
    <row r="4670" spans="1:16" x14ac:dyDescent="0.35">
      <c r="A4670" s="3" t="s">
        <v>6112</v>
      </c>
      <c r="B4670" s="3" t="s">
        <v>291</v>
      </c>
      <c r="C4670" s="3" t="s">
        <v>48</v>
      </c>
      <c r="D4670" s="3" t="s">
        <v>58</v>
      </c>
      <c r="E4670" s="3" t="s">
        <v>59</v>
      </c>
      <c r="F4670" s="3" t="s">
        <v>60</v>
      </c>
      <c r="G4670" s="3" t="s">
        <v>51</v>
      </c>
      <c r="H4670" s="3" t="s">
        <v>52</v>
      </c>
      <c r="I4670" s="3" t="s">
        <v>1981</v>
      </c>
      <c r="J4670" s="3" t="s">
        <v>217</v>
      </c>
      <c r="K4670" s="3">
        <v>7</v>
      </c>
      <c r="L4670" s="3">
        <v>25.66</v>
      </c>
      <c r="M4670" s="3">
        <v>179.62</v>
      </c>
      <c r="N4670" s="3">
        <v>67.61</v>
      </c>
      <c r="O4670" s="3">
        <v>112.01</v>
      </c>
      <c r="P4670" s="3" t="s">
        <v>45</v>
      </c>
    </row>
    <row r="4671" spans="1:16" x14ac:dyDescent="0.35">
      <c r="A4671" s="3" t="s">
        <v>6113</v>
      </c>
      <c r="B4671" s="3" t="s">
        <v>782</v>
      </c>
      <c r="C4671" s="3" t="s">
        <v>114</v>
      </c>
      <c r="D4671" s="3" t="s">
        <v>19</v>
      </c>
      <c r="E4671" s="3" t="s">
        <v>199</v>
      </c>
      <c r="F4671" s="3" t="s">
        <v>200</v>
      </c>
      <c r="G4671" s="3" t="s">
        <v>30</v>
      </c>
      <c r="H4671" s="3" t="s">
        <v>67</v>
      </c>
      <c r="I4671" s="3" t="s">
        <v>1325</v>
      </c>
      <c r="J4671" s="3" t="s">
        <v>171</v>
      </c>
      <c r="K4671" s="3">
        <v>3</v>
      </c>
      <c r="L4671" s="3">
        <v>9172.33</v>
      </c>
      <c r="M4671" s="3">
        <v>27516.99</v>
      </c>
      <c r="N4671" s="3">
        <v>22820.59</v>
      </c>
      <c r="O4671" s="3">
        <v>4696.3999999999996</v>
      </c>
      <c r="P4671" s="3" t="s">
        <v>34</v>
      </c>
    </row>
    <row r="4672" spans="1:16" x14ac:dyDescent="0.35">
      <c r="A4672" s="3" t="s">
        <v>6114</v>
      </c>
      <c r="B4672" s="3" t="s">
        <v>2041</v>
      </c>
      <c r="C4672" s="3" t="s">
        <v>89</v>
      </c>
      <c r="D4672" s="3" t="s">
        <v>58</v>
      </c>
      <c r="E4672" s="3" t="s">
        <v>65</v>
      </c>
      <c r="F4672" s="3" t="s">
        <v>66</v>
      </c>
      <c r="G4672" s="3" t="s">
        <v>51</v>
      </c>
      <c r="H4672" s="3" t="s">
        <v>145</v>
      </c>
      <c r="I4672" s="3" t="s">
        <v>650</v>
      </c>
      <c r="J4672" s="3" t="s">
        <v>79</v>
      </c>
      <c r="K4672" s="3">
        <v>6</v>
      </c>
      <c r="L4672" s="3">
        <v>123.87</v>
      </c>
      <c r="M4672" s="3">
        <v>743.22</v>
      </c>
      <c r="N4672" s="3">
        <v>377.8</v>
      </c>
      <c r="O4672" s="3">
        <v>365.42</v>
      </c>
      <c r="P4672" s="3" t="s">
        <v>69</v>
      </c>
    </row>
    <row r="4673" spans="1:16" x14ac:dyDescent="0.35">
      <c r="A4673" s="3" t="s">
        <v>6115</v>
      </c>
      <c r="B4673" s="3" t="s">
        <v>767</v>
      </c>
      <c r="C4673" s="3" t="s">
        <v>82</v>
      </c>
      <c r="D4673" s="3" t="s">
        <v>38</v>
      </c>
      <c r="E4673" s="3" t="s">
        <v>104</v>
      </c>
      <c r="F4673" s="3" t="s">
        <v>104</v>
      </c>
      <c r="G4673" s="3" t="s">
        <v>51</v>
      </c>
      <c r="H4673" s="3" t="s">
        <v>77</v>
      </c>
      <c r="I4673" s="3" t="s">
        <v>887</v>
      </c>
      <c r="J4673" s="3" t="s">
        <v>25</v>
      </c>
      <c r="K4673" s="3">
        <v>1</v>
      </c>
      <c r="L4673" s="3">
        <v>11105.34</v>
      </c>
      <c r="M4673" s="3">
        <v>11105.34</v>
      </c>
      <c r="N4673" s="3">
        <v>8994.15</v>
      </c>
      <c r="O4673" s="3">
        <v>2111.19</v>
      </c>
      <c r="P4673" s="3" t="s">
        <v>86</v>
      </c>
    </row>
    <row r="4674" spans="1:16" x14ac:dyDescent="0.35">
      <c r="A4674" s="3" t="s">
        <v>6116</v>
      </c>
      <c r="B4674" s="3" t="s">
        <v>1780</v>
      </c>
      <c r="C4674" s="3" t="s">
        <v>137</v>
      </c>
      <c r="D4674" s="3" t="s">
        <v>38</v>
      </c>
      <c r="E4674" s="3" t="s">
        <v>104</v>
      </c>
      <c r="F4674" s="3" t="s">
        <v>104</v>
      </c>
      <c r="G4674" s="3" t="s">
        <v>41</v>
      </c>
      <c r="H4674" s="3" t="s">
        <v>42</v>
      </c>
      <c r="I4674" s="3" t="s">
        <v>234</v>
      </c>
      <c r="J4674" s="3" t="s">
        <v>188</v>
      </c>
      <c r="K4674" s="3">
        <v>1</v>
      </c>
      <c r="L4674" s="3">
        <v>41277.89</v>
      </c>
      <c r="M4674" s="3">
        <v>41277.89</v>
      </c>
      <c r="N4674" s="3">
        <v>33834.82</v>
      </c>
      <c r="O4674" s="3">
        <v>7443.07</v>
      </c>
      <c r="P4674" s="3" t="s">
        <v>45</v>
      </c>
    </row>
    <row r="4675" spans="1:16" x14ac:dyDescent="0.35">
      <c r="A4675" s="3" t="s">
        <v>6117</v>
      </c>
      <c r="B4675" s="3" t="s">
        <v>502</v>
      </c>
      <c r="C4675" s="3" t="s">
        <v>48</v>
      </c>
      <c r="D4675" s="3" t="s">
        <v>90</v>
      </c>
      <c r="E4675" s="3" t="s">
        <v>119</v>
      </c>
      <c r="F4675" s="3" t="s">
        <v>120</v>
      </c>
      <c r="G4675" s="3" t="s">
        <v>41</v>
      </c>
      <c r="H4675" s="3" t="s">
        <v>42</v>
      </c>
      <c r="I4675" s="3" t="s">
        <v>595</v>
      </c>
      <c r="J4675" s="3" t="s">
        <v>188</v>
      </c>
      <c r="K4675" s="3">
        <v>6</v>
      </c>
      <c r="L4675" s="3">
        <v>49178</v>
      </c>
      <c r="M4675" s="3">
        <v>295068</v>
      </c>
      <c r="N4675" s="3">
        <v>199720.98</v>
      </c>
      <c r="O4675" s="3">
        <v>95347.02</v>
      </c>
      <c r="P4675" s="3" t="s">
        <v>26</v>
      </c>
    </row>
    <row r="4676" spans="1:16" x14ac:dyDescent="0.35">
      <c r="A4676" s="3" t="s">
        <v>6118</v>
      </c>
      <c r="B4676" s="3" t="s">
        <v>1122</v>
      </c>
      <c r="C4676" s="3" t="s">
        <v>118</v>
      </c>
      <c r="D4676" s="3" t="s">
        <v>58</v>
      </c>
      <c r="E4676" s="3" t="s">
        <v>59</v>
      </c>
      <c r="F4676" s="3" t="s">
        <v>60</v>
      </c>
      <c r="G4676" s="3" t="s">
        <v>51</v>
      </c>
      <c r="H4676" s="3" t="s">
        <v>145</v>
      </c>
      <c r="I4676" s="3" t="s">
        <v>261</v>
      </c>
      <c r="J4676" s="3" t="s">
        <v>131</v>
      </c>
      <c r="K4676" s="3">
        <v>8</v>
      </c>
      <c r="L4676" s="3">
        <v>109.86</v>
      </c>
      <c r="M4676" s="3">
        <v>878.88</v>
      </c>
      <c r="N4676" s="3">
        <v>473.75</v>
      </c>
      <c r="O4676" s="3">
        <v>405.13</v>
      </c>
      <c r="P4676" s="3" t="s">
        <v>45</v>
      </c>
    </row>
    <row r="4677" spans="1:16" x14ac:dyDescent="0.35">
      <c r="A4677" s="3" t="s">
        <v>6119</v>
      </c>
      <c r="B4677" s="3" t="s">
        <v>1435</v>
      </c>
      <c r="C4677" s="3" t="s">
        <v>137</v>
      </c>
      <c r="D4677" s="3" t="s">
        <v>19</v>
      </c>
      <c r="E4677" s="3" t="s">
        <v>20</v>
      </c>
      <c r="F4677" s="3" t="s">
        <v>21</v>
      </c>
      <c r="G4677" s="3" t="s">
        <v>41</v>
      </c>
      <c r="H4677" s="3" t="s">
        <v>138</v>
      </c>
      <c r="I4677" s="3" t="s">
        <v>1979</v>
      </c>
      <c r="J4677" s="3" t="s">
        <v>44</v>
      </c>
      <c r="K4677" s="3">
        <v>2</v>
      </c>
      <c r="L4677" s="3">
        <v>18379.060000000001</v>
      </c>
      <c r="M4677" s="3">
        <v>36758.120000000003</v>
      </c>
      <c r="N4677" s="3">
        <v>28950.28</v>
      </c>
      <c r="O4677" s="3">
        <v>7807.84</v>
      </c>
      <c r="P4677" s="3" t="s">
        <v>26</v>
      </c>
    </row>
    <row r="4678" spans="1:16" x14ac:dyDescent="0.35">
      <c r="A4678" s="3" t="s">
        <v>6120</v>
      </c>
      <c r="B4678" s="3" t="s">
        <v>669</v>
      </c>
      <c r="C4678" s="3" t="s">
        <v>57</v>
      </c>
      <c r="D4678" s="3" t="s">
        <v>58</v>
      </c>
      <c r="E4678" s="3" t="s">
        <v>59</v>
      </c>
      <c r="F4678" s="3" t="s">
        <v>60</v>
      </c>
      <c r="G4678" s="3" t="s">
        <v>41</v>
      </c>
      <c r="H4678" s="3" t="s">
        <v>42</v>
      </c>
      <c r="I4678" s="3" t="s">
        <v>240</v>
      </c>
      <c r="J4678" s="3" t="s">
        <v>79</v>
      </c>
      <c r="K4678" s="3">
        <v>8</v>
      </c>
      <c r="L4678" s="3">
        <v>47465.46</v>
      </c>
      <c r="M4678" s="3">
        <v>379723.68</v>
      </c>
      <c r="N4678" s="3">
        <v>276196.90999999997</v>
      </c>
      <c r="O4678" s="3">
        <v>103526.77</v>
      </c>
      <c r="P4678" s="3" t="s">
        <v>69</v>
      </c>
    </row>
    <row r="4679" spans="1:16" x14ac:dyDescent="0.35">
      <c r="A4679" s="3" t="s">
        <v>6121</v>
      </c>
      <c r="B4679" s="3" t="s">
        <v>779</v>
      </c>
      <c r="C4679" s="3" t="s">
        <v>114</v>
      </c>
      <c r="D4679" s="3" t="s">
        <v>38</v>
      </c>
      <c r="E4679" s="3" t="s">
        <v>109</v>
      </c>
      <c r="F4679" s="3" t="s">
        <v>110</v>
      </c>
      <c r="G4679" s="3" t="s">
        <v>30</v>
      </c>
      <c r="H4679" s="3" t="s">
        <v>67</v>
      </c>
      <c r="I4679" s="3" t="s">
        <v>2686</v>
      </c>
      <c r="J4679" s="3" t="s">
        <v>147</v>
      </c>
      <c r="K4679" s="3">
        <v>1</v>
      </c>
      <c r="L4679" s="3">
        <v>9798.76</v>
      </c>
      <c r="M4679" s="3">
        <v>9798.76</v>
      </c>
      <c r="N4679" s="3">
        <v>7694.63</v>
      </c>
      <c r="O4679" s="3">
        <v>2104.13</v>
      </c>
      <c r="P4679" s="3" t="s">
        <v>26</v>
      </c>
    </row>
    <row r="4680" spans="1:16" x14ac:dyDescent="0.35">
      <c r="A4680" s="3" t="s">
        <v>6122</v>
      </c>
      <c r="B4680" s="3" t="s">
        <v>837</v>
      </c>
      <c r="C4680" s="3" t="s">
        <v>72</v>
      </c>
      <c r="D4680" s="3" t="s">
        <v>90</v>
      </c>
      <c r="E4680" s="3" t="s">
        <v>91</v>
      </c>
      <c r="F4680" s="3" t="s">
        <v>92</v>
      </c>
      <c r="G4680" s="3" t="s">
        <v>51</v>
      </c>
      <c r="H4680" s="3" t="s">
        <v>145</v>
      </c>
      <c r="I4680" s="3" t="s">
        <v>514</v>
      </c>
      <c r="J4680" s="3" t="s">
        <v>54</v>
      </c>
      <c r="K4680" s="3">
        <v>1</v>
      </c>
      <c r="L4680" s="3">
        <v>130.65</v>
      </c>
      <c r="M4680" s="3">
        <v>130.65</v>
      </c>
      <c r="N4680" s="3">
        <v>59.84</v>
      </c>
      <c r="O4680" s="3">
        <v>70.81</v>
      </c>
      <c r="P4680" s="3" t="s">
        <v>86</v>
      </c>
    </row>
    <row r="4681" spans="1:16" x14ac:dyDescent="0.35">
      <c r="A4681" s="3" t="s">
        <v>6123</v>
      </c>
      <c r="B4681" s="3" t="s">
        <v>251</v>
      </c>
      <c r="C4681" s="3" t="s">
        <v>37</v>
      </c>
      <c r="D4681" s="3" t="s">
        <v>38</v>
      </c>
      <c r="E4681" s="3" t="s">
        <v>104</v>
      </c>
      <c r="F4681" s="3" t="s">
        <v>104</v>
      </c>
      <c r="G4681" s="3" t="s">
        <v>22</v>
      </c>
      <c r="H4681" s="3" t="s">
        <v>23</v>
      </c>
      <c r="I4681" s="3" t="s">
        <v>822</v>
      </c>
      <c r="J4681" s="3" t="s">
        <v>217</v>
      </c>
      <c r="K4681" s="3">
        <v>3</v>
      </c>
      <c r="L4681" s="3">
        <v>3763.7</v>
      </c>
      <c r="M4681" s="3">
        <v>11291.1</v>
      </c>
      <c r="N4681" s="3">
        <v>6572.5</v>
      </c>
      <c r="O4681" s="3">
        <v>4718.6000000000004</v>
      </c>
      <c r="P4681" s="3" t="s">
        <v>69</v>
      </c>
    </row>
    <row r="4682" spans="1:16" x14ac:dyDescent="0.35">
      <c r="A4682" s="3" t="s">
        <v>6124</v>
      </c>
      <c r="B4682" s="3" t="s">
        <v>1552</v>
      </c>
      <c r="C4682" s="3" t="s">
        <v>114</v>
      </c>
      <c r="D4682" s="3" t="s">
        <v>58</v>
      </c>
      <c r="E4682" s="3" t="s">
        <v>176</v>
      </c>
      <c r="F4682" s="3" t="s">
        <v>177</v>
      </c>
      <c r="G4682" s="3" t="s">
        <v>30</v>
      </c>
      <c r="H4682" s="3" t="s">
        <v>31</v>
      </c>
      <c r="I4682" s="3" t="s">
        <v>2441</v>
      </c>
      <c r="J4682" s="3" t="s">
        <v>100</v>
      </c>
      <c r="K4682" s="3">
        <v>2</v>
      </c>
      <c r="L4682" s="3">
        <v>2804.24</v>
      </c>
      <c r="M4682" s="3">
        <v>5608.48</v>
      </c>
      <c r="N4682" s="3">
        <v>3652.33</v>
      </c>
      <c r="O4682" s="3">
        <v>1956.15</v>
      </c>
      <c r="P4682" s="3" t="s">
        <v>26</v>
      </c>
    </row>
    <row r="4683" spans="1:16" x14ac:dyDescent="0.35">
      <c r="A4683" s="3" t="s">
        <v>6125</v>
      </c>
      <c r="B4683" s="3" t="s">
        <v>777</v>
      </c>
      <c r="C4683" s="3" t="s">
        <v>72</v>
      </c>
      <c r="D4683" s="3" t="s">
        <v>90</v>
      </c>
      <c r="E4683" s="3" t="s">
        <v>119</v>
      </c>
      <c r="F4683" s="3" t="s">
        <v>120</v>
      </c>
      <c r="G4683" s="3" t="s">
        <v>22</v>
      </c>
      <c r="H4683" s="3" t="s">
        <v>23</v>
      </c>
      <c r="I4683" s="3" t="s">
        <v>3298</v>
      </c>
      <c r="J4683" s="3" t="s">
        <v>33</v>
      </c>
      <c r="K4683" s="3">
        <v>7</v>
      </c>
      <c r="L4683" s="3">
        <v>3309.25</v>
      </c>
      <c r="M4683" s="3">
        <v>23164.75</v>
      </c>
      <c r="N4683" s="3">
        <v>15161.79</v>
      </c>
      <c r="O4683" s="3">
        <v>8002.96</v>
      </c>
      <c r="P4683" s="3" t="s">
        <v>26</v>
      </c>
    </row>
    <row r="4684" spans="1:16" x14ac:dyDescent="0.35">
      <c r="A4684" s="3" t="s">
        <v>6126</v>
      </c>
      <c r="B4684" s="3" t="s">
        <v>599</v>
      </c>
      <c r="C4684" s="3" t="s">
        <v>82</v>
      </c>
      <c r="D4684" s="3" t="s">
        <v>58</v>
      </c>
      <c r="E4684" s="3" t="s">
        <v>176</v>
      </c>
      <c r="F4684" s="3" t="s">
        <v>177</v>
      </c>
      <c r="G4684" s="3" t="s">
        <v>22</v>
      </c>
      <c r="H4684" s="3" t="s">
        <v>23</v>
      </c>
      <c r="I4684" s="3" t="s">
        <v>3238</v>
      </c>
      <c r="J4684" s="3" t="s">
        <v>54</v>
      </c>
      <c r="K4684" s="3">
        <v>8</v>
      </c>
      <c r="L4684" s="3">
        <v>3530.54</v>
      </c>
      <c r="M4684" s="3">
        <v>28244.32</v>
      </c>
      <c r="N4684" s="3">
        <v>16824.02</v>
      </c>
      <c r="O4684" s="3">
        <v>11420.3</v>
      </c>
      <c r="P4684" s="3" t="s">
        <v>26</v>
      </c>
    </row>
    <row r="4685" spans="1:16" x14ac:dyDescent="0.35">
      <c r="A4685" s="3" t="s">
        <v>6127</v>
      </c>
      <c r="B4685" s="3" t="s">
        <v>2492</v>
      </c>
      <c r="C4685" s="3" t="s">
        <v>118</v>
      </c>
      <c r="D4685" s="3" t="s">
        <v>90</v>
      </c>
      <c r="E4685" s="3" t="s">
        <v>97</v>
      </c>
      <c r="F4685" s="3" t="s">
        <v>98</v>
      </c>
      <c r="G4685" s="3" t="s">
        <v>22</v>
      </c>
      <c r="H4685" s="3" t="s">
        <v>93</v>
      </c>
      <c r="I4685" s="3" t="s">
        <v>2195</v>
      </c>
      <c r="J4685" s="3" t="s">
        <v>33</v>
      </c>
      <c r="K4685" s="3">
        <v>3</v>
      </c>
      <c r="L4685" s="3">
        <v>6748.77</v>
      </c>
      <c r="M4685" s="3">
        <v>20246.310000000001</v>
      </c>
      <c r="N4685" s="3">
        <v>15717.87</v>
      </c>
      <c r="O4685" s="3">
        <v>4528.4399999999996</v>
      </c>
      <c r="P4685" s="3" t="s">
        <v>69</v>
      </c>
    </row>
    <row r="4686" spans="1:16" x14ac:dyDescent="0.35">
      <c r="A4686" s="3" t="s">
        <v>6128</v>
      </c>
      <c r="B4686" s="3" t="s">
        <v>373</v>
      </c>
      <c r="C4686" s="3" t="s">
        <v>137</v>
      </c>
      <c r="D4686" s="3" t="s">
        <v>90</v>
      </c>
      <c r="E4686" s="3" t="s">
        <v>119</v>
      </c>
      <c r="F4686" s="3" t="s">
        <v>120</v>
      </c>
      <c r="G4686" s="3" t="s">
        <v>51</v>
      </c>
      <c r="H4686" s="3" t="s">
        <v>145</v>
      </c>
      <c r="I4686" s="3" t="s">
        <v>1739</v>
      </c>
      <c r="J4686" s="3" t="s">
        <v>85</v>
      </c>
      <c r="K4686" s="3">
        <v>5</v>
      </c>
      <c r="L4686" s="3">
        <v>116.75</v>
      </c>
      <c r="M4686" s="3">
        <v>583.75</v>
      </c>
      <c r="N4686" s="3">
        <v>299.64999999999998</v>
      </c>
      <c r="O4686" s="3">
        <v>284.10000000000002</v>
      </c>
      <c r="P4686" s="3" t="s">
        <v>26</v>
      </c>
    </row>
    <row r="4687" spans="1:16" x14ac:dyDescent="0.35">
      <c r="A4687" s="3" t="s">
        <v>6129</v>
      </c>
      <c r="B4687" s="3" t="s">
        <v>1499</v>
      </c>
      <c r="C4687" s="3" t="s">
        <v>103</v>
      </c>
      <c r="D4687" s="3" t="s">
        <v>58</v>
      </c>
      <c r="E4687" s="3" t="s">
        <v>65</v>
      </c>
      <c r="F4687" s="3" t="s">
        <v>66</v>
      </c>
      <c r="G4687" s="3" t="s">
        <v>51</v>
      </c>
      <c r="H4687" s="3" t="s">
        <v>52</v>
      </c>
      <c r="I4687" s="3" t="s">
        <v>4175</v>
      </c>
      <c r="J4687" s="3" t="s">
        <v>79</v>
      </c>
      <c r="K4687" s="3">
        <v>3</v>
      </c>
      <c r="L4687" s="3">
        <v>26.58</v>
      </c>
      <c r="M4687" s="3">
        <v>79.739999999999995</v>
      </c>
      <c r="N4687" s="3">
        <v>28.88</v>
      </c>
      <c r="O4687" s="3">
        <v>50.86</v>
      </c>
      <c r="P4687" s="3" t="s">
        <v>26</v>
      </c>
    </row>
    <row r="4688" spans="1:16" x14ac:dyDescent="0.35">
      <c r="A4688" s="3" t="s">
        <v>6130</v>
      </c>
      <c r="B4688" s="3" t="s">
        <v>1089</v>
      </c>
      <c r="C4688" s="3" t="s">
        <v>48</v>
      </c>
      <c r="D4688" s="3" t="s">
        <v>38</v>
      </c>
      <c r="E4688" s="3" t="s">
        <v>39</v>
      </c>
      <c r="F4688" s="3" t="s">
        <v>40</v>
      </c>
      <c r="G4688" s="3" t="s">
        <v>51</v>
      </c>
      <c r="H4688" s="3" t="s">
        <v>77</v>
      </c>
      <c r="I4688" s="3" t="s">
        <v>160</v>
      </c>
      <c r="J4688" s="3" t="s">
        <v>131</v>
      </c>
      <c r="K4688" s="3">
        <v>1</v>
      </c>
      <c r="L4688" s="3">
        <v>10977.61</v>
      </c>
      <c r="M4688" s="3">
        <v>10977.61</v>
      </c>
      <c r="N4688" s="3">
        <v>8671.35</v>
      </c>
      <c r="O4688" s="3">
        <v>2306.2600000000002</v>
      </c>
      <c r="P4688" s="3" t="s">
        <v>86</v>
      </c>
    </row>
    <row r="4689" spans="1:16" x14ac:dyDescent="0.35">
      <c r="A4689" s="3" t="s">
        <v>6131</v>
      </c>
      <c r="B4689" s="3" t="s">
        <v>911</v>
      </c>
      <c r="C4689" s="3" t="s">
        <v>72</v>
      </c>
      <c r="D4689" s="3" t="s">
        <v>38</v>
      </c>
      <c r="E4689" s="3" t="s">
        <v>104</v>
      </c>
      <c r="F4689" s="3" t="s">
        <v>104</v>
      </c>
      <c r="G4689" s="3" t="s">
        <v>22</v>
      </c>
      <c r="H4689" s="3" t="s">
        <v>83</v>
      </c>
      <c r="I4689" s="3" t="s">
        <v>2513</v>
      </c>
      <c r="J4689" s="3" t="s">
        <v>100</v>
      </c>
      <c r="K4689" s="3">
        <v>3</v>
      </c>
      <c r="L4689" s="3">
        <v>22906.17</v>
      </c>
      <c r="M4689" s="3">
        <v>68718.509999999995</v>
      </c>
      <c r="N4689" s="3">
        <v>50724.88</v>
      </c>
      <c r="O4689" s="3">
        <v>17993.63</v>
      </c>
      <c r="P4689" s="3" t="s">
        <v>69</v>
      </c>
    </row>
    <row r="4690" spans="1:16" x14ac:dyDescent="0.35">
      <c r="A4690" s="3" t="s">
        <v>6132</v>
      </c>
      <c r="B4690" s="3" t="s">
        <v>248</v>
      </c>
      <c r="C4690" s="3" t="s">
        <v>82</v>
      </c>
      <c r="D4690" s="3" t="s">
        <v>38</v>
      </c>
      <c r="E4690" s="3" t="s">
        <v>104</v>
      </c>
      <c r="F4690" s="3" t="s">
        <v>104</v>
      </c>
      <c r="G4690" s="3" t="s">
        <v>41</v>
      </c>
      <c r="H4690" s="3" t="s">
        <v>42</v>
      </c>
      <c r="I4690" s="3" t="s">
        <v>4823</v>
      </c>
      <c r="J4690" s="3" t="s">
        <v>161</v>
      </c>
      <c r="K4690" s="3">
        <v>8</v>
      </c>
      <c r="L4690" s="3">
        <v>46970.42</v>
      </c>
      <c r="M4690" s="3">
        <v>375763.36</v>
      </c>
      <c r="N4690" s="3">
        <v>275377.90999999997</v>
      </c>
      <c r="O4690" s="3">
        <v>100385.45</v>
      </c>
      <c r="P4690" s="3" t="s">
        <v>69</v>
      </c>
    </row>
    <row r="4691" spans="1:16" x14ac:dyDescent="0.35">
      <c r="A4691" s="3" t="s">
        <v>6133</v>
      </c>
      <c r="B4691" s="3" t="s">
        <v>960</v>
      </c>
      <c r="C4691" s="3" t="s">
        <v>114</v>
      </c>
      <c r="D4691" s="3" t="s">
        <v>38</v>
      </c>
      <c r="E4691" s="3" t="s">
        <v>109</v>
      </c>
      <c r="F4691" s="3" t="s">
        <v>110</v>
      </c>
      <c r="G4691" s="3" t="s">
        <v>41</v>
      </c>
      <c r="H4691" s="3" t="s">
        <v>138</v>
      </c>
      <c r="I4691" s="3" t="s">
        <v>1327</v>
      </c>
      <c r="J4691" s="3" t="s">
        <v>106</v>
      </c>
      <c r="K4691" s="3">
        <v>8</v>
      </c>
      <c r="L4691" s="3">
        <v>17107.400000000001</v>
      </c>
      <c r="M4691" s="3">
        <v>136859.20000000001</v>
      </c>
      <c r="N4691" s="3">
        <v>110647.28</v>
      </c>
      <c r="O4691" s="3">
        <v>26211.919999999998</v>
      </c>
      <c r="P4691" s="3" t="s">
        <v>69</v>
      </c>
    </row>
    <row r="4692" spans="1:16" x14ac:dyDescent="0.35">
      <c r="A4692" s="3" t="s">
        <v>6134</v>
      </c>
      <c r="B4692" s="3" t="s">
        <v>656</v>
      </c>
      <c r="C4692" s="3" t="s">
        <v>89</v>
      </c>
      <c r="D4692" s="3" t="s">
        <v>58</v>
      </c>
      <c r="E4692" s="3" t="s">
        <v>65</v>
      </c>
      <c r="F4692" s="3" t="s">
        <v>66</v>
      </c>
      <c r="G4692" s="3" t="s">
        <v>30</v>
      </c>
      <c r="H4692" s="3" t="s">
        <v>73</v>
      </c>
      <c r="I4692" s="3" t="s">
        <v>1576</v>
      </c>
      <c r="J4692" s="3" t="s">
        <v>154</v>
      </c>
      <c r="K4692" s="3">
        <v>6</v>
      </c>
      <c r="L4692" s="3">
        <v>3214.3</v>
      </c>
      <c r="M4692" s="3">
        <v>19285.8</v>
      </c>
      <c r="N4692" s="3">
        <v>15030.21</v>
      </c>
      <c r="O4692" s="3">
        <v>4255.59</v>
      </c>
      <c r="P4692" s="3" t="s">
        <v>26</v>
      </c>
    </row>
    <row r="4693" spans="1:16" x14ac:dyDescent="0.35">
      <c r="A4693" s="3" t="s">
        <v>6135</v>
      </c>
      <c r="B4693" s="3" t="s">
        <v>1240</v>
      </c>
      <c r="C4693" s="3" t="s">
        <v>118</v>
      </c>
      <c r="D4693" s="3" t="s">
        <v>90</v>
      </c>
      <c r="E4693" s="3" t="s">
        <v>91</v>
      </c>
      <c r="F4693" s="3" t="s">
        <v>92</v>
      </c>
      <c r="G4693" s="3" t="s">
        <v>30</v>
      </c>
      <c r="H4693" s="3" t="s">
        <v>73</v>
      </c>
      <c r="I4693" s="3" t="s">
        <v>1981</v>
      </c>
      <c r="J4693" s="3" t="s">
        <v>171</v>
      </c>
      <c r="K4693" s="3">
        <v>7</v>
      </c>
      <c r="L4693" s="3">
        <v>3296.66</v>
      </c>
      <c r="M4693" s="3">
        <v>23076.62</v>
      </c>
      <c r="N4693" s="3">
        <v>17541.03</v>
      </c>
      <c r="O4693" s="3">
        <v>5535.59</v>
      </c>
      <c r="P4693" s="3" t="s">
        <v>26</v>
      </c>
    </row>
    <row r="4694" spans="1:16" x14ac:dyDescent="0.35">
      <c r="A4694" s="3" t="s">
        <v>6136</v>
      </c>
      <c r="B4694" s="3" t="s">
        <v>251</v>
      </c>
      <c r="C4694" s="3" t="s">
        <v>37</v>
      </c>
      <c r="D4694" s="3" t="s">
        <v>58</v>
      </c>
      <c r="E4694" s="3" t="s">
        <v>65</v>
      </c>
      <c r="F4694" s="3" t="s">
        <v>66</v>
      </c>
      <c r="G4694" s="3" t="s">
        <v>51</v>
      </c>
      <c r="H4694" s="3" t="s">
        <v>77</v>
      </c>
      <c r="I4694" s="3" t="s">
        <v>2019</v>
      </c>
      <c r="J4694" s="3" t="s">
        <v>106</v>
      </c>
      <c r="K4694" s="3">
        <v>7</v>
      </c>
      <c r="L4694" s="3">
        <v>11420.6</v>
      </c>
      <c r="M4694" s="3">
        <v>79944.2</v>
      </c>
      <c r="N4694" s="3">
        <v>65096.81</v>
      </c>
      <c r="O4694" s="3">
        <v>14847.39</v>
      </c>
      <c r="P4694" s="3" t="s">
        <v>26</v>
      </c>
    </row>
    <row r="4695" spans="1:16" x14ac:dyDescent="0.35">
      <c r="A4695" s="3" t="s">
        <v>6137</v>
      </c>
      <c r="B4695" s="3" t="s">
        <v>1687</v>
      </c>
      <c r="C4695" s="3" t="s">
        <v>18</v>
      </c>
      <c r="D4695" s="3" t="s">
        <v>58</v>
      </c>
      <c r="E4695" s="3" t="s">
        <v>59</v>
      </c>
      <c r="F4695" s="3" t="s">
        <v>60</v>
      </c>
      <c r="G4695" s="3" t="s">
        <v>51</v>
      </c>
      <c r="H4695" s="3" t="s">
        <v>52</v>
      </c>
      <c r="I4695" s="3" t="s">
        <v>1029</v>
      </c>
      <c r="J4695" s="3" t="s">
        <v>154</v>
      </c>
      <c r="K4695" s="3">
        <v>3</v>
      </c>
      <c r="L4695" s="3">
        <v>26.1</v>
      </c>
      <c r="M4695" s="3">
        <v>78.3</v>
      </c>
      <c r="N4695" s="3">
        <v>31.26</v>
      </c>
      <c r="O4695" s="3">
        <v>47.04</v>
      </c>
      <c r="P4695" s="3" t="s">
        <v>26</v>
      </c>
    </row>
    <row r="4696" spans="1:16" x14ac:dyDescent="0.35">
      <c r="A4696" s="3" t="s">
        <v>6138</v>
      </c>
      <c r="B4696" s="3" t="s">
        <v>562</v>
      </c>
      <c r="C4696" s="3" t="s">
        <v>82</v>
      </c>
      <c r="D4696" s="3" t="s">
        <v>38</v>
      </c>
      <c r="E4696" s="3" t="s">
        <v>39</v>
      </c>
      <c r="F4696" s="3" t="s">
        <v>40</v>
      </c>
      <c r="G4696" s="3" t="s">
        <v>22</v>
      </c>
      <c r="H4696" s="3" t="s">
        <v>83</v>
      </c>
      <c r="I4696" s="3" t="s">
        <v>74</v>
      </c>
      <c r="J4696" s="3" t="s">
        <v>131</v>
      </c>
      <c r="K4696" s="3">
        <v>1</v>
      </c>
      <c r="L4696" s="3">
        <v>20883.02</v>
      </c>
      <c r="M4696" s="3">
        <v>20883.02</v>
      </c>
      <c r="N4696" s="3">
        <v>16956.560000000001</v>
      </c>
      <c r="O4696" s="3">
        <v>3926.46</v>
      </c>
      <c r="P4696" s="3" t="s">
        <v>26</v>
      </c>
    </row>
    <row r="4697" spans="1:16" x14ac:dyDescent="0.35">
      <c r="A4697" s="3" t="s">
        <v>6139</v>
      </c>
      <c r="B4697" s="3" t="s">
        <v>1125</v>
      </c>
      <c r="C4697" s="3" t="s">
        <v>57</v>
      </c>
      <c r="D4697" s="3" t="s">
        <v>38</v>
      </c>
      <c r="E4697" s="3" t="s">
        <v>104</v>
      </c>
      <c r="F4697" s="3" t="s">
        <v>104</v>
      </c>
      <c r="G4697" s="3" t="s">
        <v>30</v>
      </c>
      <c r="H4697" s="3" t="s">
        <v>73</v>
      </c>
      <c r="I4697" s="3" t="s">
        <v>1808</v>
      </c>
      <c r="J4697" s="3" t="s">
        <v>54</v>
      </c>
      <c r="K4697" s="3">
        <v>7</v>
      </c>
      <c r="L4697" s="3">
        <v>3470.64</v>
      </c>
      <c r="M4697" s="3">
        <v>24294.48</v>
      </c>
      <c r="N4697" s="3">
        <v>16672.57</v>
      </c>
      <c r="O4697" s="3">
        <v>7621.91</v>
      </c>
      <c r="P4697" s="3" t="s">
        <v>45</v>
      </c>
    </row>
    <row r="4698" spans="1:16" x14ac:dyDescent="0.35">
      <c r="A4698" s="3" t="s">
        <v>6140</v>
      </c>
      <c r="B4698" s="3" t="s">
        <v>398</v>
      </c>
      <c r="C4698" s="3" t="s">
        <v>57</v>
      </c>
      <c r="D4698" s="3" t="s">
        <v>38</v>
      </c>
      <c r="E4698" s="3" t="s">
        <v>109</v>
      </c>
      <c r="F4698" s="3" t="s">
        <v>110</v>
      </c>
      <c r="G4698" s="3" t="s">
        <v>51</v>
      </c>
      <c r="H4698" s="3" t="s">
        <v>52</v>
      </c>
      <c r="I4698" s="3" t="s">
        <v>1160</v>
      </c>
      <c r="J4698" s="3" t="s">
        <v>25</v>
      </c>
      <c r="K4698" s="3">
        <v>1</v>
      </c>
      <c r="L4698" s="3">
        <v>25.03</v>
      </c>
      <c r="M4698" s="3">
        <v>25.03</v>
      </c>
      <c r="N4698" s="3">
        <v>9.56</v>
      </c>
      <c r="O4698" s="3">
        <v>15.47</v>
      </c>
      <c r="P4698" s="3" t="s">
        <v>45</v>
      </c>
    </row>
    <row r="4699" spans="1:16" x14ac:dyDescent="0.35">
      <c r="A4699" s="3" t="s">
        <v>6141</v>
      </c>
      <c r="B4699" s="3" t="s">
        <v>333</v>
      </c>
      <c r="C4699" s="3" t="s">
        <v>118</v>
      </c>
      <c r="D4699" s="3" t="s">
        <v>58</v>
      </c>
      <c r="E4699" s="3" t="s">
        <v>59</v>
      </c>
      <c r="F4699" s="3" t="s">
        <v>60</v>
      </c>
      <c r="G4699" s="3" t="s">
        <v>41</v>
      </c>
      <c r="H4699" s="3" t="s">
        <v>61</v>
      </c>
      <c r="I4699" s="3" t="s">
        <v>2758</v>
      </c>
      <c r="J4699" s="3" t="s">
        <v>25</v>
      </c>
      <c r="K4699" s="3">
        <v>4</v>
      </c>
      <c r="L4699" s="3">
        <v>2547.33</v>
      </c>
      <c r="M4699" s="3">
        <v>10189.32</v>
      </c>
      <c r="N4699" s="3">
        <v>6354.03</v>
      </c>
      <c r="O4699" s="3">
        <v>3835.29</v>
      </c>
      <c r="P4699" s="3" t="s">
        <v>69</v>
      </c>
    </row>
    <row r="4700" spans="1:16" x14ac:dyDescent="0.35">
      <c r="A4700" s="3" t="s">
        <v>6142</v>
      </c>
      <c r="B4700" s="3" t="s">
        <v>536</v>
      </c>
      <c r="C4700" s="3" t="s">
        <v>18</v>
      </c>
      <c r="D4700" s="3" t="s">
        <v>58</v>
      </c>
      <c r="E4700" s="3" t="s">
        <v>176</v>
      </c>
      <c r="F4700" s="3" t="s">
        <v>177</v>
      </c>
      <c r="G4700" s="3" t="s">
        <v>30</v>
      </c>
      <c r="H4700" s="3" t="s">
        <v>31</v>
      </c>
      <c r="I4700" s="3" t="s">
        <v>4093</v>
      </c>
      <c r="J4700" s="3" t="s">
        <v>131</v>
      </c>
      <c r="K4700" s="3">
        <v>6</v>
      </c>
      <c r="L4700" s="3">
        <v>2867.36</v>
      </c>
      <c r="M4700" s="3">
        <v>17204.16</v>
      </c>
      <c r="N4700" s="3">
        <v>11834.53</v>
      </c>
      <c r="O4700" s="3">
        <v>5369.63</v>
      </c>
      <c r="P4700" s="3" t="s">
        <v>69</v>
      </c>
    </row>
    <row r="4701" spans="1:16" x14ac:dyDescent="0.35">
      <c r="A4701" s="3" t="s">
        <v>6143</v>
      </c>
      <c r="B4701" s="3" t="s">
        <v>330</v>
      </c>
      <c r="C4701" s="3" t="s">
        <v>18</v>
      </c>
      <c r="D4701" s="3" t="s">
        <v>38</v>
      </c>
      <c r="E4701" s="3" t="s">
        <v>104</v>
      </c>
      <c r="F4701" s="3" t="s">
        <v>104</v>
      </c>
      <c r="G4701" s="3" t="s">
        <v>22</v>
      </c>
      <c r="H4701" s="3" t="s">
        <v>23</v>
      </c>
      <c r="I4701" s="3" t="s">
        <v>715</v>
      </c>
      <c r="J4701" s="3" t="s">
        <v>161</v>
      </c>
      <c r="K4701" s="3">
        <v>5</v>
      </c>
      <c r="L4701" s="3">
        <v>3551.79</v>
      </c>
      <c r="M4701" s="3">
        <v>17758.95</v>
      </c>
      <c r="N4701" s="3">
        <v>10593.94</v>
      </c>
      <c r="O4701" s="3">
        <v>7165.01</v>
      </c>
      <c r="P4701" s="3" t="s">
        <v>69</v>
      </c>
    </row>
    <row r="4702" spans="1:16" x14ac:dyDescent="0.35">
      <c r="A4702" s="3" t="s">
        <v>6144</v>
      </c>
      <c r="B4702" s="3" t="s">
        <v>859</v>
      </c>
      <c r="C4702" s="3" t="s">
        <v>48</v>
      </c>
      <c r="D4702" s="3" t="s">
        <v>90</v>
      </c>
      <c r="E4702" s="3" t="s">
        <v>119</v>
      </c>
      <c r="F4702" s="3" t="s">
        <v>120</v>
      </c>
      <c r="G4702" s="3" t="s">
        <v>51</v>
      </c>
      <c r="H4702" s="3" t="s">
        <v>145</v>
      </c>
      <c r="I4702" s="3" t="s">
        <v>741</v>
      </c>
      <c r="J4702" s="3" t="s">
        <v>131</v>
      </c>
      <c r="K4702" s="3">
        <v>8</v>
      </c>
      <c r="L4702" s="3">
        <v>121.24</v>
      </c>
      <c r="M4702" s="3">
        <v>969.92</v>
      </c>
      <c r="N4702" s="3">
        <v>458.91</v>
      </c>
      <c r="O4702" s="3">
        <v>511.01</v>
      </c>
      <c r="P4702" s="3" t="s">
        <v>86</v>
      </c>
    </row>
    <row r="4703" spans="1:16" x14ac:dyDescent="0.35">
      <c r="A4703" s="3" t="s">
        <v>6145</v>
      </c>
      <c r="B4703" s="3" t="s">
        <v>315</v>
      </c>
      <c r="C4703" s="3" t="s">
        <v>118</v>
      </c>
      <c r="D4703" s="3" t="s">
        <v>58</v>
      </c>
      <c r="E4703" s="3" t="s">
        <v>176</v>
      </c>
      <c r="F4703" s="3" t="s">
        <v>177</v>
      </c>
      <c r="G4703" s="3" t="s">
        <v>51</v>
      </c>
      <c r="H4703" s="3" t="s">
        <v>52</v>
      </c>
      <c r="I4703" s="3" t="s">
        <v>692</v>
      </c>
      <c r="J4703" s="3" t="s">
        <v>100</v>
      </c>
      <c r="K4703" s="3">
        <v>6</v>
      </c>
      <c r="L4703" s="3">
        <v>25.18</v>
      </c>
      <c r="M4703" s="3">
        <v>151.08000000000001</v>
      </c>
      <c r="N4703" s="3">
        <v>57.59</v>
      </c>
      <c r="O4703" s="3">
        <v>93.49</v>
      </c>
      <c r="P4703" s="3" t="s">
        <v>69</v>
      </c>
    </row>
    <row r="4704" spans="1:16" x14ac:dyDescent="0.35">
      <c r="A4704" s="3" t="s">
        <v>6146</v>
      </c>
      <c r="B4704" s="3" t="s">
        <v>1406</v>
      </c>
      <c r="C4704" s="3" t="s">
        <v>137</v>
      </c>
      <c r="D4704" s="3" t="s">
        <v>19</v>
      </c>
      <c r="E4704" s="3" t="s">
        <v>49</v>
      </c>
      <c r="F4704" s="3" t="s">
        <v>50</v>
      </c>
      <c r="G4704" s="3" t="s">
        <v>51</v>
      </c>
      <c r="H4704" s="3" t="s">
        <v>52</v>
      </c>
      <c r="I4704" s="3" t="s">
        <v>939</v>
      </c>
      <c r="J4704" s="3" t="s">
        <v>100</v>
      </c>
      <c r="K4704" s="3">
        <v>7</v>
      </c>
      <c r="L4704" s="3">
        <v>26.22</v>
      </c>
      <c r="M4704" s="3">
        <v>183.54</v>
      </c>
      <c r="N4704" s="3">
        <v>70.62</v>
      </c>
      <c r="O4704" s="3">
        <v>112.92</v>
      </c>
      <c r="P4704" s="3" t="s">
        <v>69</v>
      </c>
    </row>
    <row r="4705" spans="1:16" x14ac:dyDescent="0.35">
      <c r="A4705" s="3" t="s">
        <v>6147</v>
      </c>
      <c r="B4705" s="3" t="s">
        <v>449</v>
      </c>
      <c r="C4705" s="3" t="s">
        <v>37</v>
      </c>
      <c r="D4705" s="3" t="s">
        <v>38</v>
      </c>
      <c r="E4705" s="3" t="s">
        <v>109</v>
      </c>
      <c r="F4705" s="3" t="s">
        <v>110</v>
      </c>
      <c r="G4705" s="3" t="s">
        <v>22</v>
      </c>
      <c r="H4705" s="3" t="s">
        <v>83</v>
      </c>
      <c r="I4705" s="3" t="s">
        <v>619</v>
      </c>
      <c r="J4705" s="3" t="s">
        <v>171</v>
      </c>
      <c r="K4705" s="3">
        <v>1</v>
      </c>
      <c r="L4705" s="3">
        <v>20952.97</v>
      </c>
      <c r="M4705" s="3">
        <v>20952.97</v>
      </c>
      <c r="N4705" s="3">
        <v>17439.12</v>
      </c>
      <c r="O4705" s="3">
        <v>3513.85</v>
      </c>
      <c r="P4705" s="3" t="s">
        <v>86</v>
      </c>
    </row>
    <row r="4706" spans="1:16" x14ac:dyDescent="0.35">
      <c r="A4706" s="3" t="s">
        <v>6148</v>
      </c>
      <c r="B4706" s="3" t="s">
        <v>1238</v>
      </c>
      <c r="C4706" s="3" t="s">
        <v>82</v>
      </c>
      <c r="D4706" s="3" t="s">
        <v>58</v>
      </c>
      <c r="E4706" s="3" t="s">
        <v>65</v>
      </c>
      <c r="F4706" s="3" t="s">
        <v>66</v>
      </c>
      <c r="G4706" s="3" t="s">
        <v>41</v>
      </c>
      <c r="H4706" s="3" t="s">
        <v>61</v>
      </c>
      <c r="I4706" s="3" t="s">
        <v>1327</v>
      </c>
      <c r="J4706" s="3" t="s">
        <v>79</v>
      </c>
      <c r="K4706" s="3">
        <v>3</v>
      </c>
      <c r="L4706" s="3">
        <v>2566.41</v>
      </c>
      <c r="M4706" s="3">
        <v>7699.23</v>
      </c>
      <c r="N4706" s="3">
        <v>4892.63</v>
      </c>
      <c r="O4706" s="3">
        <v>2806.6</v>
      </c>
      <c r="P4706" s="3" t="s">
        <v>34</v>
      </c>
    </row>
    <row r="4707" spans="1:16" x14ac:dyDescent="0.35">
      <c r="A4707" s="3" t="s">
        <v>6149</v>
      </c>
      <c r="B4707" s="3" t="s">
        <v>268</v>
      </c>
      <c r="C4707" s="3" t="s">
        <v>18</v>
      </c>
      <c r="D4707" s="3" t="s">
        <v>38</v>
      </c>
      <c r="E4707" s="3" t="s">
        <v>39</v>
      </c>
      <c r="F4707" s="3" t="s">
        <v>40</v>
      </c>
      <c r="G4707" s="3" t="s">
        <v>41</v>
      </c>
      <c r="H4707" s="3" t="s">
        <v>61</v>
      </c>
      <c r="I4707" s="3" t="s">
        <v>610</v>
      </c>
      <c r="J4707" s="3" t="s">
        <v>106</v>
      </c>
      <c r="K4707" s="3">
        <v>7</v>
      </c>
      <c r="L4707" s="3">
        <v>2358.79</v>
      </c>
      <c r="M4707" s="3">
        <v>16511.53</v>
      </c>
      <c r="N4707" s="3">
        <v>11306.82</v>
      </c>
      <c r="O4707" s="3">
        <v>5204.71</v>
      </c>
      <c r="P4707" s="3" t="s">
        <v>69</v>
      </c>
    </row>
    <row r="4708" spans="1:16" x14ac:dyDescent="0.35">
      <c r="A4708" s="3" t="s">
        <v>6150</v>
      </c>
      <c r="B4708" s="3" t="s">
        <v>507</v>
      </c>
      <c r="C4708" s="3" t="s">
        <v>118</v>
      </c>
      <c r="D4708" s="3" t="s">
        <v>38</v>
      </c>
      <c r="E4708" s="3" t="s">
        <v>104</v>
      </c>
      <c r="F4708" s="3" t="s">
        <v>104</v>
      </c>
      <c r="G4708" s="3" t="s">
        <v>30</v>
      </c>
      <c r="H4708" s="3" t="s">
        <v>73</v>
      </c>
      <c r="I4708" s="3" t="s">
        <v>3516</v>
      </c>
      <c r="J4708" s="3" t="s">
        <v>44</v>
      </c>
      <c r="K4708" s="3">
        <v>8</v>
      </c>
      <c r="L4708" s="3">
        <v>3498.49</v>
      </c>
      <c r="M4708" s="3">
        <v>27987.919999999998</v>
      </c>
      <c r="N4708" s="3">
        <v>19834.27</v>
      </c>
      <c r="O4708" s="3">
        <v>8153.65</v>
      </c>
      <c r="P4708" s="3" t="s">
        <v>69</v>
      </c>
    </row>
    <row r="4709" spans="1:16" x14ac:dyDescent="0.35">
      <c r="A4709" s="3" t="s">
        <v>6151</v>
      </c>
      <c r="B4709" s="3" t="s">
        <v>723</v>
      </c>
      <c r="C4709" s="3" t="s">
        <v>137</v>
      </c>
      <c r="D4709" s="3" t="s">
        <v>19</v>
      </c>
      <c r="E4709" s="3" t="s">
        <v>49</v>
      </c>
      <c r="F4709" s="3" t="s">
        <v>50</v>
      </c>
      <c r="G4709" s="3" t="s">
        <v>30</v>
      </c>
      <c r="H4709" s="3" t="s">
        <v>67</v>
      </c>
      <c r="I4709" s="3" t="s">
        <v>3435</v>
      </c>
      <c r="J4709" s="3" t="s">
        <v>147</v>
      </c>
      <c r="K4709" s="3">
        <v>8</v>
      </c>
      <c r="L4709" s="3">
        <v>10145.23</v>
      </c>
      <c r="M4709" s="3">
        <v>81161.84</v>
      </c>
      <c r="N4709" s="3">
        <v>63640.89</v>
      </c>
      <c r="O4709" s="3">
        <v>17520.95</v>
      </c>
      <c r="P4709" s="3" t="s">
        <v>69</v>
      </c>
    </row>
    <row r="4710" spans="1:16" x14ac:dyDescent="0.35">
      <c r="A4710" s="3" t="s">
        <v>6152</v>
      </c>
      <c r="B4710" s="3" t="s">
        <v>113</v>
      </c>
      <c r="C4710" s="3" t="s">
        <v>114</v>
      </c>
      <c r="D4710" s="3" t="s">
        <v>19</v>
      </c>
      <c r="E4710" s="3" t="s">
        <v>49</v>
      </c>
      <c r="F4710" s="3" t="s">
        <v>50</v>
      </c>
      <c r="G4710" s="3" t="s">
        <v>41</v>
      </c>
      <c r="H4710" s="3" t="s">
        <v>42</v>
      </c>
      <c r="I4710" s="3" t="s">
        <v>2038</v>
      </c>
      <c r="J4710" s="3" t="s">
        <v>79</v>
      </c>
      <c r="K4710" s="3">
        <v>5</v>
      </c>
      <c r="L4710" s="3">
        <v>40926.81</v>
      </c>
      <c r="M4710" s="3">
        <v>204634.05</v>
      </c>
      <c r="N4710" s="3">
        <v>173579.57</v>
      </c>
      <c r="O4710" s="3">
        <v>31054.48</v>
      </c>
      <c r="P4710" s="3" t="s">
        <v>26</v>
      </c>
    </row>
    <row r="4711" spans="1:16" x14ac:dyDescent="0.35">
      <c r="A4711" s="3" t="s">
        <v>6153</v>
      </c>
      <c r="B4711" s="3" t="s">
        <v>373</v>
      </c>
      <c r="C4711" s="3" t="s">
        <v>137</v>
      </c>
      <c r="D4711" s="3" t="s">
        <v>19</v>
      </c>
      <c r="E4711" s="3" t="s">
        <v>199</v>
      </c>
      <c r="F4711" s="3" t="s">
        <v>200</v>
      </c>
      <c r="G4711" s="3" t="s">
        <v>51</v>
      </c>
      <c r="H4711" s="3" t="s">
        <v>52</v>
      </c>
      <c r="I4711" s="3" t="s">
        <v>1582</v>
      </c>
      <c r="J4711" s="3" t="s">
        <v>171</v>
      </c>
      <c r="K4711" s="3">
        <v>6</v>
      </c>
      <c r="L4711" s="3">
        <v>24.29</v>
      </c>
      <c r="M4711" s="3">
        <v>145.74</v>
      </c>
      <c r="N4711" s="3">
        <v>62.78</v>
      </c>
      <c r="O4711" s="3">
        <v>82.96</v>
      </c>
      <c r="P4711" s="3" t="s">
        <v>86</v>
      </c>
    </row>
    <row r="4712" spans="1:16" x14ac:dyDescent="0.35">
      <c r="A4712" s="3" t="s">
        <v>6154</v>
      </c>
      <c r="B4712" s="3" t="s">
        <v>108</v>
      </c>
      <c r="C4712" s="3" t="s">
        <v>72</v>
      </c>
      <c r="D4712" s="3" t="s">
        <v>19</v>
      </c>
      <c r="E4712" s="3" t="s">
        <v>20</v>
      </c>
      <c r="F4712" s="3" t="s">
        <v>21</v>
      </c>
      <c r="G4712" s="3" t="s">
        <v>22</v>
      </c>
      <c r="H4712" s="3" t="s">
        <v>23</v>
      </c>
      <c r="I4712" s="3" t="s">
        <v>2495</v>
      </c>
      <c r="J4712" s="3" t="s">
        <v>106</v>
      </c>
      <c r="K4712" s="3">
        <v>2</v>
      </c>
      <c r="L4712" s="3">
        <v>3779.17</v>
      </c>
      <c r="M4712" s="3">
        <v>7558.34</v>
      </c>
      <c r="N4712" s="3">
        <v>4338.42</v>
      </c>
      <c r="O4712" s="3">
        <v>3219.92</v>
      </c>
      <c r="P4712" s="3" t="s">
        <v>45</v>
      </c>
    </row>
    <row r="4713" spans="1:16" x14ac:dyDescent="0.35">
      <c r="A4713" s="3" t="s">
        <v>6155</v>
      </c>
      <c r="B4713" s="3" t="s">
        <v>395</v>
      </c>
      <c r="C4713" s="3" t="s">
        <v>29</v>
      </c>
      <c r="D4713" s="3" t="s">
        <v>19</v>
      </c>
      <c r="E4713" s="3" t="s">
        <v>49</v>
      </c>
      <c r="F4713" s="3" t="s">
        <v>50</v>
      </c>
      <c r="G4713" s="3" t="s">
        <v>51</v>
      </c>
      <c r="H4713" s="3" t="s">
        <v>77</v>
      </c>
      <c r="I4713" s="3" t="s">
        <v>2947</v>
      </c>
      <c r="J4713" s="3" t="s">
        <v>79</v>
      </c>
      <c r="K4713" s="3">
        <v>2</v>
      </c>
      <c r="L4713" s="3">
        <v>10833.68</v>
      </c>
      <c r="M4713" s="3">
        <v>21667.360000000001</v>
      </c>
      <c r="N4713" s="3">
        <v>18201.939999999999</v>
      </c>
      <c r="O4713" s="3">
        <v>3465.42</v>
      </c>
      <c r="P4713" s="3" t="s">
        <v>34</v>
      </c>
    </row>
    <row r="4714" spans="1:16" x14ac:dyDescent="0.35">
      <c r="A4714" s="3" t="s">
        <v>6156</v>
      </c>
      <c r="B4714" s="3" t="s">
        <v>1021</v>
      </c>
      <c r="C4714" s="3" t="s">
        <v>82</v>
      </c>
      <c r="D4714" s="3" t="s">
        <v>19</v>
      </c>
      <c r="E4714" s="3" t="s">
        <v>199</v>
      </c>
      <c r="F4714" s="3" t="s">
        <v>200</v>
      </c>
      <c r="G4714" s="3" t="s">
        <v>22</v>
      </c>
      <c r="H4714" s="3" t="s">
        <v>23</v>
      </c>
      <c r="I4714" s="3" t="s">
        <v>706</v>
      </c>
      <c r="J4714" s="3" t="s">
        <v>171</v>
      </c>
      <c r="K4714" s="3">
        <v>5</v>
      </c>
      <c r="L4714" s="3">
        <v>3473.64</v>
      </c>
      <c r="M4714" s="3">
        <v>17368.2</v>
      </c>
      <c r="N4714" s="3">
        <v>10600.5</v>
      </c>
      <c r="O4714" s="3">
        <v>6767.7</v>
      </c>
      <c r="P4714" s="3" t="s">
        <v>45</v>
      </c>
    </row>
    <row r="4715" spans="1:16" x14ac:dyDescent="0.35">
      <c r="A4715" s="3" t="s">
        <v>6157</v>
      </c>
      <c r="B4715" s="3" t="s">
        <v>1276</v>
      </c>
      <c r="C4715" s="3" t="s">
        <v>37</v>
      </c>
      <c r="D4715" s="3" t="s">
        <v>38</v>
      </c>
      <c r="E4715" s="3" t="s">
        <v>104</v>
      </c>
      <c r="F4715" s="3" t="s">
        <v>104</v>
      </c>
      <c r="G4715" s="3" t="s">
        <v>51</v>
      </c>
      <c r="H4715" s="3" t="s">
        <v>77</v>
      </c>
      <c r="I4715" s="3" t="s">
        <v>2246</v>
      </c>
      <c r="J4715" s="3" t="s">
        <v>33</v>
      </c>
      <c r="K4715" s="3">
        <v>4</v>
      </c>
      <c r="L4715" s="3">
        <v>12708.59</v>
      </c>
      <c r="M4715" s="3">
        <v>50834.36</v>
      </c>
      <c r="N4715" s="3">
        <v>37273.86</v>
      </c>
      <c r="O4715" s="3">
        <v>13560.5</v>
      </c>
      <c r="P4715" s="3" t="s">
        <v>26</v>
      </c>
    </row>
    <row r="4716" spans="1:16" x14ac:dyDescent="0.35">
      <c r="A4716" s="3" t="s">
        <v>6158</v>
      </c>
      <c r="B4716" s="3" t="s">
        <v>173</v>
      </c>
      <c r="C4716" s="3" t="s">
        <v>118</v>
      </c>
      <c r="D4716" s="3" t="s">
        <v>38</v>
      </c>
      <c r="E4716" s="3" t="s">
        <v>109</v>
      </c>
      <c r="F4716" s="3" t="s">
        <v>110</v>
      </c>
      <c r="G4716" s="3" t="s">
        <v>41</v>
      </c>
      <c r="H4716" s="3" t="s">
        <v>138</v>
      </c>
      <c r="I4716" s="3" t="s">
        <v>1547</v>
      </c>
      <c r="J4716" s="3" t="s">
        <v>188</v>
      </c>
      <c r="K4716" s="3">
        <v>5</v>
      </c>
      <c r="L4716" s="3">
        <v>18629.84</v>
      </c>
      <c r="M4716" s="3">
        <v>93149.2</v>
      </c>
      <c r="N4716" s="3">
        <v>71458.990000000005</v>
      </c>
      <c r="O4716" s="3">
        <v>21690.21</v>
      </c>
      <c r="P4716" s="3" t="s">
        <v>34</v>
      </c>
    </row>
    <row r="4717" spans="1:16" x14ac:dyDescent="0.35">
      <c r="A4717" s="3" t="s">
        <v>6159</v>
      </c>
      <c r="B4717" s="3" t="s">
        <v>1142</v>
      </c>
      <c r="C4717" s="3" t="s">
        <v>37</v>
      </c>
      <c r="D4717" s="3" t="s">
        <v>90</v>
      </c>
      <c r="E4717" s="3" t="s">
        <v>91</v>
      </c>
      <c r="F4717" s="3" t="s">
        <v>92</v>
      </c>
      <c r="G4717" s="3" t="s">
        <v>22</v>
      </c>
      <c r="H4717" s="3" t="s">
        <v>23</v>
      </c>
      <c r="I4717" s="3" t="s">
        <v>2349</v>
      </c>
      <c r="J4717" s="3" t="s">
        <v>217</v>
      </c>
      <c r="K4717" s="3">
        <v>2</v>
      </c>
      <c r="L4717" s="3">
        <v>3651.62</v>
      </c>
      <c r="M4717" s="3">
        <v>7303.24</v>
      </c>
      <c r="N4717" s="3">
        <v>4535.6400000000003</v>
      </c>
      <c r="O4717" s="3">
        <v>2767.6</v>
      </c>
      <c r="P4717" s="3" t="s">
        <v>86</v>
      </c>
    </row>
    <row r="4718" spans="1:16" x14ac:dyDescent="0.35">
      <c r="A4718" s="3" t="s">
        <v>6160</v>
      </c>
      <c r="B4718" s="3" t="s">
        <v>1136</v>
      </c>
      <c r="C4718" s="3" t="s">
        <v>118</v>
      </c>
      <c r="D4718" s="3" t="s">
        <v>90</v>
      </c>
      <c r="E4718" s="3" t="s">
        <v>91</v>
      </c>
      <c r="F4718" s="3" t="s">
        <v>92</v>
      </c>
      <c r="G4718" s="3" t="s">
        <v>30</v>
      </c>
      <c r="H4718" s="3" t="s">
        <v>73</v>
      </c>
      <c r="I4718" s="3" t="s">
        <v>650</v>
      </c>
      <c r="J4718" s="3" t="s">
        <v>33</v>
      </c>
      <c r="K4718" s="3">
        <v>4</v>
      </c>
      <c r="L4718" s="3">
        <v>3024.28</v>
      </c>
      <c r="M4718" s="3">
        <v>12097.12</v>
      </c>
      <c r="N4718" s="3">
        <v>9829.26</v>
      </c>
      <c r="O4718" s="3">
        <v>2267.86</v>
      </c>
      <c r="P4718" s="3" t="s">
        <v>69</v>
      </c>
    </row>
    <row r="4719" spans="1:16" x14ac:dyDescent="0.35">
      <c r="A4719" s="3" t="s">
        <v>6161</v>
      </c>
      <c r="B4719" s="3" t="s">
        <v>880</v>
      </c>
      <c r="C4719" s="3" t="s">
        <v>114</v>
      </c>
      <c r="D4719" s="3" t="s">
        <v>38</v>
      </c>
      <c r="E4719" s="3" t="s">
        <v>104</v>
      </c>
      <c r="F4719" s="3" t="s">
        <v>104</v>
      </c>
      <c r="G4719" s="3" t="s">
        <v>22</v>
      </c>
      <c r="H4719" s="3" t="s">
        <v>83</v>
      </c>
      <c r="I4719" s="3" t="s">
        <v>2543</v>
      </c>
      <c r="J4719" s="3" t="s">
        <v>171</v>
      </c>
      <c r="K4719" s="3">
        <v>1</v>
      </c>
      <c r="L4719" s="3">
        <v>20487.98</v>
      </c>
      <c r="M4719" s="3">
        <v>20487.98</v>
      </c>
      <c r="N4719" s="3">
        <v>17113.189999999999</v>
      </c>
      <c r="O4719" s="3">
        <v>3374.79</v>
      </c>
      <c r="P4719" s="3" t="s">
        <v>34</v>
      </c>
    </row>
    <row r="4720" spans="1:16" x14ac:dyDescent="0.35">
      <c r="A4720" s="3" t="s">
        <v>6162</v>
      </c>
      <c r="B4720" s="3" t="s">
        <v>1122</v>
      </c>
      <c r="C4720" s="3" t="s">
        <v>118</v>
      </c>
      <c r="D4720" s="3" t="s">
        <v>58</v>
      </c>
      <c r="E4720" s="3" t="s">
        <v>59</v>
      </c>
      <c r="F4720" s="3" t="s">
        <v>60</v>
      </c>
      <c r="G4720" s="3" t="s">
        <v>30</v>
      </c>
      <c r="H4720" s="3" t="s">
        <v>67</v>
      </c>
      <c r="I4720" s="3" t="s">
        <v>3607</v>
      </c>
      <c r="J4720" s="3" t="s">
        <v>188</v>
      </c>
      <c r="K4720" s="3">
        <v>5</v>
      </c>
      <c r="L4720" s="3">
        <v>9376.7999999999993</v>
      </c>
      <c r="M4720" s="3">
        <v>46884</v>
      </c>
      <c r="N4720" s="3">
        <v>36604.54</v>
      </c>
      <c r="O4720" s="3">
        <v>10279.459999999999</v>
      </c>
      <c r="P4720" s="3" t="s">
        <v>86</v>
      </c>
    </row>
    <row r="4721" spans="1:16" x14ac:dyDescent="0.35">
      <c r="A4721" s="3" t="s">
        <v>6163</v>
      </c>
      <c r="B4721" s="3" t="s">
        <v>690</v>
      </c>
      <c r="C4721" s="3" t="s">
        <v>82</v>
      </c>
      <c r="D4721" s="3" t="s">
        <v>90</v>
      </c>
      <c r="E4721" s="3" t="s">
        <v>119</v>
      </c>
      <c r="F4721" s="3" t="s">
        <v>120</v>
      </c>
      <c r="G4721" s="3" t="s">
        <v>41</v>
      </c>
      <c r="H4721" s="3" t="s">
        <v>138</v>
      </c>
      <c r="I4721" s="3" t="s">
        <v>2417</v>
      </c>
      <c r="J4721" s="3" t="s">
        <v>25</v>
      </c>
      <c r="K4721" s="3">
        <v>1</v>
      </c>
      <c r="L4721" s="3">
        <v>17933.46</v>
      </c>
      <c r="M4721" s="3">
        <v>17933.46</v>
      </c>
      <c r="N4721" s="3">
        <v>14637.19</v>
      </c>
      <c r="O4721" s="3">
        <v>3296.27</v>
      </c>
      <c r="P4721" s="3" t="s">
        <v>34</v>
      </c>
    </row>
    <row r="4722" spans="1:16" x14ac:dyDescent="0.35">
      <c r="A4722" s="3" t="s">
        <v>6164</v>
      </c>
      <c r="B4722" s="3" t="s">
        <v>1727</v>
      </c>
      <c r="C4722" s="3" t="s">
        <v>89</v>
      </c>
      <c r="D4722" s="3" t="s">
        <v>90</v>
      </c>
      <c r="E4722" s="3" t="s">
        <v>119</v>
      </c>
      <c r="F4722" s="3" t="s">
        <v>120</v>
      </c>
      <c r="G4722" s="3" t="s">
        <v>51</v>
      </c>
      <c r="H4722" s="3" t="s">
        <v>145</v>
      </c>
      <c r="I4722" s="3" t="s">
        <v>4339</v>
      </c>
      <c r="J4722" s="3" t="s">
        <v>106</v>
      </c>
      <c r="K4722" s="3">
        <v>8</v>
      </c>
      <c r="L4722" s="3">
        <v>128.49</v>
      </c>
      <c r="M4722" s="3">
        <v>1027.92</v>
      </c>
      <c r="N4722" s="3">
        <v>461.05</v>
      </c>
      <c r="O4722" s="3">
        <v>566.87</v>
      </c>
      <c r="P4722" s="3" t="s">
        <v>69</v>
      </c>
    </row>
    <row r="4723" spans="1:16" x14ac:dyDescent="0.35">
      <c r="A4723" s="3" t="s">
        <v>6165</v>
      </c>
      <c r="B4723" s="3" t="s">
        <v>1182</v>
      </c>
      <c r="C4723" s="3" t="s">
        <v>48</v>
      </c>
      <c r="D4723" s="3" t="s">
        <v>19</v>
      </c>
      <c r="E4723" s="3" t="s">
        <v>49</v>
      </c>
      <c r="F4723" s="3" t="s">
        <v>50</v>
      </c>
      <c r="G4723" s="3" t="s">
        <v>51</v>
      </c>
      <c r="H4723" s="3" t="s">
        <v>52</v>
      </c>
      <c r="I4723" s="3" t="s">
        <v>2108</v>
      </c>
      <c r="J4723" s="3" t="s">
        <v>79</v>
      </c>
      <c r="K4723" s="3">
        <v>6</v>
      </c>
      <c r="L4723" s="3">
        <v>26.4</v>
      </c>
      <c r="M4723" s="3">
        <v>158.4</v>
      </c>
      <c r="N4723" s="3">
        <v>62</v>
      </c>
      <c r="O4723" s="3">
        <v>96.4</v>
      </c>
      <c r="P4723" s="3" t="s">
        <v>26</v>
      </c>
    </row>
    <row r="4724" spans="1:16" x14ac:dyDescent="0.35">
      <c r="A4724" s="3" t="s">
        <v>6166</v>
      </c>
      <c r="B4724" s="3" t="s">
        <v>1423</v>
      </c>
      <c r="C4724" s="3" t="s">
        <v>37</v>
      </c>
      <c r="D4724" s="3" t="s">
        <v>38</v>
      </c>
      <c r="E4724" s="3" t="s">
        <v>109</v>
      </c>
      <c r="F4724" s="3" t="s">
        <v>110</v>
      </c>
      <c r="G4724" s="3" t="s">
        <v>51</v>
      </c>
      <c r="H4724" s="3" t="s">
        <v>145</v>
      </c>
      <c r="I4724" s="3" t="s">
        <v>1913</v>
      </c>
      <c r="J4724" s="3" t="s">
        <v>33</v>
      </c>
      <c r="K4724" s="3">
        <v>6</v>
      </c>
      <c r="L4724" s="3">
        <v>108.29</v>
      </c>
      <c r="M4724" s="3">
        <v>649.74</v>
      </c>
      <c r="N4724" s="3">
        <v>365.81</v>
      </c>
      <c r="O4724" s="3">
        <v>283.93</v>
      </c>
      <c r="P4724" s="3" t="s">
        <v>45</v>
      </c>
    </row>
    <row r="4725" spans="1:16" x14ac:dyDescent="0.35">
      <c r="A4725" s="3" t="s">
        <v>6167</v>
      </c>
      <c r="B4725" s="3" t="s">
        <v>555</v>
      </c>
      <c r="C4725" s="3" t="s">
        <v>137</v>
      </c>
      <c r="D4725" s="3" t="s">
        <v>58</v>
      </c>
      <c r="E4725" s="3" t="s">
        <v>59</v>
      </c>
      <c r="F4725" s="3" t="s">
        <v>60</v>
      </c>
      <c r="G4725" s="3" t="s">
        <v>30</v>
      </c>
      <c r="H4725" s="3" t="s">
        <v>73</v>
      </c>
      <c r="I4725" s="3" t="s">
        <v>4415</v>
      </c>
      <c r="J4725" s="3" t="s">
        <v>33</v>
      </c>
      <c r="K4725" s="3">
        <v>7</v>
      </c>
      <c r="L4725" s="3">
        <v>3037.04</v>
      </c>
      <c r="M4725" s="3">
        <v>21259.279999999999</v>
      </c>
      <c r="N4725" s="3">
        <v>16013.48</v>
      </c>
      <c r="O4725" s="3">
        <v>5245.8</v>
      </c>
      <c r="P4725" s="3" t="s">
        <v>69</v>
      </c>
    </row>
    <row r="4726" spans="1:16" x14ac:dyDescent="0.35">
      <c r="A4726" s="3" t="s">
        <v>6168</v>
      </c>
      <c r="B4726" s="3" t="s">
        <v>81</v>
      </c>
      <c r="C4726" s="3" t="s">
        <v>82</v>
      </c>
      <c r="D4726" s="3" t="s">
        <v>90</v>
      </c>
      <c r="E4726" s="3" t="s">
        <v>97</v>
      </c>
      <c r="F4726" s="3" t="s">
        <v>98</v>
      </c>
      <c r="G4726" s="3" t="s">
        <v>22</v>
      </c>
      <c r="H4726" s="3" t="s">
        <v>83</v>
      </c>
      <c r="I4726" s="3" t="s">
        <v>379</v>
      </c>
      <c r="J4726" s="3" t="s">
        <v>33</v>
      </c>
      <c r="K4726" s="3">
        <v>8</v>
      </c>
      <c r="L4726" s="3">
        <v>20384.310000000001</v>
      </c>
      <c r="M4726" s="3">
        <v>163074.48000000001</v>
      </c>
      <c r="N4726" s="3">
        <v>130140.67</v>
      </c>
      <c r="O4726" s="3">
        <v>32933.81</v>
      </c>
      <c r="P4726" s="3" t="s">
        <v>26</v>
      </c>
    </row>
    <row r="4727" spans="1:16" x14ac:dyDescent="0.35">
      <c r="A4727" s="3" t="s">
        <v>6169</v>
      </c>
      <c r="B4727" s="3" t="s">
        <v>1089</v>
      </c>
      <c r="C4727" s="3" t="s">
        <v>48</v>
      </c>
      <c r="D4727" s="3" t="s">
        <v>19</v>
      </c>
      <c r="E4727" s="3" t="s">
        <v>49</v>
      </c>
      <c r="F4727" s="3" t="s">
        <v>50</v>
      </c>
      <c r="G4727" s="3" t="s">
        <v>51</v>
      </c>
      <c r="H4727" s="3" t="s">
        <v>145</v>
      </c>
      <c r="I4727" s="3" t="s">
        <v>3063</v>
      </c>
      <c r="J4727" s="3" t="s">
        <v>79</v>
      </c>
      <c r="K4727" s="3">
        <v>2</v>
      </c>
      <c r="L4727" s="3">
        <v>126.45</v>
      </c>
      <c r="M4727" s="3">
        <v>252.9</v>
      </c>
      <c r="N4727" s="3">
        <v>118.51</v>
      </c>
      <c r="O4727" s="3">
        <v>134.38999999999999</v>
      </c>
      <c r="P4727" s="3" t="s">
        <v>86</v>
      </c>
    </row>
    <row r="4728" spans="1:16" x14ac:dyDescent="0.35">
      <c r="A4728" s="3" t="s">
        <v>6170</v>
      </c>
      <c r="B4728" s="3" t="s">
        <v>798</v>
      </c>
      <c r="C4728" s="3" t="s">
        <v>18</v>
      </c>
      <c r="D4728" s="3" t="s">
        <v>90</v>
      </c>
      <c r="E4728" s="3" t="s">
        <v>119</v>
      </c>
      <c r="F4728" s="3" t="s">
        <v>120</v>
      </c>
      <c r="G4728" s="3" t="s">
        <v>41</v>
      </c>
      <c r="H4728" s="3" t="s">
        <v>61</v>
      </c>
      <c r="I4728" s="3" t="s">
        <v>2960</v>
      </c>
      <c r="J4728" s="3" t="s">
        <v>217</v>
      </c>
      <c r="K4728" s="3">
        <v>1</v>
      </c>
      <c r="L4728" s="3">
        <v>2559.81</v>
      </c>
      <c r="M4728" s="3">
        <v>2559.81</v>
      </c>
      <c r="N4728" s="3">
        <v>1624.96</v>
      </c>
      <c r="O4728" s="3">
        <v>934.85</v>
      </c>
      <c r="P4728" s="3" t="s">
        <v>26</v>
      </c>
    </row>
    <row r="4729" spans="1:16" x14ac:dyDescent="0.35">
      <c r="A4729" s="3" t="s">
        <v>6171</v>
      </c>
      <c r="B4729" s="3" t="s">
        <v>575</v>
      </c>
      <c r="C4729" s="3" t="s">
        <v>137</v>
      </c>
      <c r="D4729" s="3" t="s">
        <v>38</v>
      </c>
      <c r="E4729" s="3" t="s">
        <v>104</v>
      </c>
      <c r="F4729" s="3" t="s">
        <v>104</v>
      </c>
      <c r="G4729" s="3" t="s">
        <v>41</v>
      </c>
      <c r="H4729" s="3" t="s">
        <v>61</v>
      </c>
      <c r="I4729" s="3" t="s">
        <v>4238</v>
      </c>
      <c r="J4729" s="3" t="s">
        <v>147</v>
      </c>
      <c r="K4729" s="3">
        <v>1</v>
      </c>
      <c r="L4729" s="3">
        <v>2394.17</v>
      </c>
      <c r="M4729" s="3">
        <v>2394.17</v>
      </c>
      <c r="N4729" s="3">
        <v>1558.49</v>
      </c>
      <c r="O4729" s="3">
        <v>835.68</v>
      </c>
      <c r="P4729" s="3" t="s">
        <v>34</v>
      </c>
    </row>
    <row r="4730" spans="1:16" x14ac:dyDescent="0.35">
      <c r="A4730" s="3" t="s">
        <v>6172</v>
      </c>
      <c r="B4730" s="3" t="s">
        <v>209</v>
      </c>
      <c r="C4730" s="3" t="s">
        <v>118</v>
      </c>
      <c r="D4730" s="3" t="s">
        <v>58</v>
      </c>
      <c r="E4730" s="3" t="s">
        <v>65</v>
      </c>
      <c r="F4730" s="3" t="s">
        <v>66</v>
      </c>
      <c r="G4730" s="3" t="s">
        <v>51</v>
      </c>
      <c r="H4730" s="3" t="s">
        <v>77</v>
      </c>
      <c r="I4730" s="3" t="s">
        <v>2344</v>
      </c>
      <c r="J4730" s="3" t="s">
        <v>188</v>
      </c>
      <c r="K4730" s="3">
        <v>6</v>
      </c>
      <c r="L4730" s="3">
        <v>11317.88</v>
      </c>
      <c r="M4730" s="3">
        <v>67907.28</v>
      </c>
      <c r="N4730" s="3">
        <v>54070.29</v>
      </c>
      <c r="O4730" s="3">
        <v>13836.99</v>
      </c>
      <c r="P4730" s="3" t="s">
        <v>26</v>
      </c>
    </row>
    <row r="4731" spans="1:16" x14ac:dyDescent="0.35">
      <c r="A4731" s="3" t="s">
        <v>6173</v>
      </c>
      <c r="B4731" s="3" t="s">
        <v>88</v>
      </c>
      <c r="C4731" s="3" t="s">
        <v>89</v>
      </c>
      <c r="D4731" s="3" t="s">
        <v>19</v>
      </c>
      <c r="E4731" s="3" t="s">
        <v>20</v>
      </c>
      <c r="F4731" s="3" t="s">
        <v>21</v>
      </c>
      <c r="G4731" s="3" t="s">
        <v>41</v>
      </c>
      <c r="H4731" s="3" t="s">
        <v>61</v>
      </c>
      <c r="I4731" s="3" t="s">
        <v>4669</v>
      </c>
      <c r="J4731" s="3" t="s">
        <v>131</v>
      </c>
      <c r="K4731" s="3">
        <v>1</v>
      </c>
      <c r="L4731" s="3">
        <v>2506</v>
      </c>
      <c r="M4731" s="3">
        <v>2506</v>
      </c>
      <c r="N4731" s="3">
        <v>1557.07</v>
      </c>
      <c r="O4731" s="3">
        <v>948.93</v>
      </c>
      <c r="P4731" s="3" t="s">
        <v>26</v>
      </c>
    </row>
    <row r="4732" spans="1:16" x14ac:dyDescent="0.35">
      <c r="A4732" s="3" t="s">
        <v>6174</v>
      </c>
      <c r="B4732" s="3" t="s">
        <v>1761</v>
      </c>
      <c r="C4732" s="3" t="s">
        <v>72</v>
      </c>
      <c r="D4732" s="3" t="s">
        <v>90</v>
      </c>
      <c r="E4732" s="3" t="s">
        <v>97</v>
      </c>
      <c r="F4732" s="3" t="s">
        <v>98</v>
      </c>
      <c r="G4732" s="3" t="s">
        <v>22</v>
      </c>
      <c r="H4732" s="3" t="s">
        <v>83</v>
      </c>
      <c r="I4732" s="3" t="s">
        <v>1354</v>
      </c>
      <c r="J4732" s="3" t="s">
        <v>188</v>
      </c>
      <c r="K4732" s="3">
        <v>7</v>
      </c>
      <c r="L4732" s="3">
        <v>21256.76</v>
      </c>
      <c r="M4732" s="3">
        <v>148797.32</v>
      </c>
      <c r="N4732" s="3">
        <v>116172.63</v>
      </c>
      <c r="O4732" s="3">
        <v>32624.69</v>
      </c>
      <c r="P4732" s="3" t="s">
        <v>45</v>
      </c>
    </row>
    <row r="4733" spans="1:16" x14ac:dyDescent="0.35">
      <c r="A4733" s="3" t="s">
        <v>6175</v>
      </c>
      <c r="B4733" s="3" t="s">
        <v>336</v>
      </c>
      <c r="C4733" s="3" t="s">
        <v>29</v>
      </c>
      <c r="D4733" s="3" t="s">
        <v>19</v>
      </c>
      <c r="E4733" s="3" t="s">
        <v>20</v>
      </c>
      <c r="F4733" s="3" t="s">
        <v>21</v>
      </c>
      <c r="G4733" s="3" t="s">
        <v>22</v>
      </c>
      <c r="H4733" s="3" t="s">
        <v>83</v>
      </c>
      <c r="I4733" s="3" t="s">
        <v>2228</v>
      </c>
      <c r="J4733" s="3" t="s">
        <v>79</v>
      </c>
      <c r="K4733" s="3">
        <v>1</v>
      </c>
      <c r="L4733" s="3">
        <v>19850.88</v>
      </c>
      <c r="M4733" s="3">
        <v>19850.88</v>
      </c>
      <c r="N4733" s="3">
        <v>16400.5</v>
      </c>
      <c r="O4733" s="3">
        <v>3450.38</v>
      </c>
      <c r="P4733" s="3" t="s">
        <v>45</v>
      </c>
    </row>
    <row r="4734" spans="1:16" x14ac:dyDescent="0.35">
      <c r="A4734" s="3" t="s">
        <v>6176</v>
      </c>
      <c r="B4734" s="3" t="s">
        <v>688</v>
      </c>
      <c r="C4734" s="3" t="s">
        <v>118</v>
      </c>
      <c r="D4734" s="3" t="s">
        <v>58</v>
      </c>
      <c r="E4734" s="3" t="s">
        <v>176</v>
      </c>
      <c r="F4734" s="3" t="s">
        <v>177</v>
      </c>
      <c r="G4734" s="3" t="s">
        <v>41</v>
      </c>
      <c r="H4734" s="3" t="s">
        <v>61</v>
      </c>
      <c r="I4734" s="3" t="s">
        <v>3018</v>
      </c>
      <c r="J4734" s="3" t="s">
        <v>33</v>
      </c>
      <c r="K4734" s="3">
        <v>3</v>
      </c>
      <c r="L4734" s="3">
        <v>2296.88</v>
      </c>
      <c r="M4734" s="3">
        <v>6890.64</v>
      </c>
      <c r="N4734" s="3">
        <v>4708.45</v>
      </c>
      <c r="O4734" s="3">
        <v>2182.19</v>
      </c>
      <c r="P4734" s="3" t="s">
        <v>69</v>
      </c>
    </row>
    <row r="4735" spans="1:16" x14ac:dyDescent="0.35">
      <c r="A4735" s="3" t="s">
        <v>6177</v>
      </c>
      <c r="B4735" s="3" t="s">
        <v>251</v>
      </c>
      <c r="C4735" s="3" t="s">
        <v>37</v>
      </c>
      <c r="D4735" s="3" t="s">
        <v>19</v>
      </c>
      <c r="E4735" s="3" t="s">
        <v>199</v>
      </c>
      <c r="F4735" s="3" t="s">
        <v>200</v>
      </c>
      <c r="G4735" s="3" t="s">
        <v>51</v>
      </c>
      <c r="H4735" s="3" t="s">
        <v>77</v>
      </c>
      <c r="I4735" s="3" t="s">
        <v>1784</v>
      </c>
      <c r="J4735" s="3" t="s">
        <v>161</v>
      </c>
      <c r="K4735" s="3">
        <v>3</v>
      </c>
      <c r="L4735" s="3">
        <v>12562.56</v>
      </c>
      <c r="M4735" s="3">
        <v>37687.68</v>
      </c>
      <c r="N4735" s="3">
        <v>26299.279999999999</v>
      </c>
      <c r="O4735" s="3">
        <v>11388.4</v>
      </c>
      <c r="P4735" s="3" t="s">
        <v>45</v>
      </c>
    </row>
    <row r="4736" spans="1:16" x14ac:dyDescent="0.35">
      <c r="A4736" s="3" t="s">
        <v>6178</v>
      </c>
      <c r="B4736" s="3" t="s">
        <v>1698</v>
      </c>
      <c r="C4736" s="3" t="s">
        <v>18</v>
      </c>
      <c r="D4736" s="3" t="s">
        <v>19</v>
      </c>
      <c r="E4736" s="3" t="s">
        <v>199</v>
      </c>
      <c r="F4736" s="3" t="s">
        <v>200</v>
      </c>
      <c r="G4736" s="3" t="s">
        <v>22</v>
      </c>
      <c r="H4736" s="3" t="s">
        <v>23</v>
      </c>
      <c r="I4736" s="3" t="s">
        <v>2732</v>
      </c>
      <c r="J4736" s="3" t="s">
        <v>106</v>
      </c>
      <c r="K4736" s="3">
        <v>6</v>
      </c>
      <c r="L4736" s="3">
        <v>3524.21</v>
      </c>
      <c r="M4736" s="3">
        <v>21145.26</v>
      </c>
      <c r="N4736" s="3">
        <v>12858.8</v>
      </c>
      <c r="O4736" s="3">
        <v>8286.4599999999991</v>
      </c>
      <c r="P4736" s="3" t="s">
        <v>69</v>
      </c>
    </row>
    <row r="4737" spans="1:16" x14ac:dyDescent="0.35">
      <c r="A4737" s="3" t="s">
        <v>6179</v>
      </c>
      <c r="B4737" s="3" t="s">
        <v>1269</v>
      </c>
      <c r="C4737" s="3" t="s">
        <v>57</v>
      </c>
      <c r="D4737" s="3" t="s">
        <v>19</v>
      </c>
      <c r="E4737" s="3" t="s">
        <v>199</v>
      </c>
      <c r="F4737" s="3" t="s">
        <v>200</v>
      </c>
      <c r="G4737" s="3" t="s">
        <v>51</v>
      </c>
      <c r="H4737" s="3" t="s">
        <v>77</v>
      </c>
      <c r="I4737" s="3" t="s">
        <v>2523</v>
      </c>
      <c r="J4737" s="3" t="s">
        <v>85</v>
      </c>
      <c r="K4737" s="3">
        <v>2</v>
      </c>
      <c r="L4737" s="3">
        <v>12871.42</v>
      </c>
      <c r="M4737" s="3">
        <v>25742.84</v>
      </c>
      <c r="N4737" s="3">
        <v>17794.330000000002</v>
      </c>
      <c r="O4737" s="3">
        <v>7948.51</v>
      </c>
      <c r="P4737" s="3" t="s">
        <v>34</v>
      </c>
    </row>
    <row r="4738" spans="1:16" x14ac:dyDescent="0.35">
      <c r="A4738" s="3" t="s">
        <v>6180</v>
      </c>
      <c r="B4738" s="3" t="s">
        <v>420</v>
      </c>
      <c r="C4738" s="3" t="s">
        <v>89</v>
      </c>
      <c r="D4738" s="3" t="s">
        <v>38</v>
      </c>
      <c r="E4738" s="3" t="s">
        <v>104</v>
      </c>
      <c r="F4738" s="3" t="s">
        <v>104</v>
      </c>
      <c r="G4738" s="3" t="s">
        <v>41</v>
      </c>
      <c r="H4738" s="3" t="s">
        <v>138</v>
      </c>
      <c r="I4738" s="3" t="s">
        <v>724</v>
      </c>
      <c r="J4738" s="3" t="s">
        <v>44</v>
      </c>
      <c r="K4738" s="3">
        <v>6</v>
      </c>
      <c r="L4738" s="3">
        <v>18629.189999999999</v>
      </c>
      <c r="M4738" s="3">
        <v>111775.14</v>
      </c>
      <c r="N4738" s="3">
        <v>86314.51</v>
      </c>
      <c r="O4738" s="3">
        <v>25460.63</v>
      </c>
      <c r="P4738" s="3" t="s">
        <v>45</v>
      </c>
    </row>
    <row r="4739" spans="1:16" x14ac:dyDescent="0.35">
      <c r="A4739" s="3" t="s">
        <v>6181</v>
      </c>
      <c r="B4739" s="3" t="s">
        <v>108</v>
      </c>
      <c r="C4739" s="3" t="s">
        <v>72</v>
      </c>
      <c r="D4739" s="3" t="s">
        <v>19</v>
      </c>
      <c r="E4739" s="3" t="s">
        <v>20</v>
      </c>
      <c r="F4739" s="3" t="s">
        <v>21</v>
      </c>
      <c r="G4739" s="3" t="s">
        <v>51</v>
      </c>
      <c r="H4739" s="3" t="s">
        <v>77</v>
      </c>
      <c r="I4739" s="3" t="s">
        <v>471</v>
      </c>
      <c r="J4739" s="3" t="s">
        <v>131</v>
      </c>
      <c r="K4739" s="3">
        <v>5</v>
      </c>
      <c r="L4739" s="3">
        <v>12352.66</v>
      </c>
      <c r="M4739" s="3">
        <v>61763.3</v>
      </c>
      <c r="N4739" s="3">
        <v>44073.04</v>
      </c>
      <c r="O4739" s="3">
        <v>17690.259999999998</v>
      </c>
      <c r="P4739" s="3" t="s">
        <v>26</v>
      </c>
    </row>
    <row r="4740" spans="1:16" x14ac:dyDescent="0.35">
      <c r="A4740" s="3" t="s">
        <v>6182</v>
      </c>
      <c r="B4740" s="3" t="s">
        <v>1644</v>
      </c>
      <c r="C4740" s="3" t="s">
        <v>118</v>
      </c>
      <c r="D4740" s="3" t="s">
        <v>38</v>
      </c>
      <c r="E4740" s="3" t="s">
        <v>39</v>
      </c>
      <c r="F4740" s="3" t="s">
        <v>40</v>
      </c>
      <c r="G4740" s="3" t="s">
        <v>30</v>
      </c>
      <c r="H4740" s="3" t="s">
        <v>31</v>
      </c>
      <c r="I4740" s="3" t="s">
        <v>1561</v>
      </c>
      <c r="J4740" s="3" t="s">
        <v>154</v>
      </c>
      <c r="K4740" s="3">
        <v>5</v>
      </c>
      <c r="L4740" s="3">
        <v>2568.61</v>
      </c>
      <c r="M4740" s="3">
        <v>12843.05</v>
      </c>
      <c r="N4740" s="3">
        <v>9397.19</v>
      </c>
      <c r="O4740" s="3">
        <v>3445.86</v>
      </c>
      <c r="P4740" s="3" t="s">
        <v>34</v>
      </c>
    </row>
    <row r="4741" spans="1:16" x14ac:dyDescent="0.35">
      <c r="A4741" s="3" t="s">
        <v>6183</v>
      </c>
      <c r="B4741" s="3" t="s">
        <v>866</v>
      </c>
      <c r="C4741" s="3" t="s">
        <v>72</v>
      </c>
      <c r="D4741" s="3" t="s">
        <v>38</v>
      </c>
      <c r="E4741" s="3" t="s">
        <v>39</v>
      </c>
      <c r="F4741" s="3" t="s">
        <v>40</v>
      </c>
      <c r="G4741" s="3" t="s">
        <v>30</v>
      </c>
      <c r="H4741" s="3" t="s">
        <v>73</v>
      </c>
      <c r="I4741" s="3" t="s">
        <v>334</v>
      </c>
      <c r="J4741" s="3" t="s">
        <v>44</v>
      </c>
      <c r="K4741" s="3">
        <v>8</v>
      </c>
      <c r="L4741" s="3">
        <v>3156.89</v>
      </c>
      <c r="M4741" s="3">
        <v>25255.119999999999</v>
      </c>
      <c r="N4741" s="3">
        <v>19935.89</v>
      </c>
      <c r="O4741" s="3">
        <v>5319.23</v>
      </c>
      <c r="P4741" s="3" t="s">
        <v>69</v>
      </c>
    </row>
    <row r="4742" spans="1:16" x14ac:dyDescent="0.35">
      <c r="A4742" s="3" t="s">
        <v>6184</v>
      </c>
      <c r="B4742" s="3" t="s">
        <v>1226</v>
      </c>
      <c r="C4742" s="3" t="s">
        <v>29</v>
      </c>
      <c r="D4742" s="3" t="s">
        <v>19</v>
      </c>
      <c r="E4742" s="3" t="s">
        <v>49</v>
      </c>
      <c r="F4742" s="3" t="s">
        <v>50</v>
      </c>
      <c r="G4742" s="3" t="s">
        <v>22</v>
      </c>
      <c r="H4742" s="3" t="s">
        <v>83</v>
      </c>
      <c r="I4742" s="3" t="s">
        <v>2475</v>
      </c>
      <c r="J4742" s="3" t="s">
        <v>33</v>
      </c>
      <c r="K4742" s="3">
        <v>2</v>
      </c>
      <c r="L4742" s="3">
        <v>22081.68</v>
      </c>
      <c r="M4742" s="3">
        <v>44163.360000000001</v>
      </c>
      <c r="N4742" s="3">
        <v>35495.19</v>
      </c>
      <c r="O4742" s="3">
        <v>8668.17</v>
      </c>
      <c r="P4742" s="3" t="s">
        <v>69</v>
      </c>
    </row>
    <row r="4743" spans="1:16" x14ac:dyDescent="0.35">
      <c r="A4743" s="3" t="s">
        <v>6185</v>
      </c>
      <c r="B4743" s="3" t="s">
        <v>1578</v>
      </c>
      <c r="C4743" s="3" t="s">
        <v>137</v>
      </c>
      <c r="D4743" s="3" t="s">
        <v>38</v>
      </c>
      <c r="E4743" s="3" t="s">
        <v>39</v>
      </c>
      <c r="F4743" s="3" t="s">
        <v>40</v>
      </c>
      <c r="G4743" s="3" t="s">
        <v>30</v>
      </c>
      <c r="H4743" s="3" t="s">
        <v>31</v>
      </c>
      <c r="I4743" s="3" t="s">
        <v>388</v>
      </c>
      <c r="J4743" s="3" t="s">
        <v>33</v>
      </c>
      <c r="K4743" s="3">
        <v>1</v>
      </c>
      <c r="L4743" s="3">
        <v>2711.21</v>
      </c>
      <c r="M4743" s="3">
        <v>2711.21</v>
      </c>
      <c r="N4743" s="3">
        <v>1872.82</v>
      </c>
      <c r="O4743" s="3">
        <v>838.39</v>
      </c>
      <c r="P4743" s="3" t="s">
        <v>69</v>
      </c>
    </row>
    <row r="4744" spans="1:16" x14ac:dyDescent="0.35">
      <c r="A4744" s="3" t="s">
        <v>6186</v>
      </c>
      <c r="B4744" s="3" t="s">
        <v>847</v>
      </c>
      <c r="C4744" s="3" t="s">
        <v>89</v>
      </c>
      <c r="D4744" s="3" t="s">
        <v>58</v>
      </c>
      <c r="E4744" s="3" t="s">
        <v>59</v>
      </c>
      <c r="F4744" s="3" t="s">
        <v>60</v>
      </c>
      <c r="G4744" s="3" t="s">
        <v>30</v>
      </c>
      <c r="H4744" s="3" t="s">
        <v>31</v>
      </c>
      <c r="I4744" s="3" t="s">
        <v>319</v>
      </c>
      <c r="J4744" s="3" t="s">
        <v>131</v>
      </c>
      <c r="K4744" s="3">
        <v>6</v>
      </c>
      <c r="L4744" s="3">
        <v>2642.88</v>
      </c>
      <c r="M4744" s="3">
        <v>15857.28</v>
      </c>
      <c r="N4744" s="3">
        <v>10877.01</v>
      </c>
      <c r="O4744" s="3">
        <v>4980.2700000000004</v>
      </c>
      <c r="P4744" s="3" t="s">
        <v>34</v>
      </c>
    </row>
    <row r="4745" spans="1:16" x14ac:dyDescent="0.35">
      <c r="A4745" s="3" t="s">
        <v>6187</v>
      </c>
      <c r="B4745" s="3" t="s">
        <v>17</v>
      </c>
      <c r="C4745" s="3" t="s">
        <v>18</v>
      </c>
      <c r="D4745" s="3" t="s">
        <v>19</v>
      </c>
      <c r="E4745" s="3" t="s">
        <v>49</v>
      </c>
      <c r="F4745" s="3" t="s">
        <v>50</v>
      </c>
      <c r="G4745" s="3" t="s">
        <v>41</v>
      </c>
      <c r="H4745" s="3" t="s">
        <v>42</v>
      </c>
      <c r="I4745" s="3" t="s">
        <v>471</v>
      </c>
      <c r="J4745" s="3" t="s">
        <v>85</v>
      </c>
      <c r="K4745" s="3">
        <v>6</v>
      </c>
      <c r="L4745" s="3">
        <v>48900.92</v>
      </c>
      <c r="M4745" s="3">
        <v>293405.52</v>
      </c>
      <c r="N4745" s="3">
        <v>208785.73</v>
      </c>
      <c r="O4745" s="3">
        <v>84619.79</v>
      </c>
      <c r="P4745" s="3" t="s">
        <v>26</v>
      </c>
    </row>
    <row r="4746" spans="1:16" x14ac:dyDescent="0.35">
      <c r="A4746" s="3" t="s">
        <v>6188</v>
      </c>
      <c r="B4746" s="3" t="s">
        <v>654</v>
      </c>
      <c r="C4746" s="3" t="s">
        <v>103</v>
      </c>
      <c r="D4746" s="3" t="s">
        <v>90</v>
      </c>
      <c r="E4746" s="3" t="s">
        <v>97</v>
      </c>
      <c r="F4746" s="3" t="s">
        <v>98</v>
      </c>
      <c r="G4746" s="3" t="s">
        <v>22</v>
      </c>
      <c r="H4746" s="3" t="s">
        <v>93</v>
      </c>
      <c r="I4746" s="3" t="s">
        <v>1744</v>
      </c>
      <c r="J4746" s="3" t="s">
        <v>217</v>
      </c>
      <c r="K4746" s="3">
        <v>7</v>
      </c>
      <c r="L4746" s="3">
        <v>7274.12</v>
      </c>
      <c r="M4746" s="3">
        <v>50918.84</v>
      </c>
      <c r="N4746" s="3">
        <v>36315.25</v>
      </c>
      <c r="O4746" s="3">
        <v>14603.59</v>
      </c>
      <c r="P4746" s="3" t="s">
        <v>34</v>
      </c>
    </row>
    <row r="4747" spans="1:16" x14ac:dyDescent="0.35">
      <c r="A4747" s="3" t="s">
        <v>6189</v>
      </c>
      <c r="B4747" s="3" t="s">
        <v>2089</v>
      </c>
      <c r="C4747" s="3" t="s">
        <v>29</v>
      </c>
      <c r="D4747" s="3" t="s">
        <v>19</v>
      </c>
      <c r="E4747" s="3" t="s">
        <v>49</v>
      </c>
      <c r="F4747" s="3" t="s">
        <v>50</v>
      </c>
      <c r="G4747" s="3" t="s">
        <v>30</v>
      </c>
      <c r="H4747" s="3" t="s">
        <v>31</v>
      </c>
      <c r="I4747" s="3" t="s">
        <v>519</v>
      </c>
      <c r="J4747" s="3" t="s">
        <v>188</v>
      </c>
      <c r="K4747" s="3">
        <v>5</v>
      </c>
      <c r="L4747" s="3">
        <v>2684.82</v>
      </c>
      <c r="M4747" s="3">
        <v>13424.1</v>
      </c>
      <c r="N4747" s="3">
        <v>9853.6200000000008</v>
      </c>
      <c r="O4747" s="3">
        <v>3570.48</v>
      </c>
      <c r="P4747" s="3" t="s">
        <v>45</v>
      </c>
    </row>
    <row r="4748" spans="1:16" x14ac:dyDescent="0.35">
      <c r="A4748" s="3" t="s">
        <v>6190</v>
      </c>
      <c r="B4748" s="3" t="s">
        <v>1140</v>
      </c>
      <c r="C4748" s="3" t="s">
        <v>48</v>
      </c>
      <c r="D4748" s="3" t="s">
        <v>90</v>
      </c>
      <c r="E4748" s="3" t="s">
        <v>97</v>
      </c>
      <c r="F4748" s="3" t="s">
        <v>98</v>
      </c>
      <c r="G4748" s="3" t="s">
        <v>41</v>
      </c>
      <c r="H4748" s="3" t="s">
        <v>42</v>
      </c>
      <c r="I4748" s="3" t="s">
        <v>4334</v>
      </c>
      <c r="J4748" s="3" t="s">
        <v>188</v>
      </c>
      <c r="K4748" s="3">
        <v>3</v>
      </c>
      <c r="L4748" s="3">
        <v>46760.89</v>
      </c>
      <c r="M4748" s="3">
        <v>140282.67000000001</v>
      </c>
      <c r="N4748" s="3">
        <v>105410.6</v>
      </c>
      <c r="O4748" s="3">
        <v>34872.07</v>
      </c>
      <c r="P4748" s="3" t="s">
        <v>26</v>
      </c>
    </row>
    <row r="4749" spans="1:16" x14ac:dyDescent="0.35">
      <c r="A4749" s="3" t="s">
        <v>6191</v>
      </c>
      <c r="B4749" s="3" t="s">
        <v>814</v>
      </c>
      <c r="C4749" s="3" t="s">
        <v>103</v>
      </c>
      <c r="D4749" s="3" t="s">
        <v>90</v>
      </c>
      <c r="E4749" s="3" t="s">
        <v>91</v>
      </c>
      <c r="F4749" s="3" t="s">
        <v>92</v>
      </c>
      <c r="G4749" s="3" t="s">
        <v>22</v>
      </c>
      <c r="H4749" s="3" t="s">
        <v>83</v>
      </c>
      <c r="I4749" s="3" t="s">
        <v>2443</v>
      </c>
      <c r="J4749" s="3" t="s">
        <v>85</v>
      </c>
      <c r="K4749" s="3">
        <v>2</v>
      </c>
      <c r="L4749" s="3">
        <v>22393.97</v>
      </c>
      <c r="M4749" s="3">
        <v>44787.94</v>
      </c>
      <c r="N4749" s="3">
        <v>34333.49</v>
      </c>
      <c r="O4749" s="3">
        <v>10454.450000000001</v>
      </c>
      <c r="P4749" s="3" t="s">
        <v>86</v>
      </c>
    </row>
    <row r="4750" spans="1:16" x14ac:dyDescent="0.35">
      <c r="A4750" s="3" t="s">
        <v>6192</v>
      </c>
      <c r="B4750" s="3" t="s">
        <v>230</v>
      </c>
      <c r="C4750" s="3" t="s">
        <v>118</v>
      </c>
      <c r="D4750" s="3" t="s">
        <v>58</v>
      </c>
      <c r="E4750" s="3" t="s">
        <v>176</v>
      </c>
      <c r="F4750" s="3" t="s">
        <v>177</v>
      </c>
      <c r="G4750" s="3" t="s">
        <v>51</v>
      </c>
      <c r="H4750" s="3" t="s">
        <v>52</v>
      </c>
      <c r="I4750" s="3" t="s">
        <v>679</v>
      </c>
      <c r="J4750" s="3" t="s">
        <v>79</v>
      </c>
      <c r="K4750" s="3">
        <v>2</v>
      </c>
      <c r="L4750" s="3">
        <v>22.6</v>
      </c>
      <c r="M4750" s="3">
        <v>45.2</v>
      </c>
      <c r="N4750" s="3">
        <v>20.190000000000001</v>
      </c>
      <c r="O4750" s="3">
        <v>25.01</v>
      </c>
      <c r="P4750" s="3" t="s">
        <v>45</v>
      </c>
    </row>
    <row r="4751" spans="1:16" x14ac:dyDescent="0.35">
      <c r="A4751" s="3" t="s">
        <v>6193</v>
      </c>
      <c r="B4751" s="3" t="s">
        <v>242</v>
      </c>
      <c r="C4751" s="3" t="s">
        <v>137</v>
      </c>
      <c r="D4751" s="3" t="s">
        <v>90</v>
      </c>
      <c r="E4751" s="3" t="s">
        <v>97</v>
      </c>
      <c r="F4751" s="3" t="s">
        <v>98</v>
      </c>
      <c r="G4751" s="3" t="s">
        <v>22</v>
      </c>
      <c r="H4751" s="3" t="s">
        <v>23</v>
      </c>
      <c r="I4751" s="3" t="s">
        <v>961</v>
      </c>
      <c r="J4751" s="3" t="s">
        <v>79</v>
      </c>
      <c r="K4751" s="3">
        <v>4</v>
      </c>
      <c r="L4751" s="3">
        <v>3388.54</v>
      </c>
      <c r="M4751" s="3">
        <v>13554.16</v>
      </c>
      <c r="N4751" s="3">
        <v>8594.35</v>
      </c>
      <c r="O4751" s="3">
        <v>4959.8100000000004</v>
      </c>
      <c r="P4751" s="3" t="s">
        <v>34</v>
      </c>
    </row>
    <row r="4752" spans="1:16" x14ac:dyDescent="0.35">
      <c r="A4752" s="3" t="s">
        <v>6194</v>
      </c>
      <c r="B4752" s="3" t="s">
        <v>589</v>
      </c>
      <c r="C4752" s="3" t="s">
        <v>137</v>
      </c>
      <c r="D4752" s="3" t="s">
        <v>58</v>
      </c>
      <c r="E4752" s="3" t="s">
        <v>59</v>
      </c>
      <c r="F4752" s="3" t="s">
        <v>60</v>
      </c>
      <c r="G4752" s="3" t="s">
        <v>41</v>
      </c>
      <c r="H4752" s="3" t="s">
        <v>138</v>
      </c>
      <c r="I4752" s="3" t="s">
        <v>2947</v>
      </c>
      <c r="J4752" s="3" t="s">
        <v>217</v>
      </c>
      <c r="K4752" s="3">
        <v>1</v>
      </c>
      <c r="L4752" s="3">
        <v>18318.22</v>
      </c>
      <c r="M4752" s="3">
        <v>18318.22</v>
      </c>
      <c r="N4752" s="3">
        <v>14341.94</v>
      </c>
      <c r="O4752" s="3">
        <v>3976.28</v>
      </c>
      <c r="P4752" s="3" t="s">
        <v>26</v>
      </c>
    </row>
    <row r="4753" spans="1:16" x14ac:dyDescent="0.35">
      <c r="A4753" s="3" t="s">
        <v>6195</v>
      </c>
      <c r="B4753" s="3" t="s">
        <v>28</v>
      </c>
      <c r="C4753" s="3" t="s">
        <v>29</v>
      </c>
      <c r="D4753" s="3" t="s">
        <v>38</v>
      </c>
      <c r="E4753" s="3" t="s">
        <v>104</v>
      </c>
      <c r="F4753" s="3" t="s">
        <v>104</v>
      </c>
      <c r="G4753" s="3" t="s">
        <v>51</v>
      </c>
      <c r="H4753" s="3" t="s">
        <v>52</v>
      </c>
      <c r="I4753" s="3" t="s">
        <v>2356</v>
      </c>
      <c r="J4753" s="3" t="s">
        <v>33</v>
      </c>
      <c r="K4753" s="3">
        <v>3</v>
      </c>
      <c r="L4753" s="3">
        <v>23.19</v>
      </c>
      <c r="M4753" s="3">
        <v>69.569999999999993</v>
      </c>
      <c r="N4753" s="3">
        <v>30.48</v>
      </c>
      <c r="O4753" s="3">
        <v>39.090000000000003</v>
      </c>
      <c r="P4753" s="3" t="s">
        <v>34</v>
      </c>
    </row>
    <row r="4754" spans="1:16" x14ac:dyDescent="0.35">
      <c r="A4754" s="3" t="s">
        <v>6196</v>
      </c>
      <c r="B4754" s="3" t="s">
        <v>536</v>
      </c>
      <c r="C4754" s="3" t="s">
        <v>18</v>
      </c>
      <c r="D4754" s="3" t="s">
        <v>38</v>
      </c>
      <c r="E4754" s="3" t="s">
        <v>104</v>
      </c>
      <c r="F4754" s="3" t="s">
        <v>104</v>
      </c>
      <c r="G4754" s="3" t="s">
        <v>41</v>
      </c>
      <c r="H4754" s="3" t="s">
        <v>61</v>
      </c>
      <c r="I4754" s="3" t="s">
        <v>453</v>
      </c>
      <c r="J4754" s="3" t="s">
        <v>131</v>
      </c>
      <c r="K4754" s="3">
        <v>3</v>
      </c>
      <c r="L4754" s="3">
        <v>2707.94</v>
      </c>
      <c r="M4754" s="3">
        <v>8123.82</v>
      </c>
      <c r="N4754" s="3">
        <v>4707.24</v>
      </c>
      <c r="O4754" s="3">
        <v>3416.58</v>
      </c>
      <c r="P4754" s="3" t="s">
        <v>45</v>
      </c>
    </row>
    <row r="4755" spans="1:16" x14ac:dyDescent="0.35">
      <c r="A4755" s="3" t="s">
        <v>6197</v>
      </c>
      <c r="B4755" s="3" t="s">
        <v>936</v>
      </c>
      <c r="C4755" s="3" t="s">
        <v>89</v>
      </c>
      <c r="D4755" s="3" t="s">
        <v>90</v>
      </c>
      <c r="E4755" s="3" t="s">
        <v>97</v>
      </c>
      <c r="F4755" s="3" t="s">
        <v>98</v>
      </c>
      <c r="G4755" s="3" t="s">
        <v>30</v>
      </c>
      <c r="H4755" s="3" t="s">
        <v>67</v>
      </c>
      <c r="I4755" s="3" t="s">
        <v>466</v>
      </c>
      <c r="J4755" s="3" t="s">
        <v>131</v>
      </c>
      <c r="K4755" s="3">
        <v>4</v>
      </c>
      <c r="L4755" s="3">
        <v>9430.69</v>
      </c>
      <c r="M4755" s="3">
        <v>37722.76</v>
      </c>
      <c r="N4755" s="3">
        <v>29137.41</v>
      </c>
      <c r="O4755" s="3">
        <v>8585.35</v>
      </c>
      <c r="P4755" s="3" t="s">
        <v>69</v>
      </c>
    </row>
    <row r="4756" spans="1:16" x14ac:dyDescent="0.35">
      <c r="A4756" s="3" t="s">
        <v>6198</v>
      </c>
      <c r="B4756" s="3" t="s">
        <v>866</v>
      </c>
      <c r="C4756" s="3" t="s">
        <v>72</v>
      </c>
      <c r="D4756" s="3" t="s">
        <v>19</v>
      </c>
      <c r="E4756" s="3" t="s">
        <v>20</v>
      </c>
      <c r="F4756" s="3" t="s">
        <v>21</v>
      </c>
      <c r="G4756" s="3" t="s">
        <v>41</v>
      </c>
      <c r="H4756" s="3" t="s">
        <v>61</v>
      </c>
      <c r="I4756" s="3" t="s">
        <v>667</v>
      </c>
      <c r="J4756" s="3" t="s">
        <v>147</v>
      </c>
      <c r="K4756" s="3">
        <v>6</v>
      </c>
      <c r="L4756" s="3">
        <v>2493.7399999999998</v>
      </c>
      <c r="M4756" s="3">
        <v>14962.44</v>
      </c>
      <c r="N4756" s="3">
        <v>9973.07</v>
      </c>
      <c r="O4756" s="3">
        <v>4989.37</v>
      </c>
      <c r="P4756" s="3" t="s">
        <v>34</v>
      </c>
    </row>
    <row r="4757" spans="1:16" x14ac:dyDescent="0.35">
      <c r="A4757" s="3" t="s">
        <v>6199</v>
      </c>
      <c r="B4757" s="3" t="s">
        <v>856</v>
      </c>
      <c r="C4757" s="3" t="s">
        <v>103</v>
      </c>
      <c r="D4757" s="3" t="s">
        <v>38</v>
      </c>
      <c r="E4757" s="3" t="s">
        <v>39</v>
      </c>
      <c r="F4757" s="3" t="s">
        <v>40</v>
      </c>
      <c r="G4757" s="3" t="s">
        <v>41</v>
      </c>
      <c r="H4757" s="3" t="s">
        <v>42</v>
      </c>
      <c r="I4757" s="3" t="s">
        <v>3615</v>
      </c>
      <c r="J4757" s="3" t="s">
        <v>54</v>
      </c>
      <c r="K4757" s="3">
        <v>1</v>
      </c>
      <c r="L4757" s="3">
        <v>44922.9</v>
      </c>
      <c r="M4757" s="3">
        <v>44922.9</v>
      </c>
      <c r="N4757" s="3">
        <v>35244.720000000001</v>
      </c>
      <c r="O4757" s="3">
        <v>9678.18</v>
      </c>
      <c r="P4757" s="3" t="s">
        <v>86</v>
      </c>
    </row>
    <row r="4758" spans="1:16" x14ac:dyDescent="0.35">
      <c r="A4758" s="3" t="s">
        <v>6200</v>
      </c>
      <c r="B4758" s="3" t="s">
        <v>1166</v>
      </c>
      <c r="C4758" s="3" t="s">
        <v>118</v>
      </c>
      <c r="D4758" s="3" t="s">
        <v>90</v>
      </c>
      <c r="E4758" s="3" t="s">
        <v>119</v>
      </c>
      <c r="F4758" s="3" t="s">
        <v>120</v>
      </c>
      <c r="G4758" s="3" t="s">
        <v>30</v>
      </c>
      <c r="H4758" s="3" t="s">
        <v>67</v>
      </c>
      <c r="I4758" s="3" t="s">
        <v>3298</v>
      </c>
      <c r="J4758" s="3" t="s">
        <v>188</v>
      </c>
      <c r="K4758" s="3">
        <v>3</v>
      </c>
      <c r="L4758" s="3">
        <v>10224.14</v>
      </c>
      <c r="M4758" s="3">
        <v>30672.42</v>
      </c>
      <c r="N4758" s="3">
        <v>23518.7</v>
      </c>
      <c r="O4758" s="3">
        <v>7153.72</v>
      </c>
      <c r="P4758" s="3" t="s">
        <v>34</v>
      </c>
    </row>
    <row r="4759" spans="1:16" x14ac:dyDescent="0.35">
      <c r="A4759" s="3" t="s">
        <v>6201</v>
      </c>
      <c r="B4759" s="3" t="s">
        <v>534</v>
      </c>
      <c r="C4759" s="3" t="s">
        <v>29</v>
      </c>
      <c r="D4759" s="3" t="s">
        <v>58</v>
      </c>
      <c r="E4759" s="3" t="s">
        <v>176</v>
      </c>
      <c r="F4759" s="3" t="s">
        <v>177</v>
      </c>
      <c r="G4759" s="3" t="s">
        <v>30</v>
      </c>
      <c r="H4759" s="3" t="s">
        <v>67</v>
      </c>
      <c r="I4759" s="3" t="s">
        <v>1977</v>
      </c>
      <c r="J4759" s="3" t="s">
        <v>25</v>
      </c>
      <c r="K4759" s="3">
        <v>8</v>
      </c>
      <c r="L4759" s="3">
        <v>8729.57</v>
      </c>
      <c r="M4759" s="3">
        <v>69836.56</v>
      </c>
      <c r="N4759" s="3">
        <v>58904.2</v>
      </c>
      <c r="O4759" s="3">
        <v>10932.36</v>
      </c>
      <c r="P4759" s="3" t="s">
        <v>26</v>
      </c>
    </row>
    <row r="4760" spans="1:16" x14ac:dyDescent="0.35">
      <c r="A4760" s="3" t="s">
        <v>6202</v>
      </c>
      <c r="B4760" s="3" t="s">
        <v>310</v>
      </c>
      <c r="C4760" s="3" t="s">
        <v>37</v>
      </c>
      <c r="D4760" s="3" t="s">
        <v>58</v>
      </c>
      <c r="E4760" s="3" t="s">
        <v>65</v>
      </c>
      <c r="F4760" s="3" t="s">
        <v>66</v>
      </c>
      <c r="G4760" s="3" t="s">
        <v>30</v>
      </c>
      <c r="H4760" s="3" t="s">
        <v>67</v>
      </c>
      <c r="I4760" s="3" t="s">
        <v>1782</v>
      </c>
      <c r="J4760" s="3" t="s">
        <v>188</v>
      </c>
      <c r="K4760" s="3">
        <v>8</v>
      </c>
      <c r="L4760" s="3">
        <v>8853.06</v>
      </c>
      <c r="M4760" s="3">
        <v>70824.479999999996</v>
      </c>
      <c r="N4760" s="3">
        <v>58455.23</v>
      </c>
      <c r="O4760" s="3">
        <v>12369.25</v>
      </c>
      <c r="P4760" s="3" t="s">
        <v>69</v>
      </c>
    </row>
    <row r="4761" spans="1:16" x14ac:dyDescent="0.35">
      <c r="A4761" s="3" t="s">
        <v>6203</v>
      </c>
      <c r="B4761" s="3" t="s">
        <v>507</v>
      </c>
      <c r="C4761" s="3" t="s">
        <v>118</v>
      </c>
      <c r="D4761" s="3" t="s">
        <v>38</v>
      </c>
      <c r="E4761" s="3" t="s">
        <v>104</v>
      </c>
      <c r="F4761" s="3" t="s">
        <v>104</v>
      </c>
      <c r="G4761" s="3" t="s">
        <v>22</v>
      </c>
      <c r="H4761" s="3" t="s">
        <v>83</v>
      </c>
      <c r="I4761" s="3" t="s">
        <v>441</v>
      </c>
      <c r="J4761" s="3" t="s">
        <v>217</v>
      </c>
      <c r="K4761" s="3">
        <v>2</v>
      </c>
      <c r="L4761" s="3">
        <v>23422.58</v>
      </c>
      <c r="M4761" s="3">
        <v>46845.16</v>
      </c>
      <c r="N4761" s="3">
        <v>33737.81</v>
      </c>
      <c r="O4761" s="3">
        <v>13107.35</v>
      </c>
      <c r="P4761" s="3" t="s">
        <v>26</v>
      </c>
    </row>
    <row r="4762" spans="1:16" x14ac:dyDescent="0.35">
      <c r="A4762" s="3" t="s">
        <v>6204</v>
      </c>
      <c r="B4762" s="3" t="s">
        <v>2280</v>
      </c>
      <c r="C4762" s="3" t="s">
        <v>89</v>
      </c>
      <c r="D4762" s="3" t="s">
        <v>38</v>
      </c>
      <c r="E4762" s="3" t="s">
        <v>39</v>
      </c>
      <c r="F4762" s="3" t="s">
        <v>40</v>
      </c>
      <c r="G4762" s="3" t="s">
        <v>22</v>
      </c>
      <c r="H4762" s="3" t="s">
        <v>93</v>
      </c>
      <c r="I4762" s="3" t="s">
        <v>486</v>
      </c>
      <c r="J4762" s="3" t="s">
        <v>44</v>
      </c>
      <c r="K4762" s="3">
        <v>7</v>
      </c>
      <c r="L4762" s="3">
        <v>6844.38</v>
      </c>
      <c r="M4762" s="3">
        <v>47910.66</v>
      </c>
      <c r="N4762" s="3">
        <v>33716.44</v>
      </c>
      <c r="O4762" s="3">
        <v>14194.22</v>
      </c>
      <c r="P4762" s="3" t="s">
        <v>69</v>
      </c>
    </row>
    <row r="4763" spans="1:16" x14ac:dyDescent="0.35">
      <c r="A4763" s="3" t="s">
        <v>6205</v>
      </c>
      <c r="B4763" s="3" t="s">
        <v>1255</v>
      </c>
      <c r="C4763" s="3" t="s">
        <v>72</v>
      </c>
      <c r="D4763" s="3" t="s">
        <v>90</v>
      </c>
      <c r="E4763" s="3" t="s">
        <v>119</v>
      </c>
      <c r="F4763" s="3" t="s">
        <v>120</v>
      </c>
      <c r="G4763" s="3" t="s">
        <v>51</v>
      </c>
      <c r="H4763" s="3" t="s">
        <v>77</v>
      </c>
      <c r="I4763" s="3" t="s">
        <v>2740</v>
      </c>
      <c r="J4763" s="3" t="s">
        <v>85</v>
      </c>
      <c r="K4763" s="3">
        <v>6</v>
      </c>
      <c r="L4763" s="3">
        <v>11350.06</v>
      </c>
      <c r="M4763" s="3">
        <v>68100.36</v>
      </c>
      <c r="N4763" s="3">
        <v>51679.76</v>
      </c>
      <c r="O4763" s="3">
        <v>16420.599999999999</v>
      </c>
      <c r="P4763" s="3" t="s">
        <v>69</v>
      </c>
    </row>
    <row r="4764" spans="1:16" x14ac:dyDescent="0.35">
      <c r="A4764" s="3" t="s">
        <v>6206</v>
      </c>
      <c r="B4764" s="3" t="s">
        <v>1021</v>
      </c>
      <c r="C4764" s="3" t="s">
        <v>82</v>
      </c>
      <c r="D4764" s="3" t="s">
        <v>19</v>
      </c>
      <c r="E4764" s="3" t="s">
        <v>49</v>
      </c>
      <c r="F4764" s="3" t="s">
        <v>50</v>
      </c>
      <c r="G4764" s="3" t="s">
        <v>30</v>
      </c>
      <c r="H4764" s="3" t="s">
        <v>67</v>
      </c>
      <c r="I4764" s="3" t="s">
        <v>396</v>
      </c>
      <c r="J4764" s="3" t="s">
        <v>33</v>
      </c>
      <c r="K4764" s="3">
        <v>3</v>
      </c>
      <c r="L4764" s="3">
        <v>9493.7900000000009</v>
      </c>
      <c r="M4764" s="3">
        <v>28481.37</v>
      </c>
      <c r="N4764" s="3">
        <v>23867.17</v>
      </c>
      <c r="O4764" s="3">
        <v>4614.2</v>
      </c>
      <c r="P4764" s="3" t="s">
        <v>69</v>
      </c>
    </row>
    <row r="4765" spans="1:16" x14ac:dyDescent="0.35">
      <c r="A4765" s="3" t="s">
        <v>6207</v>
      </c>
      <c r="B4765" s="3" t="s">
        <v>1546</v>
      </c>
      <c r="C4765" s="3" t="s">
        <v>82</v>
      </c>
      <c r="D4765" s="3" t="s">
        <v>58</v>
      </c>
      <c r="E4765" s="3" t="s">
        <v>59</v>
      </c>
      <c r="F4765" s="3" t="s">
        <v>60</v>
      </c>
      <c r="G4765" s="3" t="s">
        <v>51</v>
      </c>
      <c r="H4765" s="3" t="s">
        <v>52</v>
      </c>
      <c r="I4765" s="3" t="s">
        <v>542</v>
      </c>
      <c r="J4765" s="3" t="s">
        <v>188</v>
      </c>
      <c r="K4765" s="3">
        <v>4</v>
      </c>
      <c r="L4765" s="3">
        <v>23.21</v>
      </c>
      <c r="M4765" s="3">
        <v>92.84</v>
      </c>
      <c r="N4765" s="3">
        <v>38.1</v>
      </c>
      <c r="O4765" s="3">
        <v>54.74</v>
      </c>
      <c r="P4765" s="3" t="s">
        <v>86</v>
      </c>
    </row>
    <row r="4766" spans="1:16" x14ac:dyDescent="0.35">
      <c r="A4766" s="3" t="s">
        <v>6208</v>
      </c>
      <c r="B4766" s="3" t="s">
        <v>1623</v>
      </c>
      <c r="C4766" s="3" t="s">
        <v>29</v>
      </c>
      <c r="D4766" s="3" t="s">
        <v>90</v>
      </c>
      <c r="E4766" s="3" t="s">
        <v>119</v>
      </c>
      <c r="F4766" s="3" t="s">
        <v>120</v>
      </c>
      <c r="G4766" s="3" t="s">
        <v>22</v>
      </c>
      <c r="H4766" s="3" t="s">
        <v>23</v>
      </c>
      <c r="I4766" s="3" t="s">
        <v>568</v>
      </c>
      <c r="J4766" s="3" t="s">
        <v>154</v>
      </c>
      <c r="K4766" s="3">
        <v>3</v>
      </c>
      <c r="L4766" s="3">
        <v>3219.59</v>
      </c>
      <c r="M4766" s="3">
        <v>9658.77</v>
      </c>
      <c r="N4766" s="3">
        <v>6546.65</v>
      </c>
      <c r="O4766" s="3">
        <v>3112.12</v>
      </c>
      <c r="P4766" s="3" t="s">
        <v>69</v>
      </c>
    </row>
    <row r="4767" spans="1:16" x14ac:dyDescent="0.35">
      <c r="A4767" s="3" t="s">
        <v>6209</v>
      </c>
      <c r="B4767" s="3" t="s">
        <v>1306</v>
      </c>
      <c r="C4767" s="3" t="s">
        <v>57</v>
      </c>
      <c r="D4767" s="3" t="s">
        <v>58</v>
      </c>
      <c r="E4767" s="3" t="s">
        <v>176</v>
      </c>
      <c r="F4767" s="3" t="s">
        <v>177</v>
      </c>
      <c r="G4767" s="3" t="s">
        <v>51</v>
      </c>
      <c r="H4767" s="3" t="s">
        <v>52</v>
      </c>
      <c r="I4767" s="3" t="s">
        <v>127</v>
      </c>
      <c r="J4767" s="3" t="s">
        <v>154</v>
      </c>
      <c r="K4767" s="3">
        <v>2</v>
      </c>
      <c r="L4767" s="3">
        <v>25.98</v>
      </c>
      <c r="M4767" s="3">
        <v>51.96</v>
      </c>
      <c r="N4767" s="3">
        <v>19.68</v>
      </c>
      <c r="O4767" s="3">
        <v>32.28</v>
      </c>
      <c r="P4767" s="3" t="s">
        <v>69</v>
      </c>
    </row>
    <row r="4768" spans="1:16" x14ac:dyDescent="0.35">
      <c r="A4768" s="3" t="s">
        <v>6210</v>
      </c>
      <c r="B4768" s="3" t="s">
        <v>2127</v>
      </c>
      <c r="C4768" s="3" t="s">
        <v>48</v>
      </c>
      <c r="D4768" s="3" t="s">
        <v>19</v>
      </c>
      <c r="E4768" s="3" t="s">
        <v>20</v>
      </c>
      <c r="F4768" s="3" t="s">
        <v>21</v>
      </c>
      <c r="G4768" s="3" t="s">
        <v>22</v>
      </c>
      <c r="H4768" s="3" t="s">
        <v>93</v>
      </c>
      <c r="I4768" s="3" t="s">
        <v>1926</v>
      </c>
      <c r="J4768" s="3" t="s">
        <v>217</v>
      </c>
      <c r="K4768" s="3">
        <v>7</v>
      </c>
      <c r="L4768" s="3">
        <v>7070.99</v>
      </c>
      <c r="M4768" s="3">
        <v>49496.93</v>
      </c>
      <c r="N4768" s="3">
        <v>33377.839999999997</v>
      </c>
      <c r="O4768" s="3">
        <v>16119.09</v>
      </c>
      <c r="P4768" s="3" t="s">
        <v>86</v>
      </c>
    </row>
    <row r="4769" spans="1:16" x14ac:dyDescent="0.35">
      <c r="A4769" s="3" t="s">
        <v>6211</v>
      </c>
      <c r="B4769" s="3" t="s">
        <v>599</v>
      </c>
      <c r="C4769" s="3" t="s">
        <v>82</v>
      </c>
      <c r="D4769" s="3" t="s">
        <v>38</v>
      </c>
      <c r="E4769" s="3" t="s">
        <v>39</v>
      </c>
      <c r="F4769" s="3" t="s">
        <v>40</v>
      </c>
      <c r="G4769" s="3" t="s">
        <v>30</v>
      </c>
      <c r="H4769" s="3" t="s">
        <v>73</v>
      </c>
      <c r="I4769" s="3" t="s">
        <v>1376</v>
      </c>
      <c r="J4769" s="3" t="s">
        <v>217</v>
      </c>
      <c r="K4769" s="3">
        <v>7</v>
      </c>
      <c r="L4769" s="3">
        <v>3432.5</v>
      </c>
      <c r="M4769" s="3">
        <v>24027.5</v>
      </c>
      <c r="N4769" s="3">
        <v>16816.2</v>
      </c>
      <c r="O4769" s="3">
        <v>7211.3</v>
      </c>
      <c r="P4769" s="3" t="s">
        <v>45</v>
      </c>
    </row>
    <row r="4770" spans="1:16" x14ac:dyDescent="0.35">
      <c r="A4770" s="3" t="s">
        <v>6212</v>
      </c>
      <c r="B4770" s="3" t="s">
        <v>592</v>
      </c>
      <c r="C4770" s="3" t="s">
        <v>103</v>
      </c>
      <c r="D4770" s="3" t="s">
        <v>38</v>
      </c>
      <c r="E4770" s="3" t="s">
        <v>109</v>
      </c>
      <c r="F4770" s="3" t="s">
        <v>110</v>
      </c>
      <c r="G4770" s="3" t="s">
        <v>41</v>
      </c>
      <c r="H4770" s="3" t="s">
        <v>138</v>
      </c>
      <c r="I4770" s="3" t="s">
        <v>444</v>
      </c>
      <c r="J4770" s="3" t="s">
        <v>106</v>
      </c>
      <c r="K4770" s="3">
        <v>4</v>
      </c>
      <c r="L4770" s="3">
        <v>16939.37</v>
      </c>
      <c r="M4770" s="3">
        <v>67757.48</v>
      </c>
      <c r="N4770" s="3">
        <v>56428.45</v>
      </c>
      <c r="O4770" s="3">
        <v>11329.03</v>
      </c>
      <c r="P4770" s="3" t="s">
        <v>26</v>
      </c>
    </row>
    <row r="4771" spans="1:16" x14ac:dyDescent="0.35">
      <c r="A4771" s="3" t="s">
        <v>6213</v>
      </c>
      <c r="B4771" s="3" t="s">
        <v>81</v>
      </c>
      <c r="C4771" s="3" t="s">
        <v>82</v>
      </c>
      <c r="D4771" s="3" t="s">
        <v>90</v>
      </c>
      <c r="E4771" s="3" t="s">
        <v>97</v>
      </c>
      <c r="F4771" s="3" t="s">
        <v>98</v>
      </c>
      <c r="G4771" s="3" t="s">
        <v>30</v>
      </c>
      <c r="H4771" s="3" t="s">
        <v>67</v>
      </c>
      <c r="I4771" s="3" t="s">
        <v>896</v>
      </c>
      <c r="J4771" s="3" t="s">
        <v>100</v>
      </c>
      <c r="K4771" s="3">
        <v>1</v>
      </c>
      <c r="L4771" s="3">
        <v>9844.36</v>
      </c>
      <c r="M4771" s="3">
        <v>9844.36</v>
      </c>
      <c r="N4771" s="3">
        <v>7905.08</v>
      </c>
      <c r="O4771" s="3">
        <v>1939.28</v>
      </c>
      <c r="P4771" s="3" t="s">
        <v>86</v>
      </c>
    </row>
    <row r="4772" spans="1:16" x14ac:dyDescent="0.35">
      <c r="A4772" s="3" t="s">
        <v>6214</v>
      </c>
      <c r="B4772" s="3" t="s">
        <v>624</v>
      </c>
      <c r="C4772" s="3" t="s">
        <v>18</v>
      </c>
      <c r="D4772" s="3" t="s">
        <v>58</v>
      </c>
      <c r="E4772" s="3" t="s">
        <v>65</v>
      </c>
      <c r="F4772" s="3" t="s">
        <v>66</v>
      </c>
      <c r="G4772" s="3" t="s">
        <v>51</v>
      </c>
      <c r="H4772" s="3" t="s">
        <v>145</v>
      </c>
      <c r="I4772" s="3" t="s">
        <v>1713</v>
      </c>
      <c r="J4772" s="3" t="s">
        <v>106</v>
      </c>
      <c r="K4772" s="3">
        <v>8</v>
      </c>
      <c r="L4772" s="3">
        <v>111.67</v>
      </c>
      <c r="M4772" s="3">
        <v>893.36</v>
      </c>
      <c r="N4772" s="3">
        <v>493.96</v>
      </c>
      <c r="O4772" s="3">
        <v>399.4</v>
      </c>
      <c r="P4772" s="3" t="s">
        <v>69</v>
      </c>
    </row>
    <row r="4773" spans="1:16" x14ac:dyDescent="0.35">
      <c r="A4773" s="3" t="s">
        <v>6215</v>
      </c>
      <c r="B4773" s="3" t="s">
        <v>2222</v>
      </c>
      <c r="C4773" s="3" t="s">
        <v>89</v>
      </c>
      <c r="D4773" s="3" t="s">
        <v>38</v>
      </c>
      <c r="E4773" s="3" t="s">
        <v>39</v>
      </c>
      <c r="F4773" s="3" t="s">
        <v>40</v>
      </c>
      <c r="G4773" s="3" t="s">
        <v>30</v>
      </c>
      <c r="H4773" s="3" t="s">
        <v>73</v>
      </c>
      <c r="I4773" s="3" t="s">
        <v>826</v>
      </c>
      <c r="J4773" s="3" t="s">
        <v>44</v>
      </c>
      <c r="K4773" s="3">
        <v>2</v>
      </c>
      <c r="L4773" s="3">
        <v>2972.58</v>
      </c>
      <c r="M4773" s="3">
        <v>5945.16</v>
      </c>
      <c r="N4773" s="3">
        <v>4741.01</v>
      </c>
      <c r="O4773" s="3">
        <v>1204.1500000000001</v>
      </c>
      <c r="P4773" s="3" t="s">
        <v>45</v>
      </c>
    </row>
    <row r="4774" spans="1:16" x14ac:dyDescent="0.35">
      <c r="A4774" s="3" t="s">
        <v>6216</v>
      </c>
      <c r="B4774" s="3" t="s">
        <v>814</v>
      </c>
      <c r="C4774" s="3" t="s">
        <v>103</v>
      </c>
      <c r="D4774" s="3" t="s">
        <v>19</v>
      </c>
      <c r="E4774" s="3" t="s">
        <v>20</v>
      </c>
      <c r="F4774" s="3" t="s">
        <v>21</v>
      </c>
      <c r="G4774" s="3" t="s">
        <v>41</v>
      </c>
      <c r="H4774" s="3" t="s">
        <v>61</v>
      </c>
      <c r="I4774" s="3" t="s">
        <v>1731</v>
      </c>
      <c r="J4774" s="3" t="s">
        <v>54</v>
      </c>
      <c r="K4774" s="3">
        <v>5</v>
      </c>
      <c r="L4774" s="3">
        <v>2730.69</v>
      </c>
      <c r="M4774" s="3">
        <v>13653.45</v>
      </c>
      <c r="N4774" s="3">
        <v>7840.93</v>
      </c>
      <c r="O4774" s="3">
        <v>5812.52</v>
      </c>
      <c r="P4774" s="3" t="s">
        <v>86</v>
      </c>
    </row>
    <row r="4775" spans="1:16" x14ac:dyDescent="0.35">
      <c r="A4775" s="3" t="s">
        <v>6217</v>
      </c>
      <c r="B4775" s="3" t="s">
        <v>575</v>
      </c>
      <c r="C4775" s="3" t="s">
        <v>137</v>
      </c>
      <c r="D4775" s="3" t="s">
        <v>19</v>
      </c>
      <c r="E4775" s="3" t="s">
        <v>49</v>
      </c>
      <c r="F4775" s="3" t="s">
        <v>50</v>
      </c>
      <c r="G4775" s="3" t="s">
        <v>51</v>
      </c>
      <c r="H4775" s="3" t="s">
        <v>77</v>
      </c>
      <c r="I4775" s="3" t="s">
        <v>1395</v>
      </c>
      <c r="J4775" s="3" t="s">
        <v>79</v>
      </c>
      <c r="K4775" s="3">
        <v>4</v>
      </c>
      <c r="L4775" s="3">
        <v>12028.47</v>
      </c>
      <c r="M4775" s="3">
        <v>48113.88</v>
      </c>
      <c r="N4775" s="3">
        <v>34517.53</v>
      </c>
      <c r="O4775" s="3">
        <v>13596.35</v>
      </c>
      <c r="P4775" s="3" t="s">
        <v>26</v>
      </c>
    </row>
    <row r="4776" spans="1:16" x14ac:dyDescent="0.35">
      <c r="A4776" s="3" t="s">
        <v>6218</v>
      </c>
      <c r="B4776" s="3" t="s">
        <v>76</v>
      </c>
      <c r="C4776" s="3" t="s">
        <v>48</v>
      </c>
      <c r="D4776" s="3" t="s">
        <v>90</v>
      </c>
      <c r="E4776" s="3" t="s">
        <v>91</v>
      </c>
      <c r="F4776" s="3" t="s">
        <v>92</v>
      </c>
      <c r="G4776" s="3" t="s">
        <v>22</v>
      </c>
      <c r="H4776" s="3" t="s">
        <v>93</v>
      </c>
      <c r="I4776" s="3" t="s">
        <v>1430</v>
      </c>
      <c r="J4776" s="3" t="s">
        <v>161</v>
      </c>
      <c r="K4776" s="3">
        <v>1</v>
      </c>
      <c r="L4776" s="3">
        <v>7061.97</v>
      </c>
      <c r="M4776" s="3">
        <v>7061.97</v>
      </c>
      <c r="N4776" s="3">
        <v>5076.66</v>
      </c>
      <c r="O4776" s="3">
        <v>1985.31</v>
      </c>
      <c r="P4776" s="3" t="s">
        <v>45</v>
      </c>
    </row>
    <row r="4777" spans="1:16" x14ac:dyDescent="0.35">
      <c r="A4777" s="3" t="s">
        <v>6219</v>
      </c>
      <c r="B4777" s="3" t="s">
        <v>1062</v>
      </c>
      <c r="C4777" s="3" t="s">
        <v>89</v>
      </c>
      <c r="D4777" s="3" t="s">
        <v>90</v>
      </c>
      <c r="E4777" s="3" t="s">
        <v>97</v>
      </c>
      <c r="F4777" s="3" t="s">
        <v>98</v>
      </c>
      <c r="G4777" s="3" t="s">
        <v>51</v>
      </c>
      <c r="H4777" s="3" t="s">
        <v>145</v>
      </c>
      <c r="I4777" s="3" t="s">
        <v>2723</v>
      </c>
      <c r="J4777" s="3" t="s">
        <v>171</v>
      </c>
      <c r="K4777" s="3">
        <v>2</v>
      </c>
      <c r="L4777" s="3">
        <v>117.82</v>
      </c>
      <c r="M4777" s="3">
        <v>235.64</v>
      </c>
      <c r="N4777" s="3">
        <v>114.45</v>
      </c>
      <c r="O4777" s="3">
        <v>121.19</v>
      </c>
      <c r="P4777" s="3" t="s">
        <v>69</v>
      </c>
    </row>
    <row r="4778" spans="1:16" x14ac:dyDescent="0.35">
      <c r="A4778" s="3" t="s">
        <v>6220</v>
      </c>
      <c r="B4778" s="3" t="s">
        <v>1255</v>
      </c>
      <c r="C4778" s="3" t="s">
        <v>72</v>
      </c>
      <c r="D4778" s="3" t="s">
        <v>38</v>
      </c>
      <c r="E4778" s="3" t="s">
        <v>109</v>
      </c>
      <c r="F4778" s="3" t="s">
        <v>110</v>
      </c>
      <c r="G4778" s="3" t="s">
        <v>22</v>
      </c>
      <c r="H4778" s="3" t="s">
        <v>83</v>
      </c>
      <c r="I4778" s="3" t="s">
        <v>2160</v>
      </c>
      <c r="J4778" s="3" t="s">
        <v>217</v>
      </c>
      <c r="K4778" s="3">
        <v>3</v>
      </c>
      <c r="L4778" s="3">
        <v>22605.43</v>
      </c>
      <c r="M4778" s="3">
        <v>67816.289999999994</v>
      </c>
      <c r="N4778" s="3">
        <v>50016.21</v>
      </c>
      <c r="O4778" s="3">
        <v>17800.080000000002</v>
      </c>
      <c r="P4778" s="3" t="s">
        <v>26</v>
      </c>
    </row>
    <row r="4779" spans="1:16" x14ac:dyDescent="0.35">
      <c r="A4779" s="3" t="s">
        <v>6221</v>
      </c>
      <c r="B4779" s="3" t="s">
        <v>381</v>
      </c>
      <c r="C4779" s="3" t="s">
        <v>18</v>
      </c>
      <c r="D4779" s="3" t="s">
        <v>19</v>
      </c>
      <c r="E4779" s="3" t="s">
        <v>20</v>
      </c>
      <c r="F4779" s="3" t="s">
        <v>21</v>
      </c>
      <c r="G4779" s="3" t="s">
        <v>41</v>
      </c>
      <c r="H4779" s="3" t="s">
        <v>138</v>
      </c>
      <c r="I4779" s="3" t="s">
        <v>216</v>
      </c>
      <c r="J4779" s="3" t="s">
        <v>154</v>
      </c>
      <c r="K4779" s="3">
        <v>1</v>
      </c>
      <c r="L4779" s="3">
        <v>19169.86</v>
      </c>
      <c r="M4779" s="3">
        <v>19169.86</v>
      </c>
      <c r="N4779" s="3">
        <v>13968.91</v>
      </c>
      <c r="O4779" s="3">
        <v>5200.95</v>
      </c>
      <c r="P4779" s="3" t="s">
        <v>34</v>
      </c>
    </row>
    <row r="4780" spans="1:16" x14ac:dyDescent="0.35">
      <c r="A4780" s="3" t="s">
        <v>6222</v>
      </c>
      <c r="B4780" s="3" t="s">
        <v>1898</v>
      </c>
      <c r="C4780" s="3" t="s">
        <v>29</v>
      </c>
      <c r="D4780" s="3" t="s">
        <v>19</v>
      </c>
      <c r="E4780" s="3" t="s">
        <v>199</v>
      </c>
      <c r="F4780" s="3" t="s">
        <v>200</v>
      </c>
      <c r="G4780" s="3" t="s">
        <v>41</v>
      </c>
      <c r="H4780" s="3" t="s">
        <v>61</v>
      </c>
      <c r="I4780" s="3" t="s">
        <v>292</v>
      </c>
      <c r="J4780" s="3" t="s">
        <v>44</v>
      </c>
      <c r="K4780" s="3">
        <v>6</v>
      </c>
      <c r="L4780" s="3">
        <v>2739.51</v>
      </c>
      <c r="M4780" s="3">
        <v>16437.060000000001</v>
      </c>
      <c r="N4780" s="3">
        <v>9202.33</v>
      </c>
      <c r="O4780" s="3">
        <v>7234.73</v>
      </c>
      <c r="P4780" s="3" t="s">
        <v>26</v>
      </c>
    </row>
    <row r="4781" spans="1:16" x14ac:dyDescent="0.35">
      <c r="A4781" s="3" t="s">
        <v>6223</v>
      </c>
      <c r="B4781" s="3" t="s">
        <v>2211</v>
      </c>
      <c r="C4781" s="3" t="s">
        <v>72</v>
      </c>
      <c r="D4781" s="3" t="s">
        <v>90</v>
      </c>
      <c r="E4781" s="3" t="s">
        <v>119</v>
      </c>
      <c r="F4781" s="3" t="s">
        <v>120</v>
      </c>
      <c r="G4781" s="3" t="s">
        <v>22</v>
      </c>
      <c r="H4781" s="3" t="s">
        <v>83</v>
      </c>
      <c r="I4781" s="3" t="s">
        <v>2387</v>
      </c>
      <c r="J4781" s="3" t="s">
        <v>154</v>
      </c>
      <c r="K4781" s="3">
        <v>2</v>
      </c>
      <c r="L4781" s="3">
        <v>21687.94</v>
      </c>
      <c r="M4781" s="3">
        <v>43375.88</v>
      </c>
      <c r="N4781" s="3">
        <v>33137.69</v>
      </c>
      <c r="O4781" s="3">
        <v>10238.19</v>
      </c>
      <c r="P4781" s="3" t="s">
        <v>86</v>
      </c>
    </row>
    <row r="4782" spans="1:16" x14ac:dyDescent="0.35">
      <c r="A4782" s="3" t="s">
        <v>6224</v>
      </c>
      <c r="B4782" s="3" t="s">
        <v>589</v>
      </c>
      <c r="C4782" s="3" t="s">
        <v>137</v>
      </c>
      <c r="D4782" s="3" t="s">
        <v>58</v>
      </c>
      <c r="E4782" s="3" t="s">
        <v>65</v>
      </c>
      <c r="F4782" s="3" t="s">
        <v>66</v>
      </c>
      <c r="G4782" s="3" t="s">
        <v>30</v>
      </c>
      <c r="H4782" s="3" t="s">
        <v>67</v>
      </c>
      <c r="I4782" s="3" t="s">
        <v>3195</v>
      </c>
      <c r="J4782" s="3" t="s">
        <v>44</v>
      </c>
      <c r="K4782" s="3">
        <v>7</v>
      </c>
      <c r="L4782" s="3">
        <v>9536.19</v>
      </c>
      <c r="M4782" s="3">
        <v>66753.33</v>
      </c>
      <c r="N4782" s="3">
        <v>51698.15</v>
      </c>
      <c r="O4782" s="3">
        <v>15055.18</v>
      </c>
      <c r="P4782" s="3" t="s">
        <v>26</v>
      </c>
    </row>
    <row r="4783" spans="1:16" x14ac:dyDescent="0.35">
      <c r="A4783" s="3" t="s">
        <v>6225</v>
      </c>
      <c r="B4783" s="3" t="s">
        <v>156</v>
      </c>
      <c r="C4783" s="3" t="s">
        <v>103</v>
      </c>
      <c r="D4783" s="3" t="s">
        <v>90</v>
      </c>
      <c r="E4783" s="3" t="s">
        <v>91</v>
      </c>
      <c r="F4783" s="3" t="s">
        <v>92</v>
      </c>
      <c r="G4783" s="3" t="s">
        <v>30</v>
      </c>
      <c r="H4783" s="3" t="s">
        <v>31</v>
      </c>
      <c r="I4783" s="3" t="s">
        <v>2525</v>
      </c>
      <c r="J4783" s="3" t="s">
        <v>44</v>
      </c>
      <c r="K4783" s="3">
        <v>8</v>
      </c>
      <c r="L4783" s="3">
        <v>2935.48</v>
      </c>
      <c r="M4783" s="3">
        <v>23483.84</v>
      </c>
      <c r="N4783" s="3">
        <v>15235.58</v>
      </c>
      <c r="O4783" s="3">
        <v>8248.26</v>
      </c>
      <c r="P4783" s="3" t="s">
        <v>34</v>
      </c>
    </row>
    <row r="4784" spans="1:16" x14ac:dyDescent="0.35">
      <c r="A4784" s="3" t="s">
        <v>6226</v>
      </c>
      <c r="B4784" s="3" t="s">
        <v>1752</v>
      </c>
      <c r="C4784" s="3" t="s">
        <v>114</v>
      </c>
      <c r="D4784" s="3" t="s">
        <v>90</v>
      </c>
      <c r="E4784" s="3" t="s">
        <v>91</v>
      </c>
      <c r="F4784" s="3" t="s">
        <v>92</v>
      </c>
      <c r="G4784" s="3" t="s">
        <v>30</v>
      </c>
      <c r="H4784" s="3" t="s">
        <v>31</v>
      </c>
      <c r="I4784" s="3" t="s">
        <v>659</v>
      </c>
      <c r="J4784" s="3" t="s">
        <v>188</v>
      </c>
      <c r="K4784" s="3">
        <v>3</v>
      </c>
      <c r="L4784" s="3">
        <v>2636.02</v>
      </c>
      <c r="M4784" s="3">
        <v>7908.06</v>
      </c>
      <c r="N4784" s="3">
        <v>5537.47</v>
      </c>
      <c r="O4784" s="3">
        <v>2370.59</v>
      </c>
      <c r="P4784" s="3" t="s">
        <v>45</v>
      </c>
    </row>
    <row r="4785" spans="1:16" x14ac:dyDescent="0.35">
      <c r="A4785" s="3" t="s">
        <v>6227</v>
      </c>
      <c r="B4785" s="3" t="s">
        <v>1772</v>
      </c>
      <c r="C4785" s="3" t="s">
        <v>114</v>
      </c>
      <c r="D4785" s="3" t="s">
        <v>38</v>
      </c>
      <c r="E4785" s="3" t="s">
        <v>109</v>
      </c>
      <c r="F4785" s="3" t="s">
        <v>110</v>
      </c>
      <c r="G4785" s="3" t="s">
        <v>22</v>
      </c>
      <c r="H4785" s="3" t="s">
        <v>83</v>
      </c>
      <c r="I4785" s="3" t="s">
        <v>2378</v>
      </c>
      <c r="J4785" s="3" t="s">
        <v>154</v>
      </c>
      <c r="K4785" s="3">
        <v>4</v>
      </c>
      <c r="L4785" s="3">
        <v>22046.080000000002</v>
      </c>
      <c r="M4785" s="3">
        <v>88184.320000000007</v>
      </c>
      <c r="N4785" s="3">
        <v>65767.95</v>
      </c>
      <c r="O4785" s="3">
        <v>22416.37</v>
      </c>
      <c r="P4785" s="3" t="s">
        <v>45</v>
      </c>
    </row>
    <row r="4786" spans="1:16" x14ac:dyDescent="0.35">
      <c r="A4786" s="3" t="s">
        <v>6228</v>
      </c>
      <c r="B4786" s="3" t="s">
        <v>429</v>
      </c>
      <c r="C4786" s="3" t="s">
        <v>137</v>
      </c>
      <c r="D4786" s="3" t="s">
        <v>19</v>
      </c>
      <c r="E4786" s="3" t="s">
        <v>49</v>
      </c>
      <c r="F4786" s="3" t="s">
        <v>50</v>
      </c>
      <c r="G4786" s="3" t="s">
        <v>51</v>
      </c>
      <c r="H4786" s="3" t="s">
        <v>77</v>
      </c>
      <c r="I4786" s="3" t="s">
        <v>3766</v>
      </c>
      <c r="J4786" s="3" t="s">
        <v>217</v>
      </c>
      <c r="K4786" s="3">
        <v>7</v>
      </c>
      <c r="L4786" s="3">
        <v>11492.37</v>
      </c>
      <c r="M4786" s="3">
        <v>80446.59</v>
      </c>
      <c r="N4786" s="3">
        <v>62899.69</v>
      </c>
      <c r="O4786" s="3">
        <v>17546.900000000001</v>
      </c>
      <c r="P4786" s="3" t="s">
        <v>69</v>
      </c>
    </row>
    <row r="4787" spans="1:16" x14ac:dyDescent="0.35">
      <c r="A4787" s="3" t="s">
        <v>6229</v>
      </c>
      <c r="B4787" s="3" t="s">
        <v>144</v>
      </c>
      <c r="C4787" s="3" t="s">
        <v>37</v>
      </c>
      <c r="D4787" s="3" t="s">
        <v>19</v>
      </c>
      <c r="E4787" s="3" t="s">
        <v>20</v>
      </c>
      <c r="F4787" s="3" t="s">
        <v>21</v>
      </c>
      <c r="G4787" s="3" t="s">
        <v>41</v>
      </c>
      <c r="H4787" s="3" t="s">
        <v>61</v>
      </c>
      <c r="I4787" s="3" t="s">
        <v>1793</v>
      </c>
      <c r="J4787" s="3" t="s">
        <v>25</v>
      </c>
      <c r="K4787" s="3">
        <v>2</v>
      </c>
      <c r="L4787" s="3">
        <v>2367.2399999999998</v>
      </c>
      <c r="M4787" s="3">
        <v>4734.4799999999996</v>
      </c>
      <c r="N4787" s="3">
        <v>3211.43</v>
      </c>
      <c r="O4787" s="3">
        <v>1523.05</v>
      </c>
      <c r="P4787" s="3" t="s">
        <v>69</v>
      </c>
    </row>
    <row r="4788" spans="1:16" x14ac:dyDescent="0.35">
      <c r="A4788" s="3" t="s">
        <v>6230</v>
      </c>
      <c r="B4788" s="3" t="s">
        <v>245</v>
      </c>
      <c r="C4788" s="3" t="s">
        <v>29</v>
      </c>
      <c r="D4788" s="3" t="s">
        <v>90</v>
      </c>
      <c r="E4788" s="3" t="s">
        <v>91</v>
      </c>
      <c r="F4788" s="3" t="s">
        <v>92</v>
      </c>
      <c r="G4788" s="3" t="s">
        <v>30</v>
      </c>
      <c r="H4788" s="3" t="s">
        <v>67</v>
      </c>
      <c r="I4788" s="3" t="s">
        <v>937</v>
      </c>
      <c r="J4788" s="3" t="s">
        <v>25</v>
      </c>
      <c r="K4788" s="3">
        <v>1</v>
      </c>
      <c r="L4788" s="3">
        <v>9983.51</v>
      </c>
      <c r="M4788" s="3">
        <v>9983.51</v>
      </c>
      <c r="N4788" s="3">
        <v>7630.25</v>
      </c>
      <c r="O4788" s="3">
        <v>2353.2600000000002</v>
      </c>
      <c r="P4788" s="3" t="s">
        <v>34</v>
      </c>
    </row>
    <row r="4789" spans="1:16" x14ac:dyDescent="0.35">
      <c r="A4789" s="3" t="s">
        <v>6231</v>
      </c>
      <c r="B4789" s="3" t="s">
        <v>699</v>
      </c>
      <c r="C4789" s="3" t="s">
        <v>137</v>
      </c>
      <c r="D4789" s="3" t="s">
        <v>19</v>
      </c>
      <c r="E4789" s="3" t="s">
        <v>20</v>
      </c>
      <c r="F4789" s="3" t="s">
        <v>21</v>
      </c>
      <c r="G4789" s="3" t="s">
        <v>51</v>
      </c>
      <c r="H4789" s="3" t="s">
        <v>52</v>
      </c>
      <c r="I4789" s="3" t="s">
        <v>2431</v>
      </c>
      <c r="J4789" s="3" t="s">
        <v>33</v>
      </c>
      <c r="K4789" s="3">
        <v>4</v>
      </c>
      <c r="L4789" s="3">
        <v>26.23</v>
      </c>
      <c r="M4789" s="3">
        <v>104.92</v>
      </c>
      <c r="N4789" s="3">
        <v>38.25</v>
      </c>
      <c r="O4789" s="3">
        <v>66.67</v>
      </c>
      <c r="P4789" s="3" t="s">
        <v>26</v>
      </c>
    </row>
    <row r="4790" spans="1:16" x14ac:dyDescent="0.35">
      <c r="A4790" s="3" t="s">
        <v>6232</v>
      </c>
      <c r="B4790" s="3" t="s">
        <v>96</v>
      </c>
      <c r="C4790" s="3" t="s">
        <v>48</v>
      </c>
      <c r="D4790" s="3" t="s">
        <v>19</v>
      </c>
      <c r="E4790" s="3" t="s">
        <v>20</v>
      </c>
      <c r="F4790" s="3" t="s">
        <v>21</v>
      </c>
      <c r="G4790" s="3" t="s">
        <v>41</v>
      </c>
      <c r="H4790" s="3" t="s">
        <v>42</v>
      </c>
      <c r="I4790" s="3" t="s">
        <v>2019</v>
      </c>
      <c r="J4790" s="3" t="s">
        <v>106</v>
      </c>
      <c r="K4790" s="3">
        <v>1</v>
      </c>
      <c r="L4790" s="3">
        <v>47076.43</v>
      </c>
      <c r="M4790" s="3">
        <v>47076.43</v>
      </c>
      <c r="N4790" s="3">
        <v>36576.82</v>
      </c>
      <c r="O4790" s="3">
        <v>10499.61</v>
      </c>
      <c r="P4790" s="3" t="s">
        <v>86</v>
      </c>
    </row>
    <row r="4791" spans="1:16" x14ac:dyDescent="0.35">
      <c r="A4791" s="3" t="s">
        <v>6233</v>
      </c>
      <c r="B4791" s="3" t="s">
        <v>1644</v>
      </c>
      <c r="C4791" s="3" t="s">
        <v>118</v>
      </c>
      <c r="D4791" s="3" t="s">
        <v>58</v>
      </c>
      <c r="E4791" s="3" t="s">
        <v>59</v>
      </c>
      <c r="F4791" s="3" t="s">
        <v>60</v>
      </c>
      <c r="G4791" s="3" t="s">
        <v>30</v>
      </c>
      <c r="H4791" s="3" t="s">
        <v>73</v>
      </c>
      <c r="I4791" s="3" t="s">
        <v>1365</v>
      </c>
      <c r="J4791" s="3" t="s">
        <v>217</v>
      </c>
      <c r="K4791" s="3">
        <v>5</v>
      </c>
      <c r="L4791" s="3">
        <v>2911.95</v>
      </c>
      <c r="M4791" s="3">
        <v>14559.75</v>
      </c>
      <c r="N4791" s="3">
        <v>11804.84</v>
      </c>
      <c r="O4791" s="3">
        <v>2754.91</v>
      </c>
      <c r="P4791" s="3" t="s">
        <v>34</v>
      </c>
    </row>
    <row r="4792" spans="1:16" x14ac:dyDescent="0.35">
      <c r="A4792" s="3" t="s">
        <v>6234</v>
      </c>
      <c r="B4792" s="3" t="s">
        <v>274</v>
      </c>
      <c r="C4792" s="3" t="s">
        <v>57</v>
      </c>
      <c r="D4792" s="3" t="s">
        <v>19</v>
      </c>
      <c r="E4792" s="3" t="s">
        <v>199</v>
      </c>
      <c r="F4792" s="3" t="s">
        <v>200</v>
      </c>
      <c r="G4792" s="3" t="s">
        <v>41</v>
      </c>
      <c r="H4792" s="3" t="s">
        <v>42</v>
      </c>
      <c r="I4792" s="3" t="s">
        <v>1563</v>
      </c>
      <c r="J4792" s="3" t="s">
        <v>106</v>
      </c>
      <c r="K4792" s="3">
        <v>1</v>
      </c>
      <c r="L4792" s="3">
        <v>40576.74</v>
      </c>
      <c r="M4792" s="3">
        <v>40576.74</v>
      </c>
      <c r="N4792" s="3">
        <v>35684.99</v>
      </c>
      <c r="O4792" s="3">
        <v>4891.75</v>
      </c>
      <c r="P4792" s="3" t="s">
        <v>45</v>
      </c>
    </row>
    <row r="4793" spans="1:16" x14ac:dyDescent="0.35">
      <c r="A4793" s="3" t="s">
        <v>6235</v>
      </c>
      <c r="B4793" s="3" t="s">
        <v>1224</v>
      </c>
      <c r="C4793" s="3" t="s">
        <v>37</v>
      </c>
      <c r="D4793" s="3" t="s">
        <v>90</v>
      </c>
      <c r="E4793" s="3" t="s">
        <v>91</v>
      </c>
      <c r="F4793" s="3" t="s">
        <v>92</v>
      </c>
      <c r="G4793" s="3" t="s">
        <v>41</v>
      </c>
      <c r="H4793" s="3" t="s">
        <v>61</v>
      </c>
      <c r="I4793" s="3" t="s">
        <v>4762</v>
      </c>
      <c r="J4793" s="3" t="s">
        <v>54</v>
      </c>
      <c r="K4793" s="3">
        <v>2</v>
      </c>
      <c r="L4793" s="3">
        <v>2293.7399999999998</v>
      </c>
      <c r="M4793" s="3">
        <v>4587.4799999999996</v>
      </c>
      <c r="N4793" s="3">
        <v>3214.04</v>
      </c>
      <c r="O4793" s="3">
        <v>1373.44</v>
      </c>
      <c r="P4793" s="3" t="s">
        <v>34</v>
      </c>
    </row>
    <row r="4794" spans="1:16" x14ac:dyDescent="0.35">
      <c r="A4794" s="3" t="s">
        <v>6236</v>
      </c>
      <c r="B4794" s="3" t="s">
        <v>367</v>
      </c>
      <c r="C4794" s="3" t="s">
        <v>29</v>
      </c>
      <c r="D4794" s="3" t="s">
        <v>90</v>
      </c>
      <c r="E4794" s="3" t="s">
        <v>119</v>
      </c>
      <c r="F4794" s="3" t="s">
        <v>120</v>
      </c>
      <c r="G4794" s="3" t="s">
        <v>41</v>
      </c>
      <c r="H4794" s="3" t="s">
        <v>138</v>
      </c>
      <c r="I4794" s="3" t="s">
        <v>616</v>
      </c>
      <c r="J4794" s="3" t="s">
        <v>161</v>
      </c>
      <c r="K4794" s="3">
        <v>7</v>
      </c>
      <c r="L4794" s="3">
        <v>17735.38</v>
      </c>
      <c r="M4794" s="3">
        <v>124147.66</v>
      </c>
      <c r="N4794" s="3">
        <v>97717.15</v>
      </c>
      <c r="O4794" s="3">
        <v>26430.51</v>
      </c>
      <c r="P4794" s="3" t="s">
        <v>26</v>
      </c>
    </row>
    <row r="4795" spans="1:16" x14ac:dyDescent="0.35">
      <c r="A4795" s="3" t="s">
        <v>6237</v>
      </c>
      <c r="B4795" s="3" t="s">
        <v>779</v>
      </c>
      <c r="C4795" s="3" t="s">
        <v>114</v>
      </c>
      <c r="D4795" s="3" t="s">
        <v>90</v>
      </c>
      <c r="E4795" s="3" t="s">
        <v>119</v>
      </c>
      <c r="F4795" s="3" t="s">
        <v>120</v>
      </c>
      <c r="G4795" s="3" t="s">
        <v>22</v>
      </c>
      <c r="H4795" s="3" t="s">
        <v>83</v>
      </c>
      <c r="I4795" s="3" t="s">
        <v>1131</v>
      </c>
      <c r="J4795" s="3" t="s">
        <v>131</v>
      </c>
      <c r="K4795" s="3">
        <v>8</v>
      </c>
      <c r="L4795" s="3">
        <v>21811.17</v>
      </c>
      <c r="M4795" s="3">
        <v>174489.36</v>
      </c>
      <c r="N4795" s="3">
        <v>134423.21</v>
      </c>
      <c r="O4795" s="3">
        <v>40066.15</v>
      </c>
      <c r="P4795" s="3" t="s">
        <v>69</v>
      </c>
    </row>
    <row r="4796" spans="1:16" x14ac:dyDescent="0.35">
      <c r="A4796" s="3" t="s">
        <v>6238</v>
      </c>
      <c r="B4796" s="3" t="s">
        <v>678</v>
      </c>
      <c r="C4796" s="3" t="s">
        <v>137</v>
      </c>
      <c r="D4796" s="3" t="s">
        <v>58</v>
      </c>
      <c r="E4796" s="3" t="s">
        <v>176</v>
      </c>
      <c r="F4796" s="3" t="s">
        <v>177</v>
      </c>
      <c r="G4796" s="3" t="s">
        <v>41</v>
      </c>
      <c r="H4796" s="3" t="s">
        <v>42</v>
      </c>
      <c r="I4796" s="3" t="s">
        <v>2495</v>
      </c>
      <c r="J4796" s="3" t="s">
        <v>188</v>
      </c>
      <c r="K4796" s="3">
        <v>2</v>
      </c>
      <c r="L4796" s="3">
        <v>47887.27</v>
      </c>
      <c r="M4796" s="3">
        <v>95774.54</v>
      </c>
      <c r="N4796" s="3">
        <v>68312.89</v>
      </c>
      <c r="O4796" s="3">
        <v>27461.65</v>
      </c>
      <c r="P4796" s="3" t="s">
        <v>69</v>
      </c>
    </row>
    <row r="4797" spans="1:16" x14ac:dyDescent="0.35">
      <c r="A4797" s="3" t="s">
        <v>6239</v>
      </c>
      <c r="B4797" s="3" t="s">
        <v>580</v>
      </c>
      <c r="C4797" s="3" t="s">
        <v>57</v>
      </c>
      <c r="D4797" s="3" t="s">
        <v>90</v>
      </c>
      <c r="E4797" s="3" t="s">
        <v>91</v>
      </c>
      <c r="F4797" s="3" t="s">
        <v>92</v>
      </c>
      <c r="G4797" s="3" t="s">
        <v>41</v>
      </c>
      <c r="H4797" s="3" t="s">
        <v>138</v>
      </c>
      <c r="I4797" s="3" t="s">
        <v>1246</v>
      </c>
      <c r="J4797" s="3" t="s">
        <v>44</v>
      </c>
      <c r="K4797" s="3">
        <v>1</v>
      </c>
      <c r="L4797" s="3">
        <v>18165.23</v>
      </c>
      <c r="M4797" s="3">
        <v>18165.23</v>
      </c>
      <c r="N4797" s="3">
        <v>14506.95</v>
      </c>
      <c r="O4797" s="3">
        <v>3658.28</v>
      </c>
      <c r="P4797" s="3" t="s">
        <v>26</v>
      </c>
    </row>
    <row r="4798" spans="1:16" x14ac:dyDescent="0.35">
      <c r="A4798" s="3" t="s">
        <v>6240</v>
      </c>
      <c r="B4798" s="3" t="s">
        <v>152</v>
      </c>
      <c r="C4798" s="3" t="s">
        <v>57</v>
      </c>
      <c r="D4798" s="3" t="s">
        <v>58</v>
      </c>
      <c r="E4798" s="3" t="s">
        <v>65</v>
      </c>
      <c r="F4798" s="3" t="s">
        <v>66</v>
      </c>
      <c r="G4798" s="3" t="s">
        <v>51</v>
      </c>
      <c r="H4798" s="3" t="s">
        <v>145</v>
      </c>
      <c r="I4798" s="3" t="s">
        <v>2601</v>
      </c>
      <c r="J4798" s="3" t="s">
        <v>171</v>
      </c>
      <c r="K4798" s="3">
        <v>3</v>
      </c>
      <c r="L4798" s="3">
        <v>118.71</v>
      </c>
      <c r="M4798" s="3">
        <v>356.13</v>
      </c>
      <c r="N4798" s="3">
        <v>179.63</v>
      </c>
      <c r="O4798" s="3">
        <v>176.5</v>
      </c>
      <c r="P4798" s="3" t="s">
        <v>69</v>
      </c>
    </row>
    <row r="4799" spans="1:16" x14ac:dyDescent="0.35">
      <c r="A4799" s="3" t="s">
        <v>6241</v>
      </c>
      <c r="B4799" s="3" t="s">
        <v>987</v>
      </c>
      <c r="C4799" s="3" t="s">
        <v>82</v>
      </c>
      <c r="D4799" s="3" t="s">
        <v>90</v>
      </c>
      <c r="E4799" s="3" t="s">
        <v>91</v>
      </c>
      <c r="F4799" s="3" t="s">
        <v>92</v>
      </c>
      <c r="G4799" s="3" t="s">
        <v>41</v>
      </c>
      <c r="H4799" s="3" t="s">
        <v>138</v>
      </c>
      <c r="I4799" s="3" t="s">
        <v>246</v>
      </c>
      <c r="J4799" s="3" t="s">
        <v>131</v>
      </c>
      <c r="K4799" s="3">
        <v>3</v>
      </c>
      <c r="L4799" s="3">
        <v>18928.54</v>
      </c>
      <c r="M4799" s="3">
        <v>56785.62</v>
      </c>
      <c r="N4799" s="3">
        <v>39985.839999999997</v>
      </c>
      <c r="O4799" s="3">
        <v>16799.78</v>
      </c>
      <c r="P4799" s="3" t="s">
        <v>45</v>
      </c>
    </row>
    <row r="4800" spans="1:16" x14ac:dyDescent="0.35">
      <c r="A4800" s="3" t="s">
        <v>6242</v>
      </c>
      <c r="B4800" s="3" t="s">
        <v>156</v>
      </c>
      <c r="C4800" s="3" t="s">
        <v>103</v>
      </c>
      <c r="D4800" s="3" t="s">
        <v>19</v>
      </c>
      <c r="E4800" s="3" t="s">
        <v>199</v>
      </c>
      <c r="F4800" s="3" t="s">
        <v>200</v>
      </c>
      <c r="G4800" s="3" t="s">
        <v>30</v>
      </c>
      <c r="H4800" s="3" t="s">
        <v>73</v>
      </c>
      <c r="I4800" s="3" t="s">
        <v>1770</v>
      </c>
      <c r="J4800" s="3" t="s">
        <v>154</v>
      </c>
      <c r="K4800" s="3">
        <v>8</v>
      </c>
      <c r="L4800" s="3">
        <v>2927.15</v>
      </c>
      <c r="M4800" s="3">
        <v>23417.200000000001</v>
      </c>
      <c r="N4800" s="3">
        <v>19769.900000000001</v>
      </c>
      <c r="O4800" s="3">
        <v>3647.3</v>
      </c>
      <c r="P4800" s="3" t="s">
        <v>26</v>
      </c>
    </row>
    <row r="4801" spans="1:16" x14ac:dyDescent="0.35">
      <c r="A4801" s="3" t="s">
        <v>6243</v>
      </c>
      <c r="B4801" s="3" t="s">
        <v>364</v>
      </c>
      <c r="C4801" s="3" t="s">
        <v>137</v>
      </c>
      <c r="D4801" s="3" t="s">
        <v>19</v>
      </c>
      <c r="E4801" s="3" t="s">
        <v>49</v>
      </c>
      <c r="F4801" s="3" t="s">
        <v>50</v>
      </c>
      <c r="G4801" s="3" t="s">
        <v>30</v>
      </c>
      <c r="H4801" s="3" t="s">
        <v>31</v>
      </c>
      <c r="I4801" s="3" t="s">
        <v>1303</v>
      </c>
      <c r="J4801" s="3" t="s">
        <v>106</v>
      </c>
      <c r="K4801" s="3">
        <v>4</v>
      </c>
      <c r="L4801" s="3">
        <v>2734.36</v>
      </c>
      <c r="M4801" s="3">
        <v>10937.44</v>
      </c>
      <c r="N4801" s="3">
        <v>7379.67</v>
      </c>
      <c r="O4801" s="3">
        <v>3557.77</v>
      </c>
      <c r="P4801" s="3" t="s">
        <v>45</v>
      </c>
    </row>
    <row r="4802" spans="1:16" x14ac:dyDescent="0.35">
      <c r="A4802" s="3" t="s">
        <v>6244</v>
      </c>
      <c r="B4802" s="3" t="s">
        <v>1461</v>
      </c>
      <c r="C4802" s="3" t="s">
        <v>72</v>
      </c>
      <c r="D4802" s="3" t="s">
        <v>90</v>
      </c>
      <c r="E4802" s="3" t="s">
        <v>97</v>
      </c>
      <c r="F4802" s="3" t="s">
        <v>98</v>
      </c>
      <c r="G4802" s="3" t="s">
        <v>41</v>
      </c>
      <c r="H4802" s="3" t="s">
        <v>42</v>
      </c>
      <c r="I4802" s="3" t="s">
        <v>2074</v>
      </c>
      <c r="J4802" s="3" t="s">
        <v>100</v>
      </c>
      <c r="K4802" s="3">
        <v>7</v>
      </c>
      <c r="L4802" s="3">
        <v>47647.7</v>
      </c>
      <c r="M4802" s="3">
        <v>333533.90000000002</v>
      </c>
      <c r="N4802" s="3">
        <v>245828.04</v>
      </c>
      <c r="O4802" s="3">
        <v>87705.86</v>
      </c>
      <c r="P4802" s="3" t="s">
        <v>34</v>
      </c>
    </row>
    <row r="4803" spans="1:16" x14ac:dyDescent="0.35">
      <c r="A4803" s="3" t="s">
        <v>6245</v>
      </c>
      <c r="B4803" s="3" t="s">
        <v>767</v>
      </c>
      <c r="C4803" s="3" t="s">
        <v>82</v>
      </c>
      <c r="D4803" s="3" t="s">
        <v>90</v>
      </c>
      <c r="E4803" s="3" t="s">
        <v>97</v>
      </c>
      <c r="F4803" s="3" t="s">
        <v>98</v>
      </c>
      <c r="G4803" s="3" t="s">
        <v>41</v>
      </c>
      <c r="H4803" s="3" t="s">
        <v>42</v>
      </c>
      <c r="I4803" s="3" t="s">
        <v>1312</v>
      </c>
      <c r="J4803" s="3" t="s">
        <v>188</v>
      </c>
      <c r="K4803" s="3">
        <v>5</v>
      </c>
      <c r="L4803" s="3">
        <v>41985.82</v>
      </c>
      <c r="M4803" s="3">
        <v>209929.1</v>
      </c>
      <c r="N4803" s="3">
        <v>180601.91</v>
      </c>
      <c r="O4803" s="3">
        <v>29327.19</v>
      </c>
      <c r="P4803" s="3" t="s">
        <v>26</v>
      </c>
    </row>
    <row r="4804" spans="1:16" x14ac:dyDescent="0.35">
      <c r="A4804" s="3" t="s">
        <v>6246</v>
      </c>
      <c r="B4804" s="3" t="s">
        <v>1314</v>
      </c>
      <c r="C4804" s="3" t="s">
        <v>48</v>
      </c>
      <c r="D4804" s="3" t="s">
        <v>19</v>
      </c>
      <c r="E4804" s="3" t="s">
        <v>49</v>
      </c>
      <c r="F4804" s="3" t="s">
        <v>50</v>
      </c>
      <c r="G4804" s="3" t="s">
        <v>51</v>
      </c>
      <c r="H4804" s="3" t="s">
        <v>52</v>
      </c>
      <c r="I4804" s="3" t="s">
        <v>1500</v>
      </c>
      <c r="J4804" s="3" t="s">
        <v>154</v>
      </c>
      <c r="K4804" s="3">
        <v>3</v>
      </c>
      <c r="L4804" s="3">
        <v>25.16</v>
      </c>
      <c r="M4804" s="3">
        <v>75.48</v>
      </c>
      <c r="N4804" s="3">
        <v>28.94</v>
      </c>
      <c r="O4804" s="3">
        <v>46.54</v>
      </c>
      <c r="P4804" s="3" t="s">
        <v>34</v>
      </c>
    </row>
    <row r="4805" spans="1:16" x14ac:dyDescent="0.35">
      <c r="A4805" s="3" t="s">
        <v>6247</v>
      </c>
      <c r="B4805" s="3" t="s">
        <v>361</v>
      </c>
      <c r="C4805" s="3" t="s">
        <v>137</v>
      </c>
      <c r="D4805" s="3" t="s">
        <v>38</v>
      </c>
      <c r="E4805" s="3" t="s">
        <v>109</v>
      </c>
      <c r="F4805" s="3" t="s">
        <v>110</v>
      </c>
      <c r="G4805" s="3" t="s">
        <v>22</v>
      </c>
      <c r="H4805" s="3" t="s">
        <v>23</v>
      </c>
      <c r="I4805" s="3" t="s">
        <v>1258</v>
      </c>
      <c r="J4805" s="3" t="s">
        <v>85</v>
      </c>
      <c r="K4805" s="3">
        <v>8</v>
      </c>
      <c r="L4805" s="3">
        <v>3476.37</v>
      </c>
      <c r="M4805" s="3">
        <v>27810.959999999999</v>
      </c>
      <c r="N4805" s="3">
        <v>17545.14</v>
      </c>
      <c r="O4805" s="3">
        <v>10265.82</v>
      </c>
      <c r="P4805" s="3" t="s">
        <v>26</v>
      </c>
    </row>
    <row r="4806" spans="1:16" x14ac:dyDescent="0.35">
      <c r="A4806" s="3" t="s">
        <v>6248</v>
      </c>
      <c r="B4806" s="3" t="s">
        <v>1667</v>
      </c>
      <c r="C4806" s="3" t="s">
        <v>48</v>
      </c>
      <c r="D4806" s="3" t="s">
        <v>38</v>
      </c>
      <c r="E4806" s="3" t="s">
        <v>104</v>
      </c>
      <c r="F4806" s="3" t="s">
        <v>104</v>
      </c>
      <c r="G4806" s="3" t="s">
        <v>51</v>
      </c>
      <c r="H4806" s="3" t="s">
        <v>145</v>
      </c>
      <c r="I4806" s="3" t="s">
        <v>1080</v>
      </c>
      <c r="J4806" s="3" t="s">
        <v>79</v>
      </c>
      <c r="K4806" s="3">
        <v>7</v>
      </c>
      <c r="L4806" s="3">
        <v>115.72</v>
      </c>
      <c r="M4806" s="3">
        <v>810.04</v>
      </c>
      <c r="N4806" s="3">
        <v>413.58</v>
      </c>
      <c r="O4806" s="3">
        <v>396.46</v>
      </c>
      <c r="P4806" s="3" t="s">
        <v>86</v>
      </c>
    </row>
    <row r="4807" spans="1:16" x14ac:dyDescent="0.35">
      <c r="A4807" s="3" t="s">
        <v>6249</v>
      </c>
      <c r="B4807" s="3" t="s">
        <v>2222</v>
      </c>
      <c r="C4807" s="3" t="s">
        <v>89</v>
      </c>
      <c r="D4807" s="3" t="s">
        <v>38</v>
      </c>
      <c r="E4807" s="3" t="s">
        <v>39</v>
      </c>
      <c r="F4807" s="3" t="s">
        <v>40</v>
      </c>
      <c r="G4807" s="3" t="s">
        <v>30</v>
      </c>
      <c r="H4807" s="3" t="s">
        <v>31</v>
      </c>
      <c r="I4807" s="3" t="s">
        <v>576</v>
      </c>
      <c r="J4807" s="3" t="s">
        <v>171</v>
      </c>
      <c r="K4807" s="3">
        <v>2</v>
      </c>
      <c r="L4807" s="3">
        <v>2851.07</v>
      </c>
      <c r="M4807" s="3">
        <v>5702.14</v>
      </c>
      <c r="N4807" s="3">
        <v>3758.99</v>
      </c>
      <c r="O4807" s="3">
        <v>1943.15</v>
      </c>
      <c r="P4807" s="3" t="s">
        <v>45</v>
      </c>
    </row>
    <row r="4808" spans="1:16" x14ac:dyDescent="0.35">
      <c r="A4808" s="3" t="s">
        <v>6250</v>
      </c>
      <c r="B4808" s="3" t="s">
        <v>1159</v>
      </c>
      <c r="C4808" s="3" t="s">
        <v>29</v>
      </c>
      <c r="D4808" s="3" t="s">
        <v>90</v>
      </c>
      <c r="E4808" s="3" t="s">
        <v>91</v>
      </c>
      <c r="F4808" s="3" t="s">
        <v>92</v>
      </c>
      <c r="G4808" s="3" t="s">
        <v>51</v>
      </c>
      <c r="H4808" s="3" t="s">
        <v>145</v>
      </c>
      <c r="I4808" s="3" t="s">
        <v>537</v>
      </c>
      <c r="J4808" s="3" t="s">
        <v>54</v>
      </c>
      <c r="K4808" s="3">
        <v>1</v>
      </c>
      <c r="L4808" s="3">
        <v>112.17</v>
      </c>
      <c r="M4808" s="3">
        <v>112.17</v>
      </c>
      <c r="N4808" s="3">
        <v>59.45</v>
      </c>
      <c r="O4808" s="3">
        <v>52.72</v>
      </c>
      <c r="P4808" s="3" t="s">
        <v>26</v>
      </c>
    </row>
    <row r="4809" spans="1:16" x14ac:dyDescent="0.35">
      <c r="A4809" s="3" t="s">
        <v>6251</v>
      </c>
      <c r="B4809" s="3" t="s">
        <v>740</v>
      </c>
      <c r="C4809" s="3" t="s">
        <v>29</v>
      </c>
      <c r="D4809" s="3" t="s">
        <v>58</v>
      </c>
      <c r="E4809" s="3" t="s">
        <v>176</v>
      </c>
      <c r="F4809" s="3" t="s">
        <v>177</v>
      </c>
      <c r="G4809" s="3" t="s">
        <v>22</v>
      </c>
      <c r="H4809" s="3" t="s">
        <v>83</v>
      </c>
      <c r="I4809" s="3" t="s">
        <v>1127</v>
      </c>
      <c r="J4809" s="3" t="s">
        <v>147</v>
      </c>
      <c r="K4809" s="3">
        <v>3</v>
      </c>
      <c r="L4809" s="3">
        <v>21493.78</v>
      </c>
      <c r="M4809" s="3">
        <v>64481.34</v>
      </c>
      <c r="N4809" s="3">
        <v>53196.17</v>
      </c>
      <c r="O4809" s="3">
        <v>11285.17</v>
      </c>
      <c r="P4809" s="3" t="s">
        <v>69</v>
      </c>
    </row>
    <row r="4810" spans="1:16" x14ac:dyDescent="0.35">
      <c r="A4810" s="3" t="s">
        <v>6252</v>
      </c>
      <c r="B4810" s="3" t="s">
        <v>265</v>
      </c>
      <c r="C4810" s="3" t="s">
        <v>37</v>
      </c>
      <c r="D4810" s="3" t="s">
        <v>19</v>
      </c>
      <c r="E4810" s="3" t="s">
        <v>199</v>
      </c>
      <c r="F4810" s="3" t="s">
        <v>200</v>
      </c>
      <c r="G4810" s="3" t="s">
        <v>41</v>
      </c>
      <c r="H4810" s="3" t="s">
        <v>61</v>
      </c>
      <c r="I4810" s="3" t="s">
        <v>246</v>
      </c>
      <c r="J4810" s="3" t="s">
        <v>217</v>
      </c>
      <c r="K4810" s="3">
        <v>3</v>
      </c>
      <c r="L4810" s="3">
        <v>2685.71</v>
      </c>
      <c r="M4810" s="3">
        <v>8057.13</v>
      </c>
      <c r="N4810" s="3">
        <v>4975.22</v>
      </c>
      <c r="O4810" s="3">
        <v>3081.91</v>
      </c>
      <c r="P4810" s="3" t="s">
        <v>86</v>
      </c>
    </row>
    <row r="4811" spans="1:16" x14ac:dyDescent="0.35">
      <c r="A4811" s="3" t="s">
        <v>6253</v>
      </c>
      <c r="B4811" s="3" t="s">
        <v>318</v>
      </c>
      <c r="C4811" s="3" t="s">
        <v>37</v>
      </c>
      <c r="D4811" s="3" t="s">
        <v>38</v>
      </c>
      <c r="E4811" s="3" t="s">
        <v>104</v>
      </c>
      <c r="F4811" s="3" t="s">
        <v>104</v>
      </c>
      <c r="G4811" s="3" t="s">
        <v>22</v>
      </c>
      <c r="H4811" s="3" t="s">
        <v>93</v>
      </c>
      <c r="I4811" s="3" t="s">
        <v>4947</v>
      </c>
      <c r="J4811" s="3" t="s">
        <v>79</v>
      </c>
      <c r="K4811" s="3">
        <v>1</v>
      </c>
      <c r="L4811" s="3">
        <v>7658.45</v>
      </c>
      <c r="M4811" s="3">
        <v>7658.45</v>
      </c>
      <c r="N4811" s="3">
        <v>5186.54</v>
      </c>
      <c r="O4811" s="3">
        <v>2471.91</v>
      </c>
      <c r="P4811" s="3" t="s">
        <v>69</v>
      </c>
    </row>
    <row r="4812" spans="1:16" x14ac:dyDescent="0.35">
      <c r="A4812" s="3" t="s">
        <v>6254</v>
      </c>
      <c r="B4812" s="3" t="s">
        <v>88</v>
      </c>
      <c r="C4812" s="3" t="s">
        <v>89</v>
      </c>
      <c r="D4812" s="3" t="s">
        <v>19</v>
      </c>
      <c r="E4812" s="3" t="s">
        <v>20</v>
      </c>
      <c r="F4812" s="3" t="s">
        <v>21</v>
      </c>
      <c r="G4812" s="3" t="s">
        <v>41</v>
      </c>
      <c r="H4812" s="3" t="s">
        <v>138</v>
      </c>
      <c r="I4812" s="3" t="s">
        <v>295</v>
      </c>
      <c r="J4812" s="3" t="s">
        <v>106</v>
      </c>
      <c r="K4812" s="3">
        <v>7</v>
      </c>
      <c r="L4812" s="3">
        <v>17439.43</v>
      </c>
      <c r="M4812" s="3">
        <v>122076.01</v>
      </c>
      <c r="N4812" s="3">
        <v>102646.75</v>
      </c>
      <c r="O4812" s="3">
        <v>19429.259999999998</v>
      </c>
      <c r="P4812" s="3" t="s">
        <v>45</v>
      </c>
    </row>
    <row r="4813" spans="1:16" x14ac:dyDescent="0.35">
      <c r="A4813" s="3" t="s">
        <v>6255</v>
      </c>
      <c r="B4813" s="3" t="s">
        <v>1780</v>
      </c>
      <c r="C4813" s="3" t="s">
        <v>137</v>
      </c>
      <c r="D4813" s="3" t="s">
        <v>38</v>
      </c>
      <c r="E4813" s="3" t="s">
        <v>104</v>
      </c>
      <c r="F4813" s="3" t="s">
        <v>104</v>
      </c>
      <c r="G4813" s="3" t="s">
        <v>30</v>
      </c>
      <c r="H4813" s="3" t="s">
        <v>73</v>
      </c>
      <c r="I4813" s="3" t="s">
        <v>3718</v>
      </c>
      <c r="J4813" s="3" t="s">
        <v>44</v>
      </c>
      <c r="K4813" s="3">
        <v>8</v>
      </c>
      <c r="L4813" s="3">
        <v>3514.88</v>
      </c>
      <c r="M4813" s="3">
        <v>28119.040000000001</v>
      </c>
      <c r="N4813" s="3">
        <v>19987.189999999999</v>
      </c>
      <c r="O4813" s="3">
        <v>8131.85</v>
      </c>
      <c r="P4813" s="3" t="s">
        <v>69</v>
      </c>
    </row>
    <row r="4814" spans="1:16" x14ac:dyDescent="0.35">
      <c r="A4814" s="3" t="s">
        <v>6256</v>
      </c>
      <c r="B4814" s="3" t="s">
        <v>586</v>
      </c>
      <c r="C4814" s="3" t="s">
        <v>57</v>
      </c>
      <c r="D4814" s="3" t="s">
        <v>19</v>
      </c>
      <c r="E4814" s="3" t="s">
        <v>199</v>
      </c>
      <c r="F4814" s="3" t="s">
        <v>200</v>
      </c>
      <c r="G4814" s="3" t="s">
        <v>41</v>
      </c>
      <c r="H4814" s="3" t="s">
        <v>138</v>
      </c>
      <c r="I4814" s="3" t="s">
        <v>1705</v>
      </c>
      <c r="J4814" s="3" t="s">
        <v>79</v>
      </c>
      <c r="K4814" s="3">
        <v>4</v>
      </c>
      <c r="L4814" s="3">
        <v>19544.099999999999</v>
      </c>
      <c r="M4814" s="3">
        <v>78176.399999999994</v>
      </c>
      <c r="N4814" s="3">
        <v>54883.17</v>
      </c>
      <c r="O4814" s="3">
        <v>23293.23</v>
      </c>
      <c r="P4814" s="3" t="s">
        <v>86</v>
      </c>
    </row>
    <row r="4815" spans="1:16" x14ac:dyDescent="0.35">
      <c r="A4815" s="3" t="s">
        <v>6257</v>
      </c>
      <c r="B4815" s="3" t="s">
        <v>2688</v>
      </c>
      <c r="C4815" s="3" t="s">
        <v>48</v>
      </c>
      <c r="D4815" s="3" t="s">
        <v>90</v>
      </c>
      <c r="E4815" s="3" t="s">
        <v>91</v>
      </c>
      <c r="F4815" s="3" t="s">
        <v>92</v>
      </c>
      <c r="G4815" s="3" t="s">
        <v>30</v>
      </c>
      <c r="H4815" s="3" t="s">
        <v>73</v>
      </c>
      <c r="I4815" s="3" t="s">
        <v>4616</v>
      </c>
      <c r="J4815" s="3" t="s">
        <v>100</v>
      </c>
      <c r="K4815" s="3">
        <v>5</v>
      </c>
      <c r="L4815" s="3">
        <v>3227.68</v>
      </c>
      <c r="M4815" s="3">
        <v>16138.4</v>
      </c>
      <c r="N4815" s="3">
        <v>11936</v>
      </c>
      <c r="O4815" s="3">
        <v>4202.3999999999996</v>
      </c>
      <c r="P4815" s="3" t="s">
        <v>34</v>
      </c>
    </row>
    <row r="4816" spans="1:16" x14ac:dyDescent="0.35">
      <c r="A4816" s="3" t="s">
        <v>6258</v>
      </c>
      <c r="B4816" s="3" t="s">
        <v>511</v>
      </c>
      <c r="C4816" s="3" t="s">
        <v>29</v>
      </c>
      <c r="D4816" s="3" t="s">
        <v>58</v>
      </c>
      <c r="E4816" s="3" t="s">
        <v>65</v>
      </c>
      <c r="F4816" s="3" t="s">
        <v>66</v>
      </c>
      <c r="G4816" s="3" t="s">
        <v>30</v>
      </c>
      <c r="H4816" s="3" t="s">
        <v>73</v>
      </c>
      <c r="I4816" s="3" t="s">
        <v>453</v>
      </c>
      <c r="J4816" s="3" t="s">
        <v>161</v>
      </c>
      <c r="K4816" s="3">
        <v>4</v>
      </c>
      <c r="L4816" s="3">
        <v>3512.25</v>
      </c>
      <c r="M4816" s="3">
        <v>14049</v>
      </c>
      <c r="N4816" s="3">
        <v>9123.5499999999993</v>
      </c>
      <c r="O4816" s="3">
        <v>4925.45</v>
      </c>
      <c r="P4816" s="3" t="s">
        <v>34</v>
      </c>
    </row>
    <row r="4817" spans="1:16" x14ac:dyDescent="0.35">
      <c r="A4817" s="3" t="s">
        <v>6259</v>
      </c>
      <c r="B4817" s="3" t="s">
        <v>478</v>
      </c>
      <c r="C4817" s="3" t="s">
        <v>82</v>
      </c>
      <c r="D4817" s="3" t="s">
        <v>90</v>
      </c>
      <c r="E4817" s="3" t="s">
        <v>97</v>
      </c>
      <c r="F4817" s="3" t="s">
        <v>98</v>
      </c>
      <c r="G4817" s="3" t="s">
        <v>30</v>
      </c>
      <c r="H4817" s="3" t="s">
        <v>73</v>
      </c>
      <c r="I4817" s="3" t="s">
        <v>53</v>
      </c>
      <c r="J4817" s="3" t="s">
        <v>171</v>
      </c>
      <c r="K4817" s="3">
        <v>5</v>
      </c>
      <c r="L4817" s="3">
        <v>3310.87</v>
      </c>
      <c r="M4817" s="3">
        <v>16554.349999999999</v>
      </c>
      <c r="N4817" s="3">
        <v>11653.45</v>
      </c>
      <c r="O4817" s="3">
        <v>4900.8999999999996</v>
      </c>
      <c r="P4817" s="3" t="s">
        <v>45</v>
      </c>
    </row>
    <row r="4818" spans="1:16" x14ac:dyDescent="0.35">
      <c r="A4818" s="3" t="s">
        <v>6260</v>
      </c>
      <c r="B4818" s="3" t="s">
        <v>675</v>
      </c>
      <c r="C4818" s="3" t="s">
        <v>82</v>
      </c>
      <c r="D4818" s="3" t="s">
        <v>19</v>
      </c>
      <c r="E4818" s="3" t="s">
        <v>199</v>
      </c>
      <c r="F4818" s="3" t="s">
        <v>200</v>
      </c>
      <c r="G4818" s="3" t="s">
        <v>51</v>
      </c>
      <c r="H4818" s="3" t="s">
        <v>52</v>
      </c>
      <c r="I4818" s="3" t="s">
        <v>167</v>
      </c>
      <c r="J4818" s="3" t="s">
        <v>33</v>
      </c>
      <c r="K4818" s="3">
        <v>7</v>
      </c>
      <c r="L4818" s="3">
        <v>25.15</v>
      </c>
      <c r="M4818" s="3">
        <v>176.05</v>
      </c>
      <c r="N4818" s="3">
        <v>72.2</v>
      </c>
      <c r="O4818" s="3">
        <v>103.85</v>
      </c>
      <c r="P4818" s="3" t="s">
        <v>26</v>
      </c>
    </row>
    <row r="4819" spans="1:16" x14ac:dyDescent="0.35">
      <c r="A4819" s="3" t="s">
        <v>6261</v>
      </c>
      <c r="B4819" s="3" t="s">
        <v>310</v>
      </c>
      <c r="C4819" s="3" t="s">
        <v>37</v>
      </c>
      <c r="D4819" s="3" t="s">
        <v>19</v>
      </c>
      <c r="E4819" s="3" t="s">
        <v>49</v>
      </c>
      <c r="F4819" s="3" t="s">
        <v>50</v>
      </c>
      <c r="G4819" s="3" t="s">
        <v>51</v>
      </c>
      <c r="H4819" s="3" t="s">
        <v>145</v>
      </c>
      <c r="I4819" s="3" t="s">
        <v>3487</v>
      </c>
      <c r="J4819" s="3" t="s">
        <v>171</v>
      </c>
      <c r="K4819" s="3">
        <v>6</v>
      </c>
      <c r="L4819" s="3">
        <v>113.75</v>
      </c>
      <c r="M4819" s="3">
        <v>682.5</v>
      </c>
      <c r="N4819" s="3">
        <v>375.12</v>
      </c>
      <c r="O4819" s="3">
        <v>307.38</v>
      </c>
      <c r="P4819" s="3" t="s">
        <v>34</v>
      </c>
    </row>
    <row r="4820" spans="1:16" x14ac:dyDescent="0.35">
      <c r="A4820" s="3" t="s">
        <v>6262</v>
      </c>
      <c r="B4820" s="3" t="s">
        <v>1136</v>
      </c>
      <c r="C4820" s="3" t="s">
        <v>118</v>
      </c>
      <c r="D4820" s="3" t="s">
        <v>38</v>
      </c>
      <c r="E4820" s="3" t="s">
        <v>39</v>
      </c>
      <c r="F4820" s="3" t="s">
        <v>40</v>
      </c>
      <c r="G4820" s="3" t="s">
        <v>30</v>
      </c>
      <c r="H4820" s="3" t="s">
        <v>31</v>
      </c>
      <c r="I4820" s="3" t="s">
        <v>1584</v>
      </c>
      <c r="J4820" s="3" t="s">
        <v>54</v>
      </c>
      <c r="K4820" s="3">
        <v>4</v>
      </c>
      <c r="L4820" s="3">
        <v>2589.41</v>
      </c>
      <c r="M4820" s="3">
        <v>10357.64</v>
      </c>
      <c r="N4820" s="3">
        <v>7910.26</v>
      </c>
      <c r="O4820" s="3">
        <v>2447.38</v>
      </c>
      <c r="P4820" s="3" t="s">
        <v>86</v>
      </c>
    </row>
    <row r="4821" spans="1:16" x14ac:dyDescent="0.35">
      <c r="A4821" s="3" t="s">
        <v>6263</v>
      </c>
      <c r="B4821" s="3" t="s">
        <v>225</v>
      </c>
      <c r="C4821" s="3" t="s">
        <v>89</v>
      </c>
      <c r="D4821" s="3" t="s">
        <v>38</v>
      </c>
      <c r="E4821" s="3" t="s">
        <v>39</v>
      </c>
      <c r="F4821" s="3" t="s">
        <v>40</v>
      </c>
      <c r="G4821" s="3" t="s">
        <v>22</v>
      </c>
      <c r="H4821" s="3" t="s">
        <v>23</v>
      </c>
      <c r="I4821" s="3" t="s">
        <v>266</v>
      </c>
      <c r="J4821" s="3" t="s">
        <v>25</v>
      </c>
      <c r="K4821" s="3">
        <v>2</v>
      </c>
      <c r="L4821" s="3">
        <v>3199.59</v>
      </c>
      <c r="M4821" s="3">
        <v>6399.18</v>
      </c>
      <c r="N4821" s="3">
        <v>4388.1899999999996</v>
      </c>
      <c r="O4821" s="3">
        <v>2010.99</v>
      </c>
      <c r="P4821" s="3" t="s">
        <v>69</v>
      </c>
    </row>
    <row r="4822" spans="1:16" x14ac:dyDescent="0.35">
      <c r="A4822" s="3" t="s">
        <v>6264</v>
      </c>
      <c r="B4822" s="3" t="s">
        <v>740</v>
      </c>
      <c r="C4822" s="3" t="s">
        <v>29</v>
      </c>
      <c r="D4822" s="3" t="s">
        <v>19</v>
      </c>
      <c r="E4822" s="3" t="s">
        <v>20</v>
      </c>
      <c r="F4822" s="3" t="s">
        <v>21</v>
      </c>
      <c r="G4822" s="3" t="s">
        <v>41</v>
      </c>
      <c r="H4822" s="3" t="s">
        <v>42</v>
      </c>
      <c r="I4822" s="3" t="s">
        <v>1530</v>
      </c>
      <c r="J4822" s="3" t="s">
        <v>25</v>
      </c>
      <c r="K4822" s="3">
        <v>4</v>
      </c>
      <c r="L4822" s="3">
        <v>46930.75</v>
      </c>
      <c r="M4822" s="3">
        <v>187723</v>
      </c>
      <c r="N4822" s="3">
        <v>146791.12</v>
      </c>
      <c r="O4822" s="3">
        <v>40931.879999999997</v>
      </c>
      <c r="P4822" s="3" t="s">
        <v>69</v>
      </c>
    </row>
    <row r="4823" spans="1:16" x14ac:dyDescent="0.35">
      <c r="A4823" s="3" t="s">
        <v>6265</v>
      </c>
      <c r="B4823" s="3" t="s">
        <v>654</v>
      </c>
      <c r="C4823" s="3" t="s">
        <v>103</v>
      </c>
      <c r="D4823" s="3" t="s">
        <v>58</v>
      </c>
      <c r="E4823" s="3" t="s">
        <v>59</v>
      </c>
      <c r="F4823" s="3" t="s">
        <v>60</v>
      </c>
      <c r="G4823" s="3" t="s">
        <v>41</v>
      </c>
      <c r="H4823" s="3" t="s">
        <v>138</v>
      </c>
      <c r="I4823" s="3" t="s">
        <v>1372</v>
      </c>
      <c r="J4823" s="3" t="s">
        <v>154</v>
      </c>
      <c r="K4823" s="3">
        <v>1</v>
      </c>
      <c r="L4823" s="3">
        <v>17811.43</v>
      </c>
      <c r="M4823" s="3">
        <v>17811.43</v>
      </c>
      <c r="N4823" s="3">
        <v>14643.38</v>
      </c>
      <c r="O4823" s="3">
        <v>3168.05</v>
      </c>
      <c r="P4823" s="3" t="s">
        <v>34</v>
      </c>
    </row>
    <row r="4824" spans="1:16" x14ac:dyDescent="0.35">
      <c r="A4824" s="3" t="s">
        <v>6266</v>
      </c>
      <c r="B4824" s="3" t="s">
        <v>612</v>
      </c>
      <c r="C4824" s="3" t="s">
        <v>57</v>
      </c>
      <c r="D4824" s="3" t="s">
        <v>90</v>
      </c>
      <c r="E4824" s="3" t="s">
        <v>97</v>
      </c>
      <c r="F4824" s="3" t="s">
        <v>98</v>
      </c>
      <c r="G4824" s="3" t="s">
        <v>51</v>
      </c>
      <c r="H4824" s="3" t="s">
        <v>52</v>
      </c>
      <c r="I4824" s="3" t="s">
        <v>3298</v>
      </c>
      <c r="J4824" s="3" t="s">
        <v>25</v>
      </c>
      <c r="K4824" s="3">
        <v>2</v>
      </c>
      <c r="L4824" s="3">
        <v>25.34</v>
      </c>
      <c r="M4824" s="3">
        <v>50.68</v>
      </c>
      <c r="N4824" s="3">
        <v>20.71</v>
      </c>
      <c r="O4824" s="3">
        <v>29.97</v>
      </c>
      <c r="P4824" s="3" t="s">
        <v>86</v>
      </c>
    </row>
    <row r="4825" spans="1:16" x14ac:dyDescent="0.35">
      <c r="A4825" s="3" t="s">
        <v>6267</v>
      </c>
      <c r="B4825" s="3" t="s">
        <v>1704</v>
      </c>
      <c r="C4825" s="3" t="s">
        <v>48</v>
      </c>
      <c r="D4825" s="3" t="s">
        <v>58</v>
      </c>
      <c r="E4825" s="3" t="s">
        <v>59</v>
      </c>
      <c r="F4825" s="3" t="s">
        <v>60</v>
      </c>
      <c r="G4825" s="3" t="s">
        <v>30</v>
      </c>
      <c r="H4825" s="3" t="s">
        <v>31</v>
      </c>
      <c r="I4825" s="3" t="s">
        <v>1227</v>
      </c>
      <c r="J4825" s="3" t="s">
        <v>25</v>
      </c>
      <c r="K4825" s="3">
        <v>8</v>
      </c>
      <c r="L4825" s="3">
        <v>2668.25</v>
      </c>
      <c r="M4825" s="3">
        <v>21346</v>
      </c>
      <c r="N4825" s="3">
        <v>14649</v>
      </c>
      <c r="O4825" s="3">
        <v>6697</v>
      </c>
      <c r="P4825" s="3" t="s">
        <v>26</v>
      </c>
    </row>
    <row r="4826" spans="1:16" x14ac:dyDescent="0.35">
      <c r="A4826" s="3" t="s">
        <v>6268</v>
      </c>
      <c r="B4826" s="3" t="s">
        <v>1600</v>
      </c>
      <c r="C4826" s="3" t="s">
        <v>103</v>
      </c>
      <c r="D4826" s="3" t="s">
        <v>19</v>
      </c>
      <c r="E4826" s="3" t="s">
        <v>49</v>
      </c>
      <c r="F4826" s="3" t="s">
        <v>50</v>
      </c>
      <c r="G4826" s="3" t="s">
        <v>30</v>
      </c>
      <c r="H4826" s="3" t="s">
        <v>31</v>
      </c>
      <c r="I4826" s="3" t="s">
        <v>1465</v>
      </c>
      <c r="J4826" s="3" t="s">
        <v>33</v>
      </c>
      <c r="K4826" s="3">
        <v>7</v>
      </c>
      <c r="L4826" s="3">
        <v>3070.41</v>
      </c>
      <c r="M4826" s="3">
        <v>21492.87</v>
      </c>
      <c r="N4826" s="3">
        <v>13872.58</v>
      </c>
      <c r="O4826" s="3">
        <v>7620.29</v>
      </c>
      <c r="P4826" s="3" t="s">
        <v>69</v>
      </c>
    </row>
    <row r="4827" spans="1:16" x14ac:dyDescent="0.35">
      <c r="A4827" s="3" t="s">
        <v>6269</v>
      </c>
      <c r="B4827" s="3" t="s">
        <v>723</v>
      </c>
      <c r="C4827" s="3" t="s">
        <v>137</v>
      </c>
      <c r="D4827" s="3" t="s">
        <v>38</v>
      </c>
      <c r="E4827" s="3" t="s">
        <v>104</v>
      </c>
      <c r="F4827" s="3" t="s">
        <v>104</v>
      </c>
      <c r="G4827" s="3" t="s">
        <v>22</v>
      </c>
      <c r="H4827" s="3" t="s">
        <v>83</v>
      </c>
      <c r="I4827" s="3" t="s">
        <v>692</v>
      </c>
      <c r="J4827" s="3" t="s">
        <v>33</v>
      </c>
      <c r="K4827" s="3">
        <v>6</v>
      </c>
      <c r="L4827" s="3">
        <v>22383.95</v>
      </c>
      <c r="M4827" s="3">
        <v>134303.70000000001</v>
      </c>
      <c r="N4827" s="3">
        <v>99956.28</v>
      </c>
      <c r="O4827" s="3">
        <v>34347.42</v>
      </c>
      <c r="P4827" s="3" t="s">
        <v>45</v>
      </c>
    </row>
    <row r="4828" spans="1:16" x14ac:dyDescent="0.35">
      <c r="A4828" s="3" t="s">
        <v>6270</v>
      </c>
      <c r="B4828" s="3" t="s">
        <v>702</v>
      </c>
      <c r="C4828" s="3" t="s">
        <v>57</v>
      </c>
      <c r="D4828" s="3" t="s">
        <v>19</v>
      </c>
      <c r="E4828" s="3" t="s">
        <v>49</v>
      </c>
      <c r="F4828" s="3" t="s">
        <v>50</v>
      </c>
      <c r="G4828" s="3" t="s">
        <v>51</v>
      </c>
      <c r="H4828" s="3" t="s">
        <v>52</v>
      </c>
      <c r="I4828" s="3" t="s">
        <v>2160</v>
      </c>
      <c r="J4828" s="3" t="s">
        <v>100</v>
      </c>
      <c r="K4828" s="3">
        <v>1</v>
      </c>
      <c r="L4828" s="3">
        <v>22.55</v>
      </c>
      <c r="M4828" s="3">
        <v>22.55</v>
      </c>
      <c r="N4828" s="3">
        <v>10.199999999999999</v>
      </c>
      <c r="O4828" s="3">
        <v>12.35</v>
      </c>
      <c r="P4828" s="3" t="s">
        <v>69</v>
      </c>
    </row>
    <row r="4829" spans="1:16" x14ac:dyDescent="0.35">
      <c r="A4829" s="3" t="s">
        <v>6271</v>
      </c>
      <c r="B4829" s="3" t="s">
        <v>908</v>
      </c>
      <c r="C4829" s="3" t="s">
        <v>72</v>
      </c>
      <c r="D4829" s="3" t="s">
        <v>19</v>
      </c>
      <c r="E4829" s="3" t="s">
        <v>199</v>
      </c>
      <c r="F4829" s="3" t="s">
        <v>200</v>
      </c>
      <c r="G4829" s="3" t="s">
        <v>41</v>
      </c>
      <c r="H4829" s="3" t="s">
        <v>138</v>
      </c>
      <c r="I4829" s="3" t="s">
        <v>1368</v>
      </c>
      <c r="J4829" s="3" t="s">
        <v>33</v>
      </c>
      <c r="K4829" s="3">
        <v>5</v>
      </c>
      <c r="L4829" s="3">
        <v>16556.810000000001</v>
      </c>
      <c r="M4829" s="3">
        <v>82784.05</v>
      </c>
      <c r="N4829" s="3">
        <v>69683.08</v>
      </c>
      <c r="O4829" s="3">
        <v>13100.97</v>
      </c>
      <c r="P4829" s="3" t="s">
        <v>86</v>
      </c>
    </row>
    <row r="4830" spans="1:16" x14ac:dyDescent="0.35">
      <c r="A4830" s="3" t="s">
        <v>6272</v>
      </c>
      <c r="B4830" s="3" t="s">
        <v>787</v>
      </c>
      <c r="C4830" s="3" t="s">
        <v>37</v>
      </c>
      <c r="D4830" s="3" t="s">
        <v>90</v>
      </c>
      <c r="E4830" s="3" t="s">
        <v>91</v>
      </c>
      <c r="F4830" s="3" t="s">
        <v>92</v>
      </c>
      <c r="G4830" s="3" t="s">
        <v>51</v>
      </c>
      <c r="H4830" s="3" t="s">
        <v>77</v>
      </c>
      <c r="I4830" s="3" t="s">
        <v>2647</v>
      </c>
      <c r="J4830" s="3" t="s">
        <v>79</v>
      </c>
      <c r="K4830" s="3">
        <v>7</v>
      </c>
      <c r="L4830" s="3">
        <v>12382.81</v>
      </c>
      <c r="M4830" s="3">
        <v>86679.67</v>
      </c>
      <c r="N4830" s="3">
        <v>62905.38</v>
      </c>
      <c r="O4830" s="3">
        <v>23774.29</v>
      </c>
      <c r="P4830" s="3" t="s">
        <v>26</v>
      </c>
    </row>
    <row r="4831" spans="1:16" x14ac:dyDescent="0.35">
      <c r="A4831" s="3" t="s">
        <v>6273</v>
      </c>
      <c r="B4831" s="3" t="s">
        <v>675</v>
      </c>
      <c r="C4831" s="3" t="s">
        <v>82</v>
      </c>
      <c r="D4831" s="3" t="s">
        <v>19</v>
      </c>
      <c r="E4831" s="3" t="s">
        <v>49</v>
      </c>
      <c r="F4831" s="3" t="s">
        <v>50</v>
      </c>
      <c r="G4831" s="3" t="s">
        <v>51</v>
      </c>
      <c r="H4831" s="3" t="s">
        <v>52</v>
      </c>
      <c r="I4831" s="3" t="s">
        <v>1798</v>
      </c>
      <c r="J4831" s="3" t="s">
        <v>79</v>
      </c>
      <c r="K4831" s="3">
        <v>6</v>
      </c>
      <c r="L4831" s="3">
        <v>24.23</v>
      </c>
      <c r="M4831" s="3">
        <v>145.38</v>
      </c>
      <c r="N4831" s="3">
        <v>58.8</v>
      </c>
      <c r="O4831" s="3">
        <v>86.58</v>
      </c>
      <c r="P4831" s="3" t="s">
        <v>69</v>
      </c>
    </row>
    <row r="4832" spans="1:16" x14ac:dyDescent="0.35">
      <c r="A4832" s="3" t="s">
        <v>6274</v>
      </c>
      <c r="B4832" s="3" t="s">
        <v>81</v>
      </c>
      <c r="C4832" s="3" t="s">
        <v>82</v>
      </c>
      <c r="D4832" s="3" t="s">
        <v>19</v>
      </c>
      <c r="E4832" s="3" t="s">
        <v>49</v>
      </c>
      <c r="F4832" s="3" t="s">
        <v>50</v>
      </c>
      <c r="G4832" s="3" t="s">
        <v>51</v>
      </c>
      <c r="H4832" s="3" t="s">
        <v>77</v>
      </c>
      <c r="I4832" s="3" t="s">
        <v>4071</v>
      </c>
      <c r="J4832" s="3" t="s">
        <v>131</v>
      </c>
      <c r="K4832" s="3">
        <v>4</v>
      </c>
      <c r="L4832" s="3">
        <v>11708.75</v>
      </c>
      <c r="M4832" s="3">
        <v>46835</v>
      </c>
      <c r="N4832" s="3">
        <v>35428.300000000003</v>
      </c>
      <c r="O4832" s="3">
        <v>11406.7</v>
      </c>
      <c r="P4832" s="3" t="s">
        <v>45</v>
      </c>
    </row>
    <row r="4833" spans="1:16" x14ac:dyDescent="0.35">
      <c r="A4833" s="3" t="s">
        <v>6275</v>
      </c>
      <c r="B4833" s="3" t="s">
        <v>536</v>
      </c>
      <c r="C4833" s="3" t="s">
        <v>18</v>
      </c>
      <c r="D4833" s="3" t="s">
        <v>38</v>
      </c>
      <c r="E4833" s="3" t="s">
        <v>104</v>
      </c>
      <c r="F4833" s="3" t="s">
        <v>104</v>
      </c>
      <c r="G4833" s="3" t="s">
        <v>41</v>
      </c>
      <c r="H4833" s="3" t="s">
        <v>42</v>
      </c>
      <c r="I4833" s="3" t="s">
        <v>365</v>
      </c>
      <c r="J4833" s="3" t="s">
        <v>100</v>
      </c>
      <c r="K4833" s="3">
        <v>2</v>
      </c>
      <c r="L4833" s="3">
        <v>45821.63</v>
      </c>
      <c r="M4833" s="3">
        <v>91643.26</v>
      </c>
      <c r="N4833" s="3">
        <v>72054.38</v>
      </c>
      <c r="O4833" s="3">
        <v>19588.88</v>
      </c>
      <c r="P4833" s="3" t="s">
        <v>34</v>
      </c>
    </row>
    <row r="4834" spans="1:16" x14ac:dyDescent="0.35">
      <c r="A4834" s="3" t="s">
        <v>6276</v>
      </c>
      <c r="B4834" s="3" t="s">
        <v>1935</v>
      </c>
      <c r="C4834" s="3" t="s">
        <v>72</v>
      </c>
      <c r="D4834" s="3" t="s">
        <v>38</v>
      </c>
      <c r="E4834" s="3" t="s">
        <v>109</v>
      </c>
      <c r="F4834" s="3" t="s">
        <v>110</v>
      </c>
      <c r="G4834" s="3" t="s">
        <v>30</v>
      </c>
      <c r="H4834" s="3" t="s">
        <v>67</v>
      </c>
      <c r="I4834" s="3" t="s">
        <v>1814</v>
      </c>
      <c r="J4834" s="3" t="s">
        <v>100</v>
      </c>
      <c r="K4834" s="3">
        <v>4</v>
      </c>
      <c r="L4834" s="3">
        <v>10088.469999999999</v>
      </c>
      <c r="M4834" s="3">
        <v>40353.879999999997</v>
      </c>
      <c r="N4834" s="3">
        <v>29650.04</v>
      </c>
      <c r="O4834" s="3">
        <v>10703.84</v>
      </c>
      <c r="P4834" s="3" t="s">
        <v>26</v>
      </c>
    </row>
    <row r="4835" spans="1:16" x14ac:dyDescent="0.35">
      <c r="A4835" s="3" t="s">
        <v>6277</v>
      </c>
      <c r="B4835" s="3" t="s">
        <v>936</v>
      </c>
      <c r="C4835" s="3" t="s">
        <v>89</v>
      </c>
      <c r="D4835" s="3" t="s">
        <v>90</v>
      </c>
      <c r="E4835" s="3" t="s">
        <v>97</v>
      </c>
      <c r="F4835" s="3" t="s">
        <v>98</v>
      </c>
      <c r="G4835" s="3" t="s">
        <v>41</v>
      </c>
      <c r="H4835" s="3" t="s">
        <v>138</v>
      </c>
      <c r="I4835" s="3" t="s">
        <v>1579</v>
      </c>
      <c r="J4835" s="3" t="s">
        <v>33</v>
      </c>
      <c r="K4835" s="3">
        <v>8</v>
      </c>
      <c r="L4835" s="3">
        <v>18064.29</v>
      </c>
      <c r="M4835" s="3">
        <v>144514.32</v>
      </c>
      <c r="N4835" s="3">
        <v>109351.78</v>
      </c>
      <c r="O4835" s="3">
        <v>35162.54</v>
      </c>
      <c r="P4835" s="3" t="s">
        <v>34</v>
      </c>
    </row>
    <row r="4836" spans="1:16" x14ac:dyDescent="0.35">
      <c r="A4836" s="3" t="s">
        <v>6278</v>
      </c>
      <c r="B4836" s="3" t="s">
        <v>1727</v>
      </c>
      <c r="C4836" s="3" t="s">
        <v>89</v>
      </c>
      <c r="D4836" s="3" t="s">
        <v>38</v>
      </c>
      <c r="E4836" s="3" t="s">
        <v>109</v>
      </c>
      <c r="F4836" s="3" t="s">
        <v>110</v>
      </c>
      <c r="G4836" s="3" t="s">
        <v>22</v>
      </c>
      <c r="H4836" s="3" t="s">
        <v>83</v>
      </c>
      <c r="I4836" s="3" t="s">
        <v>1658</v>
      </c>
      <c r="J4836" s="3" t="s">
        <v>217</v>
      </c>
      <c r="K4836" s="3">
        <v>5</v>
      </c>
      <c r="L4836" s="3">
        <v>22090.21</v>
      </c>
      <c r="M4836" s="3">
        <v>110451.05</v>
      </c>
      <c r="N4836" s="3">
        <v>85234.13</v>
      </c>
      <c r="O4836" s="3">
        <v>25216.92</v>
      </c>
      <c r="P4836" s="3" t="s">
        <v>45</v>
      </c>
    </row>
    <row r="4837" spans="1:16" x14ac:dyDescent="0.35">
      <c r="A4837" s="3" t="s">
        <v>6279</v>
      </c>
      <c r="B4837" s="3" t="s">
        <v>166</v>
      </c>
      <c r="C4837" s="3" t="s">
        <v>37</v>
      </c>
      <c r="D4837" s="3" t="s">
        <v>58</v>
      </c>
      <c r="E4837" s="3" t="s">
        <v>176</v>
      </c>
      <c r="F4837" s="3" t="s">
        <v>177</v>
      </c>
      <c r="G4837" s="3" t="s">
        <v>30</v>
      </c>
      <c r="H4837" s="3" t="s">
        <v>73</v>
      </c>
      <c r="I4837" s="3" t="s">
        <v>793</v>
      </c>
      <c r="J4837" s="3" t="s">
        <v>106</v>
      </c>
      <c r="K4837" s="3">
        <v>1</v>
      </c>
      <c r="L4837" s="3">
        <v>3391.4</v>
      </c>
      <c r="M4837" s="3">
        <v>3391.4</v>
      </c>
      <c r="N4837" s="3">
        <v>2346.81</v>
      </c>
      <c r="O4837" s="3">
        <v>1044.5899999999999</v>
      </c>
      <c r="P4837" s="3" t="s">
        <v>45</v>
      </c>
    </row>
    <row r="4838" spans="1:16" x14ac:dyDescent="0.35">
      <c r="A4838" s="3" t="s">
        <v>6280</v>
      </c>
      <c r="B4838" s="3" t="s">
        <v>336</v>
      </c>
      <c r="C4838" s="3" t="s">
        <v>29</v>
      </c>
      <c r="D4838" s="3" t="s">
        <v>38</v>
      </c>
      <c r="E4838" s="3" t="s">
        <v>104</v>
      </c>
      <c r="F4838" s="3" t="s">
        <v>104</v>
      </c>
      <c r="G4838" s="3" t="s">
        <v>41</v>
      </c>
      <c r="H4838" s="3" t="s">
        <v>138</v>
      </c>
      <c r="I4838" s="3" t="s">
        <v>1251</v>
      </c>
      <c r="J4838" s="3" t="s">
        <v>85</v>
      </c>
      <c r="K4838" s="3">
        <v>7</v>
      </c>
      <c r="L4838" s="3">
        <v>18286.150000000001</v>
      </c>
      <c r="M4838" s="3">
        <v>128003.05</v>
      </c>
      <c r="N4838" s="3">
        <v>102061.99</v>
      </c>
      <c r="O4838" s="3">
        <v>25941.06</v>
      </c>
      <c r="P4838" s="3" t="s">
        <v>26</v>
      </c>
    </row>
    <row r="4839" spans="1:16" x14ac:dyDescent="0.35">
      <c r="A4839" s="3" t="s">
        <v>6281</v>
      </c>
      <c r="B4839" s="3" t="s">
        <v>318</v>
      </c>
      <c r="C4839" s="3" t="s">
        <v>37</v>
      </c>
      <c r="D4839" s="3" t="s">
        <v>19</v>
      </c>
      <c r="E4839" s="3" t="s">
        <v>20</v>
      </c>
      <c r="F4839" s="3" t="s">
        <v>21</v>
      </c>
      <c r="G4839" s="3" t="s">
        <v>22</v>
      </c>
      <c r="H4839" s="3" t="s">
        <v>93</v>
      </c>
      <c r="I4839" s="3" t="s">
        <v>481</v>
      </c>
      <c r="J4839" s="3" t="s">
        <v>54</v>
      </c>
      <c r="K4839" s="3">
        <v>8</v>
      </c>
      <c r="L4839" s="3">
        <v>6942.4</v>
      </c>
      <c r="M4839" s="3">
        <v>55539.199999999997</v>
      </c>
      <c r="N4839" s="3">
        <v>40746.769999999997</v>
      </c>
      <c r="O4839" s="3">
        <v>14792.43</v>
      </c>
      <c r="P4839" s="3" t="s">
        <v>26</v>
      </c>
    </row>
    <row r="4840" spans="1:16" x14ac:dyDescent="0.35">
      <c r="A4840" s="3" t="s">
        <v>6282</v>
      </c>
      <c r="B4840" s="3" t="s">
        <v>1113</v>
      </c>
      <c r="C4840" s="3" t="s">
        <v>82</v>
      </c>
      <c r="D4840" s="3" t="s">
        <v>90</v>
      </c>
      <c r="E4840" s="3" t="s">
        <v>119</v>
      </c>
      <c r="F4840" s="3" t="s">
        <v>120</v>
      </c>
      <c r="G4840" s="3" t="s">
        <v>30</v>
      </c>
      <c r="H4840" s="3" t="s">
        <v>73</v>
      </c>
      <c r="I4840" s="3" t="s">
        <v>1243</v>
      </c>
      <c r="J4840" s="3" t="s">
        <v>33</v>
      </c>
      <c r="K4840" s="3">
        <v>3</v>
      </c>
      <c r="L4840" s="3">
        <v>2938.02</v>
      </c>
      <c r="M4840" s="3">
        <v>8814.06</v>
      </c>
      <c r="N4840" s="3">
        <v>6931.62</v>
      </c>
      <c r="O4840" s="3">
        <v>1882.44</v>
      </c>
      <c r="P4840" s="3" t="s">
        <v>26</v>
      </c>
    </row>
    <row r="4841" spans="1:16" x14ac:dyDescent="0.35">
      <c r="A4841" s="3" t="s">
        <v>6283</v>
      </c>
      <c r="B4841" s="3" t="s">
        <v>2870</v>
      </c>
      <c r="C4841" s="3" t="s">
        <v>118</v>
      </c>
      <c r="D4841" s="3" t="s">
        <v>90</v>
      </c>
      <c r="E4841" s="3" t="s">
        <v>97</v>
      </c>
      <c r="F4841" s="3" t="s">
        <v>98</v>
      </c>
      <c r="G4841" s="3" t="s">
        <v>51</v>
      </c>
      <c r="H4841" s="3" t="s">
        <v>52</v>
      </c>
      <c r="I4841" s="3" t="s">
        <v>3183</v>
      </c>
      <c r="J4841" s="3" t="s">
        <v>217</v>
      </c>
      <c r="K4841" s="3">
        <v>3</v>
      </c>
      <c r="L4841" s="3">
        <v>26.16</v>
      </c>
      <c r="M4841" s="3">
        <v>78.48</v>
      </c>
      <c r="N4841" s="3">
        <v>30.11</v>
      </c>
      <c r="O4841" s="3">
        <v>48.37</v>
      </c>
      <c r="P4841" s="3" t="s">
        <v>45</v>
      </c>
    </row>
    <row r="4842" spans="1:16" x14ac:dyDescent="0.35">
      <c r="A4842" s="3" t="s">
        <v>6284</v>
      </c>
      <c r="B4842" s="3" t="s">
        <v>636</v>
      </c>
      <c r="C4842" s="3" t="s">
        <v>57</v>
      </c>
      <c r="D4842" s="3" t="s">
        <v>58</v>
      </c>
      <c r="E4842" s="3" t="s">
        <v>59</v>
      </c>
      <c r="F4842" s="3" t="s">
        <v>60</v>
      </c>
      <c r="G4842" s="3" t="s">
        <v>41</v>
      </c>
      <c r="H4842" s="3" t="s">
        <v>138</v>
      </c>
      <c r="I4842" s="3" t="s">
        <v>2525</v>
      </c>
      <c r="J4842" s="3" t="s">
        <v>44</v>
      </c>
      <c r="K4842" s="3">
        <v>1</v>
      </c>
      <c r="L4842" s="3">
        <v>17832.21</v>
      </c>
      <c r="M4842" s="3">
        <v>17832.21</v>
      </c>
      <c r="N4842" s="3">
        <v>13628.76</v>
      </c>
      <c r="O4842" s="3">
        <v>4203.45</v>
      </c>
      <c r="P4842" s="3" t="s">
        <v>86</v>
      </c>
    </row>
    <row r="4843" spans="1:16" x14ac:dyDescent="0.35">
      <c r="A4843" s="3" t="s">
        <v>6285</v>
      </c>
      <c r="B4843" s="3" t="s">
        <v>361</v>
      </c>
      <c r="C4843" s="3" t="s">
        <v>137</v>
      </c>
      <c r="D4843" s="3" t="s">
        <v>38</v>
      </c>
      <c r="E4843" s="3" t="s">
        <v>109</v>
      </c>
      <c r="F4843" s="3" t="s">
        <v>110</v>
      </c>
      <c r="G4843" s="3" t="s">
        <v>22</v>
      </c>
      <c r="H4843" s="3" t="s">
        <v>23</v>
      </c>
      <c r="I4843" s="3" t="s">
        <v>1243</v>
      </c>
      <c r="J4843" s="3" t="s">
        <v>161</v>
      </c>
      <c r="K4843" s="3">
        <v>5</v>
      </c>
      <c r="L4843" s="3">
        <v>3158.34</v>
      </c>
      <c r="M4843" s="3">
        <v>15791.7</v>
      </c>
      <c r="N4843" s="3">
        <v>10831.61</v>
      </c>
      <c r="O4843" s="3">
        <v>4960.09</v>
      </c>
      <c r="P4843" s="3" t="s">
        <v>69</v>
      </c>
    </row>
    <row r="4844" spans="1:16" x14ac:dyDescent="0.35">
      <c r="A4844" s="3" t="s">
        <v>6286</v>
      </c>
      <c r="B4844" s="3" t="s">
        <v>639</v>
      </c>
      <c r="C4844" s="3" t="s">
        <v>72</v>
      </c>
      <c r="D4844" s="3" t="s">
        <v>90</v>
      </c>
      <c r="E4844" s="3" t="s">
        <v>97</v>
      </c>
      <c r="F4844" s="3" t="s">
        <v>98</v>
      </c>
      <c r="G4844" s="3" t="s">
        <v>30</v>
      </c>
      <c r="H4844" s="3" t="s">
        <v>31</v>
      </c>
      <c r="I4844" s="3" t="s">
        <v>566</v>
      </c>
      <c r="J4844" s="3" t="s">
        <v>25</v>
      </c>
      <c r="K4844" s="3">
        <v>7</v>
      </c>
      <c r="L4844" s="3">
        <v>2795.21</v>
      </c>
      <c r="M4844" s="3">
        <v>19566.47</v>
      </c>
      <c r="N4844" s="3">
        <v>13662.34</v>
      </c>
      <c r="O4844" s="3">
        <v>5904.13</v>
      </c>
      <c r="P4844" s="3" t="s">
        <v>26</v>
      </c>
    </row>
    <row r="4845" spans="1:16" x14ac:dyDescent="0.35">
      <c r="A4845" s="3" t="s">
        <v>6287</v>
      </c>
      <c r="B4845" s="3" t="s">
        <v>798</v>
      </c>
      <c r="C4845" s="3" t="s">
        <v>18</v>
      </c>
      <c r="D4845" s="3" t="s">
        <v>38</v>
      </c>
      <c r="E4845" s="3" t="s">
        <v>104</v>
      </c>
      <c r="F4845" s="3" t="s">
        <v>104</v>
      </c>
      <c r="G4845" s="3" t="s">
        <v>22</v>
      </c>
      <c r="H4845" s="3" t="s">
        <v>23</v>
      </c>
      <c r="I4845" s="3" t="s">
        <v>164</v>
      </c>
      <c r="J4845" s="3" t="s">
        <v>171</v>
      </c>
      <c r="K4845" s="3">
        <v>4</v>
      </c>
      <c r="L4845" s="3">
        <v>3236.41</v>
      </c>
      <c r="M4845" s="3">
        <v>12945.64</v>
      </c>
      <c r="N4845" s="3">
        <v>8477.9699999999993</v>
      </c>
      <c r="O4845" s="3">
        <v>4467.67</v>
      </c>
      <c r="P4845" s="3" t="s">
        <v>86</v>
      </c>
    </row>
    <row r="4846" spans="1:16" x14ac:dyDescent="0.35">
      <c r="A4846" s="3" t="s">
        <v>6288</v>
      </c>
      <c r="B4846" s="3" t="s">
        <v>1308</v>
      </c>
      <c r="C4846" s="3" t="s">
        <v>48</v>
      </c>
      <c r="D4846" s="3" t="s">
        <v>58</v>
      </c>
      <c r="E4846" s="3" t="s">
        <v>176</v>
      </c>
      <c r="F4846" s="3" t="s">
        <v>177</v>
      </c>
      <c r="G4846" s="3" t="s">
        <v>30</v>
      </c>
      <c r="H4846" s="3" t="s">
        <v>31</v>
      </c>
      <c r="I4846" s="3" t="s">
        <v>3516</v>
      </c>
      <c r="J4846" s="3" t="s">
        <v>161</v>
      </c>
      <c r="K4846" s="3">
        <v>3</v>
      </c>
      <c r="L4846" s="3">
        <v>2877.35</v>
      </c>
      <c r="M4846" s="3">
        <v>8632.0499999999993</v>
      </c>
      <c r="N4846" s="3">
        <v>5981.38</v>
      </c>
      <c r="O4846" s="3">
        <v>2650.67</v>
      </c>
      <c r="P4846" s="3" t="s">
        <v>26</v>
      </c>
    </row>
    <row r="4847" spans="1:16" x14ac:dyDescent="0.35">
      <c r="A4847" s="3" t="s">
        <v>6289</v>
      </c>
      <c r="B4847" s="3" t="s">
        <v>607</v>
      </c>
      <c r="C4847" s="3" t="s">
        <v>114</v>
      </c>
      <c r="D4847" s="3" t="s">
        <v>38</v>
      </c>
      <c r="E4847" s="3" t="s">
        <v>109</v>
      </c>
      <c r="F4847" s="3" t="s">
        <v>110</v>
      </c>
      <c r="G4847" s="3" t="s">
        <v>22</v>
      </c>
      <c r="H4847" s="3" t="s">
        <v>83</v>
      </c>
      <c r="I4847" s="3" t="s">
        <v>4351</v>
      </c>
      <c r="J4847" s="3" t="s">
        <v>79</v>
      </c>
      <c r="K4847" s="3">
        <v>4</v>
      </c>
      <c r="L4847" s="3">
        <v>20769.099999999999</v>
      </c>
      <c r="M4847" s="3">
        <v>83076.399999999994</v>
      </c>
      <c r="N4847" s="3">
        <v>71333.53</v>
      </c>
      <c r="O4847" s="3">
        <v>11742.87</v>
      </c>
      <c r="P4847" s="3" t="s">
        <v>26</v>
      </c>
    </row>
    <row r="4848" spans="1:16" x14ac:dyDescent="0.35">
      <c r="A4848" s="3" t="s">
        <v>6290</v>
      </c>
      <c r="B4848" s="3" t="s">
        <v>661</v>
      </c>
      <c r="C4848" s="3" t="s">
        <v>114</v>
      </c>
      <c r="D4848" s="3" t="s">
        <v>90</v>
      </c>
      <c r="E4848" s="3" t="s">
        <v>119</v>
      </c>
      <c r="F4848" s="3" t="s">
        <v>120</v>
      </c>
      <c r="G4848" s="3" t="s">
        <v>41</v>
      </c>
      <c r="H4848" s="3" t="s">
        <v>42</v>
      </c>
      <c r="I4848" s="3" t="s">
        <v>1579</v>
      </c>
      <c r="J4848" s="3" t="s">
        <v>100</v>
      </c>
      <c r="K4848" s="3">
        <v>6</v>
      </c>
      <c r="L4848" s="3">
        <v>43442.42</v>
      </c>
      <c r="M4848" s="3">
        <v>260654.52</v>
      </c>
      <c r="N4848" s="3">
        <v>217909.46</v>
      </c>
      <c r="O4848" s="3">
        <v>42745.06</v>
      </c>
      <c r="P4848" s="3" t="s">
        <v>45</v>
      </c>
    </row>
    <row r="4849" spans="1:16" x14ac:dyDescent="0.35">
      <c r="A4849" s="3" t="s">
        <v>6291</v>
      </c>
      <c r="B4849" s="3" t="s">
        <v>141</v>
      </c>
      <c r="C4849" s="3" t="s">
        <v>57</v>
      </c>
      <c r="D4849" s="3" t="s">
        <v>90</v>
      </c>
      <c r="E4849" s="3" t="s">
        <v>91</v>
      </c>
      <c r="F4849" s="3" t="s">
        <v>92</v>
      </c>
      <c r="G4849" s="3" t="s">
        <v>51</v>
      </c>
      <c r="H4849" s="3" t="s">
        <v>77</v>
      </c>
      <c r="I4849" s="3" t="s">
        <v>216</v>
      </c>
      <c r="J4849" s="3" t="s">
        <v>147</v>
      </c>
      <c r="K4849" s="3">
        <v>4</v>
      </c>
      <c r="L4849" s="3">
        <v>12557.57</v>
      </c>
      <c r="M4849" s="3">
        <v>50230.28</v>
      </c>
      <c r="N4849" s="3">
        <v>37237.760000000002</v>
      </c>
      <c r="O4849" s="3">
        <v>12992.52</v>
      </c>
      <c r="P4849" s="3" t="s">
        <v>86</v>
      </c>
    </row>
    <row r="4850" spans="1:16" x14ac:dyDescent="0.35">
      <c r="A4850" s="3" t="s">
        <v>6292</v>
      </c>
      <c r="B4850" s="3" t="s">
        <v>1240</v>
      </c>
      <c r="C4850" s="3" t="s">
        <v>118</v>
      </c>
      <c r="D4850" s="3" t="s">
        <v>58</v>
      </c>
      <c r="E4850" s="3" t="s">
        <v>65</v>
      </c>
      <c r="F4850" s="3" t="s">
        <v>66</v>
      </c>
      <c r="G4850" s="3" t="s">
        <v>51</v>
      </c>
      <c r="H4850" s="3" t="s">
        <v>145</v>
      </c>
      <c r="I4850" s="3" t="s">
        <v>3397</v>
      </c>
      <c r="J4850" s="3" t="s">
        <v>100</v>
      </c>
      <c r="K4850" s="3">
        <v>7</v>
      </c>
      <c r="L4850" s="3">
        <v>113.26</v>
      </c>
      <c r="M4850" s="3">
        <v>792.82</v>
      </c>
      <c r="N4850" s="3">
        <v>404.4</v>
      </c>
      <c r="O4850" s="3">
        <v>388.42</v>
      </c>
      <c r="P4850" s="3" t="s">
        <v>86</v>
      </c>
    </row>
    <row r="4851" spans="1:16" x14ac:dyDescent="0.35">
      <c r="A4851" s="3" t="s">
        <v>6293</v>
      </c>
      <c r="B4851" s="3" t="s">
        <v>642</v>
      </c>
      <c r="C4851" s="3" t="s">
        <v>18</v>
      </c>
      <c r="D4851" s="3" t="s">
        <v>58</v>
      </c>
      <c r="E4851" s="3" t="s">
        <v>65</v>
      </c>
      <c r="F4851" s="3" t="s">
        <v>66</v>
      </c>
      <c r="G4851" s="3" t="s">
        <v>41</v>
      </c>
      <c r="H4851" s="3" t="s">
        <v>138</v>
      </c>
      <c r="I4851" s="3" t="s">
        <v>3058</v>
      </c>
      <c r="J4851" s="3" t="s">
        <v>25</v>
      </c>
      <c r="K4851" s="3">
        <v>6</v>
      </c>
      <c r="L4851" s="3">
        <v>18718.29</v>
      </c>
      <c r="M4851" s="3">
        <v>112309.74</v>
      </c>
      <c r="N4851" s="3">
        <v>80510.34</v>
      </c>
      <c r="O4851" s="3">
        <v>31799.4</v>
      </c>
      <c r="P4851" s="3" t="s">
        <v>45</v>
      </c>
    </row>
    <row r="4852" spans="1:16" x14ac:dyDescent="0.35">
      <c r="A4852" s="3" t="s">
        <v>6294</v>
      </c>
      <c r="B4852" s="3" t="s">
        <v>852</v>
      </c>
      <c r="C4852" s="3" t="s">
        <v>118</v>
      </c>
      <c r="D4852" s="3" t="s">
        <v>19</v>
      </c>
      <c r="E4852" s="3" t="s">
        <v>20</v>
      </c>
      <c r="F4852" s="3" t="s">
        <v>21</v>
      </c>
      <c r="G4852" s="3" t="s">
        <v>51</v>
      </c>
      <c r="H4852" s="3" t="s">
        <v>77</v>
      </c>
      <c r="I4852" s="3" t="s">
        <v>771</v>
      </c>
      <c r="J4852" s="3" t="s">
        <v>33</v>
      </c>
      <c r="K4852" s="3">
        <v>2</v>
      </c>
      <c r="L4852" s="3">
        <v>12558.34</v>
      </c>
      <c r="M4852" s="3">
        <v>25116.68</v>
      </c>
      <c r="N4852" s="3">
        <v>18277.27</v>
      </c>
      <c r="O4852" s="3">
        <v>6839.41</v>
      </c>
      <c r="P4852" s="3" t="s">
        <v>34</v>
      </c>
    </row>
    <row r="4853" spans="1:16" x14ac:dyDescent="0.35">
      <c r="A4853" s="3" t="s">
        <v>6295</v>
      </c>
      <c r="B4853" s="3" t="s">
        <v>195</v>
      </c>
      <c r="C4853" s="3" t="s">
        <v>18</v>
      </c>
      <c r="D4853" s="3" t="s">
        <v>38</v>
      </c>
      <c r="E4853" s="3" t="s">
        <v>109</v>
      </c>
      <c r="F4853" s="3" t="s">
        <v>110</v>
      </c>
      <c r="G4853" s="3" t="s">
        <v>22</v>
      </c>
      <c r="H4853" s="3" t="s">
        <v>93</v>
      </c>
      <c r="I4853" s="3" t="s">
        <v>2560</v>
      </c>
      <c r="J4853" s="3" t="s">
        <v>85</v>
      </c>
      <c r="K4853" s="3">
        <v>4</v>
      </c>
      <c r="L4853" s="3">
        <v>7005.76</v>
      </c>
      <c r="M4853" s="3">
        <v>28023.040000000001</v>
      </c>
      <c r="N4853" s="3">
        <v>20948.060000000001</v>
      </c>
      <c r="O4853" s="3">
        <v>7074.98</v>
      </c>
      <c r="P4853" s="3" t="s">
        <v>34</v>
      </c>
    </row>
    <row r="4854" spans="1:16" x14ac:dyDescent="0.35">
      <c r="A4854" s="3" t="s">
        <v>6296</v>
      </c>
      <c r="B4854" s="3" t="s">
        <v>260</v>
      </c>
      <c r="C4854" s="3" t="s">
        <v>37</v>
      </c>
      <c r="D4854" s="3" t="s">
        <v>38</v>
      </c>
      <c r="E4854" s="3" t="s">
        <v>39</v>
      </c>
      <c r="F4854" s="3" t="s">
        <v>40</v>
      </c>
      <c r="G4854" s="3" t="s">
        <v>41</v>
      </c>
      <c r="H4854" s="3" t="s">
        <v>61</v>
      </c>
      <c r="I4854" s="3" t="s">
        <v>2728</v>
      </c>
      <c r="J4854" s="3" t="s">
        <v>154</v>
      </c>
      <c r="K4854" s="3">
        <v>7</v>
      </c>
      <c r="L4854" s="3">
        <v>2446.48</v>
      </c>
      <c r="M4854" s="3">
        <v>17125.36</v>
      </c>
      <c r="N4854" s="3">
        <v>11035.01</v>
      </c>
      <c r="O4854" s="3">
        <v>6090.35</v>
      </c>
      <c r="P4854" s="3" t="s">
        <v>45</v>
      </c>
    </row>
    <row r="4855" spans="1:16" x14ac:dyDescent="0.35">
      <c r="A4855" s="3" t="s">
        <v>6297</v>
      </c>
      <c r="B4855" s="3" t="s">
        <v>770</v>
      </c>
      <c r="C4855" s="3" t="s">
        <v>72</v>
      </c>
      <c r="D4855" s="3" t="s">
        <v>58</v>
      </c>
      <c r="E4855" s="3" t="s">
        <v>65</v>
      </c>
      <c r="F4855" s="3" t="s">
        <v>66</v>
      </c>
      <c r="G4855" s="3" t="s">
        <v>41</v>
      </c>
      <c r="H4855" s="3" t="s">
        <v>61</v>
      </c>
      <c r="I4855" s="3" t="s">
        <v>99</v>
      </c>
      <c r="J4855" s="3" t="s">
        <v>54</v>
      </c>
      <c r="K4855" s="3">
        <v>2</v>
      </c>
      <c r="L4855" s="3">
        <v>2745.38</v>
      </c>
      <c r="M4855" s="3">
        <v>5490.76</v>
      </c>
      <c r="N4855" s="3">
        <v>3066.18</v>
      </c>
      <c r="O4855" s="3">
        <v>2424.58</v>
      </c>
      <c r="P4855" s="3" t="s">
        <v>26</v>
      </c>
    </row>
    <row r="4856" spans="1:16" x14ac:dyDescent="0.35">
      <c r="A4856" s="3" t="s">
        <v>6298</v>
      </c>
      <c r="B4856" s="3" t="s">
        <v>1461</v>
      </c>
      <c r="C4856" s="3" t="s">
        <v>72</v>
      </c>
      <c r="D4856" s="3" t="s">
        <v>90</v>
      </c>
      <c r="E4856" s="3" t="s">
        <v>119</v>
      </c>
      <c r="F4856" s="3" t="s">
        <v>120</v>
      </c>
      <c r="G4856" s="3" t="s">
        <v>41</v>
      </c>
      <c r="H4856" s="3" t="s">
        <v>42</v>
      </c>
      <c r="I4856" s="3" t="s">
        <v>134</v>
      </c>
      <c r="J4856" s="3" t="s">
        <v>154</v>
      </c>
      <c r="K4856" s="3">
        <v>2</v>
      </c>
      <c r="L4856" s="3">
        <v>44862.17</v>
      </c>
      <c r="M4856" s="3">
        <v>89724.34</v>
      </c>
      <c r="N4856" s="3">
        <v>73142.5</v>
      </c>
      <c r="O4856" s="3">
        <v>16581.84</v>
      </c>
      <c r="P4856" s="3" t="s">
        <v>34</v>
      </c>
    </row>
    <row r="4857" spans="1:16" x14ac:dyDescent="0.35">
      <c r="A4857" s="3" t="s">
        <v>6299</v>
      </c>
      <c r="B4857" s="3" t="s">
        <v>203</v>
      </c>
      <c r="C4857" s="3" t="s">
        <v>48</v>
      </c>
      <c r="D4857" s="3" t="s">
        <v>90</v>
      </c>
      <c r="E4857" s="3" t="s">
        <v>97</v>
      </c>
      <c r="F4857" s="3" t="s">
        <v>98</v>
      </c>
      <c r="G4857" s="3" t="s">
        <v>41</v>
      </c>
      <c r="H4857" s="3" t="s">
        <v>138</v>
      </c>
      <c r="I4857" s="3" t="s">
        <v>2510</v>
      </c>
      <c r="J4857" s="3" t="s">
        <v>188</v>
      </c>
      <c r="K4857" s="3">
        <v>4</v>
      </c>
      <c r="L4857" s="3">
        <v>17052.86</v>
      </c>
      <c r="M4857" s="3">
        <v>68211.44</v>
      </c>
      <c r="N4857" s="3">
        <v>54608.98</v>
      </c>
      <c r="O4857" s="3">
        <v>13602.46</v>
      </c>
      <c r="P4857" s="3" t="s">
        <v>26</v>
      </c>
    </row>
    <row r="4858" spans="1:16" x14ac:dyDescent="0.35">
      <c r="A4858" s="3" t="s">
        <v>6300</v>
      </c>
      <c r="B4858" s="3" t="s">
        <v>1187</v>
      </c>
      <c r="C4858" s="3" t="s">
        <v>18</v>
      </c>
      <c r="D4858" s="3" t="s">
        <v>38</v>
      </c>
      <c r="E4858" s="3" t="s">
        <v>39</v>
      </c>
      <c r="F4858" s="3" t="s">
        <v>40</v>
      </c>
      <c r="G4858" s="3" t="s">
        <v>51</v>
      </c>
      <c r="H4858" s="3" t="s">
        <v>77</v>
      </c>
      <c r="I4858" s="3" t="s">
        <v>216</v>
      </c>
      <c r="J4858" s="3" t="s">
        <v>100</v>
      </c>
      <c r="K4858" s="3">
        <v>5</v>
      </c>
      <c r="L4858" s="3">
        <v>11318.63</v>
      </c>
      <c r="M4858" s="3">
        <v>56593.15</v>
      </c>
      <c r="N4858" s="3">
        <v>44517.01</v>
      </c>
      <c r="O4858" s="3">
        <v>12076.14</v>
      </c>
      <c r="P4858" s="3" t="s">
        <v>45</v>
      </c>
    </row>
    <row r="4859" spans="1:16" x14ac:dyDescent="0.35">
      <c r="A4859" s="3" t="s">
        <v>6301</v>
      </c>
      <c r="B4859" s="3" t="s">
        <v>1224</v>
      </c>
      <c r="C4859" s="3" t="s">
        <v>37</v>
      </c>
      <c r="D4859" s="3" t="s">
        <v>19</v>
      </c>
      <c r="E4859" s="3" t="s">
        <v>49</v>
      </c>
      <c r="F4859" s="3" t="s">
        <v>50</v>
      </c>
      <c r="G4859" s="3" t="s">
        <v>30</v>
      </c>
      <c r="H4859" s="3" t="s">
        <v>73</v>
      </c>
      <c r="I4859" s="3" t="s">
        <v>2732</v>
      </c>
      <c r="J4859" s="3" t="s">
        <v>171</v>
      </c>
      <c r="K4859" s="3">
        <v>6</v>
      </c>
      <c r="L4859" s="3">
        <v>3061.52</v>
      </c>
      <c r="M4859" s="3">
        <v>18369.12</v>
      </c>
      <c r="N4859" s="3">
        <v>13855.95</v>
      </c>
      <c r="O4859" s="3">
        <v>4513.17</v>
      </c>
      <c r="P4859" s="3" t="s">
        <v>45</v>
      </c>
    </row>
    <row r="4860" spans="1:16" x14ac:dyDescent="0.35">
      <c r="A4860" s="3" t="s">
        <v>6302</v>
      </c>
      <c r="B4860" s="3" t="s">
        <v>856</v>
      </c>
      <c r="C4860" s="3" t="s">
        <v>103</v>
      </c>
      <c r="D4860" s="3" t="s">
        <v>38</v>
      </c>
      <c r="E4860" s="3" t="s">
        <v>104</v>
      </c>
      <c r="F4860" s="3" t="s">
        <v>104</v>
      </c>
      <c r="G4860" s="3" t="s">
        <v>41</v>
      </c>
      <c r="H4860" s="3" t="s">
        <v>138</v>
      </c>
      <c r="I4860" s="3" t="s">
        <v>1530</v>
      </c>
      <c r="J4860" s="3" t="s">
        <v>33</v>
      </c>
      <c r="K4860" s="3">
        <v>8</v>
      </c>
      <c r="L4860" s="3">
        <v>17391.04</v>
      </c>
      <c r="M4860" s="3">
        <v>139128.32000000001</v>
      </c>
      <c r="N4860" s="3">
        <v>111885.22</v>
      </c>
      <c r="O4860" s="3">
        <v>27243.1</v>
      </c>
      <c r="P4860" s="3" t="s">
        <v>86</v>
      </c>
    </row>
    <row r="4861" spans="1:16" x14ac:dyDescent="0.35">
      <c r="A4861" s="3" t="s">
        <v>6303</v>
      </c>
      <c r="B4861" s="3" t="s">
        <v>429</v>
      </c>
      <c r="C4861" s="3" t="s">
        <v>137</v>
      </c>
      <c r="D4861" s="3" t="s">
        <v>38</v>
      </c>
      <c r="E4861" s="3" t="s">
        <v>109</v>
      </c>
      <c r="F4861" s="3" t="s">
        <v>110</v>
      </c>
      <c r="G4861" s="3" t="s">
        <v>22</v>
      </c>
      <c r="H4861" s="3" t="s">
        <v>23</v>
      </c>
      <c r="I4861" s="3" t="s">
        <v>6304</v>
      </c>
      <c r="J4861" s="3" t="s">
        <v>161</v>
      </c>
      <c r="K4861" s="3">
        <v>7</v>
      </c>
      <c r="L4861" s="3">
        <v>3804.38</v>
      </c>
      <c r="M4861" s="3">
        <v>26630.66</v>
      </c>
      <c r="N4861" s="3">
        <v>15696.88</v>
      </c>
      <c r="O4861" s="3">
        <v>10933.78</v>
      </c>
      <c r="P4861" s="3" t="s">
        <v>69</v>
      </c>
    </row>
    <row r="4862" spans="1:16" x14ac:dyDescent="0.35">
      <c r="A4862" s="3" t="s">
        <v>6305</v>
      </c>
      <c r="B4862" s="3" t="s">
        <v>392</v>
      </c>
      <c r="C4862" s="3" t="s">
        <v>103</v>
      </c>
      <c r="D4862" s="3" t="s">
        <v>19</v>
      </c>
      <c r="E4862" s="3" t="s">
        <v>199</v>
      </c>
      <c r="F4862" s="3" t="s">
        <v>200</v>
      </c>
      <c r="G4862" s="3" t="s">
        <v>51</v>
      </c>
      <c r="H4862" s="3" t="s">
        <v>52</v>
      </c>
      <c r="I4862" s="3" t="s">
        <v>566</v>
      </c>
      <c r="J4862" s="3" t="s">
        <v>54</v>
      </c>
      <c r="K4862" s="3">
        <v>3</v>
      </c>
      <c r="L4862" s="3">
        <v>24.19</v>
      </c>
      <c r="M4862" s="3">
        <v>72.569999999999993</v>
      </c>
      <c r="N4862" s="3">
        <v>30.31</v>
      </c>
      <c r="O4862" s="3">
        <v>42.26</v>
      </c>
      <c r="P4862" s="3" t="s">
        <v>34</v>
      </c>
    </row>
    <row r="4863" spans="1:16" x14ac:dyDescent="0.35">
      <c r="A4863" s="3" t="s">
        <v>6306</v>
      </c>
      <c r="B4863" s="3" t="s">
        <v>629</v>
      </c>
      <c r="C4863" s="3" t="s">
        <v>29</v>
      </c>
      <c r="D4863" s="3" t="s">
        <v>38</v>
      </c>
      <c r="E4863" s="3" t="s">
        <v>109</v>
      </c>
      <c r="F4863" s="3" t="s">
        <v>110</v>
      </c>
      <c r="G4863" s="3" t="s">
        <v>41</v>
      </c>
      <c r="H4863" s="3" t="s">
        <v>138</v>
      </c>
      <c r="I4863" s="3" t="s">
        <v>2735</v>
      </c>
      <c r="J4863" s="3" t="s">
        <v>100</v>
      </c>
      <c r="K4863" s="3">
        <v>6</v>
      </c>
      <c r="L4863" s="3">
        <v>17926.830000000002</v>
      </c>
      <c r="M4863" s="3">
        <v>107560.98</v>
      </c>
      <c r="N4863" s="3">
        <v>80076.66</v>
      </c>
      <c r="O4863" s="3">
        <v>27484.32</v>
      </c>
      <c r="P4863" s="3" t="s">
        <v>69</v>
      </c>
    </row>
    <row r="4864" spans="1:16" x14ac:dyDescent="0.35">
      <c r="A4864" s="3" t="s">
        <v>6307</v>
      </c>
      <c r="B4864" s="3" t="s">
        <v>488</v>
      </c>
      <c r="C4864" s="3" t="s">
        <v>29</v>
      </c>
      <c r="D4864" s="3" t="s">
        <v>58</v>
      </c>
      <c r="E4864" s="3" t="s">
        <v>59</v>
      </c>
      <c r="F4864" s="3" t="s">
        <v>60</v>
      </c>
      <c r="G4864" s="3" t="s">
        <v>22</v>
      </c>
      <c r="H4864" s="3" t="s">
        <v>93</v>
      </c>
      <c r="I4864" s="3" t="s">
        <v>2274</v>
      </c>
      <c r="J4864" s="3" t="s">
        <v>25</v>
      </c>
      <c r="K4864" s="3">
        <v>4</v>
      </c>
      <c r="L4864" s="3">
        <v>6727.3</v>
      </c>
      <c r="M4864" s="3">
        <v>26909.200000000001</v>
      </c>
      <c r="N4864" s="3">
        <v>20881.62</v>
      </c>
      <c r="O4864" s="3">
        <v>6027.58</v>
      </c>
      <c r="P4864" s="3" t="s">
        <v>86</v>
      </c>
    </row>
    <row r="4865" spans="1:16" x14ac:dyDescent="0.35">
      <c r="A4865" s="3" t="s">
        <v>6308</v>
      </c>
      <c r="B4865" s="3" t="s">
        <v>351</v>
      </c>
      <c r="C4865" s="3" t="s">
        <v>114</v>
      </c>
      <c r="D4865" s="3" t="s">
        <v>38</v>
      </c>
      <c r="E4865" s="3" t="s">
        <v>39</v>
      </c>
      <c r="F4865" s="3" t="s">
        <v>40</v>
      </c>
      <c r="G4865" s="3" t="s">
        <v>51</v>
      </c>
      <c r="H4865" s="3" t="s">
        <v>145</v>
      </c>
      <c r="I4865" s="3" t="s">
        <v>1172</v>
      </c>
      <c r="J4865" s="3" t="s">
        <v>54</v>
      </c>
      <c r="K4865" s="3">
        <v>6</v>
      </c>
      <c r="L4865" s="3">
        <v>111.36</v>
      </c>
      <c r="M4865" s="3">
        <v>668.16</v>
      </c>
      <c r="N4865" s="3">
        <v>369.68</v>
      </c>
      <c r="O4865" s="3">
        <v>298.48</v>
      </c>
      <c r="P4865" s="3" t="s">
        <v>45</v>
      </c>
    </row>
    <row r="4866" spans="1:16" x14ac:dyDescent="0.35">
      <c r="A4866" s="3" t="s">
        <v>6309</v>
      </c>
      <c r="B4866" s="3" t="s">
        <v>415</v>
      </c>
      <c r="C4866" s="3" t="s">
        <v>18</v>
      </c>
      <c r="D4866" s="3" t="s">
        <v>19</v>
      </c>
      <c r="E4866" s="3" t="s">
        <v>49</v>
      </c>
      <c r="F4866" s="3" t="s">
        <v>50</v>
      </c>
      <c r="G4866" s="3" t="s">
        <v>30</v>
      </c>
      <c r="H4866" s="3" t="s">
        <v>67</v>
      </c>
      <c r="I4866" s="3" t="s">
        <v>3260</v>
      </c>
      <c r="J4866" s="3" t="s">
        <v>154</v>
      </c>
      <c r="K4866" s="3">
        <v>8</v>
      </c>
      <c r="L4866" s="3">
        <v>8572.9599999999991</v>
      </c>
      <c r="M4866" s="3">
        <v>68583.679999999993</v>
      </c>
      <c r="N4866" s="3">
        <v>63449.09</v>
      </c>
      <c r="O4866" s="3">
        <v>5134.59</v>
      </c>
      <c r="P4866" s="3" t="s">
        <v>69</v>
      </c>
    </row>
    <row r="4867" spans="1:16" x14ac:dyDescent="0.35">
      <c r="A4867" s="3" t="s">
        <v>6310</v>
      </c>
      <c r="B4867" s="3" t="s">
        <v>743</v>
      </c>
      <c r="C4867" s="3" t="s">
        <v>72</v>
      </c>
      <c r="D4867" s="3" t="s">
        <v>19</v>
      </c>
      <c r="E4867" s="3" t="s">
        <v>49</v>
      </c>
      <c r="F4867" s="3" t="s">
        <v>50</v>
      </c>
      <c r="G4867" s="3" t="s">
        <v>30</v>
      </c>
      <c r="H4867" s="3" t="s">
        <v>73</v>
      </c>
      <c r="I4867" s="3" t="s">
        <v>710</v>
      </c>
      <c r="J4867" s="3" t="s">
        <v>100</v>
      </c>
      <c r="K4867" s="3">
        <v>3</v>
      </c>
      <c r="L4867" s="3">
        <v>3394.66</v>
      </c>
      <c r="M4867" s="3">
        <v>10183.98</v>
      </c>
      <c r="N4867" s="3">
        <v>7417.3</v>
      </c>
      <c r="O4867" s="3">
        <v>2766.68</v>
      </c>
      <c r="P4867" s="3" t="s">
        <v>26</v>
      </c>
    </row>
    <row r="4868" spans="1:16" x14ac:dyDescent="0.35">
      <c r="A4868" s="3" t="s">
        <v>6311</v>
      </c>
      <c r="B4868" s="3" t="s">
        <v>559</v>
      </c>
      <c r="C4868" s="3" t="s">
        <v>89</v>
      </c>
      <c r="D4868" s="3" t="s">
        <v>90</v>
      </c>
      <c r="E4868" s="3" t="s">
        <v>91</v>
      </c>
      <c r="F4868" s="3" t="s">
        <v>92</v>
      </c>
      <c r="G4868" s="3" t="s">
        <v>41</v>
      </c>
      <c r="H4868" s="3" t="s">
        <v>42</v>
      </c>
      <c r="I4868" s="3" t="s">
        <v>2160</v>
      </c>
      <c r="J4868" s="3" t="s">
        <v>131</v>
      </c>
      <c r="K4868" s="3">
        <v>6</v>
      </c>
      <c r="L4868" s="3">
        <v>47244.79</v>
      </c>
      <c r="M4868" s="3">
        <v>283468.74</v>
      </c>
      <c r="N4868" s="3">
        <v>207262.82</v>
      </c>
      <c r="O4868" s="3">
        <v>76205.919999999998</v>
      </c>
      <c r="P4868" s="3" t="s">
        <v>69</v>
      </c>
    </row>
    <row r="4869" spans="1:16" x14ac:dyDescent="0.35">
      <c r="A4869" s="3" t="s">
        <v>6312</v>
      </c>
      <c r="B4869" s="3" t="s">
        <v>1062</v>
      </c>
      <c r="C4869" s="3" t="s">
        <v>89</v>
      </c>
      <c r="D4869" s="3" t="s">
        <v>90</v>
      </c>
      <c r="E4869" s="3" t="s">
        <v>119</v>
      </c>
      <c r="F4869" s="3" t="s">
        <v>120</v>
      </c>
      <c r="G4869" s="3" t="s">
        <v>22</v>
      </c>
      <c r="H4869" s="3" t="s">
        <v>23</v>
      </c>
      <c r="I4869" s="3" t="s">
        <v>1512</v>
      </c>
      <c r="J4869" s="3" t="s">
        <v>154</v>
      </c>
      <c r="K4869" s="3">
        <v>3</v>
      </c>
      <c r="L4869" s="3">
        <v>3248.09</v>
      </c>
      <c r="M4869" s="3">
        <v>9744.27</v>
      </c>
      <c r="N4869" s="3">
        <v>6831.53</v>
      </c>
      <c r="O4869" s="3">
        <v>2912.74</v>
      </c>
      <c r="P4869" s="3" t="s">
        <v>86</v>
      </c>
    </row>
    <row r="4870" spans="1:16" x14ac:dyDescent="0.35">
      <c r="A4870" s="3" t="s">
        <v>6313</v>
      </c>
      <c r="B4870" s="3" t="s">
        <v>28</v>
      </c>
      <c r="C4870" s="3" t="s">
        <v>29</v>
      </c>
      <c r="D4870" s="3" t="s">
        <v>19</v>
      </c>
      <c r="E4870" s="3" t="s">
        <v>20</v>
      </c>
      <c r="F4870" s="3" t="s">
        <v>21</v>
      </c>
      <c r="G4870" s="3" t="s">
        <v>30</v>
      </c>
      <c r="H4870" s="3" t="s">
        <v>73</v>
      </c>
      <c r="I4870" s="3" t="s">
        <v>2171</v>
      </c>
      <c r="J4870" s="3" t="s">
        <v>171</v>
      </c>
      <c r="K4870" s="3">
        <v>3</v>
      </c>
      <c r="L4870" s="3">
        <v>3330.38</v>
      </c>
      <c r="M4870" s="3">
        <v>9991.14</v>
      </c>
      <c r="N4870" s="3">
        <v>7149.51</v>
      </c>
      <c r="O4870" s="3">
        <v>2841.63</v>
      </c>
      <c r="P4870" s="3" t="s">
        <v>34</v>
      </c>
    </row>
    <row r="4871" spans="1:16" x14ac:dyDescent="0.35">
      <c r="A4871" s="3" t="s">
        <v>6314</v>
      </c>
      <c r="B4871" s="3" t="s">
        <v>113</v>
      </c>
      <c r="C4871" s="3" t="s">
        <v>114</v>
      </c>
      <c r="D4871" s="3" t="s">
        <v>38</v>
      </c>
      <c r="E4871" s="3" t="s">
        <v>39</v>
      </c>
      <c r="F4871" s="3" t="s">
        <v>40</v>
      </c>
      <c r="G4871" s="3" t="s">
        <v>22</v>
      </c>
      <c r="H4871" s="3" t="s">
        <v>83</v>
      </c>
      <c r="I4871" s="3" t="s">
        <v>292</v>
      </c>
      <c r="J4871" s="3" t="s">
        <v>188</v>
      </c>
      <c r="K4871" s="3">
        <v>7</v>
      </c>
      <c r="L4871" s="3">
        <v>22008.29</v>
      </c>
      <c r="M4871" s="3">
        <v>154058.03</v>
      </c>
      <c r="N4871" s="3">
        <v>114593.34</v>
      </c>
      <c r="O4871" s="3">
        <v>39464.69</v>
      </c>
      <c r="P4871" s="3" t="s">
        <v>34</v>
      </c>
    </row>
    <row r="4872" spans="1:16" x14ac:dyDescent="0.35">
      <c r="A4872" s="3" t="s">
        <v>6315</v>
      </c>
      <c r="B4872" s="3" t="s">
        <v>989</v>
      </c>
      <c r="C4872" s="3" t="s">
        <v>29</v>
      </c>
      <c r="D4872" s="3" t="s">
        <v>38</v>
      </c>
      <c r="E4872" s="3" t="s">
        <v>104</v>
      </c>
      <c r="F4872" s="3" t="s">
        <v>104</v>
      </c>
      <c r="G4872" s="3" t="s">
        <v>22</v>
      </c>
      <c r="H4872" s="3" t="s">
        <v>23</v>
      </c>
      <c r="I4872" s="3" t="s">
        <v>1495</v>
      </c>
      <c r="J4872" s="3" t="s">
        <v>33</v>
      </c>
      <c r="K4872" s="3">
        <v>7</v>
      </c>
      <c r="L4872" s="3">
        <v>3429.77</v>
      </c>
      <c r="M4872" s="3">
        <v>24008.39</v>
      </c>
      <c r="N4872" s="3">
        <v>15206.76</v>
      </c>
      <c r="O4872" s="3">
        <v>8801.6299999999992</v>
      </c>
      <c r="P4872" s="3" t="s">
        <v>34</v>
      </c>
    </row>
    <row r="4873" spans="1:16" x14ac:dyDescent="0.35">
      <c r="A4873" s="3" t="s">
        <v>6316</v>
      </c>
      <c r="B4873" s="3" t="s">
        <v>1159</v>
      </c>
      <c r="C4873" s="3" t="s">
        <v>29</v>
      </c>
      <c r="D4873" s="3" t="s">
        <v>38</v>
      </c>
      <c r="E4873" s="3" t="s">
        <v>39</v>
      </c>
      <c r="F4873" s="3" t="s">
        <v>40</v>
      </c>
      <c r="G4873" s="3" t="s">
        <v>22</v>
      </c>
      <c r="H4873" s="3" t="s">
        <v>93</v>
      </c>
      <c r="I4873" s="3" t="s">
        <v>164</v>
      </c>
      <c r="J4873" s="3" t="s">
        <v>147</v>
      </c>
      <c r="K4873" s="3">
        <v>7</v>
      </c>
      <c r="L4873" s="3">
        <v>6808.22</v>
      </c>
      <c r="M4873" s="3">
        <v>47657.54</v>
      </c>
      <c r="N4873" s="3">
        <v>34142.79</v>
      </c>
      <c r="O4873" s="3">
        <v>13514.75</v>
      </c>
      <c r="P4873" s="3" t="s">
        <v>86</v>
      </c>
    </row>
    <row r="4874" spans="1:16" x14ac:dyDescent="0.35">
      <c r="A4874" s="3" t="s">
        <v>6317</v>
      </c>
      <c r="B4874" s="3" t="s">
        <v>1504</v>
      </c>
      <c r="C4874" s="3" t="s">
        <v>48</v>
      </c>
      <c r="D4874" s="3" t="s">
        <v>19</v>
      </c>
      <c r="E4874" s="3" t="s">
        <v>20</v>
      </c>
      <c r="F4874" s="3" t="s">
        <v>21</v>
      </c>
      <c r="G4874" s="3" t="s">
        <v>51</v>
      </c>
      <c r="H4874" s="3" t="s">
        <v>52</v>
      </c>
      <c r="I4874" s="3" t="s">
        <v>2239</v>
      </c>
      <c r="J4874" s="3" t="s">
        <v>131</v>
      </c>
      <c r="K4874" s="3">
        <v>8</v>
      </c>
      <c r="L4874" s="3">
        <v>25.89</v>
      </c>
      <c r="M4874" s="3">
        <v>207.12</v>
      </c>
      <c r="N4874" s="3">
        <v>82.6</v>
      </c>
      <c r="O4874" s="3">
        <v>124.52</v>
      </c>
      <c r="P4874" s="3" t="s">
        <v>26</v>
      </c>
    </row>
    <row r="4875" spans="1:16" x14ac:dyDescent="0.35">
      <c r="A4875" s="3" t="s">
        <v>6318</v>
      </c>
      <c r="B4875" s="3" t="s">
        <v>728</v>
      </c>
      <c r="C4875" s="3" t="s">
        <v>82</v>
      </c>
      <c r="D4875" s="3" t="s">
        <v>58</v>
      </c>
      <c r="E4875" s="3" t="s">
        <v>176</v>
      </c>
      <c r="F4875" s="3" t="s">
        <v>177</v>
      </c>
      <c r="G4875" s="3" t="s">
        <v>22</v>
      </c>
      <c r="H4875" s="3" t="s">
        <v>83</v>
      </c>
      <c r="I4875" s="3" t="s">
        <v>622</v>
      </c>
      <c r="J4875" s="3" t="s">
        <v>161</v>
      </c>
      <c r="K4875" s="3">
        <v>5</v>
      </c>
      <c r="L4875" s="3">
        <v>23396.15</v>
      </c>
      <c r="M4875" s="3">
        <v>116980.75</v>
      </c>
      <c r="N4875" s="3">
        <v>83413.7</v>
      </c>
      <c r="O4875" s="3">
        <v>33567.050000000003</v>
      </c>
      <c r="P4875" s="3" t="s">
        <v>34</v>
      </c>
    </row>
    <row r="4876" spans="1:16" x14ac:dyDescent="0.35">
      <c r="A4876" s="3" t="s">
        <v>6319</v>
      </c>
      <c r="B4876" s="3" t="s">
        <v>282</v>
      </c>
      <c r="C4876" s="3" t="s">
        <v>114</v>
      </c>
      <c r="D4876" s="3" t="s">
        <v>38</v>
      </c>
      <c r="E4876" s="3" t="s">
        <v>109</v>
      </c>
      <c r="F4876" s="3" t="s">
        <v>110</v>
      </c>
      <c r="G4876" s="3" t="s">
        <v>41</v>
      </c>
      <c r="H4876" s="3" t="s">
        <v>42</v>
      </c>
      <c r="I4876" s="3" t="s">
        <v>3248</v>
      </c>
      <c r="J4876" s="3" t="s">
        <v>33</v>
      </c>
      <c r="K4876" s="3">
        <v>3</v>
      </c>
      <c r="L4876" s="3">
        <v>43940.91</v>
      </c>
      <c r="M4876" s="3">
        <v>131822.73000000001</v>
      </c>
      <c r="N4876" s="3">
        <v>102857.43</v>
      </c>
      <c r="O4876" s="3">
        <v>28965.3</v>
      </c>
      <c r="P4876" s="3" t="s">
        <v>86</v>
      </c>
    </row>
    <row r="4877" spans="1:16" x14ac:dyDescent="0.35">
      <c r="A4877" s="3" t="s">
        <v>6320</v>
      </c>
      <c r="B4877" s="3" t="s">
        <v>1166</v>
      </c>
      <c r="C4877" s="3" t="s">
        <v>118</v>
      </c>
      <c r="D4877" s="3" t="s">
        <v>38</v>
      </c>
      <c r="E4877" s="3" t="s">
        <v>39</v>
      </c>
      <c r="F4877" s="3" t="s">
        <v>40</v>
      </c>
      <c r="G4877" s="3" t="s">
        <v>41</v>
      </c>
      <c r="H4877" s="3" t="s">
        <v>138</v>
      </c>
      <c r="I4877" s="3" t="s">
        <v>1521</v>
      </c>
      <c r="J4877" s="3" t="s">
        <v>100</v>
      </c>
      <c r="K4877" s="3">
        <v>5</v>
      </c>
      <c r="L4877" s="3">
        <v>17199.150000000001</v>
      </c>
      <c r="M4877" s="3">
        <v>85995.75</v>
      </c>
      <c r="N4877" s="3">
        <v>67666.53</v>
      </c>
      <c r="O4877" s="3">
        <v>18329.22</v>
      </c>
      <c r="P4877" s="3" t="s">
        <v>45</v>
      </c>
    </row>
    <row r="4878" spans="1:16" x14ac:dyDescent="0.35">
      <c r="A4878" s="3" t="s">
        <v>6321</v>
      </c>
      <c r="B4878" s="3" t="s">
        <v>639</v>
      </c>
      <c r="C4878" s="3" t="s">
        <v>72</v>
      </c>
      <c r="D4878" s="3" t="s">
        <v>38</v>
      </c>
      <c r="E4878" s="3" t="s">
        <v>109</v>
      </c>
      <c r="F4878" s="3" t="s">
        <v>110</v>
      </c>
      <c r="G4878" s="3" t="s">
        <v>51</v>
      </c>
      <c r="H4878" s="3" t="s">
        <v>145</v>
      </c>
      <c r="I4878" s="3" t="s">
        <v>433</v>
      </c>
      <c r="J4878" s="3" t="s">
        <v>161</v>
      </c>
      <c r="K4878" s="3">
        <v>8</v>
      </c>
      <c r="L4878" s="3">
        <v>113.37</v>
      </c>
      <c r="M4878" s="3">
        <v>906.96</v>
      </c>
      <c r="N4878" s="3">
        <v>496.48</v>
      </c>
      <c r="O4878" s="3">
        <v>410.48</v>
      </c>
      <c r="P4878" s="3" t="s">
        <v>69</v>
      </c>
    </row>
    <row r="4879" spans="1:16" x14ac:dyDescent="0.35">
      <c r="A4879" s="3" t="s">
        <v>6322</v>
      </c>
      <c r="B4879" s="3" t="s">
        <v>108</v>
      </c>
      <c r="C4879" s="3" t="s">
        <v>72</v>
      </c>
      <c r="D4879" s="3" t="s">
        <v>19</v>
      </c>
      <c r="E4879" s="3" t="s">
        <v>49</v>
      </c>
      <c r="F4879" s="3" t="s">
        <v>50</v>
      </c>
      <c r="G4879" s="3" t="s">
        <v>41</v>
      </c>
      <c r="H4879" s="3" t="s">
        <v>61</v>
      </c>
      <c r="I4879" s="3" t="s">
        <v>1530</v>
      </c>
      <c r="J4879" s="3" t="s">
        <v>54</v>
      </c>
      <c r="K4879" s="3">
        <v>7</v>
      </c>
      <c r="L4879" s="3">
        <v>2493.61</v>
      </c>
      <c r="M4879" s="3">
        <v>17455.27</v>
      </c>
      <c r="N4879" s="3">
        <v>11501.37</v>
      </c>
      <c r="O4879" s="3">
        <v>5953.9</v>
      </c>
      <c r="P4879" s="3" t="s">
        <v>86</v>
      </c>
    </row>
    <row r="4880" spans="1:16" x14ac:dyDescent="0.35">
      <c r="A4880" s="3" t="s">
        <v>6323</v>
      </c>
      <c r="B4880" s="3" t="s">
        <v>392</v>
      </c>
      <c r="C4880" s="3" t="s">
        <v>103</v>
      </c>
      <c r="D4880" s="3" t="s">
        <v>90</v>
      </c>
      <c r="E4880" s="3" t="s">
        <v>119</v>
      </c>
      <c r="F4880" s="3" t="s">
        <v>120</v>
      </c>
      <c r="G4880" s="3" t="s">
        <v>51</v>
      </c>
      <c r="H4880" s="3" t="s">
        <v>145</v>
      </c>
      <c r="I4880" s="3" t="s">
        <v>1015</v>
      </c>
      <c r="J4880" s="3" t="s">
        <v>131</v>
      </c>
      <c r="K4880" s="3">
        <v>7</v>
      </c>
      <c r="L4880" s="3">
        <v>128.55000000000001</v>
      </c>
      <c r="M4880" s="3">
        <v>899.85</v>
      </c>
      <c r="N4880" s="3">
        <v>423.06</v>
      </c>
      <c r="O4880" s="3">
        <v>476.79</v>
      </c>
      <c r="P4880" s="3" t="s">
        <v>34</v>
      </c>
    </row>
    <row r="4881" spans="1:16" x14ac:dyDescent="0.35">
      <c r="A4881" s="3" t="s">
        <v>6324</v>
      </c>
      <c r="B4881" s="3" t="s">
        <v>361</v>
      </c>
      <c r="C4881" s="3" t="s">
        <v>137</v>
      </c>
      <c r="D4881" s="3" t="s">
        <v>19</v>
      </c>
      <c r="E4881" s="3" t="s">
        <v>20</v>
      </c>
      <c r="F4881" s="3" t="s">
        <v>21</v>
      </c>
      <c r="G4881" s="3" t="s">
        <v>51</v>
      </c>
      <c r="H4881" s="3" t="s">
        <v>52</v>
      </c>
      <c r="I4881" s="3" t="s">
        <v>1478</v>
      </c>
      <c r="J4881" s="3" t="s">
        <v>154</v>
      </c>
      <c r="K4881" s="3">
        <v>5</v>
      </c>
      <c r="L4881" s="3">
        <v>23.03</v>
      </c>
      <c r="M4881" s="3">
        <v>115.15</v>
      </c>
      <c r="N4881" s="3">
        <v>49.08</v>
      </c>
      <c r="O4881" s="3">
        <v>66.069999999999993</v>
      </c>
      <c r="P4881" s="3" t="s">
        <v>26</v>
      </c>
    </row>
    <row r="4882" spans="1:16" x14ac:dyDescent="0.35">
      <c r="A4882" s="3" t="s">
        <v>6325</v>
      </c>
      <c r="B4882" s="3" t="s">
        <v>814</v>
      </c>
      <c r="C4882" s="3" t="s">
        <v>103</v>
      </c>
      <c r="D4882" s="3" t="s">
        <v>19</v>
      </c>
      <c r="E4882" s="3" t="s">
        <v>49</v>
      </c>
      <c r="F4882" s="3" t="s">
        <v>50</v>
      </c>
      <c r="G4882" s="3" t="s">
        <v>30</v>
      </c>
      <c r="H4882" s="3" t="s">
        <v>67</v>
      </c>
      <c r="I4882" s="3" t="s">
        <v>2356</v>
      </c>
      <c r="J4882" s="3" t="s">
        <v>188</v>
      </c>
      <c r="K4882" s="3">
        <v>4</v>
      </c>
      <c r="L4882" s="3">
        <v>9670.39</v>
      </c>
      <c r="M4882" s="3">
        <v>38681.56</v>
      </c>
      <c r="N4882" s="3">
        <v>30179.31</v>
      </c>
      <c r="O4882" s="3">
        <v>8502.25</v>
      </c>
      <c r="P4882" s="3" t="s">
        <v>45</v>
      </c>
    </row>
    <row r="4883" spans="1:16" x14ac:dyDescent="0.35">
      <c r="A4883" s="3" t="s">
        <v>6326</v>
      </c>
      <c r="B4883" s="3" t="s">
        <v>702</v>
      </c>
      <c r="C4883" s="3" t="s">
        <v>57</v>
      </c>
      <c r="D4883" s="3" t="s">
        <v>19</v>
      </c>
      <c r="E4883" s="3" t="s">
        <v>199</v>
      </c>
      <c r="F4883" s="3" t="s">
        <v>200</v>
      </c>
      <c r="G4883" s="3" t="s">
        <v>30</v>
      </c>
      <c r="H4883" s="3" t="s">
        <v>31</v>
      </c>
      <c r="I4883" s="3" t="s">
        <v>345</v>
      </c>
      <c r="J4883" s="3" t="s">
        <v>154</v>
      </c>
      <c r="K4883" s="3">
        <v>2</v>
      </c>
      <c r="L4883" s="3">
        <v>2672.24</v>
      </c>
      <c r="M4883" s="3">
        <v>5344.48</v>
      </c>
      <c r="N4883" s="3">
        <v>3650.29</v>
      </c>
      <c r="O4883" s="3">
        <v>1694.19</v>
      </c>
      <c r="P4883" s="3" t="s">
        <v>26</v>
      </c>
    </row>
    <row r="4884" spans="1:16" x14ac:dyDescent="0.35">
      <c r="A4884" s="3" t="s">
        <v>6327</v>
      </c>
      <c r="B4884" s="3" t="s">
        <v>1292</v>
      </c>
      <c r="C4884" s="3" t="s">
        <v>57</v>
      </c>
      <c r="D4884" s="3" t="s">
        <v>38</v>
      </c>
      <c r="E4884" s="3" t="s">
        <v>109</v>
      </c>
      <c r="F4884" s="3" t="s">
        <v>110</v>
      </c>
      <c r="G4884" s="3" t="s">
        <v>30</v>
      </c>
      <c r="H4884" s="3" t="s">
        <v>67</v>
      </c>
      <c r="I4884" s="3" t="s">
        <v>568</v>
      </c>
      <c r="J4884" s="3" t="s">
        <v>54</v>
      </c>
      <c r="K4884" s="3">
        <v>8</v>
      </c>
      <c r="L4884" s="3">
        <v>8899.1200000000008</v>
      </c>
      <c r="M4884" s="3">
        <v>71192.960000000006</v>
      </c>
      <c r="N4884" s="3">
        <v>60959.4</v>
      </c>
      <c r="O4884" s="3">
        <v>10233.56</v>
      </c>
      <c r="P4884" s="3" t="s">
        <v>86</v>
      </c>
    </row>
    <row r="4885" spans="1:16" x14ac:dyDescent="0.35">
      <c r="A4885" s="3" t="s">
        <v>6328</v>
      </c>
      <c r="B4885" s="3" t="s">
        <v>361</v>
      </c>
      <c r="C4885" s="3" t="s">
        <v>137</v>
      </c>
      <c r="D4885" s="3" t="s">
        <v>58</v>
      </c>
      <c r="E4885" s="3" t="s">
        <v>65</v>
      </c>
      <c r="F4885" s="3" t="s">
        <v>66</v>
      </c>
      <c r="G4885" s="3" t="s">
        <v>41</v>
      </c>
      <c r="H4885" s="3" t="s">
        <v>42</v>
      </c>
      <c r="I4885" s="3" t="s">
        <v>456</v>
      </c>
      <c r="J4885" s="3" t="s">
        <v>147</v>
      </c>
      <c r="K4885" s="3">
        <v>4</v>
      </c>
      <c r="L4885" s="3">
        <v>42140.46</v>
      </c>
      <c r="M4885" s="3">
        <v>168561.84</v>
      </c>
      <c r="N4885" s="3">
        <v>133437.26</v>
      </c>
      <c r="O4885" s="3">
        <v>35124.58</v>
      </c>
      <c r="P4885" s="3" t="s">
        <v>45</v>
      </c>
    </row>
    <row r="4886" spans="1:16" x14ac:dyDescent="0.35">
      <c r="A4886" s="3" t="s">
        <v>6329</v>
      </c>
      <c r="B4886" s="3" t="s">
        <v>570</v>
      </c>
      <c r="C4886" s="3" t="s">
        <v>18</v>
      </c>
      <c r="D4886" s="3" t="s">
        <v>90</v>
      </c>
      <c r="E4886" s="3" t="s">
        <v>119</v>
      </c>
      <c r="F4886" s="3" t="s">
        <v>120</v>
      </c>
      <c r="G4886" s="3" t="s">
        <v>22</v>
      </c>
      <c r="H4886" s="3" t="s">
        <v>93</v>
      </c>
      <c r="I4886" s="3" t="s">
        <v>362</v>
      </c>
      <c r="J4886" s="3" t="s">
        <v>161</v>
      </c>
      <c r="K4886" s="3">
        <v>2</v>
      </c>
      <c r="L4886" s="3">
        <v>7058.53</v>
      </c>
      <c r="M4886" s="3">
        <v>14117.06</v>
      </c>
      <c r="N4886" s="3">
        <v>10120.33</v>
      </c>
      <c r="O4886" s="3">
        <v>3996.73</v>
      </c>
      <c r="P4886" s="3" t="s">
        <v>86</v>
      </c>
    </row>
    <row r="4887" spans="1:16" x14ac:dyDescent="0.35">
      <c r="A4887" s="3" t="s">
        <v>6330</v>
      </c>
      <c r="B4887" s="3" t="s">
        <v>649</v>
      </c>
      <c r="C4887" s="3" t="s">
        <v>29</v>
      </c>
      <c r="D4887" s="3" t="s">
        <v>19</v>
      </c>
      <c r="E4887" s="3" t="s">
        <v>20</v>
      </c>
      <c r="F4887" s="3" t="s">
        <v>21</v>
      </c>
      <c r="G4887" s="3" t="s">
        <v>30</v>
      </c>
      <c r="H4887" s="3" t="s">
        <v>31</v>
      </c>
      <c r="I4887" s="3" t="s">
        <v>3532</v>
      </c>
      <c r="J4887" s="3" t="s">
        <v>161</v>
      </c>
      <c r="K4887" s="3">
        <v>5</v>
      </c>
      <c r="L4887" s="3">
        <v>2664.54</v>
      </c>
      <c r="M4887" s="3">
        <v>13322.7</v>
      </c>
      <c r="N4887" s="3">
        <v>9556.25</v>
      </c>
      <c r="O4887" s="3">
        <v>3766.45</v>
      </c>
      <c r="P4887" s="3" t="s">
        <v>69</v>
      </c>
    </row>
    <row r="4888" spans="1:16" x14ac:dyDescent="0.35">
      <c r="A4888" s="3" t="s">
        <v>6331</v>
      </c>
      <c r="B4888" s="3" t="s">
        <v>102</v>
      </c>
      <c r="C4888" s="3" t="s">
        <v>103</v>
      </c>
      <c r="D4888" s="3" t="s">
        <v>19</v>
      </c>
      <c r="E4888" s="3" t="s">
        <v>199</v>
      </c>
      <c r="F4888" s="3" t="s">
        <v>200</v>
      </c>
      <c r="G4888" s="3" t="s">
        <v>22</v>
      </c>
      <c r="H4888" s="3" t="s">
        <v>83</v>
      </c>
      <c r="I4888" s="3" t="s">
        <v>1825</v>
      </c>
      <c r="J4888" s="3" t="s">
        <v>161</v>
      </c>
      <c r="K4888" s="3">
        <v>2</v>
      </c>
      <c r="L4888" s="3">
        <v>20663.71</v>
      </c>
      <c r="M4888" s="3">
        <v>41327.42</v>
      </c>
      <c r="N4888" s="3">
        <v>33114.15</v>
      </c>
      <c r="O4888" s="3">
        <v>8213.27</v>
      </c>
      <c r="P4888" s="3" t="s">
        <v>69</v>
      </c>
    </row>
    <row r="4889" spans="1:16" x14ac:dyDescent="0.35">
      <c r="A4889" s="3" t="s">
        <v>6332</v>
      </c>
      <c r="B4889" s="3" t="s">
        <v>2969</v>
      </c>
      <c r="C4889" s="3" t="s">
        <v>137</v>
      </c>
      <c r="D4889" s="3" t="s">
        <v>19</v>
      </c>
      <c r="E4889" s="3" t="s">
        <v>20</v>
      </c>
      <c r="F4889" s="3" t="s">
        <v>21</v>
      </c>
      <c r="G4889" s="3" t="s">
        <v>30</v>
      </c>
      <c r="H4889" s="3" t="s">
        <v>67</v>
      </c>
      <c r="I4889" s="3" t="s">
        <v>2201</v>
      </c>
      <c r="J4889" s="3" t="s">
        <v>171</v>
      </c>
      <c r="K4889" s="3">
        <v>6</v>
      </c>
      <c r="L4889" s="3">
        <v>8905.32</v>
      </c>
      <c r="M4889" s="3">
        <v>53431.92</v>
      </c>
      <c r="N4889" s="3">
        <v>46966.66</v>
      </c>
      <c r="O4889" s="3">
        <v>6465.26</v>
      </c>
      <c r="P4889" s="3" t="s">
        <v>34</v>
      </c>
    </row>
    <row r="4890" spans="1:16" x14ac:dyDescent="0.35">
      <c r="A4890" s="3" t="s">
        <v>6333</v>
      </c>
      <c r="B4890" s="3" t="s">
        <v>816</v>
      </c>
      <c r="C4890" s="3" t="s">
        <v>57</v>
      </c>
      <c r="D4890" s="3" t="s">
        <v>19</v>
      </c>
      <c r="E4890" s="3" t="s">
        <v>199</v>
      </c>
      <c r="F4890" s="3" t="s">
        <v>200</v>
      </c>
      <c r="G4890" s="3" t="s">
        <v>51</v>
      </c>
      <c r="H4890" s="3" t="s">
        <v>52</v>
      </c>
      <c r="I4890" s="3" t="s">
        <v>1595</v>
      </c>
      <c r="J4890" s="3" t="s">
        <v>171</v>
      </c>
      <c r="K4890" s="3">
        <v>5</v>
      </c>
      <c r="L4890" s="3">
        <v>27.12</v>
      </c>
      <c r="M4890" s="3">
        <v>135.6</v>
      </c>
      <c r="N4890" s="3">
        <v>50.75</v>
      </c>
      <c r="O4890" s="3">
        <v>84.85</v>
      </c>
      <c r="P4890" s="3" t="s">
        <v>45</v>
      </c>
    </row>
    <row r="4891" spans="1:16" x14ac:dyDescent="0.35">
      <c r="A4891" s="3" t="s">
        <v>6334</v>
      </c>
      <c r="B4891" s="3" t="s">
        <v>562</v>
      </c>
      <c r="C4891" s="3" t="s">
        <v>82</v>
      </c>
      <c r="D4891" s="3" t="s">
        <v>38</v>
      </c>
      <c r="E4891" s="3" t="s">
        <v>39</v>
      </c>
      <c r="F4891" s="3" t="s">
        <v>40</v>
      </c>
      <c r="G4891" s="3" t="s">
        <v>30</v>
      </c>
      <c r="H4891" s="3" t="s">
        <v>67</v>
      </c>
      <c r="I4891" s="3" t="s">
        <v>2743</v>
      </c>
      <c r="J4891" s="3" t="s">
        <v>131</v>
      </c>
      <c r="K4891" s="3">
        <v>7</v>
      </c>
      <c r="L4891" s="3">
        <v>9006.42</v>
      </c>
      <c r="M4891" s="3">
        <v>63044.94</v>
      </c>
      <c r="N4891" s="3">
        <v>55533.760000000002</v>
      </c>
      <c r="O4891" s="3">
        <v>7511.18</v>
      </c>
      <c r="P4891" s="3" t="s">
        <v>45</v>
      </c>
    </row>
    <row r="4892" spans="1:16" x14ac:dyDescent="0.35">
      <c r="A4892" s="3" t="s">
        <v>6335</v>
      </c>
      <c r="B4892" s="3" t="s">
        <v>435</v>
      </c>
      <c r="C4892" s="3" t="s">
        <v>18</v>
      </c>
      <c r="D4892" s="3" t="s">
        <v>90</v>
      </c>
      <c r="E4892" s="3" t="s">
        <v>97</v>
      </c>
      <c r="F4892" s="3" t="s">
        <v>98</v>
      </c>
      <c r="G4892" s="3" t="s">
        <v>41</v>
      </c>
      <c r="H4892" s="3" t="s">
        <v>42</v>
      </c>
      <c r="I4892" s="3" t="s">
        <v>2431</v>
      </c>
      <c r="J4892" s="3" t="s">
        <v>33</v>
      </c>
      <c r="K4892" s="3">
        <v>2</v>
      </c>
      <c r="L4892" s="3">
        <v>46743.839999999997</v>
      </c>
      <c r="M4892" s="3">
        <v>93487.679999999993</v>
      </c>
      <c r="N4892" s="3">
        <v>72441.61</v>
      </c>
      <c r="O4892" s="3">
        <v>21046.07</v>
      </c>
      <c r="P4892" s="3" t="s">
        <v>86</v>
      </c>
    </row>
    <row r="4893" spans="1:16" x14ac:dyDescent="0.35">
      <c r="A4893" s="3" t="s">
        <v>6336</v>
      </c>
      <c r="B4893" s="3" t="s">
        <v>276</v>
      </c>
      <c r="C4893" s="3" t="s">
        <v>114</v>
      </c>
      <c r="D4893" s="3" t="s">
        <v>58</v>
      </c>
      <c r="E4893" s="3" t="s">
        <v>65</v>
      </c>
      <c r="F4893" s="3" t="s">
        <v>66</v>
      </c>
      <c r="G4893" s="3" t="s">
        <v>30</v>
      </c>
      <c r="H4893" s="3" t="s">
        <v>31</v>
      </c>
      <c r="I4893" s="3" t="s">
        <v>2306</v>
      </c>
      <c r="J4893" s="3" t="s">
        <v>85</v>
      </c>
      <c r="K4893" s="3">
        <v>6</v>
      </c>
      <c r="L4893" s="3">
        <v>2659.76</v>
      </c>
      <c r="M4893" s="3">
        <v>15958.56</v>
      </c>
      <c r="N4893" s="3">
        <v>11470.88</v>
      </c>
      <c r="O4893" s="3">
        <v>4487.68</v>
      </c>
      <c r="P4893" s="3" t="s">
        <v>34</v>
      </c>
    </row>
    <row r="4894" spans="1:16" x14ac:dyDescent="0.35">
      <c r="A4894" s="3" t="s">
        <v>6337</v>
      </c>
      <c r="B4894" s="3" t="s">
        <v>76</v>
      </c>
      <c r="C4894" s="3" t="s">
        <v>48</v>
      </c>
      <c r="D4894" s="3" t="s">
        <v>19</v>
      </c>
      <c r="E4894" s="3" t="s">
        <v>199</v>
      </c>
      <c r="F4894" s="3" t="s">
        <v>200</v>
      </c>
      <c r="G4894" s="3" t="s">
        <v>41</v>
      </c>
      <c r="H4894" s="3" t="s">
        <v>138</v>
      </c>
      <c r="I4894" s="3" t="s">
        <v>2052</v>
      </c>
      <c r="J4894" s="3" t="s">
        <v>25</v>
      </c>
      <c r="K4894" s="3">
        <v>7</v>
      </c>
      <c r="L4894" s="3">
        <v>18558.57</v>
      </c>
      <c r="M4894" s="3">
        <v>129909.99</v>
      </c>
      <c r="N4894" s="3">
        <v>101232.8</v>
      </c>
      <c r="O4894" s="3">
        <v>28677.19</v>
      </c>
      <c r="P4894" s="3" t="s">
        <v>69</v>
      </c>
    </row>
    <row r="4895" spans="1:16" x14ac:dyDescent="0.35">
      <c r="A4895" s="3" t="s">
        <v>6338</v>
      </c>
      <c r="B4895" s="3" t="s">
        <v>299</v>
      </c>
      <c r="C4895" s="3" t="s">
        <v>89</v>
      </c>
      <c r="D4895" s="3" t="s">
        <v>58</v>
      </c>
      <c r="E4895" s="3" t="s">
        <v>176</v>
      </c>
      <c r="F4895" s="3" t="s">
        <v>177</v>
      </c>
      <c r="G4895" s="3" t="s">
        <v>41</v>
      </c>
      <c r="H4895" s="3" t="s">
        <v>61</v>
      </c>
      <c r="I4895" s="3" t="s">
        <v>597</v>
      </c>
      <c r="J4895" s="3" t="s">
        <v>171</v>
      </c>
      <c r="K4895" s="3">
        <v>2</v>
      </c>
      <c r="L4895" s="3">
        <v>2338.84</v>
      </c>
      <c r="M4895" s="3">
        <v>4677.68</v>
      </c>
      <c r="N4895" s="3">
        <v>3297.55</v>
      </c>
      <c r="O4895" s="3">
        <v>1380.13</v>
      </c>
      <c r="P4895" s="3" t="s">
        <v>69</v>
      </c>
    </row>
    <row r="4896" spans="1:16" x14ac:dyDescent="0.35">
      <c r="A4896" s="3" t="s">
        <v>6339</v>
      </c>
      <c r="B4896" s="3" t="s">
        <v>333</v>
      </c>
      <c r="C4896" s="3" t="s">
        <v>118</v>
      </c>
      <c r="D4896" s="3" t="s">
        <v>58</v>
      </c>
      <c r="E4896" s="3" t="s">
        <v>65</v>
      </c>
      <c r="F4896" s="3" t="s">
        <v>66</v>
      </c>
      <c r="G4896" s="3" t="s">
        <v>22</v>
      </c>
      <c r="H4896" s="3" t="s">
        <v>83</v>
      </c>
      <c r="I4896" s="3" t="s">
        <v>130</v>
      </c>
      <c r="J4896" s="3" t="s">
        <v>147</v>
      </c>
      <c r="K4896" s="3">
        <v>1</v>
      </c>
      <c r="L4896" s="3">
        <v>20398.45</v>
      </c>
      <c r="M4896" s="3">
        <v>20398.45</v>
      </c>
      <c r="N4896" s="3">
        <v>17017.97</v>
      </c>
      <c r="O4896" s="3">
        <v>3380.48</v>
      </c>
      <c r="P4896" s="3" t="s">
        <v>45</v>
      </c>
    </row>
    <row r="4897" spans="1:16" x14ac:dyDescent="0.35">
      <c r="A4897" s="3" t="s">
        <v>6340</v>
      </c>
      <c r="B4897" s="3" t="s">
        <v>1301</v>
      </c>
      <c r="C4897" s="3" t="s">
        <v>18</v>
      </c>
      <c r="D4897" s="3" t="s">
        <v>58</v>
      </c>
      <c r="E4897" s="3" t="s">
        <v>59</v>
      </c>
      <c r="F4897" s="3" t="s">
        <v>60</v>
      </c>
      <c r="G4897" s="3" t="s">
        <v>51</v>
      </c>
      <c r="H4897" s="3" t="s">
        <v>145</v>
      </c>
      <c r="I4897" s="3" t="s">
        <v>184</v>
      </c>
      <c r="J4897" s="3" t="s">
        <v>33</v>
      </c>
      <c r="K4897" s="3">
        <v>7</v>
      </c>
      <c r="L4897" s="3">
        <v>113.54</v>
      </c>
      <c r="M4897" s="3">
        <v>794.78</v>
      </c>
      <c r="N4897" s="3">
        <v>426.38</v>
      </c>
      <c r="O4897" s="3">
        <v>368.4</v>
      </c>
      <c r="P4897" s="3" t="s">
        <v>45</v>
      </c>
    </row>
    <row r="4898" spans="1:16" x14ac:dyDescent="0.35">
      <c r="A4898" s="3" t="s">
        <v>6341</v>
      </c>
      <c r="B4898" s="3" t="s">
        <v>260</v>
      </c>
      <c r="C4898" s="3" t="s">
        <v>37</v>
      </c>
      <c r="D4898" s="3" t="s">
        <v>90</v>
      </c>
      <c r="E4898" s="3" t="s">
        <v>91</v>
      </c>
      <c r="F4898" s="3" t="s">
        <v>92</v>
      </c>
      <c r="G4898" s="3" t="s">
        <v>41</v>
      </c>
      <c r="H4898" s="3" t="s">
        <v>42</v>
      </c>
      <c r="I4898" s="3" t="s">
        <v>295</v>
      </c>
      <c r="J4898" s="3" t="s">
        <v>161</v>
      </c>
      <c r="K4898" s="3">
        <v>3</v>
      </c>
      <c r="L4898" s="3">
        <v>41927.64</v>
      </c>
      <c r="M4898" s="3">
        <v>125782.92</v>
      </c>
      <c r="N4898" s="3">
        <v>102752.02</v>
      </c>
      <c r="O4898" s="3">
        <v>23030.9</v>
      </c>
      <c r="P4898" s="3" t="s">
        <v>34</v>
      </c>
    </row>
    <row r="4899" spans="1:16" x14ac:dyDescent="0.35">
      <c r="A4899" s="3" t="s">
        <v>6342</v>
      </c>
      <c r="B4899" s="3" t="s">
        <v>183</v>
      </c>
      <c r="C4899" s="3" t="s">
        <v>114</v>
      </c>
      <c r="D4899" s="3" t="s">
        <v>58</v>
      </c>
      <c r="E4899" s="3" t="s">
        <v>65</v>
      </c>
      <c r="F4899" s="3" t="s">
        <v>66</v>
      </c>
      <c r="G4899" s="3" t="s">
        <v>41</v>
      </c>
      <c r="H4899" s="3" t="s">
        <v>138</v>
      </c>
      <c r="I4899" s="3" t="s">
        <v>1817</v>
      </c>
      <c r="J4899" s="3" t="s">
        <v>44</v>
      </c>
      <c r="K4899" s="3">
        <v>7</v>
      </c>
      <c r="L4899" s="3">
        <v>19053.62</v>
      </c>
      <c r="M4899" s="3">
        <v>133375.34</v>
      </c>
      <c r="N4899" s="3">
        <v>94843.25</v>
      </c>
      <c r="O4899" s="3">
        <v>38532.089999999997</v>
      </c>
      <c r="P4899" s="3" t="s">
        <v>86</v>
      </c>
    </row>
    <row r="4900" spans="1:16" x14ac:dyDescent="0.35">
      <c r="A4900" s="3" t="s">
        <v>6343</v>
      </c>
      <c r="B4900" s="3" t="s">
        <v>1072</v>
      </c>
      <c r="C4900" s="3" t="s">
        <v>18</v>
      </c>
      <c r="D4900" s="3" t="s">
        <v>90</v>
      </c>
      <c r="E4900" s="3" t="s">
        <v>97</v>
      </c>
      <c r="F4900" s="3" t="s">
        <v>98</v>
      </c>
      <c r="G4900" s="3" t="s">
        <v>51</v>
      </c>
      <c r="H4900" s="3" t="s">
        <v>77</v>
      </c>
      <c r="I4900" s="3" t="s">
        <v>3865</v>
      </c>
      <c r="J4900" s="3" t="s">
        <v>85</v>
      </c>
      <c r="K4900" s="3">
        <v>1</v>
      </c>
      <c r="L4900" s="3">
        <v>11714.73</v>
      </c>
      <c r="M4900" s="3">
        <v>11714.73</v>
      </c>
      <c r="N4900" s="3">
        <v>8653.73</v>
      </c>
      <c r="O4900" s="3">
        <v>3061</v>
      </c>
      <c r="P4900" s="3" t="s">
        <v>34</v>
      </c>
    </row>
    <row r="4901" spans="1:16" x14ac:dyDescent="0.35">
      <c r="A4901" s="3" t="s">
        <v>6344</v>
      </c>
      <c r="B4901" s="3" t="s">
        <v>1062</v>
      </c>
      <c r="C4901" s="3" t="s">
        <v>89</v>
      </c>
      <c r="D4901" s="3" t="s">
        <v>19</v>
      </c>
      <c r="E4901" s="3" t="s">
        <v>199</v>
      </c>
      <c r="F4901" s="3" t="s">
        <v>200</v>
      </c>
      <c r="G4901" s="3" t="s">
        <v>22</v>
      </c>
      <c r="H4901" s="3" t="s">
        <v>93</v>
      </c>
      <c r="I4901" s="3" t="s">
        <v>2804</v>
      </c>
      <c r="J4901" s="3" t="s">
        <v>217</v>
      </c>
      <c r="K4901" s="3">
        <v>3</v>
      </c>
      <c r="L4901" s="3">
        <v>7544.16</v>
      </c>
      <c r="M4901" s="3">
        <v>22632.48</v>
      </c>
      <c r="N4901" s="3">
        <v>14430.2</v>
      </c>
      <c r="O4901" s="3">
        <v>8202.2800000000007</v>
      </c>
      <c r="P4901" s="3" t="s">
        <v>86</v>
      </c>
    </row>
    <row r="4902" spans="1:16" x14ac:dyDescent="0.35">
      <c r="A4902" s="3" t="s">
        <v>6345</v>
      </c>
      <c r="B4902" s="3" t="s">
        <v>141</v>
      </c>
      <c r="C4902" s="3" t="s">
        <v>57</v>
      </c>
      <c r="D4902" s="3" t="s">
        <v>90</v>
      </c>
      <c r="E4902" s="3" t="s">
        <v>91</v>
      </c>
      <c r="F4902" s="3" t="s">
        <v>92</v>
      </c>
      <c r="G4902" s="3" t="s">
        <v>22</v>
      </c>
      <c r="H4902" s="3" t="s">
        <v>93</v>
      </c>
      <c r="I4902" s="3" t="s">
        <v>2891</v>
      </c>
      <c r="J4902" s="3" t="s">
        <v>217</v>
      </c>
      <c r="K4902" s="3">
        <v>8</v>
      </c>
      <c r="L4902" s="3">
        <v>6794.81</v>
      </c>
      <c r="M4902" s="3">
        <v>54358.48</v>
      </c>
      <c r="N4902" s="3">
        <v>39430.230000000003</v>
      </c>
      <c r="O4902" s="3">
        <v>14928.25</v>
      </c>
      <c r="P4902" s="3" t="s">
        <v>45</v>
      </c>
    </row>
    <row r="4903" spans="1:16" x14ac:dyDescent="0.35">
      <c r="A4903" s="3" t="s">
        <v>6346</v>
      </c>
      <c r="B4903" s="3" t="s">
        <v>180</v>
      </c>
      <c r="C4903" s="3" t="s">
        <v>48</v>
      </c>
      <c r="D4903" s="3" t="s">
        <v>90</v>
      </c>
      <c r="E4903" s="3" t="s">
        <v>91</v>
      </c>
      <c r="F4903" s="3" t="s">
        <v>92</v>
      </c>
      <c r="G4903" s="3" t="s">
        <v>51</v>
      </c>
      <c r="H4903" s="3" t="s">
        <v>145</v>
      </c>
      <c r="I4903" s="3" t="s">
        <v>1229</v>
      </c>
      <c r="J4903" s="3" t="s">
        <v>154</v>
      </c>
      <c r="K4903" s="3">
        <v>4</v>
      </c>
      <c r="L4903" s="3">
        <v>109.18</v>
      </c>
      <c r="M4903" s="3">
        <v>436.72</v>
      </c>
      <c r="N4903" s="3">
        <v>245.39</v>
      </c>
      <c r="O4903" s="3">
        <v>191.33</v>
      </c>
      <c r="P4903" s="3" t="s">
        <v>86</v>
      </c>
    </row>
    <row r="4904" spans="1:16" x14ac:dyDescent="0.35">
      <c r="A4904" s="3" t="s">
        <v>6347</v>
      </c>
      <c r="B4904" s="3" t="s">
        <v>2211</v>
      </c>
      <c r="C4904" s="3" t="s">
        <v>72</v>
      </c>
      <c r="D4904" s="3" t="s">
        <v>38</v>
      </c>
      <c r="E4904" s="3" t="s">
        <v>104</v>
      </c>
      <c r="F4904" s="3" t="s">
        <v>104</v>
      </c>
      <c r="G4904" s="3" t="s">
        <v>30</v>
      </c>
      <c r="H4904" s="3" t="s">
        <v>31</v>
      </c>
      <c r="I4904" s="3" t="s">
        <v>3708</v>
      </c>
      <c r="J4904" s="3" t="s">
        <v>217</v>
      </c>
      <c r="K4904" s="3">
        <v>2</v>
      </c>
      <c r="L4904" s="3">
        <v>2671.22</v>
      </c>
      <c r="M4904" s="3">
        <v>5342.44</v>
      </c>
      <c r="N4904" s="3">
        <v>3634.81</v>
      </c>
      <c r="O4904" s="3">
        <v>1707.63</v>
      </c>
      <c r="P4904" s="3" t="s">
        <v>69</v>
      </c>
    </row>
    <row r="4905" spans="1:16" x14ac:dyDescent="0.35">
      <c r="A4905" s="3" t="s">
        <v>6348</v>
      </c>
      <c r="B4905" s="3" t="s">
        <v>1578</v>
      </c>
      <c r="C4905" s="3" t="s">
        <v>137</v>
      </c>
      <c r="D4905" s="3" t="s">
        <v>38</v>
      </c>
      <c r="E4905" s="3" t="s">
        <v>104</v>
      </c>
      <c r="F4905" s="3" t="s">
        <v>104</v>
      </c>
      <c r="G4905" s="3" t="s">
        <v>51</v>
      </c>
      <c r="H4905" s="3" t="s">
        <v>52</v>
      </c>
      <c r="I4905" s="3" t="s">
        <v>1458</v>
      </c>
      <c r="J4905" s="3" t="s">
        <v>100</v>
      </c>
      <c r="K4905" s="3">
        <v>6</v>
      </c>
      <c r="L4905" s="3">
        <v>25.6</v>
      </c>
      <c r="M4905" s="3">
        <v>153.6</v>
      </c>
      <c r="N4905" s="3">
        <v>57.25</v>
      </c>
      <c r="O4905" s="3">
        <v>96.35</v>
      </c>
      <c r="P4905" s="3" t="s">
        <v>69</v>
      </c>
    </row>
    <row r="4906" spans="1:16" x14ac:dyDescent="0.35">
      <c r="A4906" s="3" t="s">
        <v>6349</v>
      </c>
      <c r="B4906" s="3" t="s">
        <v>2280</v>
      </c>
      <c r="C4906" s="3" t="s">
        <v>89</v>
      </c>
      <c r="D4906" s="3" t="s">
        <v>19</v>
      </c>
      <c r="E4906" s="3" t="s">
        <v>199</v>
      </c>
      <c r="F4906" s="3" t="s">
        <v>200</v>
      </c>
      <c r="G4906" s="3" t="s">
        <v>30</v>
      </c>
      <c r="H4906" s="3" t="s">
        <v>31</v>
      </c>
      <c r="I4906" s="3" t="s">
        <v>2128</v>
      </c>
      <c r="J4906" s="3" t="s">
        <v>217</v>
      </c>
      <c r="K4906" s="3">
        <v>1</v>
      </c>
      <c r="L4906" s="3">
        <v>2699.08</v>
      </c>
      <c r="M4906" s="3">
        <v>2699.08</v>
      </c>
      <c r="N4906" s="3">
        <v>1994.9</v>
      </c>
      <c r="O4906" s="3">
        <v>704.18</v>
      </c>
      <c r="P4906" s="3" t="s">
        <v>86</v>
      </c>
    </row>
    <row r="4907" spans="1:16" x14ac:dyDescent="0.35">
      <c r="A4907" s="3" t="s">
        <v>6350</v>
      </c>
      <c r="B4907" s="3" t="s">
        <v>17</v>
      </c>
      <c r="C4907" s="3" t="s">
        <v>18</v>
      </c>
      <c r="D4907" s="3" t="s">
        <v>19</v>
      </c>
      <c r="E4907" s="3" t="s">
        <v>20</v>
      </c>
      <c r="F4907" s="3" t="s">
        <v>21</v>
      </c>
      <c r="G4907" s="3" t="s">
        <v>22</v>
      </c>
      <c r="H4907" s="3" t="s">
        <v>93</v>
      </c>
      <c r="I4907" s="3" t="s">
        <v>5933</v>
      </c>
      <c r="J4907" s="3" t="s">
        <v>161</v>
      </c>
      <c r="K4907" s="3">
        <v>7</v>
      </c>
      <c r="L4907" s="3">
        <v>7034.68</v>
      </c>
      <c r="M4907" s="3">
        <v>49242.76</v>
      </c>
      <c r="N4907" s="3">
        <v>34550.370000000003</v>
      </c>
      <c r="O4907" s="3">
        <v>14692.39</v>
      </c>
      <c r="P4907" s="3" t="s">
        <v>45</v>
      </c>
    </row>
    <row r="4908" spans="1:16" x14ac:dyDescent="0.35">
      <c r="A4908" s="3" t="s">
        <v>6351</v>
      </c>
      <c r="B4908" s="3" t="s">
        <v>2969</v>
      </c>
      <c r="C4908" s="3" t="s">
        <v>137</v>
      </c>
      <c r="D4908" s="3" t="s">
        <v>19</v>
      </c>
      <c r="E4908" s="3" t="s">
        <v>199</v>
      </c>
      <c r="F4908" s="3" t="s">
        <v>200</v>
      </c>
      <c r="G4908" s="3" t="s">
        <v>22</v>
      </c>
      <c r="H4908" s="3" t="s">
        <v>83</v>
      </c>
      <c r="I4908" s="3" t="s">
        <v>1523</v>
      </c>
      <c r="J4908" s="3" t="s">
        <v>85</v>
      </c>
      <c r="K4908" s="3">
        <v>1</v>
      </c>
      <c r="L4908" s="3">
        <v>21489.64</v>
      </c>
      <c r="M4908" s="3">
        <v>21489.64</v>
      </c>
      <c r="N4908" s="3">
        <v>16795.599999999999</v>
      </c>
      <c r="O4908" s="3">
        <v>4694.04</v>
      </c>
      <c r="P4908" s="3" t="s">
        <v>69</v>
      </c>
    </row>
    <row r="4909" spans="1:16" x14ac:dyDescent="0.35">
      <c r="A4909" s="3" t="s">
        <v>6352</v>
      </c>
      <c r="B4909" s="3" t="s">
        <v>2041</v>
      </c>
      <c r="C4909" s="3" t="s">
        <v>89</v>
      </c>
      <c r="D4909" s="3" t="s">
        <v>58</v>
      </c>
      <c r="E4909" s="3" t="s">
        <v>65</v>
      </c>
      <c r="F4909" s="3" t="s">
        <v>66</v>
      </c>
      <c r="G4909" s="3" t="s">
        <v>41</v>
      </c>
      <c r="H4909" s="3" t="s">
        <v>138</v>
      </c>
      <c r="I4909" s="3" t="s">
        <v>550</v>
      </c>
      <c r="J4909" s="3" t="s">
        <v>85</v>
      </c>
      <c r="K4909" s="3">
        <v>6</v>
      </c>
      <c r="L4909" s="3">
        <v>18919.3</v>
      </c>
      <c r="M4909" s="3">
        <v>113515.8</v>
      </c>
      <c r="N4909" s="3">
        <v>82242.77</v>
      </c>
      <c r="O4909" s="3">
        <v>31273.03</v>
      </c>
      <c r="P4909" s="3" t="s">
        <v>69</v>
      </c>
    </row>
    <row r="4910" spans="1:16" x14ac:dyDescent="0.35">
      <c r="A4910" s="3" t="s">
        <v>6353</v>
      </c>
      <c r="B4910" s="3" t="s">
        <v>1504</v>
      </c>
      <c r="C4910" s="3" t="s">
        <v>48</v>
      </c>
      <c r="D4910" s="3" t="s">
        <v>19</v>
      </c>
      <c r="E4910" s="3" t="s">
        <v>49</v>
      </c>
      <c r="F4910" s="3" t="s">
        <v>50</v>
      </c>
      <c r="G4910" s="3" t="s">
        <v>30</v>
      </c>
      <c r="H4910" s="3" t="s">
        <v>31</v>
      </c>
      <c r="I4910" s="3" t="s">
        <v>352</v>
      </c>
      <c r="J4910" s="3" t="s">
        <v>161</v>
      </c>
      <c r="K4910" s="3">
        <v>3</v>
      </c>
      <c r="L4910" s="3">
        <v>3078.54</v>
      </c>
      <c r="M4910" s="3">
        <v>9235.6200000000008</v>
      </c>
      <c r="N4910" s="3">
        <v>5726.19</v>
      </c>
      <c r="O4910" s="3">
        <v>3509.43</v>
      </c>
      <c r="P4910" s="3" t="s">
        <v>45</v>
      </c>
    </row>
    <row r="4911" spans="1:16" x14ac:dyDescent="0.35">
      <c r="A4911" s="3" t="s">
        <v>6354</v>
      </c>
      <c r="B4911" s="3" t="s">
        <v>586</v>
      </c>
      <c r="C4911" s="3" t="s">
        <v>57</v>
      </c>
      <c r="D4911" s="3" t="s">
        <v>19</v>
      </c>
      <c r="E4911" s="3" t="s">
        <v>20</v>
      </c>
      <c r="F4911" s="3" t="s">
        <v>21</v>
      </c>
      <c r="G4911" s="3" t="s">
        <v>41</v>
      </c>
      <c r="H4911" s="3" t="s">
        <v>61</v>
      </c>
      <c r="I4911" s="3" t="s">
        <v>2436</v>
      </c>
      <c r="J4911" s="3" t="s">
        <v>171</v>
      </c>
      <c r="K4911" s="3">
        <v>8</v>
      </c>
      <c r="L4911" s="3">
        <v>2260.63</v>
      </c>
      <c r="M4911" s="3">
        <v>18085.04</v>
      </c>
      <c r="N4911" s="3">
        <v>12503.07</v>
      </c>
      <c r="O4911" s="3">
        <v>5581.97</v>
      </c>
      <c r="P4911" s="3" t="s">
        <v>26</v>
      </c>
    </row>
    <row r="4912" spans="1:16" x14ac:dyDescent="0.35">
      <c r="A4912" s="3" t="s">
        <v>6355</v>
      </c>
      <c r="B4912" s="3" t="s">
        <v>612</v>
      </c>
      <c r="C4912" s="3" t="s">
        <v>57</v>
      </c>
      <c r="D4912" s="3" t="s">
        <v>19</v>
      </c>
      <c r="E4912" s="3" t="s">
        <v>49</v>
      </c>
      <c r="F4912" s="3" t="s">
        <v>50</v>
      </c>
      <c r="G4912" s="3" t="s">
        <v>41</v>
      </c>
      <c r="H4912" s="3" t="s">
        <v>138</v>
      </c>
      <c r="I4912" s="3" t="s">
        <v>3915</v>
      </c>
      <c r="J4912" s="3" t="s">
        <v>147</v>
      </c>
      <c r="K4912" s="3">
        <v>5</v>
      </c>
      <c r="L4912" s="3">
        <v>16489.16</v>
      </c>
      <c r="M4912" s="3">
        <v>82445.8</v>
      </c>
      <c r="N4912" s="3">
        <v>68533.5</v>
      </c>
      <c r="O4912" s="3">
        <v>13912.3</v>
      </c>
      <c r="P4912" s="3" t="s">
        <v>45</v>
      </c>
    </row>
    <row r="4913" spans="1:16" x14ac:dyDescent="0.35">
      <c r="A4913" s="3" t="s">
        <v>6356</v>
      </c>
      <c r="B4913" s="3" t="s">
        <v>203</v>
      </c>
      <c r="C4913" s="3" t="s">
        <v>48</v>
      </c>
      <c r="D4913" s="3" t="s">
        <v>90</v>
      </c>
      <c r="E4913" s="3" t="s">
        <v>91</v>
      </c>
      <c r="F4913" s="3" t="s">
        <v>92</v>
      </c>
      <c r="G4913" s="3" t="s">
        <v>41</v>
      </c>
      <c r="H4913" s="3" t="s">
        <v>138</v>
      </c>
      <c r="I4913" s="3" t="s">
        <v>413</v>
      </c>
      <c r="J4913" s="3" t="s">
        <v>171</v>
      </c>
      <c r="K4913" s="3">
        <v>1</v>
      </c>
      <c r="L4913" s="3">
        <v>19632.84</v>
      </c>
      <c r="M4913" s="3">
        <v>19632.84</v>
      </c>
      <c r="N4913" s="3">
        <v>14563.24</v>
      </c>
      <c r="O4913" s="3">
        <v>5069.6000000000004</v>
      </c>
      <c r="P4913" s="3" t="s">
        <v>34</v>
      </c>
    </row>
    <row r="4914" spans="1:16" x14ac:dyDescent="0.35">
      <c r="A4914" s="3" t="s">
        <v>6357</v>
      </c>
      <c r="B4914" s="3" t="s">
        <v>192</v>
      </c>
      <c r="C4914" s="3" t="s">
        <v>103</v>
      </c>
      <c r="D4914" s="3" t="s">
        <v>90</v>
      </c>
      <c r="E4914" s="3" t="s">
        <v>91</v>
      </c>
      <c r="F4914" s="3" t="s">
        <v>92</v>
      </c>
      <c r="G4914" s="3" t="s">
        <v>51</v>
      </c>
      <c r="H4914" s="3" t="s">
        <v>145</v>
      </c>
      <c r="I4914" s="3" t="s">
        <v>3238</v>
      </c>
      <c r="J4914" s="3" t="s">
        <v>161</v>
      </c>
      <c r="K4914" s="3">
        <v>3</v>
      </c>
      <c r="L4914" s="3">
        <v>127.79</v>
      </c>
      <c r="M4914" s="3">
        <v>383.37</v>
      </c>
      <c r="N4914" s="3">
        <v>181.44</v>
      </c>
      <c r="O4914" s="3">
        <v>201.93</v>
      </c>
      <c r="P4914" s="3" t="s">
        <v>69</v>
      </c>
    </row>
    <row r="4915" spans="1:16" x14ac:dyDescent="0.35">
      <c r="A4915" s="3" t="s">
        <v>6358</v>
      </c>
      <c r="B4915" s="3" t="s">
        <v>974</v>
      </c>
      <c r="C4915" s="3" t="s">
        <v>29</v>
      </c>
      <c r="D4915" s="3" t="s">
        <v>90</v>
      </c>
      <c r="E4915" s="3" t="s">
        <v>119</v>
      </c>
      <c r="F4915" s="3" t="s">
        <v>120</v>
      </c>
      <c r="G4915" s="3" t="s">
        <v>22</v>
      </c>
      <c r="H4915" s="3" t="s">
        <v>93</v>
      </c>
      <c r="I4915" s="3" t="s">
        <v>2755</v>
      </c>
      <c r="J4915" s="3" t="s">
        <v>147</v>
      </c>
      <c r="K4915" s="3">
        <v>8</v>
      </c>
      <c r="L4915" s="3">
        <v>7154.17</v>
      </c>
      <c r="M4915" s="3">
        <v>57233.36</v>
      </c>
      <c r="N4915" s="3">
        <v>38215.35</v>
      </c>
      <c r="O4915" s="3">
        <v>19018.009999999998</v>
      </c>
      <c r="P4915" s="3" t="s">
        <v>26</v>
      </c>
    </row>
    <row r="4916" spans="1:16" x14ac:dyDescent="0.35">
      <c r="A4916" s="3" t="s">
        <v>6359</v>
      </c>
      <c r="B4916" s="3" t="s">
        <v>291</v>
      </c>
      <c r="C4916" s="3" t="s">
        <v>48</v>
      </c>
      <c r="D4916" s="3" t="s">
        <v>19</v>
      </c>
      <c r="E4916" s="3" t="s">
        <v>20</v>
      </c>
      <c r="F4916" s="3" t="s">
        <v>21</v>
      </c>
      <c r="G4916" s="3" t="s">
        <v>30</v>
      </c>
      <c r="H4916" s="3" t="s">
        <v>31</v>
      </c>
      <c r="I4916" s="3" t="s">
        <v>961</v>
      </c>
      <c r="J4916" s="3" t="s">
        <v>147</v>
      </c>
      <c r="K4916" s="3">
        <v>7</v>
      </c>
      <c r="L4916" s="3">
        <v>2694.21</v>
      </c>
      <c r="M4916" s="3">
        <v>18859.47</v>
      </c>
      <c r="N4916" s="3">
        <v>13005.54</v>
      </c>
      <c r="O4916" s="3">
        <v>5853.93</v>
      </c>
      <c r="P4916" s="3" t="s">
        <v>45</v>
      </c>
    </row>
    <row r="4917" spans="1:16" x14ac:dyDescent="0.35">
      <c r="A4917" s="3" t="s">
        <v>6360</v>
      </c>
      <c r="B4917" s="3" t="s">
        <v>96</v>
      </c>
      <c r="C4917" s="3" t="s">
        <v>48</v>
      </c>
      <c r="D4917" s="3" t="s">
        <v>58</v>
      </c>
      <c r="E4917" s="3" t="s">
        <v>176</v>
      </c>
      <c r="F4917" s="3" t="s">
        <v>177</v>
      </c>
      <c r="G4917" s="3" t="s">
        <v>51</v>
      </c>
      <c r="H4917" s="3" t="s">
        <v>77</v>
      </c>
      <c r="I4917" s="3" t="s">
        <v>3018</v>
      </c>
      <c r="J4917" s="3" t="s">
        <v>171</v>
      </c>
      <c r="K4917" s="3">
        <v>6</v>
      </c>
      <c r="L4917" s="3">
        <v>12974.45</v>
      </c>
      <c r="M4917" s="3">
        <v>77846.7</v>
      </c>
      <c r="N4917" s="3">
        <v>51504.47</v>
      </c>
      <c r="O4917" s="3">
        <v>26342.23</v>
      </c>
      <c r="P4917" s="3" t="s">
        <v>34</v>
      </c>
    </row>
    <row r="4918" spans="1:16" x14ac:dyDescent="0.35">
      <c r="A4918" s="3" t="s">
        <v>6361</v>
      </c>
      <c r="B4918" s="3" t="s">
        <v>1455</v>
      </c>
      <c r="C4918" s="3" t="s">
        <v>103</v>
      </c>
      <c r="D4918" s="3" t="s">
        <v>38</v>
      </c>
      <c r="E4918" s="3" t="s">
        <v>109</v>
      </c>
      <c r="F4918" s="3" t="s">
        <v>110</v>
      </c>
      <c r="G4918" s="3" t="s">
        <v>30</v>
      </c>
      <c r="H4918" s="3" t="s">
        <v>31</v>
      </c>
      <c r="I4918" s="3" t="s">
        <v>614</v>
      </c>
      <c r="J4918" s="3" t="s">
        <v>79</v>
      </c>
      <c r="K4918" s="3">
        <v>3</v>
      </c>
      <c r="L4918" s="3">
        <v>2935.76</v>
      </c>
      <c r="M4918" s="3">
        <v>8807.2800000000007</v>
      </c>
      <c r="N4918" s="3">
        <v>5754.89</v>
      </c>
      <c r="O4918" s="3">
        <v>3052.39</v>
      </c>
      <c r="P4918" s="3" t="s">
        <v>26</v>
      </c>
    </row>
    <row r="4919" spans="1:16" x14ac:dyDescent="0.35">
      <c r="A4919" s="3" t="s">
        <v>6362</v>
      </c>
      <c r="B4919" s="3" t="s">
        <v>429</v>
      </c>
      <c r="C4919" s="3" t="s">
        <v>137</v>
      </c>
      <c r="D4919" s="3" t="s">
        <v>19</v>
      </c>
      <c r="E4919" s="3" t="s">
        <v>20</v>
      </c>
      <c r="F4919" s="3" t="s">
        <v>21</v>
      </c>
      <c r="G4919" s="3" t="s">
        <v>41</v>
      </c>
      <c r="H4919" s="3" t="s">
        <v>61</v>
      </c>
      <c r="I4919" s="3" t="s">
        <v>2009</v>
      </c>
      <c r="J4919" s="3" t="s">
        <v>217</v>
      </c>
      <c r="K4919" s="3">
        <v>1</v>
      </c>
      <c r="L4919" s="3">
        <v>2734.8</v>
      </c>
      <c r="M4919" s="3">
        <v>2734.8</v>
      </c>
      <c r="N4919" s="3">
        <v>1535.34</v>
      </c>
      <c r="O4919" s="3">
        <v>1199.46</v>
      </c>
      <c r="P4919" s="3" t="s">
        <v>26</v>
      </c>
    </row>
    <row r="4920" spans="1:16" x14ac:dyDescent="0.35">
      <c r="A4920" s="3" t="s">
        <v>6363</v>
      </c>
      <c r="B4920" s="3" t="s">
        <v>424</v>
      </c>
      <c r="C4920" s="3" t="s">
        <v>72</v>
      </c>
      <c r="D4920" s="3" t="s">
        <v>19</v>
      </c>
      <c r="E4920" s="3" t="s">
        <v>49</v>
      </c>
      <c r="F4920" s="3" t="s">
        <v>50</v>
      </c>
      <c r="G4920" s="3" t="s">
        <v>41</v>
      </c>
      <c r="H4920" s="3" t="s">
        <v>42</v>
      </c>
      <c r="I4920" s="3" t="s">
        <v>399</v>
      </c>
      <c r="J4920" s="3" t="s">
        <v>25</v>
      </c>
      <c r="K4920" s="3">
        <v>4</v>
      </c>
      <c r="L4920" s="3">
        <v>48815.09</v>
      </c>
      <c r="M4920" s="3">
        <v>195260.36</v>
      </c>
      <c r="N4920" s="3">
        <v>142906.60999999999</v>
      </c>
      <c r="O4920" s="3">
        <v>52353.75</v>
      </c>
      <c r="P4920" s="3" t="s">
        <v>34</v>
      </c>
    </row>
    <row r="4921" spans="1:16" x14ac:dyDescent="0.35">
      <c r="A4921" s="3" t="s">
        <v>6364</v>
      </c>
      <c r="B4921" s="3" t="s">
        <v>852</v>
      </c>
      <c r="C4921" s="3" t="s">
        <v>118</v>
      </c>
      <c r="D4921" s="3" t="s">
        <v>58</v>
      </c>
      <c r="E4921" s="3" t="s">
        <v>59</v>
      </c>
      <c r="F4921" s="3" t="s">
        <v>60</v>
      </c>
      <c r="G4921" s="3" t="s">
        <v>51</v>
      </c>
      <c r="H4921" s="3" t="s">
        <v>145</v>
      </c>
      <c r="I4921" s="3" t="s">
        <v>1523</v>
      </c>
      <c r="J4921" s="3" t="s">
        <v>217</v>
      </c>
      <c r="K4921" s="3">
        <v>8</v>
      </c>
      <c r="L4921" s="3">
        <v>123.76</v>
      </c>
      <c r="M4921" s="3">
        <v>990.08</v>
      </c>
      <c r="N4921" s="3">
        <v>483.61</v>
      </c>
      <c r="O4921" s="3">
        <v>506.47</v>
      </c>
      <c r="P4921" s="3" t="s">
        <v>86</v>
      </c>
    </row>
    <row r="4922" spans="1:16" x14ac:dyDescent="0.35">
      <c r="A4922" s="3" t="s">
        <v>6365</v>
      </c>
      <c r="B4922" s="3" t="s">
        <v>1504</v>
      </c>
      <c r="C4922" s="3" t="s">
        <v>48</v>
      </c>
      <c r="D4922" s="3" t="s">
        <v>38</v>
      </c>
      <c r="E4922" s="3" t="s">
        <v>39</v>
      </c>
      <c r="F4922" s="3" t="s">
        <v>40</v>
      </c>
      <c r="G4922" s="3" t="s">
        <v>41</v>
      </c>
      <c r="H4922" s="3" t="s">
        <v>42</v>
      </c>
      <c r="I4922" s="3" t="s">
        <v>2100</v>
      </c>
      <c r="J4922" s="3" t="s">
        <v>54</v>
      </c>
      <c r="K4922" s="3">
        <v>7</v>
      </c>
      <c r="L4922" s="3">
        <v>49214.06</v>
      </c>
      <c r="M4922" s="3">
        <v>344498.42</v>
      </c>
      <c r="N4922" s="3">
        <v>251512.27</v>
      </c>
      <c r="O4922" s="3">
        <v>92986.15</v>
      </c>
      <c r="P4922" s="3" t="s">
        <v>86</v>
      </c>
    </row>
    <row r="4923" spans="1:16" x14ac:dyDescent="0.35">
      <c r="A4923" s="3" t="s">
        <v>6366</v>
      </c>
      <c r="B4923" s="3" t="s">
        <v>415</v>
      </c>
      <c r="C4923" s="3" t="s">
        <v>18</v>
      </c>
      <c r="D4923" s="3" t="s">
        <v>19</v>
      </c>
      <c r="E4923" s="3" t="s">
        <v>20</v>
      </c>
      <c r="F4923" s="3" t="s">
        <v>21</v>
      </c>
      <c r="G4923" s="3" t="s">
        <v>22</v>
      </c>
      <c r="H4923" s="3" t="s">
        <v>23</v>
      </c>
      <c r="I4923" s="3" t="s">
        <v>1784</v>
      </c>
      <c r="J4923" s="3" t="s">
        <v>188</v>
      </c>
      <c r="K4923" s="3">
        <v>6</v>
      </c>
      <c r="L4923" s="3">
        <v>3636.63</v>
      </c>
      <c r="M4923" s="3">
        <v>21819.78</v>
      </c>
      <c r="N4923" s="3">
        <v>13707.75</v>
      </c>
      <c r="O4923" s="3">
        <v>8112.03</v>
      </c>
      <c r="P4923" s="3" t="s">
        <v>86</v>
      </c>
    </row>
    <row r="4924" spans="1:16" x14ac:dyDescent="0.35">
      <c r="A4924" s="3" t="s">
        <v>6367</v>
      </c>
      <c r="B4924" s="3" t="s">
        <v>349</v>
      </c>
      <c r="C4924" s="3" t="s">
        <v>72</v>
      </c>
      <c r="D4924" s="3" t="s">
        <v>19</v>
      </c>
      <c r="E4924" s="3" t="s">
        <v>20</v>
      </c>
      <c r="F4924" s="3" t="s">
        <v>21</v>
      </c>
      <c r="G4924" s="3" t="s">
        <v>51</v>
      </c>
      <c r="H4924" s="3" t="s">
        <v>52</v>
      </c>
      <c r="I4924" s="3" t="s">
        <v>396</v>
      </c>
      <c r="J4924" s="3" t="s">
        <v>106</v>
      </c>
      <c r="K4924" s="3">
        <v>7</v>
      </c>
      <c r="L4924" s="3">
        <v>23.48</v>
      </c>
      <c r="M4924" s="3">
        <v>164.36</v>
      </c>
      <c r="N4924" s="3">
        <v>67.180000000000007</v>
      </c>
      <c r="O4924" s="3">
        <v>97.18</v>
      </c>
      <c r="P4924" s="3" t="s">
        <v>26</v>
      </c>
    </row>
    <row r="4925" spans="1:16" x14ac:dyDescent="0.35">
      <c r="A4925" s="3" t="s">
        <v>6368</v>
      </c>
      <c r="B4925" s="3" t="s">
        <v>852</v>
      </c>
      <c r="C4925" s="3" t="s">
        <v>118</v>
      </c>
      <c r="D4925" s="3" t="s">
        <v>90</v>
      </c>
      <c r="E4925" s="3" t="s">
        <v>91</v>
      </c>
      <c r="F4925" s="3" t="s">
        <v>92</v>
      </c>
      <c r="G4925" s="3" t="s">
        <v>51</v>
      </c>
      <c r="H4925" s="3" t="s">
        <v>52</v>
      </c>
      <c r="I4925" s="3" t="s">
        <v>2431</v>
      </c>
      <c r="J4925" s="3" t="s">
        <v>188</v>
      </c>
      <c r="K4925" s="3">
        <v>1</v>
      </c>
      <c r="L4925" s="3">
        <v>24.35</v>
      </c>
      <c r="M4925" s="3">
        <v>24.35</v>
      </c>
      <c r="N4925" s="3">
        <v>10.28</v>
      </c>
      <c r="O4925" s="3">
        <v>14.07</v>
      </c>
      <c r="P4925" s="3" t="s">
        <v>26</v>
      </c>
    </row>
    <row r="4926" spans="1:16" x14ac:dyDescent="0.35">
      <c r="A4926" s="3" t="s">
        <v>6369</v>
      </c>
      <c r="B4926" s="3" t="s">
        <v>592</v>
      </c>
      <c r="C4926" s="3" t="s">
        <v>103</v>
      </c>
      <c r="D4926" s="3" t="s">
        <v>19</v>
      </c>
      <c r="E4926" s="3" t="s">
        <v>20</v>
      </c>
      <c r="F4926" s="3" t="s">
        <v>21</v>
      </c>
      <c r="G4926" s="3" t="s">
        <v>30</v>
      </c>
      <c r="H4926" s="3" t="s">
        <v>67</v>
      </c>
      <c r="I4926" s="3" t="s">
        <v>193</v>
      </c>
      <c r="J4926" s="3" t="s">
        <v>147</v>
      </c>
      <c r="K4926" s="3">
        <v>2</v>
      </c>
      <c r="L4926" s="3">
        <v>9581.57</v>
      </c>
      <c r="M4926" s="3">
        <v>19163.14</v>
      </c>
      <c r="N4926" s="3">
        <v>15886.86</v>
      </c>
      <c r="O4926" s="3">
        <v>3276.28</v>
      </c>
      <c r="P4926" s="3" t="s">
        <v>86</v>
      </c>
    </row>
    <row r="4927" spans="1:16" x14ac:dyDescent="0.35">
      <c r="A4927" s="3" t="s">
        <v>6370</v>
      </c>
      <c r="B4927" s="3" t="s">
        <v>1964</v>
      </c>
      <c r="C4927" s="3" t="s">
        <v>57</v>
      </c>
      <c r="D4927" s="3" t="s">
        <v>19</v>
      </c>
      <c r="E4927" s="3" t="s">
        <v>49</v>
      </c>
      <c r="F4927" s="3" t="s">
        <v>50</v>
      </c>
      <c r="G4927" s="3" t="s">
        <v>41</v>
      </c>
      <c r="H4927" s="3" t="s">
        <v>138</v>
      </c>
      <c r="I4927" s="3" t="s">
        <v>2264</v>
      </c>
      <c r="J4927" s="3" t="s">
        <v>54</v>
      </c>
      <c r="K4927" s="3">
        <v>3</v>
      </c>
      <c r="L4927" s="3">
        <v>18303.73</v>
      </c>
      <c r="M4927" s="3">
        <v>54911.19</v>
      </c>
      <c r="N4927" s="3">
        <v>43380.59</v>
      </c>
      <c r="O4927" s="3">
        <v>11530.6</v>
      </c>
      <c r="P4927" s="3" t="s">
        <v>86</v>
      </c>
    </row>
    <row r="4928" spans="1:16" x14ac:dyDescent="0.35">
      <c r="A4928" s="3" t="s">
        <v>6371</v>
      </c>
      <c r="B4928" s="3" t="s">
        <v>81</v>
      </c>
      <c r="C4928" s="3" t="s">
        <v>82</v>
      </c>
      <c r="D4928" s="3" t="s">
        <v>38</v>
      </c>
      <c r="E4928" s="3" t="s">
        <v>109</v>
      </c>
      <c r="F4928" s="3" t="s">
        <v>110</v>
      </c>
      <c r="G4928" s="3" t="s">
        <v>30</v>
      </c>
      <c r="H4928" s="3" t="s">
        <v>31</v>
      </c>
      <c r="I4928" s="3" t="s">
        <v>1231</v>
      </c>
      <c r="J4928" s="3" t="s">
        <v>100</v>
      </c>
      <c r="K4928" s="3">
        <v>2</v>
      </c>
      <c r="L4928" s="3">
        <v>3053.25</v>
      </c>
      <c r="M4928" s="3">
        <v>6106.5</v>
      </c>
      <c r="N4928" s="3">
        <v>3683.31</v>
      </c>
      <c r="O4928" s="3">
        <v>2423.19</v>
      </c>
      <c r="P4928" s="3" t="s">
        <v>26</v>
      </c>
    </row>
    <row r="4929" spans="1:16" x14ac:dyDescent="0.35">
      <c r="A4929" s="3" t="s">
        <v>6372</v>
      </c>
      <c r="B4929" s="3" t="s">
        <v>225</v>
      </c>
      <c r="C4929" s="3" t="s">
        <v>89</v>
      </c>
      <c r="D4929" s="3" t="s">
        <v>58</v>
      </c>
      <c r="E4929" s="3" t="s">
        <v>65</v>
      </c>
      <c r="F4929" s="3" t="s">
        <v>66</v>
      </c>
      <c r="G4929" s="3" t="s">
        <v>51</v>
      </c>
      <c r="H4929" s="3" t="s">
        <v>52</v>
      </c>
      <c r="I4929" s="3" t="s">
        <v>1397</v>
      </c>
      <c r="J4929" s="3" t="s">
        <v>161</v>
      </c>
      <c r="K4929" s="3">
        <v>2</v>
      </c>
      <c r="L4929" s="3">
        <v>25.87</v>
      </c>
      <c r="M4929" s="3">
        <v>51.74</v>
      </c>
      <c r="N4929" s="3">
        <v>20.39</v>
      </c>
      <c r="O4929" s="3">
        <v>31.35</v>
      </c>
      <c r="P4929" s="3" t="s">
        <v>26</v>
      </c>
    </row>
    <row r="4930" spans="1:16" x14ac:dyDescent="0.35">
      <c r="A4930" s="3" t="s">
        <v>6373</v>
      </c>
      <c r="B4930" s="3" t="s">
        <v>3156</v>
      </c>
      <c r="C4930" s="3" t="s">
        <v>89</v>
      </c>
      <c r="D4930" s="3" t="s">
        <v>90</v>
      </c>
      <c r="E4930" s="3" t="s">
        <v>119</v>
      </c>
      <c r="F4930" s="3" t="s">
        <v>120</v>
      </c>
      <c r="G4930" s="3" t="s">
        <v>51</v>
      </c>
      <c r="H4930" s="3" t="s">
        <v>52</v>
      </c>
      <c r="I4930" s="3" t="s">
        <v>1756</v>
      </c>
      <c r="J4930" s="3" t="s">
        <v>44</v>
      </c>
      <c r="K4930" s="3">
        <v>5</v>
      </c>
      <c r="L4930" s="3">
        <v>22.68</v>
      </c>
      <c r="M4930" s="3">
        <v>113.4</v>
      </c>
      <c r="N4930" s="3">
        <v>47.76</v>
      </c>
      <c r="O4930" s="3">
        <v>65.64</v>
      </c>
      <c r="P4930" s="3" t="s">
        <v>86</v>
      </c>
    </row>
    <row r="4931" spans="1:16" x14ac:dyDescent="0.35">
      <c r="A4931" s="3" t="s">
        <v>6374</v>
      </c>
      <c r="B4931" s="3" t="s">
        <v>760</v>
      </c>
      <c r="C4931" s="3" t="s">
        <v>114</v>
      </c>
      <c r="D4931" s="3" t="s">
        <v>58</v>
      </c>
      <c r="E4931" s="3" t="s">
        <v>65</v>
      </c>
      <c r="F4931" s="3" t="s">
        <v>66</v>
      </c>
      <c r="G4931" s="3" t="s">
        <v>41</v>
      </c>
      <c r="H4931" s="3" t="s">
        <v>138</v>
      </c>
      <c r="I4931" s="3" t="s">
        <v>1407</v>
      </c>
      <c r="J4931" s="3" t="s">
        <v>147</v>
      </c>
      <c r="K4931" s="3">
        <v>2</v>
      </c>
      <c r="L4931" s="3">
        <v>18982.3</v>
      </c>
      <c r="M4931" s="3">
        <v>37964.6</v>
      </c>
      <c r="N4931" s="3">
        <v>28796.07</v>
      </c>
      <c r="O4931" s="3">
        <v>9168.5300000000007</v>
      </c>
      <c r="P4931" s="3" t="s">
        <v>69</v>
      </c>
    </row>
    <row r="4932" spans="1:16" x14ac:dyDescent="0.35">
      <c r="A4932" s="3" t="s">
        <v>6375</v>
      </c>
      <c r="B4932" s="3" t="s">
        <v>248</v>
      </c>
      <c r="C4932" s="3" t="s">
        <v>82</v>
      </c>
      <c r="D4932" s="3" t="s">
        <v>38</v>
      </c>
      <c r="E4932" s="3" t="s">
        <v>104</v>
      </c>
      <c r="F4932" s="3" t="s">
        <v>104</v>
      </c>
      <c r="G4932" s="3" t="s">
        <v>51</v>
      </c>
      <c r="H4932" s="3" t="s">
        <v>77</v>
      </c>
      <c r="I4932" s="3" t="s">
        <v>3282</v>
      </c>
      <c r="J4932" s="3" t="s">
        <v>131</v>
      </c>
      <c r="K4932" s="3">
        <v>4</v>
      </c>
      <c r="L4932" s="3">
        <v>12874.71</v>
      </c>
      <c r="M4932" s="3">
        <v>51498.84</v>
      </c>
      <c r="N4932" s="3">
        <v>36288.769999999997</v>
      </c>
      <c r="O4932" s="3">
        <v>15210.07</v>
      </c>
      <c r="P4932" s="3" t="s">
        <v>26</v>
      </c>
    </row>
    <row r="4933" spans="1:16" x14ac:dyDescent="0.35">
      <c r="A4933" s="3" t="s">
        <v>6376</v>
      </c>
      <c r="B4933" s="3" t="s">
        <v>2480</v>
      </c>
      <c r="C4933" s="3" t="s">
        <v>37</v>
      </c>
      <c r="D4933" s="3" t="s">
        <v>19</v>
      </c>
      <c r="E4933" s="3" t="s">
        <v>20</v>
      </c>
      <c r="F4933" s="3" t="s">
        <v>21</v>
      </c>
      <c r="G4933" s="3" t="s">
        <v>30</v>
      </c>
      <c r="H4933" s="3" t="s">
        <v>67</v>
      </c>
      <c r="I4933" s="3" t="s">
        <v>150</v>
      </c>
      <c r="J4933" s="3" t="s">
        <v>217</v>
      </c>
      <c r="K4933" s="3">
        <v>8</v>
      </c>
      <c r="L4933" s="3">
        <v>9929.83</v>
      </c>
      <c r="M4933" s="3">
        <v>79438.64</v>
      </c>
      <c r="N4933" s="3">
        <v>60815.85</v>
      </c>
      <c r="O4933" s="3">
        <v>18622.79</v>
      </c>
      <c r="P4933" s="3" t="s">
        <v>26</v>
      </c>
    </row>
    <row r="4934" spans="1:16" x14ac:dyDescent="0.35">
      <c r="A4934" s="3" t="s">
        <v>6377</v>
      </c>
      <c r="B4934" s="3" t="s">
        <v>1202</v>
      </c>
      <c r="C4934" s="3" t="s">
        <v>118</v>
      </c>
      <c r="D4934" s="3" t="s">
        <v>90</v>
      </c>
      <c r="E4934" s="3" t="s">
        <v>91</v>
      </c>
      <c r="F4934" s="3" t="s">
        <v>92</v>
      </c>
      <c r="G4934" s="3" t="s">
        <v>41</v>
      </c>
      <c r="H4934" s="3" t="s">
        <v>61</v>
      </c>
      <c r="I4934" s="3" t="s">
        <v>479</v>
      </c>
      <c r="J4934" s="3" t="s">
        <v>106</v>
      </c>
      <c r="K4934" s="3">
        <v>3</v>
      </c>
      <c r="L4934" s="3">
        <v>2559.54</v>
      </c>
      <c r="M4934" s="3">
        <v>7678.62</v>
      </c>
      <c r="N4934" s="3">
        <v>4963.2</v>
      </c>
      <c r="O4934" s="3">
        <v>2715.42</v>
      </c>
      <c r="P4934" s="3" t="s">
        <v>34</v>
      </c>
    </row>
    <row r="4935" spans="1:16" x14ac:dyDescent="0.35">
      <c r="A4935" s="3" t="s">
        <v>6378</v>
      </c>
      <c r="B4935" s="3" t="s">
        <v>242</v>
      </c>
      <c r="C4935" s="3" t="s">
        <v>137</v>
      </c>
      <c r="D4935" s="3" t="s">
        <v>58</v>
      </c>
      <c r="E4935" s="3" t="s">
        <v>59</v>
      </c>
      <c r="F4935" s="3" t="s">
        <v>60</v>
      </c>
      <c r="G4935" s="3" t="s">
        <v>51</v>
      </c>
      <c r="H4935" s="3" t="s">
        <v>145</v>
      </c>
      <c r="I4935" s="3" t="s">
        <v>2078</v>
      </c>
      <c r="J4935" s="3" t="s">
        <v>154</v>
      </c>
      <c r="K4935" s="3">
        <v>8</v>
      </c>
      <c r="L4935" s="3">
        <v>108.19</v>
      </c>
      <c r="M4935" s="3">
        <v>865.52</v>
      </c>
      <c r="N4935" s="3">
        <v>490.33</v>
      </c>
      <c r="O4935" s="3">
        <v>375.19</v>
      </c>
      <c r="P4935" s="3" t="s">
        <v>26</v>
      </c>
    </row>
    <row r="4936" spans="1:16" x14ac:dyDescent="0.35">
      <c r="A4936" s="3" t="s">
        <v>6379</v>
      </c>
      <c r="B4936" s="3" t="s">
        <v>1294</v>
      </c>
      <c r="C4936" s="3" t="s">
        <v>118</v>
      </c>
      <c r="D4936" s="3" t="s">
        <v>19</v>
      </c>
      <c r="E4936" s="3" t="s">
        <v>20</v>
      </c>
      <c r="F4936" s="3" t="s">
        <v>21</v>
      </c>
      <c r="G4936" s="3" t="s">
        <v>41</v>
      </c>
      <c r="H4936" s="3" t="s">
        <v>61</v>
      </c>
      <c r="I4936" s="3" t="s">
        <v>1101</v>
      </c>
      <c r="J4936" s="3" t="s">
        <v>44</v>
      </c>
      <c r="K4936" s="3">
        <v>3</v>
      </c>
      <c r="L4936" s="3">
        <v>2484.4899999999998</v>
      </c>
      <c r="M4936" s="3">
        <v>7453.47</v>
      </c>
      <c r="N4936" s="3">
        <v>4740.99</v>
      </c>
      <c r="O4936" s="3">
        <v>2712.48</v>
      </c>
      <c r="P4936" s="3" t="s">
        <v>69</v>
      </c>
    </row>
    <row r="4937" spans="1:16" x14ac:dyDescent="0.35">
      <c r="A4937" s="3" t="s">
        <v>6380</v>
      </c>
      <c r="B4937" s="3" t="s">
        <v>1098</v>
      </c>
      <c r="C4937" s="3" t="s">
        <v>57</v>
      </c>
      <c r="D4937" s="3" t="s">
        <v>90</v>
      </c>
      <c r="E4937" s="3" t="s">
        <v>91</v>
      </c>
      <c r="F4937" s="3" t="s">
        <v>92</v>
      </c>
      <c r="G4937" s="3" t="s">
        <v>30</v>
      </c>
      <c r="H4937" s="3" t="s">
        <v>67</v>
      </c>
      <c r="I4937" s="3" t="s">
        <v>124</v>
      </c>
      <c r="J4937" s="3" t="s">
        <v>85</v>
      </c>
      <c r="K4937" s="3">
        <v>6</v>
      </c>
      <c r="L4937" s="3">
        <v>8950.94</v>
      </c>
      <c r="M4937" s="3">
        <v>53705.64</v>
      </c>
      <c r="N4937" s="3">
        <v>45821.52</v>
      </c>
      <c r="O4937" s="3">
        <v>7884.12</v>
      </c>
      <c r="P4937" s="3" t="s">
        <v>86</v>
      </c>
    </row>
    <row r="4938" spans="1:16" x14ac:dyDescent="0.35">
      <c r="A4938" s="3" t="s">
        <v>6381</v>
      </c>
      <c r="B4938" s="3" t="s">
        <v>690</v>
      </c>
      <c r="C4938" s="3" t="s">
        <v>82</v>
      </c>
      <c r="D4938" s="3" t="s">
        <v>38</v>
      </c>
      <c r="E4938" s="3" t="s">
        <v>104</v>
      </c>
      <c r="F4938" s="3" t="s">
        <v>104</v>
      </c>
      <c r="G4938" s="3" t="s">
        <v>51</v>
      </c>
      <c r="H4938" s="3" t="s">
        <v>77</v>
      </c>
      <c r="I4938" s="3" t="s">
        <v>1006</v>
      </c>
      <c r="J4938" s="3" t="s">
        <v>147</v>
      </c>
      <c r="K4938" s="3">
        <v>8</v>
      </c>
      <c r="L4938" s="3">
        <v>12197.84</v>
      </c>
      <c r="M4938" s="3">
        <v>97582.720000000001</v>
      </c>
      <c r="N4938" s="3">
        <v>71790.05</v>
      </c>
      <c r="O4938" s="3">
        <v>25792.67</v>
      </c>
      <c r="P4938" s="3" t="s">
        <v>69</v>
      </c>
    </row>
    <row r="4939" spans="1:16" x14ac:dyDescent="0.35">
      <c r="A4939" s="3" t="s">
        <v>6382</v>
      </c>
      <c r="B4939" s="3" t="s">
        <v>883</v>
      </c>
      <c r="C4939" s="3" t="s">
        <v>37</v>
      </c>
      <c r="D4939" s="3" t="s">
        <v>19</v>
      </c>
      <c r="E4939" s="3" t="s">
        <v>199</v>
      </c>
      <c r="F4939" s="3" t="s">
        <v>200</v>
      </c>
      <c r="G4939" s="3" t="s">
        <v>30</v>
      </c>
      <c r="H4939" s="3" t="s">
        <v>67</v>
      </c>
      <c r="I4939" s="3" t="s">
        <v>950</v>
      </c>
      <c r="J4939" s="3" t="s">
        <v>25</v>
      </c>
      <c r="K4939" s="3">
        <v>8</v>
      </c>
      <c r="L4939" s="3">
        <v>10428.950000000001</v>
      </c>
      <c r="M4939" s="3">
        <v>83431.600000000006</v>
      </c>
      <c r="N4939" s="3">
        <v>60810.3</v>
      </c>
      <c r="O4939" s="3">
        <v>22621.3</v>
      </c>
      <c r="P4939" s="3" t="s">
        <v>69</v>
      </c>
    </row>
    <row r="4940" spans="1:16" x14ac:dyDescent="0.35">
      <c r="A4940" s="3" t="s">
        <v>6383</v>
      </c>
      <c r="B4940" s="3" t="s">
        <v>395</v>
      </c>
      <c r="C4940" s="3" t="s">
        <v>29</v>
      </c>
      <c r="D4940" s="3" t="s">
        <v>38</v>
      </c>
      <c r="E4940" s="3" t="s">
        <v>104</v>
      </c>
      <c r="F4940" s="3" t="s">
        <v>104</v>
      </c>
      <c r="G4940" s="3" t="s">
        <v>51</v>
      </c>
      <c r="H4940" s="3" t="s">
        <v>145</v>
      </c>
      <c r="I4940" s="3" t="s">
        <v>5292</v>
      </c>
      <c r="J4940" s="3" t="s">
        <v>54</v>
      </c>
      <c r="K4940" s="3">
        <v>8</v>
      </c>
      <c r="L4940" s="3">
        <v>121.56</v>
      </c>
      <c r="M4940" s="3">
        <v>972.48</v>
      </c>
      <c r="N4940" s="3">
        <v>502.75</v>
      </c>
      <c r="O4940" s="3">
        <v>469.73</v>
      </c>
      <c r="P4940" s="3" t="s">
        <v>45</v>
      </c>
    </row>
    <row r="4941" spans="1:16" x14ac:dyDescent="0.35">
      <c r="A4941" s="3" t="s">
        <v>6384</v>
      </c>
      <c r="B4941" s="3" t="s">
        <v>1935</v>
      </c>
      <c r="C4941" s="3" t="s">
        <v>72</v>
      </c>
      <c r="D4941" s="3" t="s">
        <v>58</v>
      </c>
      <c r="E4941" s="3" t="s">
        <v>176</v>
      </c>
      <c r="F4941" s="3" t="s">
        <v>177</v>
      </c>
      <c r="G4941" s="3" t="s">
        <v>51</v>
      </c>
      <c r="H4941" s="3" t="s">
        <v>52</v>
      </c>
      <c r="I4941" s="3" t="s">
        <v>829</v>
      </c>
      <c r="J4941" s="3" t="s">
        <v>79</v>
      </c>
      <c r="K4941" s="3">
        <v>7</v>
      </c>
      <c r="L4941" s="3">
        <v>22.51</v>
      </c>
      <c r="M4941" s="3">
        <v>157.57</v>
      </c>
      <c r="N4941" s="3">
        <v>67.709999999999994</v>
      </c>
      <c r="O4941" s="3">
        <v>89.86</v>
      </c>
      <c r="P4941" s="3" t="s">
        <v>45</v>
      </c>
    </row>
    <row r="4942" spans="1:16" x14ac:dyDescent="0.35">
      <c r="A4942" s="3" t="s">
        <v>6385</v>
      </c>
      <c r="B4942" s="3" t="s">
        <v>478</v>
      </c>
      <c r="C4942" s="3" t="s">
        <v>82</v>
      </c>
      <c r="D4942" s="3" t="s">
        <v>38</v>
      </c>
      <c r="E4942" s="3" t="s">
        <v>104</v>
      </c>
      <c r="F4942" s="3" t="s">
        <v>104</v>
      </c>
      <c r="G4942" s="3" t="s">
        <v>41</v>
      </c>
      <c r="H4942" s="3" t="s">
        <v>61</v>
      </c>
      <c r="I4942" s="3" t="s">
        <v>1214</v>
      </c>
      <c r="J4942" s="3" t="s">
        <v>188</v>
      </c>
      <c r="K4942" s="3">
        <v>7</v>
      </c>
      <c r="L4942" s="3">
        <v>2638.87</v>
      </c>
      <c r="M4942" s="3">
        <v>18472.09</v>
      </c>
      <c r="N4942" s="3">
        <v>11152.5</v>
      </c>
      <c r="O4942" s="3">
        <v>7319.59</v>
      </c>
      <c r="P4942" s="3" t="s">
        <v>86</v>
      </c>
    </row>
    <row r="4943" spans="1:16" x14ac:dyDescent="0.35">
      <c r="A4943" s="3" t="s">
        <v>6386</v>
      </c>
      <c r="B4943" s="3" t="s">
        <v>1301</v>
      </c>
      <c r="C4943" s="3" t="s">
        <v>18</v>
      </c>
      <c r="D4943" s="3" t="s">
        <v>58</v>
      </c>
      <c r="E4943" s="3" t="s">
        <v>65</v>
      </c>
      <c r="F4943" s="3" t="s">
        <v>66</v>
      </c>
      <c r="G4943" s="3" t="s">
        <v>51</v>
      </c>
      <c r="H4943" s="3" t="s">
        <v>52</v>
      </c>
      <c r="I4943" s="3" t="s">
        <v>1948</v>
      </c>
      <c r="J4943" s="3" t="s">
        <v>161</v>
      </c>
      <c r="K4943" s="3">
        <v>5</v>
      </c>
      <c r="L4943" s="3">
        <v>24.55</v>
      </c>
      <c r="M4943" s="3">
        <v>122.75</v>
      </c>
      <c r="N4943" s="3">
        <v>51.14</v>
      </c>
      <c r="O4943" s="3">
        <v>71.61</v>
      </c>
      <c r="P4943" s="3" t="s">
        <v>45</v>
      </c>
    </row>
    <row r="4944" spans="1:16" x14ac:dyDescent="0.35">
      <c r="A4944" s="3" t="s">
        <v>6387</v>
      </c>
      <c r="B4944" s="3" t="s">
        <v>941</v>
      </c>
      <c r="C4944" s="3" t="s">
        <v>118</v>
      </c>
      <c r="D4944" s="3" t="s">
        <v>38</v>
      </c>
      <c r="E4944" s="3" t="s">
        <v>39</v>
      </c>
      <c r="F4944" s="3" t="s">
        <v>40</v>
      </c>
      <c r="G4944" s="3" t="s">
        <v>51</v>
      </c>
      <c r="H4944" s="3" t="s">
        <v>52</v>
      </c>
      <c r="I4944" s="3" t="s">
        <v>1059</v>
      </c>
      <c r="J4944" s="3" t="s">
        <v>188</v>
      </c>
      <c r="K4944" s="3">
        <v>2</v>
      </c>
      <c r="L4944" s="3">
        <v>23.5</v>
      </c>
      <c r="M4944" s="3">
        <v>47</v>
      </c>
      <c r="N4944" s="3">
        <v>19.82</v>
      </c>
      <c r="O4944" s="3">
        <v>27.18</v>
      </c>
      <c r="P4944" s="3" t="s">
        <v>69</v>
      </c>
    </row>
    <row r="4945" spans="1:16" x14ac:dyDescent="0.35">
      <c r="A4945" s="3" t="s">
        <v>6388</v>
      </c>
      <c r="B4945" s="3" t="s">
        <v>819</v>
      </c>
      <c r="C4945" s="3" t="s">
        <v>89</v>
      </c>
      <c r="D4945" s="3" t="s">
        <v>58</v>
      </c>
      <c r="E4945" s="3" t="s">
        <v>59</v>
      </c>
      <c r="F4945" s="3" t="s">
        <v>60</v>
      </c>
      <c r="G4945" s="3" t="s">
        <v>51</v>
      </c>
      <c r="H4945" s="3" t="s">
        <v>52</v>
      </c>
      <c r="I4945" s="3" t="s">
        <v>2163</v>
      </c>
      <c r="J4945" s="3" t="s">
        <v>85</v>
      </c>
      <c r="K4945" s="3">
        <v>5</v>
      </c>
      <c r="L4945" s="3">
        <v>23.59</v>
      </c>
      <c r="M4945" s="3">
        <v>117.95</v>
      </c>
      <c r="N4945" s="3">
        <v>50.42</v>
      </c>
      <c r="O4945" s="3">
        <v>67.53</v>
      </c>
      <c r="P4945" s="3" t="s">
        <v>69</v>
      </c>
    </row>
    <row r="4946" spans="1:16" x14ac:dyDescent="0.35">
      <c r="A4946" s="3" t="s">
        <v>6389</v>
      </c>
      <c r="B4946" s="3" t="s">
        <v>518</v>
      </c>
      <c r="C4946" s="3" t="s">
        <v>89</v>
      </c>
      <c r="D4946" s="3" t="s">
        <v>90</v>
      </c>
      <c r="E4946" s="3" t="s">
        <v>91</v>
      </c>
      <c r="F4946" s="3" t="s">
        <v>92</v>
      </c>
      <c r="G4946" s="3" t="s">
        <v>41</v>
      </c>
      <c r="H4946" s="3" t="s">
        <v>42</v>
      </c>
      <c r="I4946" s="3" t="s">
        <v>223</v>
      </c>
      <c r="J4946" s="3" t="s">
        <v>54</v>
      </c>
      <c r="K4946" s="3">
        <v>3</v>
      </c>
      <c r="L4946" s="3">
        <v>46217.440000000002</v>
      </c>
      <c r="M4946" s="3">
        <v>138652.32</v>
      </c>
      <c r="N4946" s="3">
        <v>104138.32</v>
      </c>
      <c r="O4946" s="3">
        <v>34514</v>
      </c>
      <c r="P4946" s="3" t="s">
        <v>69</v>
      </c>
    </row>
    <row r="4947" spans="1:16" x14ac:dyDescent="0.35">
      <c r="A4947" s="3" t="s">
        <v>6390</v>
      </c>
      <c r="B4947" s="3" t="s">
        <v>798</v>
      </c>
      <c r="C4947" s="3" t="s">
        <v>18</v>
      </c>
      <c r="D4947" s="3" t="s">
        <v>58</v>
      </c>
      <c r="E4947" s="3" t="s">
        <v>65</v>
      </c>
      <c r="F4947" s="3" t="s">
        <v>66</v>
      </c>
      <c r="G4947" s="3" t="s">
        <v>41</v>
      </c>
      <c r="H4947" s="3" t="s">
        <v>138</v>
      </c>
      <c r="I4947" s="3" t="s">
        <v>3631</v>
      </c>
      <c r="J4947" s="3" t="s">
        <v>161</v>
      </c>
      <c r="K4947" s="3">
        <v>2</v>
      </c>
      <c r="L4947" s="3">
        <v>16319.32</v>
      </c>
      <c r="M4947" s="3">
        <v>32638.639999999999</v>
      </c>
      <c r="N4947" s="3">
        <v>28879.93</v>
      </c>
      <c r="O4947" s="3">
        <v>3758.71</v>
      </c>
      <c r="P4947" s="3" t="s">
        <v>45</v>
      </c>
    </row>
    <row r="4948" spans="1:16" x14ac:dyDescent="0.35">
      <c r="A4948" s="3" t="s">
        <v>6391</v>
      </c>
      <c r="B4948" s="3" t="s">
        <v>1755</v>
      </c>
      <c r="C4948" s="3" t="s">
        <v>57</v>
      </c>
      <c r="D4948" s="3" t="s">
        <v>90</v>
      </c>
      <c r="E4948" s="3" t="s">
        <v>119</v>
      </c>
      <c r="F4948" s="3" t="s">
        <v>120</v>
      </c>
      <c r="G4948" s="3" t="s">
        <v>51</v>
      </c>
      <c r="H4948" s="3" t="s">
        <v>52</v>
      </c>
      <c r="I4948" s="3" t="s">
        <v>2398</v>
      </c>
      <c r="J4948" s="3" t="s">
        <v>171</v>
      </c>
      <c r="K4948" s="3">
        <v>4</v>
      </c>
      <c r="L4948" s="3">
        <v>26.24</v>
      </c>
      <c r="M4948" s="3">
        <v>104.96</v>
      </c>
      <c r="N4948" s="3">
        <v>41.51</v>
      </c>
      <c r="O4948" s="3">
        <v>63.45</v>
      </c>
      <c r="P4948" s="3" t="s">
        <v>34</v>
      </c>
    </row>
    <row r="4949" spans="1:16" x14ac:dyDescent="0.35">
      <c r="A4949" s="3" t="s">
        <v>6392</v>
      </c>
      <c r="B4949" s="3" t="s">
        <v>1092</v>
      </c>
      <c r="C4949" s="3" t="s">
        <v>103</v>
      </c>
      <c r="D4949" s="3" t="s">
        <v>38</v>
      </c>
      <c r="E4949" s="3" t="s">
        <v>109</v>
      </c>
      <c r="F4949" s="3" t="s">
        <v>110</v>
      </c>
      <c r="G4949" s="3" t="s">
        <v>41</v>
      </c>
      <c r="H4949" s="3" t="s">
        <v>138</v>
      </c>
      <c r="I4949" s="3" t="s">
        <v>581</v>
      </c>
      <c r="J4949" s="3" t="s">
        <v>171</v>
      </c>
      <c r="K4949" s="3">
        <v>2</v>
      </c>
      <c r="L4949" s="3">
        <v>16863.89</v>
      </c>
      <c r="M4949" s="3">
        <v>33727.78</v>
      </c>
      <c r="N4949" s="3">
        <v>26841.5</v>
      </c>
      <c r="O4949" s="3">
        <v>6886.28</v>
      </c>
      <c r="P4949" s="3" t="s">
        <v>69</v>
      </c>
    </row>
    <row r="4950" spans="1:16" x14ac:dyDescent="0.35">
      <c r="A4950" s="3" t="s">
        <v>6393</v>
      </c>
      <c r="B4950" s="3" t="s">
        <v>387</v>
      </c>
      <c r="C4950" s="3" t="s">
        <v>82</v>
      </c>
      <c r="D4950" s="3" t="s">
        <v>90</v>
      </c>
      <c r="E4950" s="3" t="s">
        <v>91</v>
      </c>
      <c r="F4950" s="3" t="s">
        <v>92</v>
      </c>
      <c r="G4950" s="3" t="s">
        <v>41</v>
      </c>
      <c r="H4950" s="3" t="s">
        <v>61</v>
      </c>
      <c r="I4950" s="3" t="s">
        <v>822</v>
      </c>
      <c r="J4950" s="3" t="s">
        <v>106</v>
      </c>
      <c r="K4950" s="3">
        <v>6</v>
      </c>
      <c r="L4950" s="3">
        <v>2630.05</v>
      </c>
      <c r="M4950" s="3">
        <v>15780.3</v>
      </c>
      <c r="N4950" s="3">
        <v>9695.9599999999991</v>
      </c>
      <c r="O4950" s="3">
        <v>6084.34</v>
      </c>
      <c r="P4950" s="3" t="s">
        <v>45</v>
      </c>
    </row>
    <row r="4951" spans="1:16" x14ac:dyDescent="0.35">
      <c r="A4951" s="3" t="s">
        <v>6394</v>
      </c>
      <c r="B4951" s="3" t="s">
        <v>536</v>
      </c>
      <c r="C4951" s="3" t="s">
        <v>18</v>
      </c>
      <c r="D4951" s="3" t="s">
        <v>19</v>
      </c>
      <c r="E4951" s="3" t="s">
        <v>199</v>
      </c>
      <c r="F4951" s="3" t="s">
        <v>200</v>
      </c>
      <c r="G4951" s="3" t="s">
        <v>41</v>
      </c>
      <c r="H4951" s="3" t="s">
        <v>42</v>
      </c>
      <c r="I4951" s="3" t="s">
        <v>2782</v>
      </c>
      <c r="J4951" s="3" t="s">
        <v>33</v>
      </c>
      <c r="K4951" s="3">
        <v>5</v>
      </c>
      <c r="L4951" s="3">
        <v>42459.16</v>
      </c>
      <c r="M4951" s="3">
        <v>212295.8</v>
      </c>
      <c r="N4951" s="3">
        <v>182927.41</v>
      </c>
      <c r="O4951" s="3">
        <v>29368.39</v>
      </c>
      <c r="P4951" s="3" t="s">
        <v>45</v>
      </c>
    </row>
    <row r="4952" spans="1:16" x14ac:dyDescent="0.35">
      <c r="A4952" s="3" t="s">
        <v>6395</v>
      </c>
      <c r="B4952" s="3" t="s">
        <v>1053</v>
      </c>
      <c r="C4952" s="3" t="s">
        <v>82</v>
      </c>
      <c r="D4952" s="3" t="s">
        <v>19</v>
      </c>
      <c r="E4952" s="3" t="s">
        <v>49</v>
      </c>
      <c r="F4952" s="3" t="s">
        <v>50</v>
      </c>
      <c r="G4952" s="3" t="s">
        <v>30</v>
      </c>
      <c r="H4952" s="3" t="s">
        <v>73</v>
      </c>
      <c r="I4952" s="3" t="s">
        <v>4339</v>
      </c>
      <c r="J4952" s="3" t="s">
        <v>217</v>
      </c>
      <c r="K4952" s="3">
        <v>4</v>
      </c>
      <c r="L4952" s="3">
        <v>3017.59</v>
      </c>
      <c r="M4952" s="3">
        <v>12070.36</v>
      </c>
      <c r="N4952" s="3">
        <v>9997.18</v>
      </c>
      <c r="O4952" s="3">
        <v>2073.1799999999998</v>
      </c>
      <c r="P4952" s="3" t="s">
        <v>26</v>
      </c>
    </row>
    <row r="4953" spans="1:16" x14ac:dyDescent="0.35">
      <c r="A4953" s="3" t="s">
        <v>6396</v>
      </c>
      <c r="B4953" s="3" t="s">
        <v>339</v>
      </c>
      <c r="C4953" s="3" t="s">
        <v>29</v>
      </c>
      <c r="D4953" s="3" t="s">
        <v>38</v>
      </c>
      <c r="E4953" s="3" t="s">
        <v>104</v>
      </c>
      <c r="F4953" s="3" t="s">
        <v>104</v>
      </c>
      <c r="G4953" s="3" t="s">
        <v>30</v>
      </c>
      <c r="H4953" s="3" t="s">
        <v>31</v>
      </c>
      <c r="I4953" s="3" t="s">
        <v>3847</v>
      </c>
      <c r="J4953" s="3" t="s">
        <v>171</v>
      </c>
      <c r="K4953" s="3">
        <v>3</v>
      </c>
      <c r="L4953" s="3">
        <v>2901.03</v>
      </c>
      <c r="M4953" s="3">
        <v>8703.09</v>
      </c>
      <c r="N4953" s="3">
        <v>5768.97</v>
      </c>
      <c r="O4953" s="3">
        <v>2934.12</v>
      </c>
      <c r="P4953" s="3" t="s">
        <v>34</v>
      </c>
    </row>
    <row r="4954" spans="1:16" x14ac:dyDescent="0.35">
      <c r="A4954" s="3" t="s">
        <v>6397</v>
      </c>
      <c r="B4954" s="3" t="s">
        <v>521</v>
      </c>
      <c r="C4954" s="3" t="s">
        <v>18</v>
      </c>
      <c r="D4954" s="3" t="s">
        <v>19</v>
      </c>
      <c r="E4954" s="3" t="s">
        <v>199</v>
      </c>
      <c r="F4954" s="3" t="s">
        <v>200</v>
      </c>
      <c r="G4954" s="3" t="s">
        <v>22</v>
      </c>
      <c r="H4954" s="3" t="s">
        <v>93</v>
      </c>
      <c r="I4954" s="3" t="s">
        <v>1220</v>
      </c>
      <c r="J4954" s="3" t="s">
        <v>33</v>
      </c>
      <c r="K4954" s="3">
        <v>5</v>
      </c>
      <c r="L4954" s="3">
        <v>7516.51</v>
      </c>
      <c r="M4954" s="3">
        <v>37582.550000000003</v>
      </c>
      <c r="N4954" s="3">
        <v>25933.41</v>
      </c>
      <c r="O4954" s="3">
        <v>11649.14</v>
      </c>
      <c r="P4954" s="3" t="s">
        <v>34</v>
      </c>
    </row>
    <row r="4955" spans="1:16" x14ac:dyDescent="0.35">
      <c r="A4955" s="3" t="s">
        <v>6398</v>
      </c>
      <c r="B4955" s="3" t="s">
        <v>871</v>
      </c>
      <c r="C4955" s="3" t="s">
        <v>103</v>
      </c>
      <c r="D4955" s="3" t="s">
        <v>38</v>
      </c>
      <c r="E4955" s="3" t="s">
        <v>109</v>
      </c>
      <c r="F4955" s="3" t="s">
        <v>110</v>
      </c>
      <c r="G4955" s="3" t="s">
        <v>30</v>
      </c>
      <c r="H4955" s="3" t="s">
        <v>67</v>
      </c>
      <c r="I4955" s="3" t="s">
        <v>637</v>
      </c>
      <c r="J4955" s="3" t="s">
        <v>217</v>
      </c>
      <c r="K4955" s="3">
        <v>8</v>
      </c>
      <c r="L4955" s="3">
        <v>9009.9</v>
      </c>
      <c r="M4955" s="3">
        <v>72079.199999999997</v>
      </c>
      <c r="N4955" s="3">
        <v>60092.33</v>
      </c>
      <c r="O4955" s="3">
        <v>11986.87</v>
      </c>
      <c r="P4955" s="3" t="s">
        <v>69</v>
      </c>
    </row>
    <row r="4956" spans="1:16" x14ac:dyDescent="0.35">
      <c r="A4956" s="3" t="s">
        <v>6399</v>
      </c>
      <c r="B4956" s="3" t="s">
        <v>265</v>
      </c>
      <c r="C4956" s="3" t="s">
        <v>37</v>
      </c>
      <c r="D4956" s="3" t="s">
        <v>58</v>
      </c>
      <c r="E4956" s="3" t="s">
        <v>59</v>
      </c>
      <c r="F4956" s="3" t="s">
        <v>60</v>
      </c>
      <c r="G4956" s="3" t="s">
        <v>51</v>
      </c>
      <c r="H4956" s="3" t="s">
        <v>145</v>
      </c>
      <c r="I4956" s="3" t="s">
        <v>595</v>
      </c>
      <c r="J4956" s="3" t="s">
        <v>44</v>
      </c>
      <c r="K4956" s="3">
        <v>2</v>
      </c>
      <c r="L4956" s="3">
        <v>121.28</v>
      </c>
      <c r="M4956" s="3">
        <v>242.56</v>
      </c>
      <c r="N4956" s="3">
        <v>115.71</v>
      </c>
      <c r="O4956" s="3">
        <v>126.85</v>
      </c>
      <c r="P4956" s="3" t="s">
        <v>26</v>
      </c>
    </row>
    <row r="4957" spans="1:16" x14ac:dyDescent="0.35">
      <c r="A4957" s="3" t="s">
        <v>6400</v>
      </c>
      <c r="B4957" s="3" t="s">
        <v>1471</v>
      </c>
      <c r="C4957" s="3" t="s">
        <v>89</v>
      </c>
      <c r="D4957" s="3" t="s">
        <v>58</v>
      </c>
      <c r="E4957" s="3" t="s">
        <v>176</v>
      </c>
      <c r="F4957" s="3" t="s">
        <v>177</v>
      </c>
      <c r="G4957" s="3" t="s">
        <v>51</v>
      </c>
      <c r="H4957" s="3" t="s">
        <v>145</v>
      </c>
      <c r="I4957" s="3" t="s">
        <v>2409</v>
      </c>
      <c r="J4957" s="3" t="s">
        <v>154</v>
      </c>
      <c r="K4957" s="3">
        <v>3</v>
      </c>
      <c r="L4957" s="3">
        <v>113.63</v>
      </c>
      <c r="M4957" s="3">
        <v>340.89</v>
      </c>
      <c r="N4957" s="3">
        <v>174.92</v>
      </c>
      <c r="O4957" s="3">
        <v>165.97</v>
      </c>
      <c r="P4957" s="3" t="s">
        <v>34</v>
      </c>
    </row>
    <row r="4958" spans="1:16" x14ac:dyDescent="0.35">
      <c r="A4958" s="3" t="s">
        <v>6401</v>
      </c>
      <c r="B4958" s="3" t="s">
        <v>129</v>
      </c>
      <c r="C4958" s="3" t="s">
        <v>37</v>
      </c>
      <c r="D4958" s="3" t="s">
        <v>38</v>
      </c>
      <c r="E4958" s="3" t="s">
        <v>104</v>
      </c>
      <c r="F4958" s="3" t="s">
        <v>104</v>
      </c>
      <c r="G4958" s="3" t="s">
        <v>41</v>
      </c>
      <c r="H4958" s="3" t="s">
        <v>61</v>
      </c>
      <c r="I4958" s="3" t="s">
        <v>1210</v>
      </c>
      <c r="J4958" s="3" t="s">
        <v>25</v>
      </c>
      <c r="K4958" s="3">
        <v>1</v>
      </c>
      <c r="L4958" s="3">
        <v>2620.39</v>
      </c>
      <c r="M4958" s="3">
        <v>2620.39</v>
      </c>
      <c r="N4958" s="3">
        <v>1575.74</v>
      </c>
      <c r="O4958" s="3">
        <v>1044.6500000000001</v>
      </c>
      <c r="P4958" s="3" t="s">
        <v>26</v>
      </c>
    </row>
    <row r="4959" spans="1:16" x14ac:dyDescent="0.35">
      <c r="A4959" s="3" t="s">
        <v>6402</v>
      </c>
      <c r="B4959" s="3" t="s">
        <v>2580</v>
      </c>
      <c r="C4959" s="3" t="s">
        <v>37</v>
      </c>
      <c r="D4959" s="3" t="s">
        <v>58</v>
      </c>
      <c r="E4959" s="3" t="s">
        <v>59</v>
      </c>
      <c r="F4959" s="3" t="s">
        <v>60</v>
      </c>
      <c r="G4959" s="3" t="s">
        <v>30</v>
      </c>
      <c r="H4959" s="3" t="s">
        <v>73</v>
      </c>
      <c r="I4959" s="3" t="s">
        <v>130</v>
      </c>
      <c r="J4959" s="3" t="s">
        <v>161</v>
      </c>
      <c r="K4959" s="3">
        <v>1</v>
      </c>
      <c r="L4959" s="3">
        <v>3400.96</v>
      </c>
      <c r="M4959" s="3">
        <v>3400.96</v>
      </c>
      <c r="N4959" s="3">
        <v>2384.46</v>
      </c>
      <c r="O4959" s="3">
        <v>1016.5</v>
      </c>
      <c r="P4959" s="3" t="s">
        <v>86</v>
      </c>
    </row>
    <row r="4960" spans="1:16" x14ac:dyDescent="0.35">
      <c r="A4960" s="3" t="s">
        <v>6403</v>
      </c>
      <c r="B4960" s="3" t="s">
        <v>324</v>
      </c>
      <c r="C4960" s="3" t="s">
        <v>29</v>
      </c>
      <c r="D4960" s="3" t="s">
        <v>19</v>
      </c>
      <c r="E4960" s="3" t="s">
        <v>20</v>
      </c>
      <c r="F4960" s="3" t="s">
        <v>21</v>
      </c>
      <c r="G4960" s="3" t="s">
        <v>41</v>
      </c>
      <c r="H4960" s="3" t="s">
        <v>138</v>
      </c>
      <c r="I4960" s="3" t="s">
        <v>1916</v>
      </c>
      <c r="J4960" s="3" t="s">
        <v>171</v>
      </c>
      <c r="K4960" s="3">
        <v>5</v>
      </c>
      <c r="L4960" s="3">
        <v>17425.13</v>
      </c>
      <c r="M4960" s="3">
        <v>87125.65</v>
      </c>
      <c r="N4960" s="3">
        <v>69933.710000000006</v>
      </c>
      <c r="O4960" s="3">
        <v>17191.939999999999</v>
      </c>
      <c r="P4960" s="3" t="s">
        <v>86</v>
      </c>
    </row>
    <row r="4961" spans="1:16" x14ac:dyDescent="0.35">
      <c r="A4961" s="3" t="s">
        <v>6404</v>
      </c>
      <c r="B4961" s="3" t="s">
        <v>886</v>
      </c>
      <c r="C4961" s="3" t="s">
        <v>48</v>
      </c>
      <c r="D4961" s="3" t="s">
        <v>19</v>
      </c>
      <c r="E4961" s="3" t="s">
        <v>49</v>
      </c>
      <c r="F4961" s="3" t="s">
        <v>50</v>
      </c>
      <c r="G4961" s="3" t="s">
        <v>30</v>
      </c>
      <c r="H4961" s="3" t="s">
        <v>31</v>
      </c>
      <c r="I4961" s="3" t="s">
        <v>1647</v>
      </c>
      <c r="J4961" s="3" t="s">
        <v>154</v>
      </c>
      <c r="K4961" s="3">
        <v>5</v>
      </c>
      <c r="L4961" s="3">
        <v>2613.2800000000002</v>
      </c>
      <c r="M4961" s="3">
        <v>13066.4</v>
      </c>
      <c r="N4961" s="3">
        <v>9412.2099999999991</v>
      </c>
      <c r="O4961" s="3">
        <v>3654.19</v>
      </c>
      <c r="P4961" s="3" t="s">
        <v>86</v>
      </c>
    </row>
    <row r="4962" spans="1:16" x14ac:dyDescent="0.35">
      <c r="A4962" s="3" t="s">
        <v>6405</v>
      </c>
      <c r="B4962" s="3" t="s">
        <v>2086</v>
      </c>
      <c r="C4962" s="3" t="s">
        <v>72</v>
      </c>
      <c r="D4962" s="3" t="s">
        <v>38</v>
      </c>
      <c r="E4962" s="3" t="s">
        <v>39</v>
      </c>
      <c r="F4962" s="3" t="s">
        <v>40</v>
      </c>
      <c r="G4962" s="3" t="s">
        <v>41</v>
      </c>
      <c r="H4962" s="3" t="s">
        <v>42</v>
      </c>
      <c r="I4962" s="3" t="s">
        <v>5185</v>
      </c>
      <c r="J4962" s="3" t="s">
        <v>161</v>
      </c>
      <c r="K4962" s="3">
        <v>2</v>
      </c>
      <c r="L4962" s="3">
        <v>44434.15</v>
      </c>
      <c r="M4962" s="3">
        <v>88868.3</v>
      </c>
      <c r="N4962" s="3">
        <v>69738.22</v>
      </c>
      <c r="O4962" s="3">
        <v>19130.080000000002</v>
      </c>
      <c r="P4962" s="3" t="s">
        <v>26</v>
      </c>
    </row>
    <row r="4963" spans="1:16" x14ac:dyDescent="0.35">
      <c r="A4963" s="3" t="s">
        <v>6406</v>
      </c>
      <c r="B4963" s="3" t="s">
        <v>71</v>
      </c>
      <c r="C4963" s="3" t="s">
        <v>72</v>
      </c>
      <c r="D4963" s="3" t="s">
        <v>58</v>
      </c>
      <c r="E4963" s="3" t="s">
        <v>65</v>
      </c>
      <c r="F4963" s="3" t="s">
        <v>66</v>
      </c>
      <c r="G4963" s="3" t="s">
        <v>51</v>
      </c>
      <c r="H4963" s="3" t="s">
        <v>145</v>
      </c>
      <c r="I4963" s="3" t="s">
        <v>3161</v>
      </c>
      <c r="J4963" s="3" t="s">
        <v>100</v>
      </c>
      <c r="K4963" s="3">
        <v>4</v>
      </c>
      <c r="L4963" s="3">
        <v>113.7</v>
      </c>
      <c r="M4963" s="3">
        <v>454.8</v>
      </c>
      <c r="N4963" s="3">
        <v>243.5</v>
      </c>
      <c r="O4963" s="3">
        <v>211.3</v>
      </c>
      <c r="P4963" s="3" t="s">
        <v>26</v>
      </c>
    </row>
    <row r="4964" spans="1:16" x14ac:dyDescent="0.35">
      <c r="A4964" s="3" t="s">
        <v>6407</v>
      </c>
      <c r="B4964" s="3" t="s">
        <v>2688</v>
      </c>
      <c r="C4964" s="3" t="s">
        <v>48</v>
      </c>
      <c r="D4964" s="3" t="s">
        <v>19</v>
      </c>
      <c r="E4964" s="3" t="s">
        <v>49</v>
      </c>
      <c r="F4964" s="3" t="s">
        <v>50</v>
      </c>
      <c r="G4964" s="3" t="s">
        <v>41</v>
      </c>
      <c r="H4964" s="3" t="s">
        <v>61</v>
      </c>
      <c r="I4964" s="3" t="s">
        <v>1866</v>
      </c>
      <c r="J4964" s="3" t="s">
        <v>33</v>
      </c>
      <c r="K4964" s="3">
        <v>3</v>
      </c>
      <c r="L4964" s="3">
        <v>2746.1</v>
      </c>
      <c r="M4964" s="3">
        <v>8238.2999999999993</v>
      </c>
      <c r="N4964" s="3">
        <v>4572.3100000000004</v>
      </c>
      <c r="O4964" s="3">
        <v>3665.99</v>
      </c>
      <c r="P4964" s="3" t="s">
        <v>26</v>
      </c>
    </row>
    <row r="4965" spans="1:16" x14ac:dyDescent="0.35">
      <c r="A4965" s="3" t="s">
        <v>6408</v>
      </c>
      <c r="B4965" s="3" t="s">
        <v>861</v>
      </c>
      <c r="C4965" s="3" t="s">
        <v>137</v>
      </c>
      <c r="D4965" s="3" t="s">
        <v>58</v>
      </c>
      <c r="E4965" s="3" t="s">
        <v>59</v>
      </c>
      <c r="F4965" s="3" t="s">
        <v>60</v>
      </c>
      <c r="G4965" s="3" t="s">
        <v>22</v>
      </c>
      <c r="H4965" s="3" t="s">
        <v>23</v>
      </c>
      <c r="I4965" s="3" t="s">
        <v>1948</v>
      </c>
      <c r="J4965" s="3" t="s">
        <v>217</v>
      </c>
      <c r="K4965" s="3">
        <v>6</v>
      </c>
      <c r="L4965" s="3">
        <v>3739.06</v>
      </c>
      <c r="M4965" s="3">
        <v>22434.36</v>
      </c>
      <c r="N4965" s="3">
        <v>12795.91</v>
      </c>
      <c r="O4965" s="3">
        <v>9638.4500000000007</v>
      </c>
      <c r="P4965" s="3" t="s">
        <v>86</v>
      </c>
    </row>
    <row r="4966" spans="1:16" x14ac:dyDescent="0.35">
      <c r="A4966" s="3" t="s">
        <v>6409</v>
      </c>
      <c r="B4966" s="3" t="s">
        <v>699</v>
      </c>
      <c r="C4966" s="3" t="s">
        <v>137</v>
      </c>
      <c r="D4966" s="3" t="s">
        <v>19</v>
      </c>
      <c r="E4966" s="3" t="s">
        <v>49</v>
      </c>
      <c r="F4966" s="3" t="s">
        <v>50</v>
      </c>
      <c r="G4966" s="3" t="s">
        <v>22</v>
      </c>
      <c r="H4966" s="3" t="s">
        <v>93</v>
      </c>
      <c r="I4966" s="3" t="s">
        <v>2204</v>
      </c>
      <c r="J4966" s="3" t="s">
        <v>25</v>
      </c>
      <c r="K4966" s="3">
        <v>6</v>
      </c>
      <c r="L4966" s="3">
        <v>6931.18</v>
      </c>
      <c r="M4966" s="3">
        <v>41587.08</v>
      </c>
      <c r="N4966" s="3">
        <v>31260</v>
      </c>
      <c r="O4966" s="3">
        <v>10327.08</v>
      </c>
      <c r="P4966" s="3" t="s">
        <v>69</v>
      </c>
    </row>
    <row r="4967" spans="1:16" x14ac:dyDescent="0.35">
      <c r="A4967" s="3" t="s">
        <v>6410</v>
      </c>
      <c r="B4967" s="3" t="s">
        <v>1095</v>
      </c>
      <c r="C4967" s="3" t="s">
        <v>103</v>
      </c>
      <c r="D4967" s="3" t="s">
        <v>58</v>
      </c>
      <c r="E4967" s="3" t="s">
        <v>65</v>
      </c>
      <c r="F4967" s="3" t="s">
        <v>66</v>
      </c>
      <c r="G4967" s="3" t="s">
        <v>30</v>
      </c>
      <c r="H4967" s="3" t="s">
        <v>31</v>
      </c>
      <c r="I4967" s="3" t="s">
        <v>5673</v>
      </c>
      <c r="J4967" s="3" t="s">
        <v>33</v>
      </c>
      <c r="K4967" s="3">
        <v>1</v>
      </c>
      <c r="L4967" s="3">
        <v>2763.21</v>
      </c>
      <c r="M4967" s="3">
        <v>2763.21</v>
      </c>
      <c r="N4967" s="3">
        <v>1909.44</v>
      </c>
      <c r="O4967" s="3">
        <v>853.77</v>
      </c>
      <c r="P4967" s="3" t="s">
        <v>86</v>
      </c>
    </row>
    <row r="4968" spans="1:16" x14ac:dyDescent="0.35">
      <c r="A4968" s="3" t="s">
        <v>6411</v>
      </c>
      <c r="B4968" s="3" t="s">
        <v>310</v>
      </c>
      <c r="C4968" s="3" t="s">
        <v>37</v>
      </c>
      <c r="D4968" s="3" t="s">
        <v>90</v>
      </c>
      <c r="E4968" s="3" t="s">
        <v>97</v>
      </c>
      <c r="F4968" s="3" t="s">
        <v>98</v>
      </c>
      <c r="G4968" s="3" t="s">
        <v>22</v>
      </c>
      <c r="H4968" s="3" t="s">
        <v>23</v>
      </c>
      <c r="I4968" s="3" t="s">
        <v>2550</v>
      </c>
      <c r="J4968" s="3" t="s">
        <v>25</v>
      </c>
      <c r="K4968" s="3">
        <v>7</v>
      </c>
      <c r="L4968" s="3">
        <v>3255.22</v>
      </c>
      <c r="M4968" s="3">
        <v>22786.54</v>
      </c>
      <c r="N4968" s="3">
        <v>15130.63</v>
      </c>
      <c r="O4968" s="3">
        <v>7655.91</v>
      </c>
      <c r="P4968" s="3" t="s">
        <v>34</v>
      </c>
    </row>
    <row r="4969" spans="1:16" x14ac:dyDescent="0.35">
      <c r="A4969" s="3" t="s">
        <v>6412</v>
      </c>
      <c r="B4969" s="3" t="s">
        <v>1567</v>
      </c>
      <c r="C4969" s="3" t="s">
        <v>82</v>
      </c>
      <c r="D4969" s="3" t="s">
        <v>90</v>
      </c>
      <c r="E4969" s="3" t="s">
        <v>97</v>
      </c>
      <c r="F4969" s="3" t="s">
        <v>98</v>
      </c>
      <c r="G4969" s="3" t="s">
        <v>41</v>
      </c>
      <c r="H4969" s="3" t="s">
        <v>138</v>
      </c>
      <c r="I4969" s="3" t="s">
        <v>1881</v>
      </c>
      <c r="J4969" s="3" t="s">
        <v>44</v>
      </c>
      <c r="K4969" s="3">
        <v>4</v>
      </c>
      <c r="L4969" s="3">
        <v>18084.27</v>
      </c>
      <c r="M4969" s="3">
        <v>72337.08</v>
      </c>
      <c r="N4969" s="3">
        <v>53998.68</v>
      </c>
      <c r="O4969" s="3">
        <v>18338.400000000001</v>
      </c>
      <c r="P4969" s="3" t="s">
        <v>69</v>
      </c>
    </row>
    <row r="4970" spans="1:16" x14ac:dyDescent="0.35">
      <c r="A4970" s="3" t="s">
        <v>6413</v>
      </c>
      <c r="B4970" s="3" t="s">
        <v>792</v>
      </c>
      <c r="C4970" s="3" t="s">
        <v>72</v>
      </c>
      <c r="D4970" s="3" t="s">
        <v>90</v>
      </c>
      <c r="E4970" s="3" t="s">
        <v>91</v>
      </c>
      <c r="F4970" s="3" t="s">
        <v>92</v>
      </c>
      <c r="G4970" s="3" t="s">
        <v>22</v>
      </c>
      <c r="H4970" s="3" t="s">
        <v>93</v>
      </c>
      <c r="I4970" s="3" t="s">
        <v>1004</v>
      </c>
      <c r="J4970" s="3" t="s">
        <v>147</v>
      </c>
      <c r="K4970" s="3">
        <v>1</v>
      </c>
      <c r="L4970" s="3">
        <v>6442.5</v>
      </c>
      <c r="M4970" s="3">
        <v>6442.5</v>
      </c>
      <c r="N4970" s="3">
        <v>4961.8999999999996</v>
      </c>
      <c r="O4970" s="3">
        <v>1480.6</v>
      </c>
      <c r="P4970" s="3" t="s">
        <v>69</v>
      </c>
    </row>
    <row r="4971" spans="1:16" x14ac:dyDescent="0.35">
      <c r="A4971" s="3" t="s">
        <v>6414</v>
      </c>
      <c r="B4971" s="3" t="s">
        <v>837</v>
      </c>
      <c r="C4971" s="3" t="s">
        <v>72</v>
      </c>
      <c r="D4971" s="3" t="s">
        <v>90</v>
      </c>
      <c r="E4971" s="3" t="s">
        <v>119</v>
      </c>
      <c r="F4971" s="3" t="s">
        <v>120</v>
      </c>
      <c r="G4971" s="3" t="s">
        <v>41</v>
      </c>
      <c r="H4971" s="3" t="s">
        <v>138</v>
      </c>
      <c r="I4971" s="3" t="s">
        <v>1474</v>
      </c>
      <c r="J4971" s="3" t="s">
        <v>44</v>
      </c>
      <c r="K4971" s="3">
        <v>2</v>
      </c>
      <c r="L4971" s="3">
        <v>19649.84</v>
      </c>
      <c r="M4971" s="3">
        <v>39299.68</v>
      </c>
      <c r="N4971" s="3">
        <v>27491.66</v>
      </c>
      <c r="O4971" s="3">
        <v>11808.02</v>
      </c>
      <c r="P4971" s="3" t="s">
        <v>69</v>
      </c>
    </row>
    <row r="4972" spans="1:16" x14ac:dyDescent="0.35">
      <c r="A4972" s="3" t="s">
        <v>6415</v>
      </c>
      <c r="B4972" s="3" t="s">
        <v>1504</v>
      </c>
      <c r="C4972" s="3" t="s">
        <v>48</v>
      </c>
      <c r="D4972" s="3" t="s">
        <v>90</v>
      </c>
      <c r="E4972" s="3" t="s">
        <v>97</v>
      </c>
      <c r="F4972" s="3" t="s">
        <v>98</v>
      </c>
      <c r="G4972" s="3" t="s">
        <v>30</v>
      </c>
      <c r="H4972" s="3" t="s">
        <v>31</v>
      </c>
      <c r="I4972" s="3" t="s">
        <v>657</v>
      </c>
      <c r="J4972" s="3" t="s">
        <v>100</v>
      </c>
      <c r="K4972" s="3">
        <v>5</v>
      </c>
      <c r="L4972" s="3">
        <v>2615.85</v>
      </c>
      <c r="M4972" s="3">
        <v>13079.25</v>
      </c>
      <c r="N4972" s="3">
        <v>9879.64</v>
      </c>
      <c r="O4972" s="3">
        <v>3199.61</v>
      </c>
      <c r="P4972" s="3" t="s">
        <v>69</v>
      </c>
    </row>
    <row r="4973" spans="1:16" x14ac:dyDescent="0.35">
      <c r="A4973" s="3" t="s">
        <v>6416</v>
      </c>
      <c r="B4973" s="3" t="s">
        <v>1752</v>
      </c>
      <c r="C4973" s="3" t="s">
        <v>114</v>
      </c>
      <c r="D4973" s="3" t="s">
        <v>90</v>
      </c>
      <c r="E4973" s="3" t="s">
        <v>119</v>
      </c>
      <c r="F4973" s="3" t="s">
        <v>120</v>
      </c>
      <c r="G4973" s="3" t="s">
        <v>41</v>
      </c>
      <c r="H4973" s="3" t="s">
        <v>138</v>
      </c>
      <c r="I4973" s="3" t="s">
        <v>1019</v>
      </c>
      <c r="J4973" s="3" t="s">
        <v>25</v>
      </c>
      <c r="K4973" s="3">
        <v>1</v>
      </c>
      <c r="L4973" s="3">
        <v>19347.8</v>
      </c>
      <c r="M4973" s="3">
        <v>19347.8</v>
      </c>
      <c r="N4973" s="3">
        <v>14663.19</v>
      </c>
      <c r="O4973" s="3">
        <v>4684.6099999999997</v>
      </c>
      <c r="P4973" s="3" t="s">
        <v>45</v>
      </c>
    </row>
    <row r="4974" spans="1:16" x14ac:dyDescent="0.35">
      <c r="A4974" s="3" t="s">
        <v>6417</v>
      </c>
      <c r="B4974" s="3" t="s">
        <v>1269</v>
      </c>
      <c r="C4974" s="3" t="s">
        <v>57</v>
      </c>
      <c r="D4974" s="3" t="s">
        <v>90</v>
      </c>
      <c r="E4974" s="3" t="s">
        <v>97</v>
      </c>
      <c r="F4974" s="3" t="s">
        <v>98</v>
      </c>
      <c r="G4974" s="3" t="s">
        <v>51</v>
      </c>
      <c r="H4974" s="3" t="s">
        <v>77</v>
      </c>
      <c r="I4974" s="3" t="s">
        <v>985</v>
      </c>
      <c r="J4974" s="3" t="s">
        <v>217</v>
      </c>
      <c r="K4974" s="3">
        <v>3</v>
      </c>
      <c r="L4974" s="3">
        <v>10803.35</v>
      </c>
      <c r="M4974" s="3">
        <v>32410.05</v>
      </c>
      <c r="N4974" s="3">
        <v>26670.81</v>
      </c>
      <c r="O4974" s="3">
        <v>5739.24</v>
      </c>
      <c r="P4974" s="3" t="s">
        <v>34</v>
      </c>
    </row>
    <row r="4975" spans="1:16" x14ac:dyDescent="0.35">
      <c r="A4975" s="3" t="s">
        <v>6418</v>
      </c>
      <c r="B4975" s="3" t="s">
        <v>1594</v>
      </c>
      <c r="C4975" s="3" t="s">
        <v>48</v>
      </c>
      <c r="D4975" s="3" t="s">
        <v>90</v>
      </c>
      <c r="E4975" s="3" t="s">
        <v>97</v>
      </c>
      <c r="F4975" s="3" t="s">
        <v>98</v>
      </c>
      <c r="G4975" s="3" t="s">
        <v>30</v>
      </c>
      <c r="H4975" s="3" t="s">
        <v>73</v>
      </c>
      <c r="I4975" s="3" t="s">
        <v>1713</v>
      </c>
      <c r="J4975" s="3" t="s">
        <v>131</v>
      </c>
      <c r="K4975" s="3">
        <v>2</v>
      </c>
      <c r="L4975" s="3">
        <v>3038.88</v>
      </c>
      <c r="M4975" s="3">
        <v>6077.76</v>
      </c>
      <c r="N4975" s="3">
        <v>4937.12</v>
      </c>
      <c r="O4975" s="3">
        <v>1140.6400000000001</v>
      </c>
      <c r="P4975" s="3" t="s">
        <v>45</v>
      </c>
    </row>
    <row r="4976" spans="1:16" x14ac:dyDescent="0.35">
      <c r="A4976" s="3" t="s">
        <v>6419</v>
      </c>
      <c r="B4976" s="3" t="s">
        <v>1427</v>
      </c>
      <c r="C4976" s="3" t="s">
        <v>29</v>
      </c>
      <c r="D4976" s="3" t="s">
        <v>58</v>
      </c>
      <c r="E4976" s="3" t="s">
        <v>176</v>
      </c>
      <c r="F4976" s="3" t="s">
        <v>177</v>
      </c>
      <c r="G4976" s="3" t="s">
        <v>51</v>
      </c>
      <c r="H4976" s="3" t="s">
        <v>145</v>
      </c>
      <c r="I4976" s="3" t="s">
        <v>1806</v>
      </c>
      <c r="J4976" s="3" t="s">
        <v>161</v>
      </c>
      <c r="K4976" s="3">
        <v>3</v>
      </c>
      <c r="L4976" s="3">
        <v>112.82</v>
      </c>
      <c r="M4976" s="3">
        <v>338.46</v>
      </c>
      <c r="N4976" s="3">
        <v>177.06</v>
      </c>
      <c r="O4976" s="3">
        <v>161.4</v>
      </c>
      <c r="P4976" s="3" t="s">
        <v>86</v>
      </c>
    </row>
    <row r="4977" spans="1:16" x14ac:dyDescent="0.35">
      <c r="A4977" s="3" t="s">
        <v>6420</v>
      </c>
      <c r="B4977" s="3" t="s">
        <v>1337</v>
      </c>
      <c r="C4977" s="3" t="s">
        <v>48</v>
      </c>
      <c r="D4977" s="3" t="s">
        <v>38</v>
      </c>
      <c r="E4977" s="3" t="s">
        <v>104</v>
      </c>
      <c r="F4977" s="3" t="s">
        <v>104</v>
      </c>
      <c r="G4977" s="3" t="s">
        <v>22</v>
      </c>
      <c r="H4977" s="3" t="s">
        <v>83</v>
      </c>
      <c r="I4977" s="3" t="s">
        <v>167</v>
      </c>
      <c r="J4977" s="3" t="s">
        <v>25</v>
      </c>
      <c r="K4977" s="3">
        <v>7</v>
      </c>
      <c r="L4977" s="3">
        <v>20639.12</v>
      </c>
      <c r="M4977" s="3">
        <v>144473.84</v>
      </c>
      <c r="N4977" s="3">
        <v>113062.12</v>
      </c>
      <c r="O4977" s="3">
        <v>31411.72</v>
      </c>
      <c r="P4977" s="3" t="s">
        <v>26</v>
      </c>
    </row>
    <row r="4978" spans="1:16" x14ac:dyDescent="0.35">
      <c r="A4978" s="3" t="s">
        <v>6421</v>
      </c>
      <c r="B4978" s="3" t="s">
        <v>767</v>
      </c>
      <c r="C4978" s="3" t="s">
        <v>82</v>
      </c>
      <c r="D4978" s="3" t="s">
        <v>38</v>
      </c>
      <c r="E4978" s="3" t="s">
        <v>39</v>
      </c>
      <c r="F4978" s="3" t="s">
        <v>40</v>
      </c>
      <c r="G4978" s="3" t="s">
        <v>22</v>
      </c>
      <c r="H4978" s="3" t="s">
        <v>23</v>
      </c>
      <c r="I4978" s="3" t="s">
        <v>2629</v>
      </c>
      <c r="J4978" s="3" t="s">
        <v>106</v>
      </c>
      <c r="K4978" s="3">
        <v>3</v>
      </c>
      <c r="L4978" s="3">
        <v>3617.59</v>
      </c>
      <c r="M4978" s="3">
        <v>10852.77</v>
      </c>
      <c r="N4978" s="3">
        <v>6487.05</v>
      </c>
      <c r="O4978" s="3">
        <v>4365.72</v>
      </c>
      <c r="P4978" s="3" t="s">
        <v>86</v>
      </c>
    </row>
    <row r="4979" spans="1:16" x14ac:dyDescent="0.35">
      <c r="A4979" s="3" t="s">
        <v>6422</v>
      </c>
      <c r="B4979" s="3" t="s">
        <v>276</v>
      </c>
      <c r="C4979" s="3" t="s">
        <v>114</v>
      </c>
      <c r="D4979" s="3" t="s">
        <v>58</v>
      </c>
      <c r="E4979" s="3" t="s">
        <v>59</v>
      </c>
      <c r="F4979" s="3" t="s">
        <v>60</v>
      </c>
      <c r="G4979" s="3" t="s">
        <v>51</v>
      </c>
      <c r="H4979" s="3" t="s">
        <v>52</v>
      </c>
      <c r="I4979" s="3" t="s">
        <v>1773</v>
      </c>
      <c r="J4979" s="3" t="s">
        <v>33</v>
      </c>
      <c r="K4979" s="3">
        <v>4</v>
      </c>
      <c r="L4979" s="3">
        <v>23.86</v>
      </c>
      <c r="M4979" s="3">
        <v>95.44</v>
      </c>
      <c r="N4979" s="3">
        <v>40.07</v>
      </c>
      <c r="O4979" s="3">
        <v>55.37</v>
      </c>
      <c r="P4979" s="3" t="s">
        <v>86</v>
      </c>
    </row>
    <row r="4980" spans="1:16" x14ac:dyDescent="0.35">
      <c r="A4980" s="3" t="s">
        <v>6423</v>
      </c>
      <c r="B4980" s="3" t="s">
        <v>621</v>
      </c>
      <c r="C4980" s="3" t="s">
        <v>118</v>
      </c>
      <c r="D4980" s="3" t="s">
        <v>19</v>
      </c>
      <c r="E4980" s="3" t="s">
        <v>199</v>
      </c>
      <c r="F4980" s="3" t="s">
        <v>200</v>
      </c>
      <c r="G4980" s="3" t="s">
        <v>41</v>
      </c>
      <c r="H4980" s="3" t="s">
        <v>138</v>
      </c>
      <c r="I4980" s="3" t="s">
        <v>1808</v>
      </c>
      <c r="J4980" s="3" t="s">
        <v>85</v>
      </c>
      <c r="K4980" s="3">
        <v>4</v>
      </c>
      <c r="L4980" s="3">
        <v>19372.939999999999</v>
      </c>
      <c r="M4980" s="3">
        <v>77491.759999999995</v>
      </c>
      <c r="N4980" s="3">
        <v>58206.400000000001</v>
      </c>
      <c r="O4980" s="3">
        <v>19285.36</v>
      </c>
      <c r="P4980" s="3" t="s">
        <v>69</v>
      </c>
    </row>
    <row r="4981" spans="1:16" x14ac:dyDescent="0.35">
      <c r="A4981" s="3" t="s">
        <v>6424</v>
      </c>
      <c r="B4981" s="3" t="s">
        <v>852</v>
      </c>
      <c r="C4981" s="3" t="s">
        <v>118</v>
      </c>
      <c r="D4981" s="3" t="s">
        <v>19</v>
      </c>
      <c r="E4981" s="3" t="s">
        <v>49</v>
      </c>
      <c r="F4981" s="3" t="s">
        <v>50</v>
      </c>
      <c r="G4981" s="3" t="s">
        <v>51</v>
      </c>
      <c r="H4981" s="3" t="s">
        <v>145</v>
      </c>
      <c r="I4981" s="3" t="s">
        <v>1075</v>
      </c>
      <c r="J4981" s="3" t="s">
        <v>25</v>
      </c>
      <c r="K4981" s="3">
        <v>3</v>
      </c>
      <c r="L4981" s="3">
        <v>131.97</v>
      </c>
      <c r="M4981" s="3">
        <v>395.91</v>
      </c>
      <c r="N4981" s="3">
        <v>183.07</v>
      </c>
      <c r="O4981" s="3">
        <v>212.84</v>
      </c>
      <c r="P4981" s="3" t="s">
        <v>45</v>
      </c>
    </row>
    <row r="4982" spans="1:16" x14ac:dyDescent="0.35">
      <c r="A4982" s="3" t="s">
        <v>6425</v>
      </c>
      <c r="B4982" s="3" t="s">
        <v>488</v>
      </c>
      <c r="C4982" s="3" t="s">
        <v>29</v>
      </c>
      <c r="D4982" s="3" t="s">
        <v>90</v>
      </c>
      <c r="E4982" s="3" t="s">
        <v>97</v>
      </c>
      <c r="F4982" s="3" t="s">
        <v>98</v>
      </c>
      <c r="G4982" s="3" t="s">
        <v>41</v>
      </c>
      <c r="H4982" s="3" t="s">
        <v>42</v>
      </c>
      <c r="I4982" s="3" t="s">
        <v>2428</v>
      </c>
      <c r="J4982" s="3" t="s">
        <v>154</v>
      </c>
      <c r="K4982" s="3">
        <v>2</v>
      </c>
      <c r="L4982" s="3">
        <v>48462.87</v>
      </c>
      <c r="M4982" s="3">
        <v>96925.74</v>
      </c>
      <c r="N4982" s="3">
        <v>68428.09</v>
      </c>
      <c r="O4982" s="3">
        <v>28497.65</v>
      </c>
      <c r="P4982" s="3" t="s">
        <v>26</v>
      </c>
    </row>
    <row r="4983" spans="1:16" x14ac:dyDescent="0.35">
      <c r="A4983" s="3" t="s">
        <v>6426</v>
      </c>
      <c r="B4983" s="3" t="s">
        <v>64</v>
      </c>
      <c r="C4983" s="3" t="s">
        <v>57</v>
      </c>
      <c r="D4983" s="3" t="s">
        <v>90</v>
      </c>
      <c r="E4983" s="3" t="s">
        <v>97</v>
      </c>
      <c r="F4983" s="3" t="s">
        <v>98</v>
      </c>
      <c r="G4983" s="3" t="s">
        <v>51</v>
      </c>
      <c r="H4983" s="3" t="s">
        <v>52</v>
      </c>
      <c r="I4983" s="3" t="s">
        <v>5673</v>
      </c>
      <c r="J4983" s="3" t="s">
        <v>171</v>
      </c>
      <c r="K4983" s="3">
        <v>7</v>
      </c>
      <c r="L4983" s="3">
        <v>24.48</v>
      </c>
      <c r="M4983" s="3">
        <v>171.36</v>
      </c>
      <c r="N4983" s="3">
        <v>70.069999999999993</v>
      </c>
      <c r="O4983" s="3">
        <v>101.29</v>
      </c>
      <c r="P4983" s="3" t="s">
        <v>45</v>
      </c>
    </row>
    <row r="4984" spans="1:16" x14ac:dyDescent="0.35">
      <c r="A4984" s="3" t="s">
        <v>6427</v>
      </c>
      <c r="B4984" s="3" t="s">
        <v>952</v>
      </c>
      <c r="C4984" s="3" t="s">
        <v>29</v>
      </c>
      <c r="D4984" s="3" t="s">
        <v>90</v>
      </c>
      <c r="E4984" s="3" t="s">
        <v>119</v>
      </c>
      <c r="F4984" s="3" t="s">
        <v>120</v>
      </c>
      <c r="G4984" s="3" t="s">
        <v>22</v>
      </c>
      <c r="H4984" s="3" t="s">
        <v>23</v>
      </c>
      <c r="I4984" s="3" t="s">
        <v>216</v>
      </c>
      <c r="J4984" s="3" t="s">
        <v>85</v>
      </c>
      <c r="K4984" s="3">
        <v>1</v>
      </c>
      <c r="L4984" s="3">
        <v>3648.59</v>
      </c>
      <c r="M4984" s="3">
        <v>3648.59</v>
      </c>
      <c r="N4984" s="3">
        <v>2287.83</v>
      </c>
      <c r="O4984" s="3">
        <v>1360.76</v>
      </c>
      <c r="P4984" s="3" t="s">
        <v>69</v>
      </c>
    </row>
    <row r="4985" spans="1:16" x14ac:dyDescent="0.35">
      <c r="A4985" s="3" t="s">
        <v>6428</v>
      </c>
      <c r="B4985" s="3" t="s">
        <v>798</v>
      </c>
      <c r="C4985" s="3" t="s">
        <v>18</v>
      </c>
      <c r="D4985" s="3" t="s">
        <v>90</v>
      </c>
      <c r="E4985" s="3" t="s">
        <v>97</v>
      </c>
      <c r="F4985" s="3" t="s">
        <v>98</v>
      </c>
      <c r="G4985" s="3" t="s">
        <v>30</v>
      </c>
      <c r="H4985" s="3" t="s">
        <v>73</v>
      </c>
      <c r="I4985" s="3" t="s">
        <v>220</v>
      </c>
      <c r="J4985" s="3" t="s">
        <v>106</v>
      </c>
      <c r="K4985" s="3">
        <v>3</v>
      </c>
      <c r="L4985" s="3">
        <v>3486.89</v>
      </c>
      <c r="M4985" s="3">
        <v>10460.67</v>
      </c>
      <c r="N4985" s="3">
        <v>7184.98</v>
      </c>
      <c r="O4985" s="3">
        <v>3275.69</v>
      </c>
      <c r="P4985" s="3" t="s">
        <v>86</v>
      </c>
    </row>
    <row r="4986" spans="1:16" x14ac:dyDescent="0.35">
      <c r="A4986" s="3" t="s">
        <v>6429</v>
      </c>
      <c r="B4986" s="3" t="s">
        <v>859</v>
      </c>
      <c r="C4986" s="3" t="s">
        <v>48</v>
      </c>
      <c r="D4986" s="3" t="s">
        <v>90</v>
      </c>
      <c r="E4986" s="3" t="s">
        <v>119</v>
      </c>
      <c r="F4986" s="3" t="s">
        <v>120</v>
      </c>
      <c r="G4986" s="3" t="s">
        <v>30</v>
      </c>
      <c r="H4986" s="3" t="s">
        <v>67</v>
      </c>
      <c r="I4986" s="3" t="s">
        <v>5057</v>
      </c>
      <c r="J4986" s="3" t="s">
        <v>33</v>
      </c>
      <c r="K4986" s="3">
        <v>3</v>
      </c>
      <c r="L4986" s="3">
        <v>10420.91</v>
      </c>
      <c r="M4986" s="3">
        <v>31262.73</v>
      </c>
      <c r="N4986" s="3">
        <v>22225.040000000001</v>
      </c>
      <c r="O4986" s="3">
        <v>9037.69</v>
      </c>
      <c r="P4986" s="3" t="s">
        <v>34</v>
      </c>
    </row>
    <row r="4987" spans="1:16" x14ac:dyDescent="0.35">
      <c r="A4987" s="3" t="s">
        <v>6430</v>
      </c>
      <c r="B4987" s="3" t="s">
        <v>1406</v>
      </c>
      <c r="C4987" s="3" t="s">
        <v>137</v>
      </c>
      <c r="D4987" s="3" t="s">
        <v>38</v>
      </c>
      <c r="E4987" s="3" t="s">
        <v>104</v>
      </c>
      <c r="F4987" s="3" t="s">
        <v>104</v>
      </c>
      <c r="G4987" s="3" t="s">
        <v>22</v>
      </c>
      <c r="H4987" s="3" t="s">
        <v>23</v>
      </c>
      <c r="I4987" s="3" t="s">
        <v>2290</v>
      </c>
      <c r="J4987" s="3" t="s">
        <v>25</v>
      </c>
      <c r="K4987" s="3">
        <v>3</v>
      </c>
      <c r="L4987" s="3">
        <v>3267.75</v>
      </c>
      <c r="M4987" s="3">
        <v>9803.25</v>
      </c>
      <c r="N4987" s="3">
        <v>6852.37</v>
      </c>
      <c r="O4987" s="3">
        <v>2950.88</v>
      </c>
      <c r="P4987" s="3" t="s">
        <v>86</v>
      </c>
    </row>
    <row r="4988" spans="1:16" x14ac:dyDescent="0.35">
      <c r="A4988" s="3" t="s">
        <v>6431</v>
      </c>
      <c r="B4988" s="3" t="s">
        <v>76</v>
      </c>
      <c r="C4988" s="3" t="s">
        <v>48</v>
      </c>
      <c r="D4988" s="3" t="s">
        <v>38</v>
      </c>
      <c r="E4988" s="3" t="s">
        <v>39</v>
      </c>
      <c r="F4988" s="3" t="s">
        <v>40</v>
      </c>
      <c r="G4988" s="3" t="s">
        <v>41</v>
      </c>
      <c r="H4988" s="3" t="s">
        <v>42</v>
      </c>
      <c r="I4988" s="3" t="s">
        <v>303</v>
      </c>
      <c r="J4988" s="3" t="s">
        <v>147</v>
      </c>
      <c r="K4988" s="3">
        <v>6</v>
      </c>
      <c r="L4988" s="3">
        <v>46612.81</v>
      </c>
      <c r="M4988" s="3">
        <v>279676.86</v>
      </c>
      <c r="N4988" s="3">
        <v>205973.84</v>
      </c>
      <c r="O4988" s="3">
        <v>73703.02</v>
      </c>
      <c r="P4988" s="3" t="s">
        <v>34</v>
      </c>
    </row>
    <row r="4989" spans="1:16" x14ac:dyDescent="0.35">
      <c r="A4989" s="3" t="s">
        <v>6432</v>
      </c>
      <c r="B4989" s="3" t="s">
        <v>367</v>
      </c>
      <c r="C4989" s="3" t="s">
        <v>29</v>
      </c>
      <c r="D4989" s="3" t="s">
        <v>90</v>
      </c>
      <c r="E4989" s="3" t="s">
        <v>119</v>
      </c>
      <c r="F4989" s="3" t="s">
        <v>120</v>
      </c>
      <c r="G4989" s="3" t="s">
        <v>22</v>
      </c>
      <c r="H4989" s="3" t="s">
        <v>93</v>
      </c>
      <c r="I4989" s="3" t="s">
        <v>2068</v>
      </c>
      <c r="J4989" s="3" t="s">
        <v>154</v>
      </c>
      <c r="K4989" s="3">
        <v>8</v>
      </c>
      <c r="L4989" s="3">
        <v>7611.39</v>
      </c>
      <c r="M4989" s="3">
        <v>60891.12</v>
      </c>
      <c r="N4989" s="3">
        <v>39441.660000000003</v>
      </c>
      <c r="O4989" s="3">
        <v>21449.46</v>
      </c>
      <c r="P4989" s="3" t="s">
        <v>26</v>
      </c>
    </row>
    <row r="4990" spans="1:16" x14ac:dyDescent="0.35">
      <c r="A4990" s="3" t="s">
        <v>6433</v>
      </c>
      <c r="B4990" s="3" t="s">
        <v>324</v>
      </c>
      <c r="C4990" s="3" t="s">
        <v>29</v>
      </c>
      <c r="D4990" s="3" t="s">
        <v>38</v>
      </c>
      <c r="E4990" s="3" t="s">
        <v>104</v>
      </c>
      <c r="F4990" s="3" t="s">
        <v>104</v>
      </c>
      <c r="G4990" s="3" t="s">
        <v>22</v>
      </c>
      <c r="H4990" s="3" t="s">
        <v>23</v>
      </c>
      <c r="I4990" s="3" t="s">
        <v>2967</v>
      </c>
      <c r="J4990" s="3" t="s">
        <v>147</v>
      </c>
      <c r="K4990" s="3">
        <v>7</v>
      </c>
      <c r="L4990" s="3">
        <v>3205.68</v>
      </c>
      <c r="M4990" s="3">
        <v>22439.759999999998</v>
      </c>
      <c r="N4990" s="3">
        <v>15320.25</v>
      </c>
      <c r="O4990" s="3">
        <v>7119.51</v>
      </c>
      <c r="P4990" s="3" t="s">
        <v>86</v>
      </c>
    </row>
    <row r="4991" spans="1:16" x14ac:dyDescent="0.35">
      <c r="A4991" s="3" t="s">
        <v>6434</v>
      </c>
      <c r="B4991" s="3" t="s">
        <v>1823</v>
      </c>
      <c r="C4991" s="3" t="s">
        <v>118</v>
      </c>
      <c r="D4991" s="3" t="s">
        <v>19</v>
      </c>
      <c r="E4991" s="3" t="s">
        <v>49</v>
      </c>
      <c r="F4991" s="3" t="s">
        <v>50</v>
      </c>
      <c r="G4991" s="3" t="s">
        <v>30</v>
      </c>
      <c r="H4991" s="3" t="s">
        <v>31</v>
      </c>
      <c r="I4991" s="3" t="s">
        <v>1004</v>
      </c>
      <c r="J4991" s="3" t="s">
        <v>54</v>
      </c>
      <c r="K4991" s="3">
        <v>6</v>
      </c>
      <c r="L4991" s="3">
        <v>2847.35</v>
      </c>
      <c r="M4991" s="3">
        <v>17084.099999999999</v>
      </c>
      <c r="N4991" s="3">
        <v>11363.94</v>
      </c>
      <c r="O4991" s="3">
        <v>5720.16</v>
      </c>
      <c r="P4991" s="3" t="s">
        <v>34</v>
      </c>
    </row>
    <row r="4992" spans="1:16" x14ac:dyDescent="0.35">
      <c r="A4992" s="3" t="s">
        <v>6435</v>
      </c>
      <c r="B4992" s="3" t="s">
        <v>333</v>
      </c>
      <c r="C4992" s="3" t="s">
        <v>118</v>
      </c>
      <c r="D4992" s="3" t="s">
        <v>19</v>
      </c>
      <c r="E4992" s="3" t="s">
        <v>199</v>
      </c>
      <c r="F4992" s="3" t="s">
        <v>200</v>
      </c>
      <c r="G4992" s="3" t="s">
        <v>51</v>
      </c>
      <c r="H4992" s="3" t="s">
        <v>52</v>
      </c>
      <c r="I4992" s="3" t="s">
        <v>3633</v>
      </c>
      <c r="J4992" s="3" t="s">
        <v>44</v>
      </c>
      <c r="K4992" s="3">
        <v>1</v>
      </c>
      <c r="L4992" s="3">
        <v>27.28</v>
      </c>
      <c r="M4992" s="3">
        <v>27.28</v>
      </c>
      <c r="N4992" s="3">
        <v>9.8000000000000007</v>
      </c>
      <c r="O4992" s="3">
        <v>17.48</v>
      </c>
      <c r="P4992" s="3" t="s">
        <v>26</v>
      </c>
    </row>
    <row r="4993" spans="1:16" x14ac:dyDescent="0.35">
      <c r="A4993" s="3" t="s">
        <v>6436</v>
      </c>
      <c r="B4993" s="3" t="s">
        <v>318</v>
      </c>
      <c r="C4993" s="3" t="s">
        <v>37</v>
      </c>
      <c r="D4993" s="3" t="s">
        <v>58</v>
      </c>
      <c r="E4993" s="3" t="s">
        <v>65</v>
      </c>
      <c r="F4993" s="3" t="s">
        <v>66</v>
      </c>
      <c r="G4993" s="3" t="s">
        <v>22</v>
      </c>
      <c r="H4993" s="3" t="s">
        <v>83</v>
      </c>
      <c r="I4993" s="3" t="s">
        <v>820</v>
      </c>
      <c r="J4993" s="3" t="s">
        <v>171</v>
      </c>
      <c r="K4993" s="3">
        <v>4</v>
      </c>
      <c r="L4993" s="3">
        <v>22279.72</v>
      </c>
      <c r="M4993" s="3">
        <v>89118.88</v>
      </c>
      <c r="N4993" s="3">
        <v>68323.19</v>
      </c>
      <c r="O4993" s="3">
        <v>20795.689999999999</v>
      </c>
      <c r="P4993" s="3" t="s">
        <v>34</v>
      </c>
    </row>
    <row r="4994" spans="1:16" x14ac:dyDescent="0.35">
      <c r="A4994" s="3" t="s">
        <v>6437</v>
      </c>
      <c r="B4994" s="3" t="s">
        <v>373</v>
      </c>
      <c r="C4994" s="3" t="s">
        <v>137</v>
      </c>
      <c r="D4994" s="3" t="s">
        <v>19</v>
      </c>
      <c r="E4994" s="3" t="s">
        <v>49</v>
      </c>
      <c r="F4994" s="3" t="s">
        <v>50</v>
      </c>
      <c r="G4994" s="3" t="s">
        <v>30</v>
      </c>
      <c r="H4994" s="3" t="s">
        <v>73</v>
      </c>
      <c r="I4994" s="3" t="s">
        <v>643</v>
      </c>
      <c r="J4994" s="3" t="s">
        <v>171</v>
      </c>
      <c r="K4994" s="3">
        <v>8</v>
      </c>
      <c r="L4994" s="3">
        <v>3067.81</v>
      </c>
      <c r="M4994" s="3">
        <v>24542.48</v>
      </c>
      <c r="N4994" s="3">
        <v>19270.080000000002</v>
      </c>
      <c r="O4994" s="3">
        <v>5272.4</v>
      </c>
      <c r="P4994" s="3" t="s">
        <v>26</v>
      </c>
    </row>
    <row r="4995" spans="1:16" x14ac:dyDescent="0.35">
      <c r="A4995" s="3" t="s">
        <v>6438</v>
      </c>
      <c r="B4995" s="3" t="s">
        <v>880</v>
      </c>
      <c r="C4995" s="3" t="s">
        <v>114</v>
      </c>
      <c r="D4995" s="3" t="s">
        <v>38</v>
      </c>
      <c r="E4995" s="3" t="s">
        <v>104</v>
      </c>
      <c r="F4995" s="3" t="s">
        <v>104</v>
      </c>
      <c r="G4995" s="3" t="s">
        <v>51</v>
      </c>
      <c r="H4995" s="3" t="s">
        <v>52</v>
      </c>
      <c r="I4995" s="3" t="s">
        <v>790</v>
      </c>
      <c r="J4995" s="3" t="s">
        <v>79</v>
      </c>
      <c r="K4995" s="3">
        <v>8</v>
      </c>
      <c r="L4995" s="3">
        <v>22.99</v>
      </c>
      <c r="M4995" s="3">
        <v>183.92</v>
      </c>
      <c r="N4995" s="3">
        <v>82.17</v>
      </c>
      <c r="O4995" s="3">
        <v>101.75</v>
      </c>
      <c r="P4995" s="3" t="s">
        <v>26</v>
      </c>
    </row>
    <row r="4996" spans="1:16" x14ac:dyDescent="0.35">
      <c r="A4996" s="3" t="s">
        <v>6439</v>
      </c>
      <c r="B4996" s="3" t="s">
        <v>1898</v>
      </c>
      <c r="C4996" s="3" t="s">
        <v>29</v>
      </c>
      <c r="D4996" s="3" t="s">
        <v>90</v>
      </c>
      <c r="E4996" s="3" t="s">
        <v>97</v>
      </c>
      <c r="F4996" s="3" t="s">
        <v>98</v>
      </c>
      <c r="G4996" s="3" t="s">
        <v>22</v>
      </c>
      <c r="H4996" s="3" t="s">
        <v>93</v>
      </c>
      <c r="I4996" s="3" t="s">
        <v>1270</v>
      </c>
      <c r="J4996" s="3" t="s">
        <v>171</v>
      </c>
      <c r="K4996" s="3">
        <v>8</v>
      </c>
      <c r="L4996" s="3">
        <v>6866.63</v>
      </c>
      <c r="M4996" s="3">
        <v>54933.04</v>
      </c>
      <c r="N4996" s="3">
        <v>40053.040000000001</v>
      </c>
      <c r="O4996" s="3">
        <v>14880</v>
      </c>
      <c r="P4996" s="3" t="s">
        <v>26</v>
      </c>
    </row>
    <row r="4997" spans="1:16" x14ac:dyDescent="0.35">
      <c r="A4997" s="3" t="s">
        <v>6440</v>
      </c>
      <c r="B4997" s="3" t="s">
        <v>531</v>
      </c>
      <c r="C4997" s="3" t="s">
        <v>137</v>
      </c>
      <c r="D4997" s="3" t="s">
        <v>90</v>
      </c>
      <c r="E4997" s="3" t="s">
        <v>97</v>
      </c>
      <c r="F4997" s="3" t="s">
        <v>98</v>
      </c>
      <c r="G4997" s="3" t="s">
        <v>51</v>
      </c>
      <c r="H4997" s="3" t="s">
        <v>145</v>
      </c>
      <c r="I4997" s="3" t="s">
        <v>945</v>
      </c>
      <c r="J4997" s="3" t="s">
        <v>44</v>
      </c>
      <c r="K4997" s="3">
        <v>8</v>
      </c>
      <c r="L4997" s="3">
        <v>123.09</v>
      </c>
      <c r="M4997" s="3">
        <v>984.72</v>
      </c>
      <c r="N4997" s="3">
        <v>457.03</v>
      </c>
      <c r="O4997" s="3">
        <v>527.69000000000005</v>
      </c>
      <c r="P4997" s="3" t="s">
        <v>86</v>
      </c>
    </row>
    <row r="4998" spans="1:16" x14ac:dyDescent="0.35">
      <c r="A4998" s="3" t="s">
        <v>6441</v>
      </c>
      <c r="B4998" s="3" t="s">
        <v>889</v>
      </c>
      <c r="C4998" s="3" t="s">
        <v>82</v>
      </c>
      <c r="D4998" s="3" t="s">
        <v>58</v>
      </c>
      <c r="E4998" s="3" t="s">
        <v>65</v>
      </c>
      <c r="F4998" s="3" t="s">
        <v>66</v>
      </c>
      <c r="G4998" s="3" t="s">
        <v>41</v>
      </c>
      <c r="H4998" s="3" t="s">
        <v>138</v>
      </c>
      <c r="I4998" s="3" t="s">
        <v>5185</v>
      </c>
      <c r="J4998" s="3" t="s">
        <v>188</v>
      </c>
      <c r="K4998" s="3">
        <v>5</v>
      </c>
      <c r="L4998" s="3">
        <v>18118.34</v>
      </c>
      <c r="M4998" s="3">
        <v>90591.7</v>
      </c>
      <c r="N4998" s="3">
        <v>67375.350000000006</v>
      </c>
      <c r="O4998" s="3">
        <v>23216.35</v>
      </c>
      <c r="P4998" s="3" t="s">
        <v>34</v>
      </c>
    </row>
    <row r="4999" spans="1:16" x14ac:dyDescent="0.35">
      <c r="A4999" s="3" t="s">
        <v>6442</v>
      </c>
      <c r="B4999" s="3" t="s">
        <v>1166</v>
      </c>
      <c r="C4999" s="3" t="s">
        <v>118</v>
      </c>
      <c r="D4999" s="3" t="s">
        <v>58</v>
      </c>
      <c r="E4999" s="3" t="s">
        <v>59</v>
      </c>
      <c r="F4999" s="3" t="s">
        <v>60</v>
      </c>
      <c r="G4999" s="3" t="s">
        <v>30</v>
      </c>
      <c r="H4999" s="3" t="s">
        <v>67</v>
      </c>
      <c r="I4999" s="3" t="s">
        <v>1736</v>
      </c>
      <c r="J4999" s="3" t="s">
        <v>131</v>
      </c>
      <c r="K4999" s="3">
        <v>6</v>
      </c>
      <c r="L4999" s="3">
        <v>8815.2999999999993</v>
      </c>
      <c r="M4999" s="3">
        <v>52891.8</v>
      </c>
      <c r="N4999" s="3">
        <v>44511.51</v>
      </c>
      <c r="O4999" s="3">
        <v>8380.2900000000009</v>
      </c>
      <c r="P4999" s="3" t="s">
        <v>34</v>
      </c>
    </row>
    <row r="5000" spans="1:16" x14ac:dyDescent="0.35">
      <c r="A5000" s="3" t="s">
        <v>6443</v>
      </c>
      <c r="B5000" s="3" t="s">
        <v>215</v>
      </c>
      <c r="C5000" s="3" t="s">
        <v>37</v>
      </c>
      <c r="D5000" s="3" t="s">
        <v>58</v>
      </c>
      <c r="E5000" s="3" t="s">
        <v>176</v>
      </c>
      <c r="F5000" s="3" t="s">
        <v>177</v>
      </c>
      <c r="G5000" s="3" t="s">
        <v>41</v>
      </c>
      <c r="H5000" s="3" t="s">
        <v>42</v>
      </c>
      <c r="I5000" s="3" t="s">
        <v>1476</v>
      </c>
      <c r="J5000" s="3" t="s">
        <v>85</v>
      </c>
      <c r="K5000" s="3">
        <v>5</v>
      </c>
      <c r="L5000" s="3">
        <v>40645.1</v>
      </c>
      <c r="M5000" s="3">
        <v>203225.5</v>
      </c>
      <c r="N5000" s="3">
        <v>178581.16</v>
      </c>
      <c r="O5000" s="3">
        <v>24644.34</v>
      </c>
      <c r="P5000" s="3" t="s">
        <v>45</v>
      </c>
    </row>
    <row r="5001" spans="1:16" x14ac:dyDescent="0.35">
      <c r="A5001" s="3" t="s">
        <v>6444</v>
      </c>
      <c r="B5001" s="3" t="s">
        <v>672</v>
      </c>
      <c r="C5001" s="3" t="s">
        <v>118</v>
      </c>
      <c r="D5001" s="3" t="s">
        <v>19</v>
      </c>
      <c r="E5001" s="3" t="s">
        <v>199</v>
      </c>
      <c r="F5001" s="3" t="s">
        <v>200</v>
      </c>
      <c r="G5001" s="3" t="s">
        <v>51</v>
      </c>
      <c r="H5001" s="3" t="s">
        <v>145</v>
      </c>
      <c r="I5001" s="3" t="s">
        <v>1229</v>
      </c>
      <c r="J5001" s="3" t="s">
        <v>147</v>
      </c>
      <c r="K5001" s="3">
        <v>6</v>
      </c>
      <c r="L5001" s="3">
        <v>120.63</v>
      </c>
      <c r="M5001" s="3">
        <v>723.78</v>
      </c>
      <c r="N5001" s="3">
        <v>349.35</v>
      </c>
      <c r="O5001" s="3">
        <v>374.43</v>
      </c>
      <c r="P5001" s="3"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28F98-3F64-4281-9DDF-F7EA2A036B9C}">
  <dimension ref="A5:D58"/>
  <sheetViews>
    <sheetView showGridLines="0" tabSelected="1" workbookViewId="0">
      <selection activeCell="B42" sqref="B42"/>
    </sheetView>
  </sheetViews>
  <sheetFormatPr defaultRowHeight="14.4" x14ac:dyDescent="0.3"/>
  <cols>
    <col min="1" max="1" width="25.44140625" customWidth="1"/>
    <col min="2" max="2" width="29.109375" customWidth="1"/>
    <col min="3" max="3" width="23.21875" customWidth="1"/>
    <col min="4" max="4" width="30.6640625" customWidth="1"/>
  </cols>
  <sheetData>
    <row r="5" spans="1:4" ht="29.4" customHeight="1" x14ac:dyDescent="0.3">
      <c r="A5" s="5" t="s">
        <v>6445</v>
      </c>
      <c r="B5" s="5" t="s">
        <v>6446</v>
      </c>
      <c r="C5" s="5" t="s">
        <v>6448</v>
      </c>
      <c r="D5" s="6" t="s">
        <v>6449</v>
      </c>
    </row>
    <row r="6" spans="1:4" ht="33.6" customHeight="1" x14ac:dyDescent="0.3">
      <c r="A6" s="15">
        <v>232052238.38000071</v>
      </c>
      <c r="B6" s="15">
        <v>176701308.94999966</v>
      </c>
      <c r="C6" s="15">
        <v>55350929.429999754</v>
      </c>
      <c r="D6" s="7">
        <f>GETPIVOTDATA("Total Profit",$A$5)/GETPIVOTDATA("Total Revenue",$A$5)</f>
        <v>0.23852788413684245</v>
      </c>
    </row>
    <row r="9" spans="1:4" ht="15" thickBot="1" x14ac:dyDescent="0.35"/>
    <row r="10" spans="1:4" ht="37.200000000000003" customHeight="1" thickBot="1" x14ac:dyDescent="0.35">
      <c r="A10" s="8" t="str">
        <f>"Total Revenue "&amp;CHAR(10)&amp;TEXT( A6,"#,##0")</f>
        <v>Total Revenue 
23,20,52,238</v>
      </c>
      <c r="B10" s="9" t="str">
        <f>"Total Cost "&amp;CHAR(10)&amp;TEXT( B6,"#,##0")</f>
        <v>Total Cost 
17,67,01,309</v>
      </c>
      <c r="C10" s="9" t="str">
        <f>"Total Profit "&amp;CHAR(10)&amp;TEXT( C6,"#,##0")</f>
        <v>Total Profit 
5,53,50,929</v>
      </c>
      <c r="D10" s="10" t="str">
        <f>"Margin % "&amp;CHAR(10)&amp;TEXT( D6,"0.00%")</f>
        <v>Margin % 
23.85%</v>
      </c>
    </row>
    <row r="15" spans="1:4" x14ac:dyDescent="0.3">
      <c r="A15" s="13" t="s">
        <v>6</v>
      </c>
      <c r="B15" s="4" t="s">
        <v>6445</v>
      </c>
    </row>
    <row r="16" spans="1:4" x14ac:dyDescent="0.3">
      <c r="A16" s="11" t="s">
        <v>41</v>
      </c>
      <c r="B16" s="14">
        <v>121895951.61000009</v>
      </c>
    </row>
    <row r="17" spans="1:2" x14ac:dyDescent="0.3">
      <c r="A17" s="11" t="s">
        <v>22</v>
      </c>
      <c r="B17" s="14">
        <v>57467276.240000106</v>
      </c>
    </row>
    <row r="18" spans="1:2" x14ac:dyDescent="0.3">
      <c r="A18" s="11" t="s">
        <v>30</v>
      </c>
      <c r="B18" s="14">
        <v>28792532.329999968</v>
      </c>
    </row>
    <row r="19" spans="1:2" x14ac:dyDescent="0.3">
      <c r="A19" s="11" t="s">
        <v>51</v>
      </c>
      <c r="B19" s="14">
        <v>23896478.200000007</v>
      </c>
    </row>
    <row r="20" spans="1:2" x14ac:dyDescent="0.3">
      <c r="A20" s="11" t="s">
        <v>6450</v>
      </c>
      <c r="B20" s="14">
        <v>232052238.3800002</v>
      </c>
    </row>
    <row r="29" spans="1:2" x14ac:dyDescent="0.3">
      <c r="A29" s="13" t="s">
        <v>6</v>
      </c>
      <c r="B29" s="4" t="s">
        <v>6447</v>
      </c>
    </row>
    <row r="30" spans="1:2" x14ac:dyDescent="0.3">
      <c r="A30" s="11" t="s">
        <v>41</v>
      </c>
      <c r="B30" s="14">
        <v>27769887.920000058</v>
      </c>
    </row>
    <row r="31" spans="1:2" x14ac:dyDescent="0.3">
      <c r="A31" s="11" t="s">
        <v>22</v>
      </c>
      <c r="B31" s="14">
        <v>14684071.830000009</v>
      </c>
    </row>
    <row r="32" spans="1:2" x14ac:dyDescent="0.3">
      <c r="A32" s="11" t="s">
        <v>30</v>
      </c>
      <c r="B32" s="14">
        <v>6724990.0800000066</v>
      </c>
    </row>
    <row r="33" spans="1:2" x14ac:dyDescent="0.3">
      <c r="A33" s="11" t="s">
        <v>51</v>
      </c>
      <c r="B33" s="14">
        <v>6171979.5999999968</v>
      </c>
    </row>
    <row r="34" spans="1:2" x14ac:dyDescent="0.3">
      <c r="A34" s="11" t="s">
        <v>6450</v>
      </c>
      <c r="B34" s="14">
        <v>55350929.430000067</v>
      </c>
    </row>
    <row r="45" spans="1:2" x14ac:dyDescent="0.3">
      <c r="A45" s="12" t="s">
        <v>6</v>
      </c>
      <c r="B45" s="4" t="s">
        <v>6445</v>
      </c>
    </row>
    <row r="46" spans="1:2" x14ac:dyDescent="0.3">
      <c r="A46" s="4" t="s">
        <v>42</v>
      </c>
      <c r="B46" s="14">
        <v>82734679.019999966</v>
      </c>
    </row>
    <row r="47" spans="1:2" x14ac:dyDescent="0.3">
      <c r="A47" s="4" t="s">
        <v>83</v>
      </c>
      <c r="B47" s="14">
        <v>38159975.610000007</v>
      </c>
    </row>
    <row r="48" spans="1:2" x14ac:dyDescent="0.3">
      <c r="A48" s="4" t="s">
        <v>138</v>
      </c>
      <c r="B48" s="14">
        <v>34612113.910000004</v>
      </c>
    </row>
    <row r="49" spans="1:2" x14ac:dyDescent="0.3">
      <c r="A49" s="4" t="s">
        <v>77</v>
      </c>
      <c r="B49" s="14">
        <v>23616519.089999977</v>
      </c>
    </row>
    <row r="50" spans="1:2" x14ac:dyDescent="0.3">
      <c r="A50" s="4" t="s">
        <v>67</v>
      </c>
      <c r="B50" s="14">
        <v>17894256.560000032</v>
      </c>
    </row>
    <row r="51" spans="1:2" x14ac:dyDescent="0.3">
      <c r="A51" s="4" t="s">
        <v>93</v>
      </c>
      <c r="B51" s="14">
        <v>12831120.669999991</v>
      </c>
    </row>
    <row r="52" spans="1:2" x14ac:dyDescent="0.3">
      <c r="A52" s="4" t="s">
        <v>23</v>
      </c>
      <c r="B52" s="14">
        <v>6476179.9599999972</v>
      </c>
    </row>
    <row r="53" spans="1:2" x14ac:dyDescent="0.3">
      <c r="A53" s="4" t="s">
        <v>73</v>
      </c>
      <c r="B53" s="14">
        <v>5866933.6600000001</v>
      </c>
    </row>
    <row r="54" spans="1:2" x14ac:dyDescent="0.3">
      <c r="A54" s="4" t="s">
        <v>31</v>
      </c>
      <c r="B54" s="14">
        <v>5031342.1100000022</v>
      </c>
    </row>
    <row r="55" spans="1:2" x14ac:dyDescent="0.3">
      <c r="A55" s="4" t="s">
        <v>61</v>
      </c>
      <c r="B55" s="14">
        <v>4549158.6800000016</v>
      </c>
    </row>
    <row r="56" spans="1:2" x14ac:dyDescent="0.3">
      <c r="A56" s="4" t="s">
        <v>145</v>
      </c>
      <c r="B56" s="14">
        <v>235348.00999999995</v>
      </c>
    </row>
    <row r="57" spans="1:2" x14ac:dyDescent="0.3">
      <c r="A57" s="4" t="s">
        <v>52</v>
      </c>
      <c r="B57" s="14">
        <v>44611.099999999977</v>
      </c>
    </row>
    <row r="58" spans="1:2" x14ac:dyDescent="0.3">
      <c r="A58" s="11" t="s">
        <v>6450</v>
      </c>
      <c r="B58" s="14">
        <v>232052238.37999997</v>
      </c>
    </row>
  </sheetData>
  <autoFilter ref="A45:B58" xr:uid="{2D228F98-3F64-4281-9DDF-F7EA2A036B9C}"/>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77F40-9598-49E9-A373-2C355E2306E0}">
  <dimension ref="A1:T49"/>
  <sheetViews>
    <sheetView showGridLines="0" zoomScale="75" workbookViewId="0">
      <selection activeCell="T25" sqref="T25"/>
    </sheetView>
  </sheetViews>
  <sheetFormatPr defaultColWidth="0" defaultRowHeight="14.4" zeroHeight="1" x14ac:dyDescent="0.3"/>
  <cols>
    <col min="1" max="20" width="8.88671875" customWidth="1"/>
    <col min="21"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2026-09-10T02:04:16Z</dcterms:created>
  <dcterms:modified xsi:type="dcterms:W3CDTF">2026-09-10T04:42:19Z</dcterms:modified>
</cp:coreProperties>
</file>